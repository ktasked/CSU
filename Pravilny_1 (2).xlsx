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D198F7B4-057B-4781-B0A2-E4703A7D8783}" xr6:coauthVersionLast="47" xr6:coauthVersionMax="47" xr10:uidLastSave="{00000000-0000-0000-0000-000000000000}"/>
  <bookViews>
    <workbookView xWindow="-108" yWindow="-108" windowWidth="23256" windowHeight="12720" activeTab="2" xr2:uid="{789ADA45-68B5-4BAE-A831-98433C4AB929}"/>
  </bookViews>
  <sheets>
    <sheet name="Лист1" sheetId="1" r:id="rId1"/>
    <sheet name="Лист2" sheetId="2" r:id="rId2"/>
    <sheet name="Лист3" sheetId="3" r:id="rId3"/>
    <sheet name="Лист4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2" i="3" l="1"/>
  <c r="S52" i="3"/>
  <c r="R38" i="3"/>
  <c r="S9" i="3"/>
  <c r="M42" i="3"/>
  <c r="M43" i="3"/>
  <c r="M44" i="3"/>
  <c r="M45" i="3"/>
  <c r="M46" i="3"/>
  <c r="M47" i="3"/>
  <c r="M48" i="3"/>
  <c r="M49" i="3"/>
  <c r="M50" i="3"/>
  <c r="M51" i="3"/>
  <c r="S44" i="3"/>
  <c r="C37" i="4"/>
  <c r="C38" i="4"/>
  <c r="C39" i="4"/>
  <c r="C40" i="4"/>
  <c r="C36" i="4"/>
  <c r="M2" i="4"/>
  <c r="B35" i="4"/>
  <c r="D32" i="4"/>
  <c r="D31" i="4"/>
  <c r="D30" i="4"/>
  <c r="D29" i="4"/>
  <c r="AE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2" i="4"/>
  <c r="P2" i="4" l="1"/>
  <c r="R2" i="4" s="1"/>
  <c r="H20" i="4" l="1"/>
  <c r="G20" i="4"/>
  <c r="F20" i="4"/>
  <c r="S45" i="3"/>
  <c r="S46" i="3" s="1"/>
  <c r="S47" i="3" s="1"/>
  <c r="S2" i="3"/>
  <c r="S43" i="4"/>
  <c r="Y23" i="4" l="1"/>
  <c r="X27" i="4"/>
  <c r="Y31" i="4"/>
  <c r="X35" i="4"/>
  <c r="Y39" i="4"/>
  <c r="X6" i="4"/>
  <c r="X10" i="4"/>
  <c r="X14" i="4"/>
  <c r="X18" i="4"/>
  <c r="Y22" i="4"/>
  <c r="Y26" i="4"/>
  <c r="Y30" i="4"/>
  <c r="Y34" i="4"/>
  <c r="Y38" i="4"/>
  <c r="Y1002" i="4"/>
  <c r="Y1001" i="4"/>
  <c r="Y1000" i="4"/>
  <c r="Y999" i="4"/>
  <c r="Y998" i="4"/>
  <c r="Y997" i="4"/>
  <c r="Y996" i="4"/>
  <c r="Y995" i="4"/>
  <c r="Y994" i="4"/>
  <c r="Y993" i="4"/>
  <c r="Y992" i="4"/>
  <c r="Y991" i="4"/>
  <c r="Y990" i="4"/>
  <c r="Y989" i="4"/>
  <c r="Y988" i="4"/>
  <c r="Y987" i="4"/>
  <c r="Y986" i="4"/>
  <c r="Y985" i="4"/>
  <c r="Y984" i="4"/>
  <c r="Y983" i="4"/>
  <c r="Y982" i="4"/>
  <c r="Y981" i="4"/>
  <c r="Y980" i="4"/>
  <c r="Y979" i="4"/>
  <c r="Y978" i="4"/>
  <c r="Y977" i="4"/>
  <c r="Y976" i="4"/>
  <c r="Y975" i="4"/>
  <c r="X974" i="4"/>
  <c r="Y973" i="4"/>
  <c r="Y972" i="4"/>
  <c r="Y970" i="4"/>
  <c r="Y969" i="4"/>
  <c r="Y968" i="4"/>
  <c r="Y966" i="4"/>
  <c r="Y965" i="4"/>
  <c r="Y964" i="4"/>
  <c r="Y962" i="4"/>
  <c r="Y961" i="4"/>
  <c r="Y960" i="4"/>
  <c r="Y958" i="4"/>
  <c r="X957" i="4"/>
  <c r="Y957" i="4"/>
  <c r="Y956" i="4"/>
  <c r="Y954" i="4"/>
  <c r="Y953" i="4"/>
  <c r="Y952" i="4"/>
  <c r="Y950" i="4"/>
  <c r="Y949" i="4"/>
  <c r="X948" i="4"/>
  <c r="Y948" i="4"/>
  <c r="Y946" i="4"/>
  <c r="Y945" i="4"/>
  <c r="Y944" i="4"/>
  <c r="Y942" i="4"/>
  <c r="Y941" i="4"/>
  <c r="Y940" i="4"/>
  <c r="Y938" i="4"/>
  <c r="Y937" i="4"/>
  <c r="Y936" i="4"/>
  <c r="Y934" i="4"/>
  <c r="Y933" i="4"/>
  <c r="Y932" i="4"/>
  <c r="Y930" i="4"/>
  <c r="Y929" i="4"/>
  <c r="Y928" i="4"/>
  <c r="Y925" i="4"/>
  <c r="Y924" i="4"/>
  <c r="Y922" i="4"/>
  <c r="Y921" i="4"/>
  <c r="Y920" i="4"/>
  <c r="Y917" i="4"/>
  <c r="Y916" i="4"/>
  <c r="Y914" i="4"/>
  <c r="Y913" i="4"/>
  <c r="Y912" i="4"/>
  <c r="Y909" i="4"/>
  <c r="Y908" i="4"/>
  <c r="Y906" i="4"/>
  <c r="Y904" i="4"/>
  <c r="X903" i="4"/>
  <c r="X901" i="4"/>
  <c r="Y900" i="4"/>
  <c r="X900" i="4"/>
  <c r="X899" i="4"/>
  <c r="X897" i="4"/>
  <c r="X896" i="4"/>
  <c r="X895" i="4"/>
  <c r="X893" i="4"/>
  <c r="X892" i="4"/>
  <c r="X891" i="4"/>
  <c r="X889" i="4"/>
  <c r="X888" i="4"/>
  <c r="X887" i="4"/>
  <c r="X885" i="4"/>
  <c r="X884" i="4"/>
  <c r="X883" i="4"/>
  <c r="Y881" i="4"/>
  <c r="X881" i="4"/>
  <c r="X880" i="4"/>
  <c r="X879" i="4"/>
  <c r="X877" i="4"/>
  <c r="X876" i="4"/>
  <c r="X875" i="4"/>
  <c r="Y874" i="4"/>
  <c r="Y872" i="4"/>
  <c r="Y871" i="4"/>
  <c r="Y868" i="4"/>
  <c r="Y867" i="4"/>
  <c r="Y864" i="4"/>
  <c r="Y863" i="4"/>
  <c r="Y862" i="4"/>
  <c r="Y860" i="4"/>
  <c r="X859" i="4"/>
  <c r="Y858" i="4"/>
  <c r="Y857" i="4"/>
  <c r="Y854" i="4"/>
  <c r="X853" i="4"/>
  <c r="X852" i="4"/>
  <c r="X851" i="4"/>
  <c r="X849" i="4"/>
  <c r="X848" i="4"/>
  <c r="X847" i="4"/>
  <c r="X845" i="4"/>
  <c r="X844" i="4"/>
  <c r="X843" i="4"/>
  <c r="X841" i="4"/>
  <c r="X840" i="4"/>
  <c r="X839" i="4"/>
  <c r="X837" i="4"/>
  <c r="X836" i="4"/>
  <c r="X835" i="4"/>
  <c r="X833" i="4"/>
  <c r="X832" i="4"/>
  <c r="X831" i="4"/>
  <c r="X829" i="4"/>
  <c r="X828" i="4"/>
  <c r="X827" i="4"/>
  <c r="X825" i="4"/>
  <c r="X824" i="4"/>
  <c r="X823" i="4"/>
  <c r="X821" i="4"/>
  <c r="Y818" i="4"/>
  <c r="X818" i="4"/>
  <c r="X817" i="4"/>
  <c r="X815" i="4"/>
  <c r="X814" i="4"/>
  <c r="X813" i="4"/>
  <c r="X810" i="4"/>
  <c r="X809" i="4"/>
  <c r="Y799" i="4"/>
  <c r="X797" i="4"/>
  <c r="Y796" i="4"/>
  <c r="Y795" i="4"/>
  <c r="Y794" i="4"/>
  <c r="X793" i="4"/>
  <c r="Y792" i="4"/>
  <c r="Y791" i="4"/>
  <c r="Y790" i="4"/>
  <c r="X789" i="4"/>
  <c r="Y788" i="4"/>
  <c r="Y787" i="4"/>
  <c r="X785" i="4"/>
  <c r="Y784" i="4"/>
  <c r="Y783" i="4"/>
  <c r="Y782" i="4"/>
  <c r="X781" i="4"/>
  <c r="Y780" i="4"/>
  <c r="Y779" i="4"/>
  <c r="X777" i="4"/>
  <c r="Y776" i="4"/>
  <c r="Y775" i="4"/>
  <c r="Y774" i="4"/>
  <c r="X773" i="4"/>
  <c r="Y772" i="4"/>
  <c r="Y771" i="4"/>
  <c r="X769" i="4"/>
  <c r="X759" i="4"/>
  <c r="X758" i="4"/>
  <c r="X756" i="4"/>
  <c r="X755" i="4"/>
  <c r="X754" i="4"/>
  <c r="Y751" i="4"/>
  <c r="X751" i="4"/>
  <c r="X750" i="4"/>
  <c r="X748" i="4"/>
  <c r="X747" i="4"/>
  <c r="X746" i="4"/>
  <c r="X743" i="4"/>
  <c r="X742" i="4"/>
  <c r="X740" i="4"/>
  <c r="X739" i="4"/>
  <c r="X738" i="4"/>
  <c r="X735" i="4"/>
  <c r="X734" i="4"/>
  <c r="X732" i="4"/>
  <c r="X731" i="4"/>
  <c r="X730" i="4"/>
  <c r="X728" i="4"/>
  <c r="X727" i="4"/>
  <c r="X726" i="4"/>
  <c r="X724" i="4"/>
  <c r="X722" i="4"/>
  <c r="X720" i="4"/>
  <c r="X719" i="4"/>
  <c r="X718" i="4"/>
  <c r="X716" i="4"/>
  <c r="X714" i="4"/>
  <c r="Y711" i="4"/>
  <c r="Y710" i="4"/>
  <c r="Y709" i="4"/>
  <c r="Y707" i="4"/>
  <c r="Y706" i="4"/>
  <c r="Y705" i="4"/>
  <c r="Y703" i="4"/>
  <c r="Y702" i="4"/>
  <c r="Y701" i="4"/>
  <c r="Y698" i="4"/>
  <c r="Y697" i="4"/>
  <c r="Y696" i="4"/>
  <c r="Y694" i="4"/>
  <c r="Y693" i="4"/>
  <c r="Y692" i="4"/>
  <c r="Y690" i="4"/>
  <c r="Y689" i="4"/>
  <c r="Y688" i="4"/>
  <c r="Y686" i="4"/>
  <c r="X685" i="4"/>
  <c r="Y684" i="4"/>
  <c r="Y682" i="4"/>
  <c r="Y681" i="4"/>
  <c r="Y680" i="4"/>
  <c r="Y679" i="4"/>
  <c r="Y678" i="4"/>
  <c r="Y677" i="4"/>
  <c r="Y676" i="4"/>
  <c r="Y675" i="4"/>
  <c r="Y674" i="4"/>
  <c r="Y673" i="4"/>
  <c r="Y672" i="4"/>
  <c r="Y671" i="4"/>
  <c r="Y670" i="4"/>
  <c r="Y669" i="4"/>
  <c r="Y668" i="4"/>
  <c r="Y667" i="4"/>
  <c r="Y666" i="4"/>
  <c r="Y665" i="4"/>
  <c r="Y664" i="4"/>
  <c r="Y663" i="4"/>
  <c r="Y662" i="4"/>
  <c r="Y661" i="4"/>
  <c r="Y660" i="4"/>
  <c r="Y659" i="4"/>
  <c r="Y658" i="4"/>
  <c r="Y657" i="4"/>
  <c r="Y656" i="4"/>
  <c r="Y655" i="4"/>
  <c r="Y654" i="4"/>
  <c r="Y653" i="4"/>
  <c r="Y652" i="4"/>
  <c r="Y651" i="4"/>
  <c r="Y645" i="4"/>
  <c r="Y644" i="4"/>
  <c r="Y643" i="4"/>
  <c r="Y642" i="4"/>
  <c r="Y641" i="4"/>
  <c r="Y640" i="4"/>
  <c r="Y639" i="4"/>
  <c r="Y638" i="4"/>
  <c r="Y637" i="4"/>
  <c r="Y636" i="4"/>
  <c r="Y635" i="4"/>
  <c r="Y634" i="4"/>
  <c r="Y633" i="4"/>
  <c r="Y632" i="4"/>
  <c r="Y631" i="4"/>
  <c r="Y630" i="4"/>
  <c r="Y629" i="4"/>
  <c r="Y628" i="4"/>
  <c r="Y627" i="4"/>
  <c r="Y626" i="4"/>
  <c r="Y625" i="4"/>
  <c r="Y624" i="4"/>
  <c r="Y623" i="4"/>
  <c r="Y622" i="4"/>
  <c r="Y621" i="4"/>
  <c r="Y620" i="4"/>
  <c r="Y619" i="4"/>
  <c r="Y618" i="4"/>
  <c r="Y617" i="4"/>
  <c r="Y616" i="4"/>
  <c r="Y615" i="4"/>
  <c r="Y614" i="4"/>
  <c r="Y613" i="4"/>
  <c r="Y612" i="4"/>
  <c r="Y611" i="4"/>
  <c r="Y610" i="4"/>
  <c r="Y609" i="4"/>
  <c r="Y608" i="4"/>
  <c r="Y607" i="4"/>
  <c r="Y606" i="4"/>
  <c r="Y605" i="4"/>
  <c r="Y604" i="4"/>
  <c r="Y603" i="4"/>
  <c r="Y602" i="4"/>
  <c r="X601" i="4"/>
  <c r="Y600" i="4"/>
  <c r="Y598" i="4"/>
  <c r="Y597" i="4"/>
  <c r="Y596" i="4"/>
  <c r="Y594" i="4"/>
  <c r="Y593" i="4"/>
  <c r="Y592" i="4"/>
  <c r="Y591" i="4"/>
  <c r="Y589" i="4"/>
  <c r="Y588" i="4"/>
  <c r="Y587" i="4"/>
  <c r="Y585" i="4"/>
  <c r="Y584" i="4"/>
  <c r="Y583" i="4"/>
  <c r="X581" i="4"/>
  <c r="X579" i="4"/>
  <c r="X578" i="4"/>
  <c r="X577" i="4"/>
  <c r="X575" i="4"/>
  <c r="X573" i="4"/>
  <c r="X571" i="4"/>
  <c r="X570" i="4"/>
  <c r="X569" i="4"/>
  <c r="X567" i="4"/>
  <c r="X566" i="4"/>
  <c r="X565" i="4"/>
  <c r="X563" i="4"/>
  <c r="X562" i="4"/>
  <c r="X561" i="4"/>
  <c r="X559" i="4"/>
  <c r="X557" i="4"/>
  <c r="X555" i="4"/>
  <c r="X554" i="4"/>
  <c r="X553" i="4"/>
  <c r="X551" i="4"/>
  <c r="X550" i="4"/>
  <c r="X549" i="4"/>
  <c r="X547" i="4"/>
  <c r="X546" i="4"/>
  <c r="X545" i="4"/>
  <c r="X543" i="4"/>
  <c r="Y542" i="4"/>
  <c r="Y540" i="4"/>
  <c r="Y538" i="4"/>
  <c r="Y536" i="4"/>
  <c r="Y534" i="4"/>
  <c r="Y532" i="4"/>
  <c r="Y530" i="4"/>
  <c r="Y528" i="4"/>
  <c r="Y526" i="4"/>
  <c r="Y524" i="4"/>
  <c r="Y522" i="4"/>
  <c r="Y520" i="4"/>
  <c r="Y518" i="4"/>
  <c r="X517" i="4"/>
  <c r="Y515" i="4"/>
  <c r="X513" i="4"/>
  <c r="Y511" i="4"/>
  <c r="Y510" i="4"/>
  <c r="X509" i="4"/>
  <c r="Y507" i="4"/>
  <c r="Y506" i="4"/>
  <c r="X505" i="4"/>
  <c r="X504" i="4"/>
  <c r="X503" i="4"/>
  <c r="X502" i="4"/>
  <c r="X501" i="4"/>
  <c r="X500" i="4"/>
  <c r="X499" i="4"/>
  <c r="X498" i="4"/>
  <c r="X497" i="4"/>
  <c r="X496" i="4"/>
  <c r="X495" i="4"/>
  <c r="X494" i="4"/>
  <c r="X493" i="4"/>
  <c r="X492" i="4"/>
  <c r="X491" i="4"/>
  <c r="X490" i="4"/>
  <c r="X489" i="4"/>
  <c r="X488" i="4"/>
  <c r="X487" i="4"/>
  <c r="X486" i="4"/>
  <c r="X485" i="4"/>
  <c r="X484" i="4"/>
  <c r="X483" i="4"/>
  <c r="X482" i="4"/>
  <c r="X481" i="4"/>
  <c r="X480" i="4"/>
  <c r="X479" i="4"/>
  <c r="X478" i="4"/>
  <c r="X477" i="4"/>
  <c r="X476" i="4"/>
  <c r="X475" i="4"/>
  <c r="X474" i="4"/>
  <c r="X473" i="4"/>
  <c r="X472" i="4"/>
  <c r="X471" i="4"/>
  <c r="X470" i="4"/>
  <c r="X469" i="4"/>
  <c r="X468" i="4"/>
  <c r="X467" i="4"/>
  <c r="X466" i="4"/>
  <c r="X465" i="4"/>
  <c r="X464" i="4"/>
  <c r="X463" i="4"/>
  <c r="X462" i="4"/>
  <c r="X461" i="4"/>
  <c r="X460" i="4"/>
  <c r="X459" i="4"/>
  <c r="X458" i="4"/>
  <c r="X457" i="4"/>
  <c r="X456" i="4"/>
  <c r="X455" i="4"/>
  <c r="X454" i="4"/>
  <c r="X453" i="4"/>
  <c r="X452" i="4"/>
  <c r="X451" i="4"/>
  <c r="X450" i="4"/>
  <c r="X449" i="4"/>
  <c r="X448" i="4"/>
  <c r="X447" i="4"/>
  <c r="X446" i="4"/>
  <c r="X445" i="4"/>
  <c r="X444" i="4"/>
  <c r="X443" i="4"/>
  <c r="X441" i="4"/>
  <c r="X440" i="4"/>
  <c r="X439" i="4"/>
  <c r="X437" i="4"/>
  <c r="X435" i="4"/>
  <c r="X433" i="4"/>
  <c r="X432" i="4"/>
  <c r="X431" i="4"/>
  <c r="X429" i="4"/>
  <c r="X427" i="4"/>
  <c r="X425" i="4"/>
  <c r="X424" i="4"/>
  <c r="X423" i="4"/>
  <c r="X421" i="4"/>
  <c r="X419" i="4"/>
  <c r="X417" i="4"/>
  <c r="Y416" i="4"/>
  <c r="X416" i="4"/>
  <c r="X415" i="4"/>
  <c r="X413" i="4"/>
  <c r="X411" i="4"/>
  <c r="X409" i="4"/>
  <c r="X408" i="4"/>
  <c r="X407" i="4"/>
  <c r="X405" i="4"/>
  <c r="X403" i="4"/>
  <c r="X401" i="4"/>
  <c r="X400" i="4"/>
  <c r="X399" i="4"/>
  <c r="X397" i="4"/>
  <c r="X395" i="4"/>
  <c r="X393" i="4"/>
  <c r="X392" i="4"/>
  <c r="X391" i="4"/>
  <c r="Y389" i="4"/>
  <c r="Y388" i="4"/>
  <c r="Y387" i="4"/>
  <c r="Y385" i="4"/>
  <c r="Y384" i="4"/>
  <c r="Y383" i="4"/>
  <c r="Y381" i="4"/>
  <c r="Y380" i="4"/>
  <c r="Y379" i="4"/>
  <c r="Y377" i="4"/>
  <c r="Y376" i="4"/>
  <c r="Y375" i="4"/>
  <c r="Y373" i="4"/>
  <c r="Y372" i="4"/>
  <c r="Y371" i="4"/>
  <c r="Y369" i="4"/>
  <c r="Y368" i="4"/>
  <c r="Y367" i="4"/>
  <c r="Y365" i="4"/>
  <c r="Y364" i="4"/>
  <c r="Y363" i="4"/>
  <c r="Y361" i="4"/>
  <c r="Y360" i="4"/>
  <c r="Y359" i="4"/>
  <c r="Y357" i="4"/>
  <c r="Y356" i="4"/>
  <c r="Y355" i="4"/>
  <c r="Y353" i="4"/>
  <c r="Y352" i="4"/>
  <c r="Y351" i="4"/>
  <c r="Y349" i="4"/>
  <c r="Y348" i="4"/>
  <c r="Y347" i="4"/>
  <c r="Y345" i="4"/>
  <c r="Y344" i="4"/>
  <c r="Y343" i="4"/>
  <c r="Y341" i="4"/>
  <c r="Y340" i="4"/>
  <c r="Y339" i="4"/>
  <c r="Y337" i="4"/>
  <c r="Y336" i="4"/>
  <c r="Y335" i="4"/>
  <c r="Y333" i="4"/>
  <c r="Y332" i="4"/>
  <c r="Y331" i="4"/>
  <c r="Y329" i="4"/>
  <c r="Y328" i="4"/>
  <c r="Y327" i="4"/>
  <c r="Y325" i="4"/>
  <c r="Y324" i="4"/>
  <c r="Y323" i="4"/>
  <c r="X322" i="4"/>
  <c r="X318" i="4"/>
  <c r="Y313" i="4"/>
  <c r="Y312" i="4"/>
  <c r="X311" i="4"/>
  <c r="Y310" i="4"/>
  <c r="Y309" i="4"/>
  <c r="X306" i="4"/>
  <c r="X302" i="4"/>
  <c r="Y300" i="4"/>
  <c r="Y298" i="4"/>
  <c r="Y296" i="4"/>
  <c r="Y294" i="4"/>
  <c r="Y227" i="4"/>
  <c r="X226" i="4"/>
  <c r="Y226" i="4"/>
  <c r="Y225" i="4"/>
  <c r="Y223" i="4"/>
  <c r="Y222" i="4"/>
  <c r="Y140" i="4"/>
  <c r="Y139" i="4"/>
  <c r="Y137" i="4"/>
  <c r="Y136" i="4"/>
  <c r="X135" i="4"/>
  <c r="Y135" i="4"/>
  <c r="Y134" i="4"/>
  <c r="Y133" i="4"/>
  <c r="Y131" i="4"/>
  <c r="Y130" i="4"/>
  <c r="Y129" i="4"/>
  <c r="Y127" i="4"/>
  <c r="Y126" i="4"/>
  <c r="Y125" i="4"/>
  <c r="Y123" i="4"/>
  <c r="Y122" i="4"/>
  <c r="Y121" i="4"/>
  <c r="Y119" i="4"/>
  <c r="Y118" i="4"/>
  <c r="Y117" i="4"/>
  <c r="Y115" i="4"/>
  <c r="Y114" i="4"/>
  <c r="Y113" i="4"/>
  <c r="Y111" i="4"/>
  <c r="Y110" i="4"/>
  <c r="Y109" i="4"/>
  <c r="Y107" i="4"/>
  <c r="Y106" i="4"/>
  <c r="Y105" i="4"/>
  <c r="Y103" i="4"/>
  <c r="Y102" i="4"/>
  <c r="Y101" i="4"/>
  <c r="Y99" i="4"/>
  <c r="Y98" i="4"/>
  <c r="Y97" i="4"/>
  <c r="Y95" i="4"/>
  <c r="Y94" i="4"/>
  <c r="Y93" i="4"/>
  <c r="Y91" i="4"/>
  <c r="Y90" i="4"/>
  <c r="Y89" i="4"/>
  <c r="Y87" i="4"/>
  <c r="Y86" i="4"/>
  <c r="Y85" i="4"/>
  <c r="X83" i="4"/>
  <c r="Y82" i="4"/>
  <c r="Y81" i="4"/>
  <c r="Y80" i="4"/>
  <c r="X79" i="4"/>
  <c r="Y78" i="4"/>
  <c r="Y77" i="4"/>
  <c r="Y76" i="4"/>
  <c r="X75" i="4"/>
  <c r="Y74" i="4"/>
  <c r="Y73" i="4"/>
  <c r="Y72" i="4"/>
  <c r="X71" i="4"/>
  <c r="Y70" i="4"/>
  <c r="Y69" i="4"/>
  <c r="X68" i="4"/>
  <c r="Y68" i="4"/>
  <c r="X67" i="4"/>
  <c r="Y66" i="4"/>
  <c r="Y65" i="4"/>
  <c r="Y64" i="4"/>
  <c r="X63" i="4"/>
  <c r="Y62" i="4"/>
  <c r="Y61" i="4"/>
  <c r="Y60" i="4"/>
  <c r="X59" i="4"/>
  <c r="Y58" i="4"/>
  <c r="Y57" i="4"/>
  <c r="Y56" i="4"/>
  <c r="X55" i="4"/>
  <c r="Y54" i="4"/>
  <c r="Y53" i="4"/>
  <c r="Y52" i="4"/>
  <c r="X51" i="4"/>
  <c r="Y50" i="4"/>
  <c r="Y49" i="4"/>
  <c r="Y48" i="4"/>
  <c r="X47" i="4"/>
  <c r="Y46" i="4"/>
  <c r="Y45" i="4"/>
  <c r="X44" i="4"/>
  <c r="X43" i="4"/>
  <c r="X42" i="4"/>
  <c r="Y41" i="4"/>
  <c r="X41" i="4"/>
  <c r="P41" i="4"/>
  <c r="R41" i="4" s="1"/>
  <c r="Y40" i="4"/>
  <c r="X40" i="4"/>
  <c r="P40" i="4"/>
  <c r="R40" i="4" s="1"/>
  <c r="P39" i="4"/>
  <c r="R39" i="4" s="1"/>
  <c r="P38" i="4"/>
  <c r="R38" i="4" s="1"/>
  <c r="Y37" i="4"/>
  <c r="X37" i="4"/>
  <c r="P37" i="4"/>
  <c r="R37" i="4" s="1"/>
  <c r="Y36" i="4"/>
  <c r="X36" i="4"/>
  <c r="P36" i="4"/>
  <c r="R36" i="4" s="1"/>
  <c r="Y35" i="4"/>
  <c r="P35" i="4"/>
  <c r="R35" i="4" s="1"/>
  <c r="P34" i="4"/>
  <c r="R34" i="4" s="1"/>
  <c r="Y33" i="4"/>
  <c r="X33" i="4"/>
  <c r="P33" i="4"/>
  <c r="R33" i="4" s="1"/>
  <c r="Y32" i="4"/>
  <c r="X32" i="4"/>
  <c r="P32" i="4"/>
  <c r="R32" i="4" s="1"/>
  <c r="P31" i="4"/>
  <c r="R31" i="4" s="1"/>
  <c r="P30" i="4"/>
  <c r="R30" i="4" s="1"/>
  <c r="Y29" i="4"/>
  <c r="X29" i="4"/>
  <c r="P29" i="4"/>
  <c r="R29" i="4" s="1"/>
  <c r="Y28" i="4"/>
  <c r="X28" i="4"/>
  <c r="P28" i="4"/>
  <c r="R28" i="4" s="1"/>
  <c r="Y27" i="4"/>
  <c r="P27" i="4"/>
  <c r="R27" i="4" s="1"/>
  <c r="P26" i="4"/>
  <c r="R26" i="4" s="1"/>
  <c r="Y25" i="4"/>
  <c r="X25" i="4"/>
  <c r="P25" i="4"/>
  <c r="R25" i="4" s="1"/>
  <c r="Y24" i="4"/>
  <c r="X24" i="4"/>
  <c r="P24" i="4"/>
  <c r="R24" i="4" s="1"/>
  <c r="P23" i="4"/>
  <c r="R23" i="4" s="1"/>
  <c r="P22" i="4"/>
  <c r="R22" i="4" s="1"/>
  <c r="P21" i="4"/>
  <c r="R21" i="4" s="1"/>
  <c r="X21" i="4"/>
  <c r="P20" i="4"/>
  <c r="R20" i="4" s="1"/>
  <c r="X20" i="4"/>
  <c r="P19" i="4"/>
  <c r="R19" i="4" s="1"/>
  <c r="Y19" i="4"/>
  <c r="P18" i="4"/>
  <c r="R18" i="4" s="1"/>
  <c r="P17" i="4"/>
  <c r="R17" i="4" s="1"/>
  <c r="X17" i="4"/>
  <c r="P16" i="4"/>
  <c r="R16" i="4" s="1"/>
  <c r="X16" i="4"/>
  <c r="P15" i="4"/>
  <c r="R15" i="4" s="1"/>
  <c r="X15" i="4"/>
  <c r="P14" i="4"/>
  <c r="R14" i="4" s="1"/>
  <c r="A14" i="4"/>
  <c r="P13" i="4"/>
  <c r="R13" i="4" s="1"/>
  <c r="Y13" i="4"/>
  <c r="A13" i="4"/>
  <c r="P12" i="4"/>
  <c r="R12" i="4" s="1"/>
  <c r="Y12" i="4"/>
  <c r="I12" i="4"/>
  <c r="P11" i="4"/>
  <c r="R11" i="4" s="1"/>
  <c r="Y11" i="4"/>
  <c r="P10" i="4"/>
  <c r="R10" i="4" s="1"/>
  <c r="P9" i="4"/>
  <c r="R9" i="4" s="1"/>
  <c r="X9" i="4"/>
  <c r="P8" i="4"/>
  <c r="R8" i="4" s="1"/>
  <c r="Y8" i="4"/>
  <c r="P7" i="4"/>
  <c r="R7" i="4" s="1"/>
  <c r="Y7" i="4"/>
  <c r="P6" i="4"/>
  <c r="R6" i="4" s="1"/>
  <c r="P5" i="4"/>
  <c r="R5" i="4" s="1"/>
  <c r="X5" i="4"/>
  <c r="P4" i="4"/>
  <c r="R4" i="4" s="1"/>
  <c r="X4" i="4"/>
  <c r="I4" i="4"/>
  <c r="E4" i="4"/>
  <c r="P3" i="4"/>
  <c r="R3" i="4" s="1"/>
  <c r="Y3" i="4"/>
  <c r="I3" i="4"/>
  <c r="E3" i="4"/>
  <c r="Y2" i="4"/>
  <c r="I2" i="4"/>
  <c r="E2" i="4"/>
  <c r="I1" i="4"/>
  <c r="S48" i="3"/>
  <c r="S49" i="3" s="1"/>
  <c r="S50" i="3" s="1"/>
  <c r="S51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3" i="3"/>
  <c r="S4" i="3"/>
  <c r="S5" i="3"/>
  <c r="S6" i="3"/>
  <c r="S7" i="3"/>
  <c r="S8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I1" i="3"/>
  <c r="S44" i="4" l="1"/>
  <c r="U44" i="4" s="1"/>
  <c r="V44" i="4" s="1"/>
  <c r="X39" i="4"/>
  <c r="X23" i="4"/>
  <c r="X31" i="4"/>
  <c r="Y740" i="4"/>
  <c r="Y852" i="4"/>
  <c r="X110" i="4"/>
  <c r="Y546" i="4"/>
  <c r="X589" i="4"/>
  <c r="Y829" i="4"/>
  <c r="X925" i="4"/>
  <c r="X103" i="4"/>
  <c r="X511" i="4"/>
  <c r="X588" i="4"/>
  <c r="X94" i="4"/>
  <c r="X126" i="4"/>
  <c r="Y411" i="4"/>
  <c r="Y719" i="4"/>
  <c r="Y845" i="4"/>
  <c r="Y897" i="4"/>
  <c r="X945" i="4"/>
  <c r="X87" i="4"/>
  <c r="X119" i="4"/>
  <c r="Y836" i="4"/>
  <c r="Y884" i="4"/>
  <c r="X930" i="4"/>
  <c r="X22" i="4"/>
  <c r="X26" i="4"/>
  <c r="X30" i="4"/>
  <c r="X34" i="4"/>
  <c r="X38" i="4"/>
  <c r="U14" i="4"/>
  <c r="V14" i="4" s="1"/>
  <c r="U17" i="4"/>
  <c r="V17" i="4" s="1"/>
  <c r="U23" i="4"/>
  <c r="V23" i="4" s="1"/>
  <c r="Z23" i="4" s="1"/>
  <c r="U27" i="4"/>
  <c r="V27" i="4" s="1"/>
  <c r="Z27" i="4" s="1"/>
  <c r="U31" i="4"/>
  <c r="V31" i="4" s="1"/>
  <c r="N31" i="4" s="1"/>
  <c r="U35" i="4"/>
  <c r="V35" i="4" s="1"/>
  <c r="U39" i="4"/>
  <c r="V39" i="4" s="1"/>
  <c r="Z39" i="4" s="1"/>
  <c r="X86" i="4"/>
  <c r="X102" i="4"/>
  <c r="X118" i="4"/>
  <c r="X134" i="4"/>
  <c r="X225" i="4"/>
  <c r="Y304" i="4"/>
  <c r="Y400" i="4"/>
  <c r="Y432" i="4"/>
  <c r="Y566" i="4"/>
  <c r="Y579" i="4"/>
  <c r="Y735" i="4"/>
  <c r="X794" i="4"/>
  <c r="Y828" i="4"/>
  <c r="Y844" i="4"/>
  <c r="Y876" i="4"/>
  <c r="Y892" i="4"/>
  <c r="X914" i="4"/>
  <c r="X940" i="4"/>
  <c r="X965" i="4"/>
  <c r="X970" i="4"/>
  <c r="X95" i="4"/>
  <c r="X111" i="4"/>
  <c r="X127" i="4"/>
  <c r="X312" i="4"/>
  <c r="Y395" i="4"/>
  <c r="Y427" i="4"/>
  <c r="Y578" i="4"/>
  <c r="Y720" i="4"/>
  <c r="Y756" i="4"/>
  <c r="Y821" i="4"/>
  <c r="Y837" i="4"/>
  <c r="Y853" i="4"/>
  <c r="Y889" i="4"/>
  <c r="X909" i="4"/>
  <c r="X937" i="4"/>
  <c r="X953" i="4"/>
  <c r="X960" i="4"/>
  <c r="X969" i="4"/>
  <c r="U12" i="4"/>
  <c r="V12" i="4" s="1"/>
  <c r="U25" i="4"/>
  <c r="V25" i="4" s="1"/>
  <c r="Z25" i="4" s="1"/>
  <c r="U29" i="4"/>
  <c r="V29" i="4" s="1"/>
  <c r="N29" i="4" s="1"/>
  <c r="U33" i="4"/>
  <c r="V33" i="4" s="1"/>
  <c r="N33" i="4" s="1"/>
  <c r="U37" i="4"/>
  <c r="V37" i="4" s="1"/>
  <c r="X91" i="4"/>
  <c r="X99" i="4"/>
  <c r="X107" i="4"/>
  <c r="X115" i="4"/>
  <c r="X123" i="4"/>
  <c r="X131" i="4"/>
  <c r="Y392" i="4"/>
  <c r="Y408" i="4"/>
  <c r="Y424" i="4"/>
  <c r="Y440" i="4"/>
  <c r="Y550" i="4"/>
  <c r="X585" i="4"/>
  <c r="X593" i="4"/>
  <c r="Y732" i="4"/>
  <c r="Y748" i="4"/>
  <c r="X782" i="4"/>
  <c r="Y815" i="4"/>
  <c r="Y825" i="4"/>
  <c r="Y833" i="4"/>
  <c r="Y841" i="4"/>
  <c r="Y849" i="4"/>
  <c r="Y880" i="4"/>
  <c r="Y888" i="4"/>
  <c r="Y896" i="4"/>
  <c r="X906" i="4"/>
  <c r="X922" i="4"/>
  <c r="X934" i="4"/>
  <c r="X944" i="4"/>
  <c r="X64" i="4"/>
  <c r="X90" i="4"/>
  <c r="X98" i="4"/>
  <c r="X106" i="4"/>
  <c r="X114" i="4"/>
  <c r="X122" i="4"/>
  <c r="X130" i="4"/>
  <c r="Y403" i="4"/>
  <c r="Y419" i="4"/>
  <c r="Y435" i="4"/>
  <c r="Y562" i="4"/>
  <c r="X584" i="4"/>
  <c r="X592" i="4"/>
  <c r="X597" i="4"/>
  <c r="Y727" i="4"/>
  <c r="Y743" i="4"/>
  <c r="Y759" i="4"/>
  <c r="Y810" i="4"/>
  <c r="Y824" i="4"/>
  <c r="Y832" i="4"/>
  <c r="Y840" i="4"/>
  <c r="Y848" i="4"/>
  <c r="X860" i="4"/>
  <c r="Y877" i="4"/>
  <c r="Y885" i="4"/>
  <c r="Y893" i="4"/>
  <c r="Y901" i="4"/>
  <c r="X917" i="4"/>
  <c r="X933" i="4"/>
  <c r="X941" i="4"/>
  <c r="X949" i="4"/>
  <c r="X961" i="4"/>
  <c r="X973" i="4"/>
  <c r="X404" i="4"/>
  <c r="Y404" i="4"/>
  <c r="X744" i="4"/>
  <c r="Y744" i="4"/>
  <c r="Y760" i="4"/>
  <c r="X760" i="4"/>
  <c r="Y766" i="4"/>
  <c r="X766" i="4"/>
  <c r="X811" i="4"/>
  <c r="Y811" i="4"/>
  <c r="X878" i="4"/>
  <c r="Y878" i="4"/>
  <c r="X894" i="4"/>
  <c r="Y894" i="4"/>
  <c r="Y918" i="4"/>
  <c r="X918" i="4"/>
  <c r="Y947" i="4"/>
  <c r="X947" i="4"/>
  <c r="Y88" i="4"/>
  <c r="X88" i="4"/>
  <c r="Y96" i="4"/>
  <c r="X96" i="4"/>
  <c r="Y104" i="4"/>
  <c r="X104" i="4"/>
  <c r="Y112" i="4"/>
  <c r="X112" i="4"/>
  <c r="Y120" i="4"/>
  <c r="X120" i="4"/>
  <c r="Y128" i="4"/>
  <c r="X128" i="4"/>
  <c r="Y138" i="4"/>
  <c r="X138" i="4"/>
  <c r="X308" i="4"/>
  <c r="X558" i="4"/>
  <c r="Y558" i="4"/>
  <c r="Y582" i="4"/>
  <c r="X582" i="4"/>
  <c r="Y590" i="4"/>
  <c r="X590" i="4"/>
  <c r="X723" i="4"/>
  <c r="Y723" i="4"/>
  <c r="Y798" i="4"/>
  <c r="X798" i="4"/>
  <c r="X822" i="4"/>
  <c r="Y822" i="4"/>
  <c r="X830" i="4"/>
  <c r="Y830" i="4"/>
  <c r="X838" i="4"/>
  <c r="Y838" i="4"/>
  <c r="X846" i="4"/>
  <c r="Y846" i="4"/>
  <c r="Y856" i="4"/>
  <c r="X856" i="4"/>
  <c r="Y971" i="4"/>
  <c r="X971" i="4"/>
  <c r="X420" i="4"/>
  <c r="Y420" i="4"/>
  <c r="Y764" i="4"/>
  <c r="X764" i="4"/>
  <c r="X48" i="4"/>
  <c r="X396" i="4"/>
  <c r="Y396" i="4"/>
  <c r="X412" i="4"/>
  <c r="Y412" i="4"/>
  <c r="X428" i="4"/>
  <c r="Y428" i="4"/>
  <c r="Y514" i="4"/>
  <c r="X514" i="4"/>
  <c r="X736" i="4"/>
  <c r="Y736" i="4"/>
  <c r="X752" i="4"/>
  <c r="Y752" i="4"/>
  <c r="Y761" i="4"/>
  <c r="X761" i="4"/>
  <c r="Y763" i="4"/>
  <c r="X763" i="4"/>
  <c r="Y765" i="4"/>
  <c r="X765" i="4"/>
  <c r="Y767" i="4"/>
  <c r="X767" i="4"/>
  <c r="X819" i="4"/>
  <c r="Y819" i="4"/>
  <c r="Y870" i="4"/>
  <c r="X870" i="4"/>
  <c r="X882" i="4"/>
  <c r="Y882" i="4"/>
  <c r="X890" i="4"/>
  <c r="Y890" i="4"/>
  <c r="X898" i="4"/>
  <c r="Y898" i="4"/>
  <c r="Y910" i="4"/>
  <c r="X910" i="4"/>
  <c r="Y926" i="4"/>
  <c r="X926" i="4"/>
  <c r="Y943" i="4"/>
  <c r="X943" i="4"/>
  <c r="Y951" i="4"/>
  <c r="X951" i="4"/>
  <c r="Y963" i="4"/>
  <c r="X963" i="4"/>
  <c r="X314" i="4"/>
  <c r="X436" i="4"/>
  <c r="Y436" i="4"/>
  <c r="Y762" i="4"/>
  <c r="X762" i="4"/>
  <c r="Y768" i="4"/>
  <c r="X768" i="4"/>
  <c r="Y778" i="4"/>
  <c r="X778" i="4"/>
  <c r="X886" i="4"/>
  <c r="Y886" i="4"/>
  <c r="X902" i="4"/>
  <c r="Y902" i="4"/>
  <c r="Y939" i="4"/>
  <c r="X939" i="4"/>
  <c r="Y959" i="4"/>
  <c r="X959" i="4"/>
  <c r="U2" i="4"/>
  <c r="V2" i="4" s="1"/>
  <c r="U4" i="4"/>
  <c r="V4" i="4" s="1"/>
  <c r="U6" i="4"/>
  <c r="V6" i="4" s="1"/>
  <c r="U10" i="4"/>
  <c r="V10" i="4" s="1"/>
  <c r="Y43" i="4"/>
  <c r="Y84" i="4"/>
  <c r="X84" i="4"/>
  <c r="Y92" i="4"/>
  <c r="X92" i="4"/>
  <c r="Y100" i="4"/>
  <c r="X100" i="4"/>
  <c r="Y108" i="4"/>
  <c r="X108" i="4"/>
  <c r="Y116" i="4"/>
  <c r="X116" i="4"/>
  <c r="Y124" i="4"/>
  <c r="X124" i="4"/>
  <c r="Y132" i="4"/>
  <c r="X132" i="4"/>
  <c r="Y221" i="4"/>
  <c r="X221" i="4"/>
  <c r="X574" i="4"/>
  <c r="Y574" i="4"/>
  <c r="Y586" i="4"/>
  <c r="X586" i="4"/>
  <c r="X715" i="4"/>
  <c r="Y715" i="4"/>
  <c r="X826" i="4"/>
  <c r="Y826" i="4"/>
  <c r="X834" i="4"/>
  <c r="Y834" i="4"/>
  <c r="X842" i="4"/>
  <c r="Y842" i="4"/>
  <c r="X850" i="4"/>
  <c r="Y850" i="4"/>
  <c r="Y935" i="4"/>
  <c r="X935" i="4"/>
  <c r="Y955" i="4"/>
  <c r="X955" i="4"/>
  <c r="Y967" i="4"/>
  <c r="X967" i="4"/>
  <c r="X80" i="4"/>
  <c r="X85" i="4"/>
  <c r="X89" i="4"/>
  <c r="X93" i="4"/>
  <c r="X97" i="4"/>
  <c r="X101" i="4"/>
  <c r="X105" i="4"/>
  <c r="X109" i="4"/>
  <c r="X113" i="4"/>
  <c r="X117" i="4"/>
  <c r="X121" i="4"/>
  <c r="X125" i="4"/>
  <c r="X129" i="4"/>
  <c r="X133" i="4"/>
  <c r="X139" i="4"/>
  <c r="X222" i="4"/>
  <c r="Y391" i="4"/>
  <c r="Y399" i="4"/>
  <c r="Y407" i="4"/>
  <c r="Y415" i="4"/>
  <c r="Y423" i="4"/>
  <c r="Y431" i="4"/>
  <c r="Y439" i="4"/>
  <c r="Y554" i="4"/>
  <c r="Y570" i="4"/>
  <c r="Y575" i="4"/>
  <c r="X583" i="4"/>
  <c r="X587" i="4"/>
  <c r="X591" i="4"/>
  <c r="Y716" i="4"/>
  <c r="Y724" i="4"/>
  <c r="Y731" i="4"/>
  <c r="Y739" i="4"/>
  <c r="Y747" i="4"/>
  <c r="Y755" i="4"/>
  <c r="Y814" i="4"/>
  <c r="Y823" i="4"/>
  <c r="Y827" i="4"/>
  <c r="Y831" i="4"/>
  <c r="Y835" i="4"/>
  <c r="Y839" i="4"/>
  <c r="Y843" i="4"/>
  <c r="Y847" i="4"/>
  <c r="Y851" i="4"/>
  <c r="X857" i="4"/>
  <c r="X868" i="4"/>
  <c r="Y875" i="4"/>
  <c r="Y879" i="4"/>
  <c r="Y883" i="4"/>
  <c r="Y887" i="4"/>
  <c r="Y891" i="4"/>
  <c r="Y895" i="4"/>
  <c r="Y899" i="4"/>
  <c r="Y903" i="4"/>
  <c r="X913" i="4"/>
  <c r="X921" i="4"/>
  <c r="X929" i="4"/>
  <c r="X932" i="4"/>
  <c r="X936" i="4"/>
  <c r="X952" i="4"/>
  <c r="X956" i="4"/>
  <c r="X964" i="4"/>
  <c r="X968" i="4"/>
  <c r="X972" i="4"/>
  <c r="X938" i="4"/>
  <c r="X942" i="4"/>
  <c r="X946" i="4"/>
  <c r="X950" i="4"/>
  <c r="X954" i="4"/>
  <c r="X958" i="4"/>
  <c r="X962" i="4"/>
  <c r="X966" i="4"/>
  <c r="Y974" i="4"/>
  <c r="Y9" i="4"/>
  <c r="Y42" i="4"/>
  <c r="Y141" i="4"/>
  <c r="X141" i="4"/>
  <c r="Y147" i="4"/>
  <c r="X147" i="4"/>
  <c r="Y153" i="4"/>
  <c r="X153" i="4"/>
  <c r="Y159" i="4"/>
  <c r="X159" i="4"/>
  <c r="Y167" i="4"/>
  <c r="X167" i="4"/>
  <c r="Y175" i="4"/>
  <c r="X175" i="4"/>
  <c r="Y181" i="4"/>
  <c r="X181" i="4"/>
  <c r="Y187" i="4"/>
  <c r="X187" i="4"/>
  <c r="Y193" i="4"/>
  <c r="X193" i="4"/>
  <c r="Y199" i="4"/>
  <c r="X199" i="4"/>
  <c r="Y205" i="4"/>
  <c r="X205" i="4"/>
  <c r="Y211" i="4"/>
  <c r="X211" i="4"/>
  <c r="Y217" i="4"/>
  <c r="X217" i="4"/>
  <c r="Y231" i="4"/>
  <c r="X231" i="4"/>
  <c r="Y237" i="4"/>
  <c r="X237" i="4"/>
  <c r="Y243" i="4"/>
  <c r="X243" i="4"/>
  <c r="Y249" i="4"/>
  <c r="X249" i="4"/>
  <c r="Y257" i="4"/>
  <c r="X257" i="4"/>
  <c r="Y263" i="4"/>
  <c r="X263" i="4"/>
  <c r="Y269" i="4"/>
  <c r="X269" i="4"/>
  <c r="Y275" i="4"/>
  <c r="X275" i="4"/>
  <c r="Y281" i="4"/>
  <c r="X281" i="4"/>
  <c r="Y287" i="4"/>
  <c r="X287" i="4"/>
  <c r="X519" i="4"/>
  <c r="Y519" i="4"/>
  <c r="Y4" i="4"/>
  <c r="U5" i="4"/>
  <c r="V5" i="4" s="1"/>
  <c r="Y10" i="4"/>
  <c r="U11" i="4"/>
  <c r="V11" i="4" s="1"/>
  <c r="Y14" i="4"/>
  <c r="Y20" i="4"/>
  <c r="U21" i="4"/>
  <c r="V21" i="4" s="1"/>
  <c r="N21" i="4" s="1"/>
  <c r="U41" i="4"/>
  <c r="V41" i="4" s="1"/>
  <c r="X52" i="4"/>
  <c r="Y316" i="4"/>
  <c r="X316" i="4"/>
  <c r="Y320" i="4"/>
  <c r="X320" i="4"/>
  <c r="Y143" i="4"/>
  <c r="X143" i="4"/>
  <c r="Y149" i="4"/>
  <c r="X149" i="4"/>
  <c r="Y155" i="4"/>
  <c r="X155" i="4"/>
  <c r="Y161" i="4"/>
  <c r="X161" i="4"/>
  <c r="Y165" i="4"/>
  <c r="X165" i="4"/>
  <c r="Y171" i="4"/>
  <c r="X171" i="4"/>
  <c r="Y177" i="4"/>
  <c r="X177" i="4"/>
  <c r="Y183" i="4"/>
  <c r="X183" i="4"/>
  <c r="Y189" i="4"/>
  <c r="X189" i="4"/>
  <c r="Y195" i="4"/>
  <c r="X195" i="4"/>
  <c r="Y201" i="4"/>
  <c r="X201" i="4"/>
  <c r="Y207" i="4"/>
  <c r="X207" i="4"/>
  <c r="Y213" i="4"/>
  <c r="X213" i="4"/>
  <c r="Y219" i="4"/>
  <c r="X219" i="4"/>
  <c r="Y229" i="4"/>
  <c r="X229" i="4"/>
  <c r="Y235" i="4"/>
  <c r="X235" i="4"/>
  <c r="Y241" i="4"/>
  <c r="X241" i="4"/>
  <c r="Y247" i="4"/>
  <c r="X247" i="4"/>
  <c r="Y253" i="4"/>
  <c r="X253" i="4"/>
  <c r="Y259" i="4"/>
  <c r="X259" i="4"/>
  <c r="Y265" i="4"/>
  <c r="X265" i="4"/>
  <c r="Y271" i="4"/>
  <c r="X271" i="4"/>
  <c r="Y277" i="4"/>
  <c r="X277" i="4"/>
  <c r="Y283" i="4"/>
  <c r="X283" i="4"/>
  <c r="Y291" i="4"/>
  <c r="X291" i="4"/>
  <c r="X556" i="4"/>
  <c r="Y556" i="4"/>
  <c r="X580" i="4"/>
  <c r="Y580" i="4"/>
  <c r="X721" i="4"/>
  <c r="Y721" i="4"/>
  <c r="Y5" i="4"/>
  <c r="Y16" i="4"/>
  <c r="Y21" i="4"/>
  <c r="X56" i="4"/>
  <c r="X72" i="4"/>
  <c r="X137" i="4"/>
  <c r="Y142" i="4"/>
  <c r="X142" i="4"/>
  <c r="Y144" i="4"/>
  <c r="X144" i="4"/>
  <c r="Y146" i="4"/>
  <c r="X146" i="4"/>
  <c r="Y148" i="4"/>
  <c r="X148" i="4"/>
  <c r="Y150" i="4"/>
  <c r="X150" i="4"/>
  <c r="Y152" i="4"/>
  <c r="X152" i="4"/>
  <c r="Y154" i="4"/>
  <c r="X154" i="4"/>
  <c r="Y156" i="4"/>
  <c r="X156" i="4"/>
  <c r="Y158" i="4"/>
  <c r="X158" i="4"/>
  <c r="Y160" i="4"/>
  <c r="X160" i="4"/>
  <c r="Y162" i="4"/>
  <c r="X162" i="4"/>
  <c r="Y164" i="4"/>
  <c r="X164" i="4"/>
  <c r="Y166" i="4"/>
  <c r="X166" i="4"/>
  <c r="Y168" i="4"/>
  <c r="X168" i="4"/>
  <c r="Y170" i="4"/>
  <c r="X170" i="4"/>
  <c r="Y172" i="4"/>
  <c r="X172" i="4"/>
  <c r="Y174" i="4"/>
  <c r="X174" i="4"/>
  <c r="Y176" i="4"/>
  <c r="X176" i="4"/>
  <c r="Y178" i="4"/>
  <c r="X178" i="4"/>
  <c r="Y180" i="4"/>
  <c r="X180" i="4"/>
  <c r="Y182" i="4"/>
  <c r="X182" i="4"/>
  <c r="Y184" i="4"/>
  <c r="X184" i="4"/>
  <c r="Y186" i="4"/>
  <c r="X186" i="4"/>
  <c r="Y188" i="4"/>
  <c r="X188" i="4"/>
  <c r="Y190" i="4"/>
  <c r="X190" i="4"/>
  <c r="Y192" i="4"/>
  <c r="X192" i="4"/>
  <c r="Y194" i="4"/>
  <c r="X194" i="4"/>
  <c r="Y196" i="4"/>
  <c r="X196" i="4"/>
  <c r="Y198" i="4"/>
  <c r="X198" i="4"/>
  <c r="Y200" i="4"/>
  <c r="X200" i="4"/>
  <c r="Y202" i="4"/>
  <c r="X202" i="4"/>
  <c r="Y204" i="4"/>
  <c r="X204" i="4"/>
  <c r="Y206" i="4"/>
  <c r="X206" i="4"/>
  <c r="Y208" i="4"/>
  <c r="X208" i="4"/>
  <c r="Y210" i="4"/>
  <c r="X210" i="4"/>
  <c r="Y212" i="4"/>
  <c r="X212" i="4"/>
  <c r="Y214" i="4"/>
  <c r="X214" i="4"/>
  <c r="Y216" i="4"/>
  <c r="X216" i="4"/>
  <c r="Y218" i="4"/>
  <c r="X218" i="4"/>
  <c r="Y220" i="4"/>
  <c r="X220" i="4"/>
  <c r="Y228" i="4"/>
  <c r="X228" i="4"/>
  <c r="Y230" i="4"/>
  <c r="X230" i="4"/>
  <c r="Y232" i="4"/>
  <c r="X232" i="4"/>
  <c r="Y234" i="4"/>
  <c r="X234" i="4"/>
  <c r="Y236" i="4"/>
  <c r="X236" i="4"/>
  <c r="Y238" i="4"/>
  <c r="X238" i="4"/>
  <c r="Y240" i="4"/>
  <c r="X240" i="4"/>
  <c r="Y242" i="4"/>
  <c r="X242" i="4"/>
  <c r="Y244" i="4"/>
  <c r="X244" i="4"/>
  <c r="Y246" i="4"/>
  <c r="X246" i="4"/>
  <c r="Y248" i="4"/>
  <c r="X248" i="4"/>
  <c r="Y250" i="4"/>
  <c r="X250" i="4"/>
  <c r="Y252" i="4"/>
  <c r="X252" i="4"/>
  <c r="Y254" i="4"/>
  <c r="X254" i="4"/>
  <c r="Y256" i="4"/>
  <c r="X256" i="4"/>
  <c r="Y258" i="4"/>
  <c r="X258" i="4"/>
  <c r="Y260" i="4"/>
  <c r="X260" i="4"/>
  <c r="Y262" i="4"/>
  <c r="X262" i="4"/>
  <c r="Y264" i="4"/>
  <c r="X264" i="4"/>
  <c r="Y266" i="4"/>
  <c r="X266" i="4"/>
  <c r="Y268" i="4"/>
  <c r="X268" i="4"/>
  <c r="Y270" i="4"/>
  <c r="X270" i="4"/>
  <c r="Y272" i="4"/>
  <c r="X272" i="4"/>
  <c r="Y274" i="4"/>
  <c r="X274" i="4"/>
  <c r="Y276" i="4"/>
  <c r="X276" i="4"/>
  <c r="Y278" i="4"/>
  <c r="X278" i="4"/>
  <c r="Y280" i="4"/>
  <c r="X280" i="4"/>
  <c r="Y282" i="4"/>
  <c r="X282" i="4"/>
  <c r="Y284" i="4"/>
  <c r="X284" i="4"/>
  <c r="Y286" i="4"/>
  <c r="X286" i="4"/>
  <c r="Y288" i="4"/>
  <c r="X288" i="4"/>
  <c r="Y290" i="4"/>
  <c r="X290" i="4"/>
  <c r="Y292" i="4"/>
  <c r="X292" i="4"/>
  <c r="Y18" i="4"/>
  <c r="Y145" i="4"/>
  <c r="X145" i="4"/>
  <c r="Y151" i="4"/>
  <c r="X151" i="4"/>
  <c r="Y157" i="4"/>
  <c r="X157" i="4"/>
  <c r="Y163" i="4"/>
  <c r="X163" i="4"/>
  <c r="Y169" i="4"/>
  <c r="X169" i="4"/>
  <c r="Y173" i="4"/>
  <c r="X173" i="4"/>
  <c r="Y179" i="4"/>
  <c r="X179" i="4"/>
  <c r="Y185" i="4"/>
  <c r="X185" i="4"/>
  <c r="Y191" i="4"/>
  <c r="X191" i="4"/>
  <c r="Y197" i="4"/>
  <c r="X197" i="4"/>
  <c r="Y203" i="4"/>
  <c r="X203" i="4"/>
  <c r="Y209" i="4"/>
  <c r="X209" i="4"/>
  <c r="Y215" i="4"/>
  <c r="X215" i="4"/>
  <c r="Y224" i="4"/>
  <c r="X224" i="4"/>
  <c r="Y233" i="4"/>
  <c r="X233" i="4"/>
  <c r="Y239" i="4"/>
  <c r="X239" i="4"/>
  <c r="Y245" i="4"/>
  <c r="X245" i="4"/>
  <c r="Y251" i="4"/>
  <c r="X251" i="4"/>
  <c r="Y255" i="4"/>
  <c r="X255" i="4"/>
  <c r="Y261" i="4"/>
  <c r="X261" i="4"/>
  <c r="Y267" i="4"/>
  <c r="X267" i="4"/>
  <c r="Y273" i="4"/>
  <c r="X273" i="4"/>
  <c r="Y279" i="4"/>
  <c r="X279" i="4"/>
  <c r="Y285" i="4"/>
  <c r="X285" i="4"/>
  <c r="Y289" i="4"/>
  <c r="X289" i="4"/>
  <c r="X572" i="4"/>
  <c r="Y572" i="4"/>
  <c r="X713" i="4"/>
  <c r="Y713" i="4"/>
  <c r="Y6" i="4"/>
  <c r="U7" i="4"/>
  <c r="V7" i="4" s="1"/>
  <c r="U13" i="4"/>
  <c r="V13" i="4" s="1"/>
  <c r="Y17" i="4"/>
  <c r="U18" i="4"/>
  <c r="V18" i="4" s="1"/>
  <c r="U42" i="4"/>
  <c r="V42" i="4" s="1"/>
  <c r="U43" i="4"/>
  <c r="V43" i="4" s="1"/>
  <c r="Y44" i="4"/>
  <c r="X60" i="4"/>
  <c r="X76" i="4"/>
  <c r="X136" i="4"/>
  <c r="X140" i="4"/>
  <c r="X315" i="4"/>
  <c r="Y317" i="4"/>
  <c r="X317" i="4"/>
  <c r="X307" i="4"/>
  <c r="Y308" i="4"/>
  <c r="X309" i="4"/>
  <c r="X390" i="4"/>
  <c r="Y390" i="4"/>
  <c r="X398" i="4"/>
  <c r="Y398" i="4"/>
  <c r="X406" i="4"/>
  <c r="Y406" i="4"/>
  <c r="X414" i="4"/>
  <c r="Y414" i="4"/>
  <c r="X422" i="4"/>
  <c r="Y422" i="4"/>
  <c r="X430" i="4"/>
  <c r="Y430" i="4"/>
  <c r="X438" i="4"/>
  <c r="Y438" i="4"/>
  <c r="X544" i="4"/>
  <c r="Y544" i="4"/>
  <c r="X560" i="4"/>
  <c r="Y560" i="4"/>
  <c r="X733" i="4"/>
  <c r="Y733" i="4"/>
  <c r="X741" i="4"/>
  <c r="Y741" i="4"/>
  <c r="X749" i="4"/>
  <c r="Y749" i="4"/>
  <c r="X757" i="4"/>
  <c r="Y757" i="4"/>
  <c r="Y786" i="4"/>
  <c r="X786" i="4"/>
  <c r="Y802" i="4"/>
  <c r="X802" i="4"/>
  <c r="Y804" i="4"/>
  <c r="X804" i="4"/>
  <c r="Y806" i="4"/>
  <c r="X806" i="4"/>
  <c r="X808" i="4"/>
  <c r="Y808" i="4"/>
  <c r="X816" i="4"/>
  <c r="Y816" i="4"/>
  <c r="Y907" i="4"/>
  <c r="X907" i="4"/>
  <c r="Y915" i="4"/>
  <c r="X915" i="4"/>
  <c r="Y923" i="4"/>
  <c r="X923" i="4"/>
  <c r="Y931" i="4"/>
  <c r="X931" i="4"/>
  <c r="X548" i="4"/>
  <c r="Y548" i="4"/>
  <c r="X564" i="4"/>
  <c r="Y564" i="4"/>
  <c r="X576" i="4"/>
  <c r="Y576" i="4"/>
  <c r="Y595" i="4"/>
  <c r="X595" i="4"/>
  <c r="Y683" i="4"/>
  <c r="X683" i="4"/>
  <c r="X717" i="4"/>
  <c r="Y717" i="4"/>
  <c r="X725" i="4"/>
  <c r="Y725" i="4"/>
  <c r="Y855" i="4"/>
  <c r="X855" i="4"/>
  <c r="X223" i="4"/>
  <c r="X227" i="4"/>
  <c r="X304" i="4"/>
  <c r="X394" i="4"/>
  <c r="Y394" i="4"/>
  <c r="X402" i="4"/>
  <c r="Y402" i="4"/>
  <c r="X410" i="4"/>
  <c r="Y410" i="4"/>
  <c r="X418" i="4"/>
  <c r="Y418" i="4"/>
  <c r="X426" i="4"/>
  <c r="Y426" i="4"/>
  <c r="X434" i="4"/>
  <c r="Y434" i="4"/>
  <c r="X442" i="4"/>
  <c r="Y442" i="4"/>
  <c r="X552" i="4"/>
  <c r="Y552" i="4"/>
  <c r="X568" i="4"/>
  <c r="Y568" i="4"/>
  <c r="Y599" i="4"/>
  <c r="X599" i="4"/>
  <c r="X729" i="4"/>
  <c r="Y729" i="4"/>
  <c r="X737" i="4"/>
  <c r="Y737" i="4"/>
  <c r="X745" i="4"/>
  <c r="Y745" i="4"/>
  <c r="X753" i="4"/>
  <c r="Y753" i="4"/>
  <c r="Y770" i="4"/>
  <c r="X770" i="4"/>
  <c r="Y801" i="4"/>
  <c r="X801" i="4"/>
  <c r="Y803" i="4"/>
  <c r="X803" i="4"/>
  <c r="Y805" i="4"/>
  <c r="X805" i="4"/>
  <c r="Y807" i="4"/>
  <c r="X807" i="4"/>
  <c r="X812" i="4"/>
  <c r="Y812" i="4"/>
  <c r="X820" i="4"/>
  <c r="Y820" i="4"/>
  <c r="Y866" i="4"/>
  <c r="X866" i="4"/>
  <c r="Y911" i="4"/>
  <c r="X911" i="4"/>
  <c r="Y919" i="4"/>
  <c r="X919" i="4"/>
  <c r="Y927" i="4"/>
  <c r="X927" i="4"/>
  <c r="X507" i="4"/>
  <c r="X510" i="4"/>
  <c r="Y545" i="4"/>
  <c r="Y549" i="4"/>
  <c r="Y553" i="4"/>
  <c r="Y557" i="4"/>
  <c r="Y561" i="4"/>
  <c r="Y565" i="4"/>
  <c r="Y569" i="4"/>
  <c r="Y573" i="4"/>
  <c r="Y577" i="4"/>
  <c r="Y581" i="4"/>
  <c r="X596" i="4"/>
  <c r="X600" i="4"/>
  <c r="X684" i="4"/>
  <c r="Y714" i="4"/>
  <c r="Y718" i="4"/>
  <c r="Y722" i="4"/>
  <c r="Y726" i="4"/>
  <c r="Y730" i="4"/>
  <c r="Y734" i="4"/>
  <c r="Y738" i="4"/>
  <c r="Y742" i="4"/>
  <c r="Y746" i="4"/>
  <c r="Y750" i="4"/>
  <c r="Y754" i="4"/>
  <c r="Y758" i="4"/>
  <c r="X774" i="4"/>
  <c r="X790" i="4"/>
  <c r="Y809" i="4"/>
  <c r="Y813" i="4"/>
  <c r="Y817" i="4"/>
  <c r="Y859" i="4"/>
  <c r="X862" i="4"/>
  <c r="X874" i="4"/>
  <c r="X908" i="4"/>
  <c r="X912" i="4"/>
  <c r="X916" i="4"/>
  <c r="X920" i="4"/>
  <c r="X924" i="4"/>
  <c r="X928" i="4"/>
  <c r="Y393" i="4"/>
  <c r="Y397" i="4"/>
  <c r="Y401" i="4"/>
  <c r="Y405" i="4"/>
  <c r="Y409" i="4"/>
  <c r="Y413" i="4"/>
  <c r="Y417" i="4"/>
  <c r="Y421" i="4"/>
  <c r="Y425" i="4"/>
  <c r="Y429" i="4"/>
  <c r="Y433" i="4"/>
  <c r="Y437" i="4"/>
  <c r="Y441" i="4"/>
  <c r="X515" i="4"/>
  <c r="X518" i="4"/>
  <c r="Y543" i="4"/>
  <c r="Y547" i="4"/>
  <c r="Y551" i="4"/>
  <c r="Y555" i="4"/>
  <c r="Y559" i="4"/>
  <c r="Y563" i="4"/>
  <c r="Y567" i="4"/>
  <c r="Y571" i="4"/>
  <c r="X594" i="4"/>
  <c r="X598" i="4"/>
  <c r="Y728" i="4"/>
  <c r="X854" i="4"/>
  <c r="X858" i="4"/>
  <c r="X864" i="4"/>
  <c r="X872" i="4"/>
  <c r="X904" i="4"/>
  <c r="U20" i="4"/>
  <c r="V20" i="4" s="1"/>
  <c r="U15" i="4"/>
  <c r="V15" i="4" s="1"/>
  <c r="U3" i="4"/>
  <c r="V3" i="4" s="1"/>
  <c r="U8" i="4"/>
  <c r="V8" i="4" s="1"/>
  <c r="U9" i="4"/>
  <c r="V9" i="4" s="1"/>
  <c r="U16" i="4"/>
  <c r="V16" i="4" s="1"/>
  <c r="U19" i="4"/>
  <c r="V19" i="4" s="1"/>
  <c r="U22" i="4"/>
  <c r="V22" i="4" s="1"/>
  <c r="U24" i="4"/>
  <c r="V24" i="4" s="1"/>
  <c r="U26" i="4"/>
  <c r="V26" i="4" s="1"/>
  <c r="U28" i="4"/>
  <c r="V28" i="4" s="1"/>
  <c r="U30" i="4"/>
  <c r="V30" i="4" s="1"/>
  <c r="U32" i="4"/>
  <c r="V32" i="4" s="1"/>
  <c r="U34" i="4"/>
  <c r="V34" i="4" s="1"/>
  <c r="U36" i="4"/>
  <c r="V36" i="4" s="1"/>
  <c r="U38" i="4"/>
  <c r="V38" i="4" s="1"/>
  <c r="U40" i="4"/>
  <c r="V40" i="4" s="1"/>
  <c r="X3" i="4"/>
  <c r="X8" i="4"/>
  <c r="Y47" i="4"/>
  <c r="Y51" i="4"/>
  <c r="Y55" i="4"/>
  <c r="Y59" i="4"/>
  <c r="Y63" i="4"/>
  <c r="Y67" i="4"/>
  <c r="Y71" i="4"/>
  <c r="Y75" i="4"/>
  <c r="Y79" i="4"/>
  <c r="Y83" i="4"/>
  <c r="X19" i="4"/>
  <c r="X2" i="4"/>
  <c r="X7" i="4"/>
  <c r="X11" i="4"/>
  <c r="X12" i="4"/>
  <c r="X13" i="4"/>
  <c r="Y15" i="4"/>
  <c r="X45" i="4"/>
  <c r="X49" i="4"/>
  <c r="X53" i="4"/>
  <c r="X57" i="4"/>
  <c r="X61" i="4"/>
  <c r="X65" i="4"/>
  <c r="X69" i="4"/>
  <c r="X73" i="4"/>
  <c r="X77" i="4"/>
  <c r="X81" i="4"/>
  <c r="X46" i="4"/>
  <c r="X50" i="4"/>
  <c r="X54" i="4"/>
  <c r="X58" i="4"/>
  <c r="X62" i="4"/>
  <c r="X66" i="4"/>
  <c r="X70" i="4"/>
  <c r="X74" i="4"/>
  <c r="X78" i="4"/>
  <c r="X82" i="4"/>
  <c r="Y293" i="4"/>
  <c r="Y295" i="4"/>
  <c r="Y297" i="4"/>
  <c r="Y299" i="4"/>
  <c r="Y301" i="4"/>
  <c r="X303" i="4"/>
  <c r="X319" i="4"/>
  <c r="Y305" i="4"/>
  <c r="X305" i="4"/>
  <c r="X310" i="4"/>
  <c r="Y321" i="4"/>
  <c r="X321" i="4"/>
  <c r="X293" i="4"/>
  <c r="X295" i="4"/>
  <c r="X297" i="4"/>
  <c r="X299" i="4"/>
  <c r="X301" i="4"/>
  <c r="Y303" i="4"/>
  <c r="Y319" i="4"/>
  <c r="X326" i="4"/>
  <c r="Y326" i="4"/>
  <c r="X330" i="4"/>
  <c r="Y330" i="4"/>
  <c r="X334" i="4"/>
  <c r="Y334" i="4"/>
  <c r="X338" i="4"/>
  <c r="Y338" i="4"/>
  <c r="X342" i="4"/>
  <c r="Y342" i="4"/>
  <c r="X346" i="4"/>
  <c r="X350" i="4"/>
  <c r="X354" i="4"/>
  <c r="X358" i="4"/>
  <c r="X362" i="4"/>
  <c r="X366" i="4"/>
  <c r="X370" i="4"/>
  <c r="X374" i="4"/>
  <c r="X378" i="4"/>
  <c r="X382" i="4"/>
  <c r="X386" i="4"/>
  <c r="Y307" i="4"/>
  <c r="Y314" i="4"/>
  <c r="X323" i="4"/>
  <c r="X327" i="4"/>
  <c r="X331" i="4"/>
  <c r="X335" i="4"/>
  <c r="X339" i="4"/>
  <c r="X343" i="4"/>
  <c r="X347" i="4"/>
  <c r="X351" i="4"/>
  <c r="X355" i="4"/>
  <c r="X359" i="4"/>
  <c r="X363" i="4"/>
  <c r="X367" i="4"/>
  <c r="X371" i="4"/>
  <c r="X375" i="4"/>
  <c r="X379" i="4"/>
  <c r="X383" i="4"/>
  <c r="X387" i="4"/>
  <c r="X294" i="4"/>
  <c r="X296" i="4"/>
  <c r="X298" i="4"/>
  <c r="X300" i="4"/>
  <c r="Y302" i="4"/>
  <c r="Y311" i="4"/>
  <c r="Y318" i="4"/>
  <c r="X324" i="4"/>
  <c r="X328" i="4"/>
  <c r="X332" i="4"/>
  <c r="X336" i="4"/>
  <c r="X340" i="4"/>
  <c r="X344" i="4"/>
  <c r="X348" i="4"/>
  <c r="X352" i="4"/>
  <c r="X356" i="4"/>
  <c r="X360" i="4"/>
  <c r="X364" i="4"/>
  <c r="X368" i="4"/>
  <c r="X372" i="4"/>
  <c r="X376" i="4"/>
  <c r="X380" i="4"/>
  <c r="X384" i="4"/>
  <c r="X388" i="4"/>
  <c r="Y306" i="4"/>
  <c r="X313" i="4"/>
  <c r="Y315" i="4"/>
  <c r="Y322" i="4"/>
  <c r="X325" i="4"/>
  <c r="X329" i="4"/>
  <c r="X333" i="4"/>
  <c r="X337" i="4"/>
  <c r="X341" i="4"/>
  <c r="X345" i="4"/>
  <c r="Y346" i="4"/>
  <c r="X349" i="4"/>
  <c r="Y350" i="4"/>
  <c r="X353" i="4"/>
  <c r="Y354" i="4"/>
  <c r="X357" i="4"/>
  <c r="Y358" i="4"/>
  <c r="X361" i="4"/>
  <c r="Y362" i="4"/>
  <c r="X365" i="4"/>
  <c r="Y366" i="4"/>
  <c r="X369" i="4"/>
  <c r="Y370" i="4"/>
  <c r="X373" i="4"/>
  <c r="Y374" i="4"/>
  <c r="X377" i="4"/>
  <c r="Y378" i="4"/>
  <c r="X381" i="4"/>
  <c r="Y382" i="4"/>
  <c r="X385" i="4"/>
  <c r="Y386" i="4"/>
  <c r="X389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X508" i="4"/>
  <c r="X512" i="4"/>
  <c r="X516" i="4"/>
  <c r="X520" i="4"/>
  <c r="X522" i="4"/>
  <c r="X524" i="4"/>
  <c r="X526" i="4"/>
  <c r="X528" i="4"/>
  <c r="X530" i="4"/>
  <c r="X532" i="4"/>
  <c r="X534" i="4"/>
  <c r="X536" i="4"/>
  <c r="X538" i="4"/>
  <c r="X540" i="4"/>
  <c r="X542" i="4"/>
  <c r="Y508" i="4"/>
  <c r="Y512" i="4"/>
  <c r="Y516" i="4"/>
  <c r="X506" i="4"/>
  <c r="Y509" i="4"/>
  <c r="Y513" i="4"/>
  <c r="Y517" i="4"/>
  <c r="X521" i="4"/>
  <c r="X523" i="4"/>
  <c r="X525" i="4"/>
  <c r="X527" i="4"/>
  <c r="X529" i="4"/>
  <c r="X531" i="4"/>
  <c r="X533" i="4"/>
  <c r="X535" i="4"/>
  <c r="X537" i="4"/>
  <c r="X539" i="4"/>
  <c r="X541" i="4"/>
  <c r="Y521" i="4"/>
  <c r="Y523" i="4"/>
  <c r="Y525" i="4"/>
  <c r="Y527" i="4"/>
  <c r="Y529" i="4"/>
  <c r="Y531" i="4"/>
  <c r="Y533" i="4"/>
  <c r="Y535" i="4"/>
  <c r="Y537" i="4"/>
  <c r="Y539" i="4"/>
  <c r="Y541" i="4"/>
  <c r="X602" i="4"/>
  <c r="X606" i="4"/>
  <c r="X610" i="4"/>
  <c r="X614" i="4"/>
  <c r="X618" i="4"/>
  <c r="X622" i="4"/>
  <c r="X626" i="4"/>
  <c r="X630" i="4"/>
  <c r="X632" i="4"/>
  <c r="X634" i="4"/>
  <c r="X636" i="4"/>
  <c r="X638" i="4"/>
  <c r="X640" i="4"/>
  <c r="X642" i="4"/>
  <c r="X644" i="4"/>
  <c r="Y646" i="4"/>
  <c r="X646" i="4"/>
  <c r="X603" i="4"/>
  <c r="X607" i="4"/>
  <c r="X611" i="4"/>
  <c r="X615" i="4"/>
  <c r="X619" i="4"/>
  <c r="X623" i="4"/>
  <c r="X627" i="4"/>
  <c r="Y647" i="4"/>
  <c r="X647" i="4"/>
  <c r="Y648" i="4"/>
  <c r="X648" i="4"/>
  <c r="Y649" i="4"/>
  <c r="X649" i="4"/>
  <c r="Y650" i="4"/>
  <c r="X650" i="4"/>
  <c r="Y601" i="4"/>
  <c r="X604" i="4"/>
  <c r="X608" i="4"/>
  <c r="X612" i="4"/>
  <c r="X616" i="4"/>
  <c r="X620" i="4"/>
  <c r="X624" i="4"/>
  <c r="X628" i="4"/>
  <c r="X631" i="4"/>
  <c r="X633" i="4"/>
  <c r="X635" i="4"/>
  <c r="X637" i="4"/>
  <c r="X639" i="4"/>
  <c r="X641" i="4"/>
  <c r="X643" i="4"/>
  <c r="X645" i="4"/>
  <c r="X605" i="4"/>
  <c r="X609" i="4"/>
  <c r="X613" i="4"/>
  <c r="X617" i="4"/>
  <c r="X621" i="4"/>
  <c r="X625" i="4"/>
  <c r="X629" i="4"/>
  <c r="X680" i="4"/>
  <c r="X691" i="4"/>
  <c r="Y691" i="4"/>
  <c r="X699" i="4"/>
  <c r="Y699" i="4"/>
  <c r="X692" i="4"/>
  <c r="X700" i="4"/>
  <c r="Y700" i="4"/>
  <c r="X651" i="4"/>
  <c r="X652" i="4"/>
  <c r="X653" i="4"/>
  <c r="X654" i="4"/>
  <c r="X655" i="4"/>
  <c r="X656" i="4"/>
  <c r="X657" i="4"/>
  <c r="X658" i="4"/>
  <c r="X659" i="4"/>
  <c r="X660" i="4"/>
  <c r="X661" i="4"/>
  <c r="X662" i="4"/>
  <c r="X663" i="4"/>
  <c r="X664" i="4"/>
  <c r="X665" i="4"/>
  <c r="X666" i="4"/>
  <c r="X667" i="4"/>
  <c r="X668" i="4"/>
  <c r="X669" i="4"/>
  <c r="X670" i="4"/>
  <c r="X671" i="4"/>
  <c r="X672" i="4"/>
  <c r="X673" i="4"/>
  <c r="X674" i="4"/>
  <c r="X675" i="4"/>
  <c r="X676" i="4"/>
  <c r="X677" i="4"/>
  <c r="X678" i="4"/>
  <c r="X679" i="4"/>
  <c r="X682" i="4"/>
  <c r="X687" i="4"/>
  <c r="Y687" i="4"/>
  <c r="X695" i="4"/>
  <c r="Y695" i="4"/>
  <c r="X681" i="4"/>
  <c r="Y685" i="4"/>
  <c r="X688" i="4"/>
  <c r="X696" i="4"/>
  <c r="X704" i="4"/>
  <c r="X708" i="4"/>
  <c r="X712" i="4"/>
  <c r="X689" i="4"/>
  <c r="X693" i="4"/>
  <c r="X697" i="4"/>
  <c r="X701" i="4"/>
  <c r="X705" i="4"/>
  <c r="X709" i="4"/>
  <c r="X686" i="4"/>
  <c r="X690" i="4"/>
  <c r="X694" i="4"/>
  <c r="X698" i="4"/>
  <c r="X702" i="4"/>
  <c r="X706" i="4"/>
  <c r="X710" i="4"/>
  <c r="X703" i="4"/>
  <c r="Y704" i="4"/>
  <c r="X707" i="4"/>
  <c r="Y708" i="4"/>
  <c r="X711" i="4"/>
  <c r="Y712" i="4"/>
  <c r="X772" i="4"/>
  <c r="X776" i="4"/>
  <c r="X780" i="4"/>
  <c r="X784" i="4"/>
  <c r="X788" i="4"/>
  <c r="X792" i="4"/>
  <c r="X796" i="4"/>
  <c r="Y800" i="4"/>
  <c r="X800" i="4"/>
  <c r="Y769" i="4"/>
  <c r="Y773" i="4"/>
  <c r="Y777" i="4"/>
  <c r="Y781" i="4"/>
  <c r="Y785" i="4"/>
  <c r="Y789" i="4"/>
  <c r="Y793" i="4"/>
  <c r="Y797" i="4"/>
  <c r="X771" i="4"/>
  <c r="X775" i="4"/>
  <c r="X779" i="4"/>
  <c r="X783" i="4"/>
  <c r="X787" i="4"/>
  <c r="X791" i="4"/>
  <c r="X795" i="4"/>
  <c r="X799" i="4"/>
  <c r="X863" i="4"/>
  <c r="X867" i="4"/>
  <c r="X871" i="4"/>
  <c r="X861" i="4"/>
  <c r="X865" i="4"/>
  <c r="X869" i="4"/>
  <c r="X873" i="4"/>
  <c r="Y861" i="4"/>
  <c r="Y865" i="4"/>
  <c r="Y869" i="4"/>
  <c r="Y873" i="4"/>
  <c r="X905" i="4"/>
  <c r="Y905" i="4"/>
  <c r="X976" i="4"/>
  <c r="X978" i="4"/>
  <c r="X980" i="4"/>
  <c r="X982" i="4"/>
  <c r="X984" i="4"/>
  <c r="X986" i="4"/>
  <c r="X988" i="4"/>
  <c r="X990" i="4"/>
  <c r="X992" i="4"/>
  <c r="X994" i="4"/>
  <c r="X996" i="4"/>
  <c r="X998" i="4"/>
  <c r="X1000" i="4"/>
  <c r="X975" i="4"/>
  <c r="X977" i="4"/>
  <c r="X979" i="4"/>
  <c r="X981" i="4"/>
  <c r="X983" i="4"/>
  <c r="X985" i="4"/>
  <c r="X987" i="4"/>
  <c r="X989" i="4"/>
  <c r="X991" i="4"/>
  <c r="X993" i="4"/>
  <c r="X995" i="4"/>
  <c r="X997" i="4"/>
  <c r="X999" i="4"/>
  <c r="X1001" i="4"/>
  <c r="X1002" i="4"/>
  <c r="T1002" i="3"/>
  <c r="M1002" i="3"/>
  <c r="T1001" i="3"/>
  <c r="M1001" i="3"/>
  <c r="T1000" i="3"/>
  <c r="M1000" i="3"/>
  <c r="T999" i="3"/>
  <c r="M999" i="3"/>
  <c r="T998" i="3"/>
  <c r="M998" i="3"/>
  <c r="T997" i="3"/>
  <c r="M997" i="3"/>
  <c r="T996" i="3"/>
  <c r="M996" i="3"/>
  <c r="T995" i="3"/>
  <c r="M995" i="3"/>
  <c r="T994" i="3"/>
  <c r="M994" i="3"/>
  <c r="T993" i="3"/>
  <c r="M993" i="3"/>
  <c r="T992" i="3"/>
  <c r="M992" i="3"/>
  <c r="T991" i="3"/>
  <c r="M991" i="3"/>
  <c r="T990" i="3"/>
  <c r="M990" i="3"/>
  <c r="T989" i="3"/>
  <c r="M989" i="3"/>
  <c r="T988" i="3"/>
  <c r="M988" i="3"/>
  <c r="T987" i="3"/>
  <c r="M987" i="3"/>
  <c r="T986" i="3"/>
  <c r="M986" i="3"/>
  <c r="T985" i="3"/>
  <c r="M985" i="3"/>
  <c r="T984" i="3"/>
  <c r="M984" i="3"/>
  <c r="T983" i="3"/>
  <c r="M983" i="3"/>
  <c r="T982" i="3"/>
  <c r="M982" i="3"/>
  <c r="T981" i="3"/>
  <c r="M981" i="3"/>
  <c r="T980" i="3"/>
  <c r="M980" i="3"/>
  <c r="T979" i="3"/>
  <c r="M979" i="3"/>
  <c r="T978" i="3"/>
  <c r="M978" i="3"/>
  <c r="T977" i="3"/>
  <c r="M977" i="3"/>
  <c r="T976" i="3"/>
  <c r="M976" i="3"/>
  <c r="T975" i="3"/>
  <c r="M975" i="3"/>
  <c r="T974" i="3"/>
  <c r="M974" i="3"/>
  <c r="T973" i="3"/>
  <c r="M973" i="3"/>
  <c r="T972" i="3"/>
  <c r="M972" i="3"/>
  <c r="T971" i="3"/>
  <c r="M971" i="3"/>
  <c r="T970" i="3"/>
  <c r="M970" i="3"/>
  <c r="T969" i="3"/>
  <c r="M969" i="3"/>
  <c r="T968" i="3"/>
  <c r="M968" i="3"/>
  <c r="T967" i="3"/>
  <c r="M967" i="3"/>
  <c r="T966" i="3"/>
  <c r="M966" i="3"/>
  <c r="T965" i="3"/>
  <c r="M965" i="3"/>
  <c r="T964" i="3"/>
  <c r="M964" i="3"/>
  <c r="T963" i="3"/>
  <c r="M963" i="3"/>
  <c r="T962" i="3"/>
  <c r="M962" i="3"/>
  <c r="T961" i="3"/>
  <c r="M961" i="3"/>
  <c r="T960" i="3"/>
  <c r="M960" i="3"/>
  <c r="T959" i="3"/>
  <c r="M959" i="3"/>
  <c r="T958" i="3"/>
  <c r="M958" i="3"/>
  <c r="T957" i="3"/>
  <c r="M957" i="3"/>
  <c r="T956" i="3"/>
  <c r="M956" i="3"/>
  <c r="T955" i="3"/>
  <c r="M955" i="3"/>
  <c r="T954" i="3"/>
  <c r="M954" i="3"/>
  <c r="T953" i="3"/>
  <c r="M953" i="3"/>
  <c r="T952" i="3"/>
  <c r="M952" i="3"/>
  <c r="T951" i="3"/>
  <c r="M951" i="3"/>
  <c r="T950" i="3"/>
  <c r="M950" i="3"/>
  <c r="T949" i="3"/>
  <c r="M949" i="3"/>
  <c r="T948" i="3"/>
  <c r="M948" i="3"/>
  <c r="T947" i="3"/>
  <c r="M947" i="3"/>
  <c r="T946" i="3"/>
  <c r="M946" i="3"/>
  <c r="T945" i="3"/>
  <c r="M945" i="3"/>
  <c r="T944" i="3"/>
  <c r="M944" i="3"/>
  <c r="T943" i="3"/>
  <c r="M943" i="3"/>
  <c r="T942" i="3"/>
  <c r="M942" i="3"/>
  <c r="T941" i="3"/>
  <c r="M941" i="3"/>
  <c r="T940" i="3"/>
  <c r="M940" i="3"/>
  <c r="T939" i="3"/>
  <c r="M939" i="3"/>
  <c r="T938" i="3"/>
  <c r="M938" i="3"/>
  <c r="T937" i="3"/>
  <c r="M937" i="3"/>
  <c r="T936" i="3"/>
  <c r="M936" i="3"/>
  <c r="T935" i="3"/>
  <c r="M935" i="3"/>
  <c r="T934" i="3"/>
  <c r="M934" i="3"/>
  <c r="T933" i="3"/>
  <c r="M933" i="3"/>
  <c r="T932" i="3"/>
  <c r="M932" i="3"/>
  <c r="T931" i="3"/>
  <c r="M931" i="3"/>
  <c r="T930" i="3"/>
  <c r="M930" i="3"/>
  <c r="T929" i="3"/>
  <c r="M929" i="3"/>
  <c r="T928" i="3"/>
  <c r="M928" i="3"/>
  <c r="T927" i="3"/>
  <c r="M927" i="3"/>
  <c r="T926" i="3"/>
  <c r="M926" i="3"/>
  <c r="T925" i="3"/>
  <c r="M925" i="3"/>
  <c r="T924" i="3"/>
  <c r="M924" i="3"/>
  <c r="T923" i="3"/>
  <c r="M923" i="3"/>
  <c r="T922" i="3"/>
  <c r="M922" i="3"/>
  <c r="T921" i="3"/>
  <c r="M921" i="3"/>
  <c r="T920" i="3"/>
  <c r="M920" i="3"/>
  <c r="T919" i="3"/>
  <c r="M919" i="3"/>
  <c r="T918" i="3"/>
  <c r="M918" i="3"/>
  <c r="T917" i="3"/>
  <c r="M917" i="3"/>
  <c r="T916" i="3"/>
  <c r="M916" i="3"/>
  <c r="T915" i="3"/>
  <c r="M915" i="3"/>
  <c r="T914" i="3"/>
  <c r="M914" i="3"/>
  <c r="T913" i="3"/>
  <c r="M913" i="3"/>
  <c r="T912" i="3"/>
  <c r="M912" i="3"/>
  <c r="T911" i="3"/>
  <c r="M911" i="3"/>
  <c r="T910" i="3"/>
  <c r="M910" i="3"/>
  <c r="T909" i="3"/>
  <c r="M909" i="3"/>
  <c r="T908" i="3"/>
  <c r="M908" i="3"/>
  <c r="T907" i="3"/>
  <c r="M907" i="3"/>
  <c r="T906" i="3"/>
  <c r="M906" i="3"/>
  <c r="T905" i="3"/>
  <c r="M905" i="3"/>
  <c r="T904" i="3"/>
  <c r="M904" i="3"/>
  <c r="T903" i="3"/>
  <c r="M903" i="3"/>
  <c r="T902" i="3"/>
  <c r="M902" i="3"/>
  <c r="T901" i="3"/>
  <c r="M901" i="3"/>
  <c r="T900" i="3"/>
  <c r="M900" i="3"/>
  <c r="T899" i="3"/>
  <c r="M899" i="3"/>
  <c r="T898" i="3"/>
  <c r="M898" i="3"/>
  <c r="T897" i="3"/>
  <c r="M897" i="3"/>
  <c r="T896" i="3"/>
  <c r="M896" i="3"/>
  <c r="T895" i="3"/>
  <c r="M895" i="3"/>
  <c r="T894" i="3"/>
  <c r="M894" i="3"/>
  <c r="T893" i="3"/>
  <c r="M893" i="3"/>
  <c r="T892" i="3"/>
  <c r="M892" i="3"/>
  <c r="T891" i="3"/>
  <c r="M891" i="3"/>
  <c r="T890" i="3"/>
  <c r="M890" i="3"/>
  <c r="T889" i="3"/>
  <c r="M889" i="3"/>
  <c r="T888" i="3"/>
  <c r="M888" i="3"/>
  <c r="T887" i="3"/>
  <c r="M887" i="3"/>
  <c r="T886" i="3"/>
  <c r="M886" i="3"/>
  <c r="T885" i="3"/>
  <c r="M885" i="3"/>
  <c r="T884" i="3"/>
  <c r="M884" i="3"/>
  <c r="T883" i="3"/>
  <c r="M883" i="3"/>
  <c r="T882" i="3"/>
  <c r="M882" i="3"/>
  <c r="T881" i="3"/>
  <c r="M881" i="3"/>
  <c r="T880" i="3"/>
  <c r="M880" i="3"/>
  <c r="T879" i="3"/>
  <c r="M879" i="3"/>
  <c r="T878" i="3"/>
  <c r="M878" i="3"/>
  <c r="T877" i="3"/>
  <c r="M877" i="3"/>
  <c r="T876" i="3"/>
  <c r="M876" i="3"/>
  <c r="T875" i="3"/>
  <c r="M875" i="3"/>
  <c r="T874" i="3"/>
  <c r="M874" i="3"/>
  <c r="T873" i="3"/>
  <c r="M873" i="3"/>
  <c r="T872" i="3"/>
  <c r="M872" i="3"/>
  <c r="T871" i="3"/>
  <c r="M871" i="3"/>
  <c r="T870" i="3"/>
  <c r="M870" i="3"/>
  <c r="T869" i="3"/>
  <c r="M869" i="3"/>
  <c r="T868" i="3"/>
  <c r="M868" i="3"/>
  <c r="T867" i="3"/>
  <c r="M867" i="3"/>
  <c r="T866" i="3"/>
  <c r="M866" i="3"/>
  <c r="T865" i="3"/>
  <c r="M865" i="3"/>
  <c r="T864" i="3"/>
  <c r="M864" i="3"/>
  <c r="T863" i="3"/>
  <c r="M863" i="3"/>
  <c r="T862" i="3"/>
  <c r="M862" i="3"/>
  <c r="T861" i="3"/>
  <c r="M861" i="3"/>
  <c r="T860" i="3"/>
  <c r="M860" i="3"/>
  <c r="T859" i="3"/>
  <c r="M859" i="3"/>
  <c r="T858" i="3"/>
  <c r="M858" i="3"/>
  <c r="T857" i="3"/>
  <c r="M857" i="3"/>
  <c r="T856" i="3"/>
  <c r="M856" i="3"/>
  <c r="T855" i="3"/>
  <c r="M855" i="3"/>
  <c r="T854" i="3"/>
  <c r="M854" i="3"/>
  <c r="T853" i="3"/>
  <c r="M853" i="3"/>
  <c r="T852" i="3"/>
  <c r="M852" i="3"/>
  <c r="T851" i="3"/>
  <c r="M851" i="3"/>
  <c r="T850" i="3"/>
  <c r="M850" i="3"/>
  <c r="T849" i="3"/>
  <c r="M849" i="3"/>
  <c r="T848" i="3"/>
  <c r="M848" i="3"/>
  <c r="T847" i="3"/>
  <c r="M847" i="3"/>
  <c r="T846" i="3"/>
  <c r="M846" i="3"/>
  <c r="T845" i="3"/>
  <c r="M845" i="3"/>
  <c r="T844" i="3"/>
  <c r="M844" i="3"/>
  <c r="T843" i="3"/>
  <c r="M843" i="3"/>
  <c r="T842" i="3"/>
  <c r="M842" i="3"/>
  <c r="T841" i="3"/>
  <c r="M841" i="3"/>
  <c r="T840" i="3"/>
  <c r="M840" i="3"/>
  <c r="T839" i="3"/>
  <c r="M839" i="3"/>
  <c r="T838" i="3"/>
  <c r="M838" i="3"/>
  <c r="T837" i="3"/>
  <c r="M837" i="3"/>
  <c r="T836" i="3"/>
  <c r="M836" i="3"/>
  <c r="T835" i="3"/>
  <c r="M835" i="3"/>
  <c r="T834" i="3"/>
  <c r="M834" i="3"/>
  <c r="T833" i="3"/>
  <c r="M833" i="3"/>
  <c r="T832" i="3"/>
  <c r="M832" i="3"/>
  <c r="T831" i="3"/>
  <c r="M831" i="3"/>
  <c r="T830" i="3"/>
  <c r="M830" i="3"/>
  <c r="T829" i="3"/>
  <c r="M829" i="3"/>
  <c r="T828" i="3"/>
  <c r="M828" i="3"/>
  <c r="T827" i="3"/>
  <c r="M827" i="3"/>
  <c r="T826" i="3"/>
  <c r="M826" i="3"/>
  <c r="T825" i="3"/>
  <c r="M825" i="3"/>
  <c r="T824" i="3"/>
  <c r="M824" i="3"/>
  <c r="T823" i="3"/>
  <c r="M823" i="3"/>
  <c r="T822" i="3"/>
  <c r="M822" i="3"/>
  <c r="T821" i="3"/>
  <c r="M821" i="3"/>
  <c r="T820" i="3"/>
  <c r="M820" i="3"/>
  <c r="T819" i="3"/>
  <c r="M819" i="3"/>
  <c r="T818" i="3"/>
  <c r="M818" i="3"/>
  <c r="T817" i="3"/>
  <c r="M817" i="3"/>
  <c r="T816" i="3"/>
  <c r="M816" i="3"/>
  <c r="T815" i="3"/>
  <c r="M815" i="3"/>
  <c r="T814" i="3"/>
  <c r="M814" i="3"/>
  <c r="T813" i="3"/>
  <c r="M813" i="3"/>
  <c r="T812" i="3"/>
  <c r="M812" i="3"/>
  <c r="T811" i="3"/>
  <c r="M811" i="3"/>
  <c r="T810" i="3"/>
  <c r="M810" i="3"/>
  <c r="T809" i="3"/>
  <c r="M809" i="3"/>
  <c r="T808" i="3"/>
  <c r="M808" i="3"/>
  <c r="T807" i="3"/>
  <c r="M807" i="3"/>
  <c r="T806" i="3"/>
  <c r="M806" i="3"/>
  <c r="T805" i="3"/>
  <c r="M805" i="3"/>
  <c r="T804" i="3"/>
  <c r="M804" i="3"/>
  <c r="T803" i="3"/>
  <c r="M803" i="3"/>
  <c r="T802" i="3"/>
  <c r="M802" i="3"/>
  <c r="T801" i="3"/>
  <c r="M801" i="3"/>
  <c r="T800" i="3"/>
  <c r="M800" i="3"/>
  <c r="T799" i="3"/>
  <c r="M799" i="3"/>
  <c r="T798" i="3"/>
  <c r="M798" i="3"/>
  <c r="T797" i="3"/>
  <c r="M797" i="3"/>
  <c r="T796" i="3"/>
  <c r="M796" i="3"/>
  <c r="T795" i="3"/>
  <c r="M795" i="3"/>
  <c r="T794" i="3"/>
  <c r="M794" i="3"/>
  <c r="T793" i="3"/>
  <c r="M793" i="3"/>
  <c r="T792" i="3"/>
  <c r="M792" i="3"/>
  <c r="T791" i="3"/>
  <c r="M791" i="3"/>
  <c r="T790" i="3"/>
  <c r="M790" i="3"/>
  <c r="T789" i="3"/>
  <c r="M789" i="3"/>
  <c r="T788" i="3"/>
  <c r="M788" i="3"/>
  <c r="T787" i="3"/>
  <c r="M787" i="3"/>
  <c r="T786" i="3"/>
  <c r="M786" i="3"/>
  <c r="T785" i="3"/>
  <c r="M785" i="3"/>
  <c r="T784" i="3"/>
  <c r="M784" i="3"/>
  <c r="T783" i="3"/>
  <c r="M783" i="3"/>
  <c r="T782" i="3"/>
  <c r="M782" i="3"/>
  <c r="T781" i="3"/>
  <c r="M781" i="3"/>
  <c r="T780" i="3"/>
  <c r="M780" i="3"/>
  <c r="T779" i="3"/>
  <c r="M779" i="3"/>
  <c r="T778" i="3"/>
  <c r="M778" i="3"/>
  <c r="T777" i="3"/>
  <c r="M777" i="3"/>
  <c r="T776" i="3"/>
  <c r="M776" i="3"/>
  <c r="T775" i="3"/>
  <c r="M775" i="3"/>
  <c r="T774" i="3"/>
  <c r="M774" i="3"/>
  <c r="T773" i="3"/>
  <c r="M773" i="3"/>
  <c r="T772" i="3"/>
  <c r="M772" i="3"/>
  <c r="T771" i="3"/>
  <c r="M771" i="3"/>
  <c r="T770" i="3"/>
  <c r="M770" i="3"/>
  <c r="T769" i="3"/>
  <c r="M769" i="3"/>
  <c r="T768" i="3"/>
  <c r="M768" i="3"/>
  <c r="T767" i="3"/>
  <c r="M767" i="3"/>
  <c r="T766" i="3"/>
  <c r="M766" i="3"/>
  <c r="T765" i="3"/>
  <c r="M765" i="3"/>
  <c r="T764" i="3"/>
  <c r="M764" i="3"/>
  <c r="T763" i="3"/>
  <c r="M763" i="3"/>
  <c r="T762" i="3"/>
  <c r="M762" i="3"/>
  <c r="T761" i="3"/>
  <c r="M761" i="3"/>
  <c r="T760" i="3"/>
  <c r="M760" i="3"/>
  <c r="T759" i="3"/>
  <c r="M759" i="3"/>
  <c r="T758" i="3"/>
  <c r="M758" i="3"/>
  <c r="T757" i="3"/>
  <c r="M757" i="3"/>
  <c r="T756" i="3"/>
  <c r="M756" i="3"/>
  <c r="T755" i="3"/>
  <c r="M755" i="3"/>
  <c r="T754" i="3"/>
  <c r="M754" i="3"/>
  <c r="T753" i="3"/>
  <c r="M753" i="3"/>
  <c r="T752" i="3"/>
  <c r="M752" i="3"/>
  <c r="T751" i="3"/>
  <c r="M751" i="3"/>
  <c r="T750" i="3"/>
  <c r="M750" i="3"/>
  <c r="T749" i="3"/>
  <c r="M749" i="3"/>
  <c r="T748" i="3"/>
  <c r="M748" i="3"/>
  <c r="T747" i="3"/>
  <c r="M747" i="3"/>
  <c r="T746" i="3"/>
  <c r="M746" i="3"/>
  <c r="T745" i="3"/>
  <c r="M745" i="3"/>
  <c r="T744" i="3"/>
  <c r="M744" i="3"/>
  <c r="T743" i="3"/>
  <c r="M743" i="3"/>
  <c r="T742" i="3"/>
  <c r="M742" i="3"/>
  <c r="T741" i="3"/>
  <c r="M741" i="3"/>
  <c r="T740" i="3"/>
  <c r="M740" i="3"/>
  <c r="T739" i="3"/>
  <c r="M739" i="3"/>
  <c r="T738" i="3"/>
  <c r="M738" i="3"/>
  <c r="T737" i="3"/>
  <c r="M737" i="3"/>
  <c r="T736" i="3"/>
  <c r="M736" i="3"/>
  <c r="T735" i="3"/>
  <c r="M735" i="3"/>
  <c r="T734" i="3"/>
  <c r="M734" i="3"/>
  <c r="T733" i="3"/>
  <c r="M733" i="3"/>
  <c r="T732" i="3"/>
  <c r="M732" i="3"/>
  <c r="T731" i="3"/>
  <c r="M731" i="3"/>
  <c r="T730" i="3"/>
  <c r="M730" i="3"/>
  <c r="T729" i="3"/>
  <c r="M729" i="3"/>
  <c r="T728" i="3"/>
  <c r="M728" i="3"/>
  <c r="T727" i="3"/>
  <c r="M727" i="3"/>
  <c r="T726" i="3"/>
  <c r="M726" i="3"/>
  <c r="T725" i="3"/>
  <c r="M725" i="3"/>
  <c r="T724" i="3"/>
  <c r="M724" i="3"/>
  <c r="T723" i="3"/>
  <c r="M723" i="3"/>
  <c r="T722" i="3"/>
  <c r="M722" i="3"/>
  <c r="T721" i="3"/>
  <c r="M721" i="3"/>
  <c r="T720" i="3"/>
  <c r="M720" i="3"/>
  <c r="T719" i="3"/>
  <c r="M719" i="3"/>
  <c r="T718" i="3"/>
  <c r="M718" i="3"/>
  <c r="T717" i="3"/>
  <c r="M717" i="3"/>
  <c r="T716" i="3"/>
  <c r="M716" i="3"/>
  <c r="T715" i="3"/>
  <c r="M715" i="3"/>
  <c r="T714" i="3"/>
  <c r="M714" i="3"/>
  <c r="T713" i="3"/>
  <c r="M713" i="3"/>
  <c r="T712" i="3"/>
  <c r="M712" i="3"/>
  <c r="T711" i="3"/>
  <c r="M711" i="3"/>
  <c r="T710" i="3"/>
  <c r="M710" i="3"/>
  <c r="T709" i="3"/>
  <c r="M709" i="3"/>
  <c r="T708" i="3"/>
  <c r="M708" i="3"/>
  <c r="T707" i="3"/>
  <c r="M707" i="3"/>
  <c r="T706" i="3"/>
  <c r="M706" i="3"/>
  <c r="T705" i="3"/>
  <c r="M705" i="3"/>
  <c r="T704" i="3"/>
  <c r="M704" i="3"/>
  <c r="T703" i="3"/>
  <c r="M703" i="3"/>
  <c r="T702" i="3"/>
  <c r="M702" i="3"/>
  <c r="T701" i="3"/>
  <c r="M701" i="3"/>
  <c r="T700" i="3"/>
  <c r="M700" i="3"/>
  <c r="T699" i="3"/>
  <c r="M699" i="3"/>
  <c r="T698" i="3"/>
  <c r="M698" i="3"/>
  <c r="T697" i="3"/>
  <c r="M697" i="3"/>
  <c r="T696" i="3"/>
  <c r="M696" i="3"/>
  <c r="T695" i="3"/>
  <c r="M695" i="3"/>
  <c r="T694" i="3"/>
  <c r="M694" i="3"/>
  <c r="T693" i="3"/>
  <c r="M693" i="3"/>
  <c r="T692" i="3"/>
  <c r="M692" i="3"/>
  <c r="T691" i="3"/>
  <c r="M691" i="3"/>
  <c r="T690" i="3"/>
  <c r="M690" i="3"/>
  <c r="T689" i="3"/>
  <c r="M689" i="3"/>
  <c r="T688" i="3"/>
  <c r="M688" i="3"/>
  <c r="T687" i="3"/>
  <c r="M687" i="3"/>
  <c r="T686" i="3"/>
  <c r="M686" i="3"/>
  <c r="T685" i="3"/>
  <c r="M685" i="3"/>
  <c r="T684" i="3"/>
  <c r="M684" i="3"/>
  <c r="T683" i="3"/>
  <c r="M683" i="3"/>
  <c r="T682" i="3"/>
  <c r="M682" i="3"/>
  <c r="T681" i="3"/>
  <c r="M681" i="3"/>
  <c r="T680" i="3"/>
  <c r="M680" i="3"/>
  <c r="T679" i="3"/>
  <c r="M679" i="3"/>
  <c r="T678" i="3"/>
  <c r="M678" i="3"/>
  <c r="T677" i="3"/>
  <c r="M677" i="3"/>
  <c r="T676" i="3"/>
  <c r="M676" i="3"/>
  <c r="T675" i="3"/>
  <c r="M675" i="3"/>
  <c r="T674" i="3"/>
  <c r="M674" i="3"/>
  <c r="T673" i="3"/>
  <c r="M673" i="3"/>
  <c r="T672" i="3"/>
  <c r="M672" i="3"/>
  <c r="T671" i="3"/>
  <c r="M671" i="3"/>
  <c r="T670" i="3"/>
  <c r="M670" i="3"/>
  <c r="T669" i="3"/>
  <c r="M669" i="3"/>
  <c r="T668" i="3"/>
  <c r="M668" i="3"/>
  <c r="T667" i="3"/>
  <c r="M667" i="3"/>
  <c r="T666" i="3"/>
  <c r="M666" i="3"/>
  <c r="T665" i="3"/>
  <c r="M665" i="3"/>
  <c r="T664" i="3"/>
  <c r="M664" i="3"/>
  <c r="T663" i="3"/>
  <c r="M663" i="3"/>
  <c r="T662" i="3"/>
  <c r="M662" i="3"/>
  <c r="T661" i="3"/>
  <c r="M661" i="3"/>
  <c r="T660" i="3"/>
  <c r="M660" i="3"/>
  <c r="T659" i="3"/>
  <c r="M659" i="3"/>
  <c r="T658" i="3"/>
  <c r="M658" i="3"/>
  <c r="T657" i="3"/>
  <c r="M657" i="3"/>
  <c r="T656" i="3"/>
  <c r="M656" i="3"/>
  <c r="T655" i="3"/>
  <c r="M655" i="3"/>
  <c r="T654" i="3"/>
  <c r="M654" i="3"/>
  <c r="T653" i="3"/>
  <c r="M653" i="3"/>
  <c r="T652" i="3"/>
  <c r="M652" i="3"/>
  <c r="T651" i="3"/>
  <c r="M651" i="3"/>
  <c r="T650" i="3"/>
  <c r="M650" i="3"/>
  <c r="T649" i="3"/>
  <c r="M649" i="3"/>
  <c r="T648" i="3"/>
  <c r="M648" i="3"/>
  <c r="T647" i="3"/>
  <c r="M647" i="3"/>
  <c r="T646" i="3"/>
  <c r="M646" i="3"/>
  <c r="T645" i="3"/>
  <c r="M645" i="3"/>
  <c r="T644" i="3"/>
  <c r="M644" i="3"/>
  <c r="T643" i="3"/>
  <c r="M643" i="3"/>
  <c r="T642" i="3"/>
  <c r="M642" i="3"/>
  <c r="T641" i="3"/>
  <c r="M641" i="3"/>
  <c r="T640" i="3"/>
  <c r="M640" i="3"/>
  <c r="T639" i="3"/>
  <c r="M639" i="3"/>
  <c r="T638" i="3"/>
  <c r="M638" i="3"/>
  <c r="T637" i="3"/>
  <c r="M637" i="3"/>
  <c r="T636" i="3"/>
  <c r="M636" i="3"/>
  <c r="T635" i="3"/>
  <c r="M635" i="3"/>
  <c r="T634" i="3"/>
  <c r="M634" i="3"/>
  <c r="T633" i="3"/>
  <c r="M633" i="3"/>
  <c r="T632" i="3"/>
  <c r="M632" i="3"/>
  <c r="T631" i="3"/>
  <c r="M631" i="3"/>
  <c r="T630" i="3"/>
  <c r="M630" i="3"/>
  <c r="T629" i="3"/>
  <c r="M629" i="3"/>
  <c r="T628" i="3"/>
  <c r="M628" i="3"/>
  <c r="T627" i="3"/>
  <c r="M627" i="3"/>
  <c r="T626" i="3"/>
  <c r="M626" i="3"/>
  <c r="T625" i="3"/>
  <c r="M625" i="3"/>
  <c r="T624" i="3"/>
  <c r="M624" i="3"/>
  <c r="T623" i="3"/>
  <c r="M623" i="3"/>
  <c r="T622" i="3"/>
  <c r="M622" i="3"/>
  <c r="T621" i="3"/>
  <c r="M621" i="3"/>
  <c r="T620" i="3"/>
  <c r="M620" i="3"/>
  <c r="T619" i="3"/>
  <c r="M619" i="3"/>
  <c r="T618" i="3"/>
  <c r="M618" i="3"/>
  <c r="T617" i="3"/>
  <c r="M617" i="3"/>
  <c r="T616" i="3"/>
  <c r="M616" i="3"/>
  <c r="T615" i="3"/>
  <c r="M615" i="3"/>
  <c r="T614" i="3"/>
  <c r="M614" i="3"/>
  <c r="T613" i="3"/>
  <c r="M613" i="3"/>
  <c r="T612" i="3"/>
  <c r="M612" i="3"/>
  <c r="T611" i="3"/>
  <c r="M611" i="3"/>
  <c r="T610" i="3"/>
  <c r="M610" i="3"/>
  <c r="T609" i="3"/>
  <c r="M609" i="3"/>
  <c r="T608" i="3"/>
  <c r="M608" i="3"/>
  <c r="T607" i="3"/>
  <c r="M607" i="3"/>
  <c r="T606" i="3"/>
  <c r="M606" i="3"/>
  <c r="T605" i="3"/>
  <c r="M605" i="3"/>
  <c r="T604" i="3"/>
  <c r="M604" i="3"/>
  <c r="T603" i="3"/>
  <c r="M603" i="3"/>
  <c r="T602" i="3"/>
  <c r="M602" i="3"/>
  <c r="T601" i="3"/>
  <c r="M601" i="3"/>
  <c r="T600" i="3"/>
  <c r="M600" i="3"/>
  <c r="T599" i="3"/>
  <c r="M599" i="3"/>
  <c r="T598" i="3"/>
  <c r="M598" i="3"/>
  <c r="T597" i="3"/>
  <c r="M597" i="3"/>
  <c r="T596" i="3"/>
  <c r="M596" i="3"/>
  <c r="T595" i="3"/>
  <c r="M595" i="3"/>
  <c r="T594" i="3"/>
  <c r="M594" i="3"/>
  <c r="T593" i="3"/>
  <c r="M593" i="3"/>
  <c r="T592" i="3"/>
  <c r="M592" i="3"/>
  <c r="T591" i="3"/>
  <c r="M591" i="3"/>
  <c r="T590" i="3"/>
  <c r="M590" i="3"/>
  <c r="T589" i="3"/>
  <c r="M589" i="3"/>
  <c r="T588" i="3"/>
  <c r="M588" i="3"/>
  <c r="T587" i="3"/>
  <c r="M587" i="3"/>
  <c r="T586" i="3"/>
  <c r="M586" i="3"/>
  <c r="T585" i="3"/>
  <c r="M585" i="3"/>
  <c r="T584" i="3"/>
  <c r="M584" i="3"/>
  <c r="T583" i="3"/>
  <c r="M583" i="3"/>
  <c r="T582" i="3"/>
  <c r="M582" i="3"/>
  <c r="T581" i="3"/>
  <c r="M581" i="3"/>
  <c r="T580" i="3"/>
  <c r="M580" i="3"/>
  <c r="T579" i="3"/>
  <c r="M579" i="3"/>
  <c r="T578" i="3"/>
  <c r="M578" i="3"/>
  <c r="T577" i="3"/>
  <c r="M577" i="3"/>
  <c r="T576" i="3"/>
  <c r="M576" i="3"/>
  <c r="T575" i="3"/>
  <c r="M575" i="3"/>
  <c r="T574" i="3"/>
  <c r="M574" i="3"/>
  <c r="T573" i="3"/>
  <c r="M573" i="3"/>
  <c r="T572" i="3"/>
  <c r="M572" i="3"/>
  <c r="T571" i="3"/>
  <c r="M571" i="3"/>
  <c r="T570" i="3"/>
  <c r="M570" i="3"/>
  <c r="T569" i="3"/>
  <c r="M569" i="3"/>
  <c r="T568" i="3"/>
  <c r="M568" i="3"/>
  <c r="T567" i="3"/>
  <c r="M567" i="3"/>
  <c r="T566" i="3"/>
  <c r="M566" i="3"/>
  <c r="T565" i="3"/>
  <c r="M565" i="3"/>
  <c r="T564" i="3"/>
  <c r="M564" i="3"/>
  <c r="T563" i="3"/>
  <c r="M563" i="3"/>
  <c r="T562" i="3"/>
  <c r="M562" i="3"/>
  <c r="T561" i="3"/>
  <c r="M561" i="3"/>
  <c r="T560" i="3"/>
  <c r="M560" i="3"/>
  <c r="T559" i="3"/>
  <c r="M559" i="3"/>
  <c r="T558" i="3"/>
  <c r="M558" i="3"/>
  <c r="T557" i="3"/>
  <c r="M557" i="3"/>
  <c r="T556" i="3"/>
  <c r="M556" i="3"/>
  <c r="T555" i="3"/>
  <c r="M555" i="3"/>
  <c r="T554" i="3"/>
  <c r="M554" i="3"/>
  <c r="T553" i="3"/>
  <c r="M553" i="3"/>
  <c r="T552" i="3"/>
  <c r="M552" i="3"/>
  <c r="T551" i="3"/>
  <c r="M551" i="3"/>
  <c r="T550" i="3"/>
  <c r="M550" i="3"/>
  <c r="T549" i="3"/>
  <c r="M549" i="3"/>
  <c r="T548" i="3"/>
  <c r="M548" i="3"/>
  <c r="T547" i="3"/>
  <c r="M547" i="3"/>
  <c r="T546" i="3"/>
  <c r="M546" i="3"/>
  <c r="T545" i="3"/>
  <c r="M545" i="3"/>
  <c r="T544" i="3"/>
  <c r="M544" i="3"/>
  <c r="T543" i="3"/>
  <c r="M543" i="3"/>
  <c r="T542" i="3"/>
  <c r="M542" i="3"/>
  <c r="T541" i="3"/>
  <c r="M541" i="3"/>
  <c r="T540" i="3"/>
  <c r="M540" i="3"/>
  <c r="T539" i="3"/>
  <c r="M539" i="3"/>
  <c r="T538" i="3"/>
  <c r="M538" i="3"/>
  <c r="T537" i="3"/>
  <c r="M537" i="3"/>
  <c r="T536" i="3"/>
  <c r="M536" i="3"/>
  <c r="T535" i="3"/>
  <c r="M535" i="3"/>
  <c r="T534" i="3"/>
  <c r="M534" i="3"/>
  <c r="T533" i="3"/>
  <c r="M533" i="3"/>
  <c r="T532" i="3"/>
  <c r="M532" i="3"/>
  <c r="T531" i="3"/>
  <c r="M531" i="3"/>
  <c r="T530" i="3"/>
  <c r="M530" i="3"/>
  <c r="T529" i="3"/>
  <c r="M529" i="3"/>
  <c r="T528" i="3"/>
  <c r="M528" i="3"/>
  <c r="T527" i="3"/>
  <c r="M527" i="3"/>
  <c r="T526" i="3"/>
  <c r="M526" i="3"/>
  <c r="T525" i="3"/>
  <c r="M525" i="3"/>
  <c r="T524" i="3"/>
  <c r="M524" i="3"/>
  <c r="T523" i="3"/>
  <c r="M523" i="3"/>
  <c r="T522" i="3"/>
  <c r="M522" i="3"/>
  <c r="T521" i="3"/>
  <c r="M521" i="3"/>
  <c r="T520" i="3"/>
  <c r="M520" i="3"/>
  <c r="T519" i="3"/>
  <c r="M519" i="3"/>
  <c r="T518" i="3"/>
  <c r="M518" i="3"/>
  <c r="T517" i="3"/>
  <c r="M517" i="3"/>
  <c r="T516" i="3"/>
  <c r="M516" i="3"/>
  <c r="T515" i="3"/>
  <c r="M515" i="3"/>
  <c r="T514" i="3"/>
  <c r="M514" i="3"/>
  <c r="T513" i="3"/>
  <c r="M513" i="3"/>
  <c r="T512" i="3"/>
  <c r="M512" i="3"/>
  <c r="T511" i="3"/>
  <c r="M511" i="3"/>
  <c r="T510" i="3"/>
  <c r="M510" i="3"/>
  <c r="T509" i="3"/>
  <c r="M509" i="3"/>
  <c r="T508" i="3"/>
  <c r="M508" i="3"/>
  <c r="T507" i="3"/>
  <c r="M507" i="3"/>
  <c r="T506" i="3"/>
  <c r="M506" i="3"/>
  <c r="T505" i="3"/>
  <c r="M505" i="3"/>
  <c r="T504" i="3"/>
  <c r="M504" i="3"/>
  <c r="T503" i="3"/>
  <c r="M503" i="3"/>
  <c r="T502" i="3"/>
  <c r="M502" i="3"/>
  <c r="T501" i="3"/>
  <c r="M501" i="3"/>
  <c r="T500" i="3"/>
  <c r="M500" i="3"/>
  <c r="T499" i="3"/>
  <c r="M499" i="3"/>
  <c r="T498" i="3"/>
  <c r="M498" i="3"/>
  <c r="T497" i="3"/>
  <c r="M497" i="3"/>
  <c r="T496" i="3"/>
  <c r="M496" i="3"/>
  <c r="T495" i="3"/>
  <c r="M495" i="3"/>
  <c r="T494" i="3"/>
  <c r="M494" i="3"/>
  <c r="T493" i="3"/>
  <c r="M493" i="3"/>
  <c r="T492" i="3"/>
  <c r="M492" i="3"/>
  <c r="T491" i="3"/>
  <c r="M491" i="3"/>
  <c r="T490" i="3"/>
  <c r="M490" i="3"/>
  <c r="T489" i="3"/>
  <c r="M489" i="3"/>
  <c r="T488" i="3"/>
  <c r="M488" i="3"/>
  <c r="T487" i="3"/>
  <c r="M487" i="3"/>
  <c r="T486" i="3"/>
  <c r="M486" i="3"/>
  <c r="T485" i="3"/>
  <c r="M485" i="3"/>
  <c r="T484" i="3"/>
  <c r="M484" i="3"/>
  <c r="T483" i="3"/>
  <c r="M483" i="3"/>
  <c r="T482" i="3"/>
  <c r="M482" i="3"/>
  <c r="T481" i="3"/>
  <c r="M481" i="3"/>
  <c r="T480" i="3"/>
  <c r="M480" i="3"/>
  <c r="T479" i="3"/>
  <c r="M479" i="3"/>
  <c r="T478" i="3"/>
  <c r="M478" i="3"/>
  <c r="T477" i="3"/>
  <c r="M477" i="3"/>
  <c r="T476" i="3"/>
  <c r="M476" i="3"/>
  <c r="T475" i="3"/>
  <c r="M475" i="3"/>
  <c r="T474" i="3"/>
  <c r="M474" i="3"/>
  <c r="T473" i="3"/>
  <c r="M473" i="3"/>
  <c r="T472" i="3"/>
  <c r="M472" i="3"/>
  <c r="T471" i="3"/>
  <c r="M471" i="3"/>
  <c r="T470" i="3"/>
  <c r="M470" i="3"/>
  <c r="T469" i="3"/>
  <c r="M469" i="3"/>
  <c r="T468" i="3"/>
  <c r="M468" i="3"/>
  <c r="T467" i="3"/>
  <c r="M467" i="3"/>
  <c r="T466" i="3"/>
  <c r="M466" i="3"/>
  <c r="T465" i="3"/>
  <c r="M465" i="3"/>
  <c r="T464" i="3"/>
  <c r="M464" i="3"/>
  <c r="T463" i="3"/>
  <c r="M463" i="3"/>
  <c r="T462" i="3"/>
  <c r="M462" i="3"/>
  <c r="T461" i="3"/>
  <c r="M461" i="3"/>
  <c r="T460" i="3"/>
  <c r="M460" i="3"/>
  <c r="T459" i="3"/>
  <c r="M459" i="3"/>
  <c r="T458" i="3"/>
  <c r="M458" i="3"/>
  <c r="T457" i="3"/>
  <c r="M457" i="3"/>
  <c r="T456" i="3"/>
  <c r="M456" i="3"/>
  <c r="T455" i="3"/>
  <c r="M455" i="3"/>
  <c r="T454" i="3"/>
  <c r="M454" i="3"/>
  <c r="T453" i="3"/>
  <c r="M453" i="3"/>
  <c r="T452" i="3"/>
  <c r="M452" i="3"/>
  <c r="T451" i="3"/>
  <c r="M451" i="3"/>
  <c r="T450" i="3"/>
  <c r="M450" i="3"/>
  <c r="T449" i="3"/>
  <c r="M449" i="3"/>
  <c r="T448" i="3"/>
  <c r="M448" i="3"/>
  <c r="T447" i="3"/>
  <c r="M447" i="3"/>
  <c r="T446" i="3"/>
  <c r="M446" i="3"/>
  <c r="T445" i="3"/>
  <c r="M445" i="3"/>
  <c r="T444" i="3"/>
  <c r="M444" i="3"/>
  <c r="T443" i="3"/>
  <c r="M443" i="3"/>
  <c r="T442" i="3"/>
  <c r="M442" i="3"/>
  <c r="T441" i="3"/>
  <c r="M441" i="3"/>
  <c r="T440" i="3"/>
  <c r="M440" i="3"/>
  <c r="T439" i="3"/>
  <c r="M439" i="3"/>
  <c r="T438" i="3"/>
  <c r="M438" i="3"/>
  <c r="T437" i="3"/>
  <c r="M437" i="3"/>
  <c r="T436" i="3"/>
  <c r="M436" i="3"/>
  <c r="T435" i="3"/>
  <c r="M435" i="3"/>
  <c r="T434" i="3"/>
  <c r="M434" i="3"/>
  <c r="T433" i="3"/>
  <c r="M433" i="3"/>
  <c r="T432" i="3"/>
  <c r="M432" i="3"/>
  <c r="T431" i="3"/>
  <c r="M431" i="3"/>
  <c r="T430" i="3"/>
  <c r="M430" i="3"/>
  <c r="T429" i="3"/>
  <c r="M429" i="3"/>
  <c r="T428" i="3"/>
  <c r="M428" i="3"/>
  <c r="T427" i="3"/>
  <c r="M427" i="3"/>
  <c r="T426" i="3"/>
  <c r="M426" i="3"/>
  <c r="T425" i="3"/>
  <c r="M425" i="3"/>
  <c r="T424" i="3"/>
  <c r="M424" i="3"/>
  <c r="T423" i="3"/>
  <c r="M423" i="3"/>
  <c r="T422" i="3"/>
  <c r="M422" i="3"/>
  <c r="T421" i="3"/>
  <c r="M421" i="3"/>
  <c r="T420" i="3"/>
  <c r="M420" i="3"/>
  <c r="T419" i="3"/>
  <c r="M419" i="3"/>
  <c r="T418" i="3"/>
  <c r="M418" i="3"/>
  <c r="T417" i="3"/>
  <c r="M417" i="3"/>
  <c r="T416" i="3"/>
  <c r="M416" i="3"/>
  <c r="T415" i="3"/>
  <c r="M415" i="3"/>
  <c r="T414" i="3"/>
  <c r="M414" i="3"/>
  <c r="T413" i="3"/>
  <c r="M413" i="3"/>
  <c r="T412" i="3"/>
  <c r="M412" i="3"/>
  <c r="T411" i="3"/>
  <c r="M411" i="3"/>
  <c r="T410" i="3"/>
  <c r="M410" i="3"/>
  <c r="T409" i="3"/>
  <c r="M409" i="3"/>
  <c r="T408" i="3"/>
  <c r="M408" i="3"/>
  <c r="T407" i="3"/>
  <c r="M407" i="3"/>
  <c r="T406" i="3"/>
  <c r="M406" i="3"/>
  <c r="T405" i="3"/>
  <c r="M405" i="3"/>
  <c r="T404" i="3"/>
  <c r="M404" i="3"/>
  <c r="T403" i="3"/>
  <c r="M403" i="3"/>
  <c r="T402" i="3"/>
  <c r="M402" i="3"/>
  <c r="T401" i="3"/>
  <c r="M401" i="3"/>
  <c r="T400" i="3"/>
  <c r="M400" i="3"/>
  <c r="T399" i="3"/>
  <c r="M399" i="3"/>
  <c r="T398" i="3"/>
  <c r="M398" i="3"/>
  <c r="T397" i="3"/>
  <c r="M397" i="3"/>
  <c r="T396" i="3"/>
  <c r="M396" i="3"/>
  <c r="T395" i="3"/>
  <c r="M395" i="3"/>
  <c r="T394" i="3"/>
  <c r="M394" i="3"/>
  <c r="T393" i="3"/>
  <c r="M393" i="3"/>
  <c r="T392" i="3"/>
  <c r="M392" i="3"/>
  <c r="T391" i="3"/>
  <c r="M391" i="3"/>
  <c r="T390" i="3"/>
  <c r="M390" i="3"/>
  <c r="T389" i="3"/>
  <c r="M389" i="3"/>
  <c r="T388" i="3"/>
  <c r="M388" i="3"/>
  <c r="T387" i="3"/>
  <c r="M387" i="3"/>
  <c r="T386" i="3"/>
  <c r="M386" i="3"/>
  <c r="T385" i="3"/>
  <c r="M385" i="3"/>
  <c r="T384" i="3"/>
  <c r="M384" i="3"/>
  <c r="T383" i="3"/>
  <c r="M383" i="3"/>
  <c r="T382" i="3"/>
  <c r="M382" i="3"/>
  <c r="T381" i="3"/>
  <c r="M381" i="3"/>
  <c r="T380" i="3"/>
  <c r="M380" i="3"/>
  <c r="T379" i="3"/>
  <c r="M379" i="3"/>
  <c r="T378" i="3"/>
  <c r="M378" i="3"/>
  <c r="T377" i="3"/>
  <c r="M377" i="3"/>
  <c r="T376" i="3"/>
  <c r="M376" i="3"/>
  <c r="T375" i="3"/>
  <c r="M375" i="3"/>
  <c r="T374" i="3"/>
  <c r="M374" i="3"/>
  <c r="T373" i="3"/>
  <c r="M373" i="3"/>
  <c r="T372" i="3"/>
  <c r="M372" i="3"/>
  <c r="T371" i="3"/>
  <c r="M371" i="3"/>
  <c r="T370" i="3"/>
  <c r="M370" i="3"/>
  <c r="T369" i="3"/>
  <c r="M369" i="3"/>
  <c r="T368" i="3"/>
  <c r="M368" i="3"/>
  <c r="T367" i="3"/>
  <c r="M367" i="3"/>
  <c r="T366" i="3"/>
  <c r="M366" i="3"/>
  <c r="T365" i="3"/>
  <c r="M365" i="3"/>
  <c r="T364" i="3"/>
  <c r="M364" i="3"/>
  <c r="T363" i="3"/>
  <c r="M363" i="3"/>
  <c r="T362" i="3"/>
  <c r="M362" i="3"/>
  <c r="T361" i="3"/>
  <c r="M361" i="3"/>
  <c r="T360" i="3"/>
  <c r="M360" i="3"/>
  <c r="T359" i="3"/>
  <c r="M359" i="3"/>
  <c r="T358" i="3"/>
  <c r="M358" i="3"/>
  <c r="T357" i="3"/>
  <c r="M357" i="3"/>
  <c r="T356" i="3"/>
  <c r="M356" i="3"/>
  <c r="T355" i="3"/>
  <c r="M355" i="3"/>
  <c r="T354" i="3"/>
  <c r="M354" i="3"/>
  <c r="T353" i="3"/>
  <c r="M353" i="3"/>
  <c r="T352" i="3"/>
  <c r="M352" i="3"/>
  <c r="T351" i="3"/>
  <c r="M351" i="3"/>
  <c r="T350" i="3"/>
  <c r="M350" i="3"/>
  <c r="T349" i="3"/>
  <c r="M349" i="3"/>
  <c r="T348" i="3"/>
  <c r="M348" i="3"/>
  <c r="T347" i="3"/>
  <c r="M347" i="3"/>
  <c r="T346" i="3"/>
  <c r="M346" i="3"/>
  <c r="T345" i="3"/>
  <c r="M345" i="3"/>
  <c r="T344" i="3"/>
  <c r="M344" i="3"/>
  <c r="T343" i="3"/>
  <c r="M343" i="3"/>
  <c r="T342" i="3"/>
  <c r="M342" i="3"/>
  <c r="T341" i="3"/>
  <c r="M341" i="3"/>
  <c r="T340" i="3"/>
  <c r="M340" i="3"/>
  <c r="T339" i="3"/>
  <c r="M339" i="3"/>
  <c r="T338" i="3"/>
  <c r="M338" i="3"/>
  <c r="T337" i="3"/>
  <c r="M337" i="3"/>
  <c r="T336" i="3"/>
  <c r="M336" i="3"/>
  <c r="T335" i="3"/>
  <c r="M335" i="3"/>
  <c r="T334" i="3"/>
  <c r="M334" i="3"/>
  <c r="T333" i="3"/>
  <c r="M333" i="3"/>
  <c r="T332" i="3"/>
  <c r="M332" i="3"/>
  <c r="T331" i="3"/>
  <c r="M331" i="3"/>
  <c r="T330" i="3"/>
  <c r="M330" i="3"/>
  <c r="T329" i="3"/>
  <c r="M329" i="3"/>
  <c r="T328" i="3"/>
  <c r="M328" i="3"/>
  <c r="T327" i="3"/>
  <c r="M327" i="3"/>
  <c r="T326" i="3"/>
  <c r="M326" i="3"/>
  <c r="T325" i="3"/>
  <c r="M325" i="3"/>
  <c r="T324" i="3"/>
  <c r="M324" i="3"/>
  <c r="T323" i="3"/>
  <c r="M323" i="3"/>
  <c r="T322" i="3"/>
  <c r="M322" i="3"/>
  <c r="T321" i="3"/>
  <c r="M321" i="3"/>
  <c r="T320" i="3"/>
  <c r="M320" i="3"/>
  <c r="T319" i="3"/>
  <c r="M319" i="3"/>
  <c r="T318" i="3"/>
  <c r="M318" i="3"/>
  <c r="T317" i="3"/>
  <c r="M317" i="3"/>
  <c r="T316" i="3"/>
  <c r="M316" i="3"/>
  <c r="T315" i="3"/>
  <c r="M315" i="3"/>
  <c r="T314" i="3"/>
  <c r="M314" i="3"/>
  <c r="T313" i="3"/>
  <c r="M313" i="3"/>
  <c r="T312" i="3"/>
  <c r="M312" i="3"/>
  <c r="T311" i="3"/>
  <c r="M311" i="3"/>
  <c r="T310" i="3"/>
  <c r="M310" i="3"/>
  <c r="T309" i="3"/>
  <c r="M309" i="3"/>
  <c r="T308" i="3"/>
  <c r="M308" i="3"/>
  <c r="T307" i="3"/>
  <c r="M307" i="3"/>
  <c r="T306" i="3"/>
  <c r="M306" i="3"/>
  <c r="T305" i="3"/>
  <c r="M305" i="3"/>
  <c r="T304" i="3"/>
  <c r="M304" i="3"/>
  <c r="T303" i="3"/>
  <c r="M303" i="3"/>
  <c r="T302" i="3"/>
  <c r="M302" i="3"/>
  <c r="T301" i="3"/>
  <c r="M301" i="3"/>
  <c r="T300" i="3"/>
  <c r="M300" i="3"/>
  <c r="T299" i="3"/>
  <c r="M299" i="3"/>
  <c r="T298" i="3"/>
  <c r="M298" i="3"/>
  <c r="T297" i="3"/>
  <c r="M297" i="3"/>
  <c r="T296" i="3"/>
  <c r="M296" i="3"/>
  <c r="T295" i="3"/>
  <c r="M295" i="3"/>
  <c r="T294" i="3"/>
  <c r="M294" i="3"/>
  <c r="T293" i="3"/>
  <c r="M293" i="3"/>
  <c r="T292" i="3"/>
  <c r="M292" i="3"/>
  <c r="T291" i="3"/>
  <c r="M291" i="3"/>
  <c r="T290" i="3"/>
  <c r="M290" i="3"/>
  <c r="T289" i="3"/>
  <c r="M289" i="3"/>
  <c r="T288" i="3"/>
  <c r="M288" i="3"/>
  <c r="T287" i="3"/>
  <c r="M287" i="3"/>
  <c r="T286" i="3"/>
  <c r="M286" i="3"/>
  <c r="T285" i="3"/>
  <c r="M285" i="3"/>
  <c r="T284" i="3"/>
  <c r="M284" i="3"/>
  <c r="T283" i="3"/>
  <c r="M283" i="3"/>
  <c r="T282" i="3"/>
  <c r="M282" i="3"/>
  <c r="T281" i="3"/>
  <c r="M281" i="3"/>
  <c r="T280" i="3"/>
  <c r="M280" i="3"/>
  <c r="T279" i="3"/>
  <c r="M279" i="3"/>
  <c r="T278" i="3"/>
  <c r="M278" i="3"/>
  <c r="T277" i="3"/>
  <c r="M277" i="3"/>
  <c r="T276" i="3"/>
  <c r="M276" i="3"/>
  <c r="T275" i="3"/>
  <c r="M275" i="3"/>
  <c r="T274" i="3"/>
  <c r="M274" i="3"/>
  <c r="T273" i="3"/>
  <c r="M273" i="3"/>
  <c r="T272" i="3"/>
  <c r="M272" i="3"/>
  <c r="T271" i="3"/>
  <c r="M271" i="3"/>
  <c r="T270" i="3"/>
  <c r="M270" i="3"/>
  <c r="T269" i="3"/>
  <c r="M269" i="3"/>
  <c r="T268" i="3"/>
  <c r="M268" i="3"/>
  <c r="T267" i="3"/>
  <c r="M267" i="3"/>
  <c r="T266" i="3"/>
  <c r="M266" i="3"/>
  <c r="T265" i="3"/>
  <c r="M265" i="3"/>
  <c r="T264" i="3"/>
  <c r="M264" i="3"/>
  <c r="T263" i="3"/>
  <c r="M263" i="3"/>
  <c r="T262" i="3"/>
  <c r="M262" i="3"/>
  <c r="T261" i="3"/>
  <c r="M261" i="3"/>
  <c r="T260" i="3"/>
  <c r="M260" i="3"/>
  <c r="T259" i="3"/>
  <c r="M259" i="3"/>
  <c r="T258" i="3"/>
  <c r="M258" i="3"/>
  <c r="T257" i="3"/>
  <c r="M257" i="3"/>
  <c r="T256" i="3"/>
  <c r="M256" i="3"/>
  <c r="T255" i="3"/>
  <c r="M255" i="3"/>
  <c r="T254" i="3"/>
  <c r="M254" i="3"/>
  <c r="T253" i="3"/>
  <c r="M253" i="3"/>
  <c r="T252" i="3"/>
  <c r="M252" i="3"/>
  <c r="T251" i="3"/>
  <c r="M251" i="3"/>
  <c r="T250" i="3"/>
  <c r="M250" i="3"/>
  <c r="T249" i="3"/>
  <c r="M249" i="3"/>
  <c r="T248" i="3"/>
  <c r="M248" i="3"/>
  <c r="T247" i="3"/>
  <c r="M247" i="3"/>
  <c r="T246" i="3"/>
  <c r="M246" i="3"/>
  <c r="T245" i="3"/>
  <c r="M245" i="3"/>
  <c r="T244" i="3"/>
  <c r="M244" i="3"/>
  <c r="T243" i="3"/>
  <c r="M243" i="3"/>
  <c r="T242" i="3"/>
  <c r="M242" i="3"/>
  <c r="T241" i="3"/>
  <c r="M241" i="3"/>
  <c r="T240" i="3"/>
  <c r="M240" i="3"/>
  <c r="T239" i="3"/>
  <c r="M239" i="3"/>
  <c r="T238" i="3"/>
  <c r="M238" i="3"/>
  <c r="T237" i="3"/>
  <c r="M237" i="3"/>
  <c r="T236" i="3"/>
  <c r="M236" i="3"/>
  <c r="T235" i="3"/>
  <c r="M235" i="3"/>
  <c r="T234" i="3"/>
  <c r="M234" i="3"/>
  <c r="T233" i="3"/>
  <c r="M233" i="3"/>
  <c r="T232" i="3"/>
  <c r="M232" i="3"/>
  <c r="T231" i="3"/>
  <c r="M231" i="3"/>
  <c r="T230" i="3"/>
  <c r="M230" i="3"/>
  <c r="T229" i="3"/>
  <c r="M229" i="3"/>
  <c r="T228" i="3"/>
  <c r="M228" i="3"/>
  <c r="T227" i="3"/>
  <c r="M227" i="3"/>
  <c r="T226" i="3"/>
  <c r="M226" i="3"/>
  <c r="T225" i="3"/>
  <c r="M225" i="3"/>
  <c r="T224" i="3"/>
  <c r="M224" i="3"/>
  <c r="T223" i="3"/>
  <c r="M223" i="3"/>
  <c r="T222" i="3"/>
  <c r="M222" i="3"/>
  <c r="T221" i="3"/>
  <c r="M221" i="3"/>
  <c r="T220" i="3"/>
  <c r="M220" i="3"/>
  <c r="T219" i="3"/>
  <c r="M219" i="3"/>
  <c r="T218" i="3"/>
  <c r="M218" i="3"/>
  <c r="T217" i="3"/>
  <c r="M217" i="3"/>
  <c r="T216" i="3"/>
  <c r="M216" i="3"/>
  <c r="T215" i="3"/>
  <c r="M215" i="3"/>
  <c r="T214" i="3"/>
  <c r="M214" i="3"/>
  <c r="T213" i="3"/>
  <c r="M213" i="3"/>
  <c r="T212" i="3"/>
  <c r="M212" i="3"/>
  <c r="T211" i="3"/>
  <c r="M211" i="3"/>
  <c r="T210" i="3"/>
  <c r="M210" i="3"/>
  <c r="T209" i="3"/>
  <c r="M209" i="3"/>
  <c r="T208" i="3"/>
  <c r="M208" i="3"/>
  <c r="T207" i="3"/>
  <c r="M207" i="3"/>
  <c r="T206" i="3"/>
  <c r="M206" i="3"/>
  <c r="T205" i="3"/>
  <c r="M205" i="3"/>
  <c r="T204" i="3"/>
  <c r="M204" i="3"/>
  <c r="T203" i="3"/>
  <c r="M203" i="3"/>
  <c r="T202" i="3"/>
  <c r="M202" i="3"/>
  <c r="T201" i="3"/>
  <c r="M201" i="3"/>
  <c r="T200" i="3"/>
  <c r="M200" i="3"/>
  <c r="T199" i="3"/>
  <c r="M199" i="3"/>
  <c r="T198" i="3"/>
  <c r="M198" i="3"/>
  <c r="T197" i="3"/>
  <c r="M197" i="3"/>
  <c r="T196" i="3"/>
  <c r="M196" i="3"/>
  <c r="T195" i="3"/>
  <c r="M195" i="3"/>
  <c r="T194" i="3"/>
  <c r="M194" i="3"/>
  <c r="T193" i="3"/>
  <c r="M193" i="3"/>
  <c r="T192" i="3"/>
  <c r="M192" i="3"/>
  <c r="T191" i="3"/>
  <c r="M191" i="3"/>
  <c r="T190" i="3"/>
  <c r="M190" i="3"/>
  <c r="T189" i="3"/>
  <c r="M189" i="3"/>
  <c r="T188" i="3"/>
  <c r="M188" i="3"/>
  <c r="T187" i="3"/>
  <c r="M187" i="3"/>
  <c r="T186" i="3"/>
  <c r="M186" i="3"/>
  <c r="T185" i="3"/>
  <c r="M185" i="3"/>
  <c r="T184" i="3"/>
  <c r="M184" i="3"/>
  <c r="T183" i="3"/>
  <c r="M183" i="3"/>
  <c r="T182" i="3"/>
  <c r="M182" i="3"/>
  <c r="T181" i="3"/>
  <c r="M181" i="3"/>
  <c r="T180" i="3"/>
  <c r="M180" i="3"/>
  <c r="T179" i="3"/>
  <c r="M179" i="3"/>
  <c r="T178" i="3"/>
  <c r="M178" i="3"/>
  <c r="T177" i="3"/>
  <c r="M177" i="3"/>
  <c r="T176" i="3"/>
  <c r="M176" i="3"/>
  <c r="T175" i="3"/>
  <c r="M175" i="3"/>
  <c r="T174" i="3"/>
  <c r="M174" i="3"/>
  <c r="T173" i="3"/>
  <c r="M173" i="3"/>
  <c r="T172" i="3"/>
  <c r="M172" i="3"/>
  <c r="T171" i="3"/>
  <c r="M171" i="3"/>
  <c r="T170" i="3"/>
  <c r="M170" i="3"/>
  <c r="T169" i="3"/>
  <c r="M169" i="3"/>
  <c r="T168" i="3"/>
  <c r="M168" i="3"/>
  <c r="T167" i="3"/>
  <c r="M167" i="3"/>
  <c r="T166" i="3"/>
  <c r="M166" i="3"/>
  <c r="T165" i="3"/>
  <c r="M165" i="3"/>
  <c r="T164" i="3"/>
  <c r="M164" i="3"/>
  <c r="T163" i="3"/>
  <c r="M163" i="3"/>
  <c r="T162" i="3"/>
  <c r="M162" i="3"/>
  <c r="T161" i="3"/>
  <c r="M161" i="3"/>
  <c r="T160" i="3"/>
  <c r="M160" i="3"/>
  <c r="T159" i="3"/>
  <c r="M159" i="3"/>
  <c r="T158" i="3"/>
  <c r="M158" i="3"/>
  <c r="T157" i="3"/>
  <c r="M157" i="3"/>
  <c r="T156" i="3"/>
  <c r="M156" i="3"/>
  <c r="T155" i="3"/>
  <c r="M155" i="3"/>
  <c r="T154" i="3"/>
  <c r="M154" i="3"/>
  <c r="T153" i="3"/>
  <c r="M153" i="3"/>
  <c r="T152" i="3"/>
  <c r="M152" i="3"/>
  <c r="T151" i="3"/>
  <c r="M151" i="3"/>
  <c r="T150" i="3"/>
  <c r="M150" i="3"/>
  <c r="T149" i="3"/>
  <c r="M149" i="3"/>
  <c r="T148" i="3"/>
  <c r="M148" i="3"/>
  <c r="T147" i="3"/>
  <c r="M147" i="3"/>
  <c r="T146" i="3"/>
  <c r="M146" i="3"/>
  <c r="T145" i="3"/>
  <c r="M145" i="3"/>
  <c r="T144" i="3"/>
  <c r="M144" i="3"/>
  <c r="T143" i="3"/>
  <c r="M143" i="3"/>
  <c r="T142" i="3"/>
  <c r="M142" i="3"/>
  <c r="T141" i="3"/>
  <c r="M141" i="3"/>
  <c r="T140" i="3"/>
  <c r="M140" i="3"/>
  <c r="T139" i="3"/>
  <c r="M139" i="3"/>
  <c r="T138" i="3"/>
  <c r="M138" i="3"/>
  <c r="T137" i="3"/>
  <c r="M137" i="3"/>
  <c r="T136" i="3"/>
  <c r="M136" i="3"/>
  <c r="T135" i="3"/>
  <c r="M135" i="3"/>
  <c r="T134" i="3"/>
  <c r="M134" i="3"/>
  <c r="T133" i="3"/>
  <c r="M133" i="3"/>
  <c r="T132" i="3"/>
  <c r="M132" i="3"/>
  <c r="T131" i="3"/>
  <c r="M131" i="3"/>
  <c r="T130" i="3"/>
  <c r="M130" i="3"/>
  <c r="T129" i="3"/>
  <c r="M129" i="3"/>
  <c r="T128" i="3"/>
  <c r="M128" i="3"/>
  <c r="T127" i="3"/>
  <c r="M127" i="3"/>
  <c r="T126" i="3"/>
  <c r="M126" i="3"/>
  <c r="T125" i="3"/>
  <c r="M125" i="3"/>
  <c r="T124" i="3"/>
  <c r="M124" i="3"/>
  <c r="T123" i="3"/>
  <c r="M123" i="3"/>
  <c r="T122" i="3"/>
  <c r="M122" i="3"/>
  <c r="T121" i="3"/>
  <c r="M121" i="3"/>
  <c r="T120" i="3"/>
  <c r="M120" i="3"/>
  <c r="T119" i="3"/>
  <c r="M119" i="3"/>
  <c r="T118" i="3"/>
  <c r="M118" i="3"/>
  <c r="T117" i="3"/>
  <c r="M117" i="3"/>
  <c r="T116" i="3"/>
  <c r="M116" i="3"/>
  <c r="T115" i="3"/>
  <c r="M115" i="3"/>
  <c r="T114" i="3"/>
  <c r="M114" i="3"/>
  <c r="T113" i="3"/>
  <c r="M113" i="3"/>
  <c r="T112" i="3"/>
  <c r="M112" i="3"/>
  <c r="T111" i="3"/>
  <c r="M111" i="3"/>
  <c r="T110" i="3"/>
  <c r="M110" i="3"/>
  <c r="T109" i="3"/>
  <c r="M109" i="3"/>
  <c r="T108" i="3"/>
  <c r="M108" i="3"/>
  <c r="T107" i="3"/>
  <c r="M107" i="3"/>
  <c r="T106" i="3"/>
  <c r="M106" i="3"/>
  <c r="T105" i="3"/>
  <c r="M105" i="3"/>
  <c r="T104" i="3"/>
  <c r="M104" i="3"/>
  <c r="T103" i="3"/>
  <c r="M103" i="3"/>
  <c r="T102" i="3"/>
  <c r="M102" i="3"/>
  <c r="T101" i="3"/>
  <c r="M101" i="3"/>
  <c r="T100" i="3"/>
  <c r="M100" i="3"/>
  <c r="T99" i="3"/>
  <c r="M99" i="3"/>
  <c r="T98" i="3"/>
  <c r="M98" i="3"/>
  <c r="T97" i="3"/>
  <c r="M97" i="3"/>
  <c r="T96" i="3"/>
  <c r="M96" i="3"/>
  <c r="T95" i="3"/>
  <c r="M95" i="3"/>
  <c r="T94" i="3"/>
  <c r="M94" i="3"/>
  <c r="T93" i="3"/>
  <c r="M93" i="3"/>
  <c r="T92" i="3"/>
  <c r="M92" i="3"/>
  <c r="T91" i="3"/>
  <c r="M91" i="3"/>
  <c r="T90" i="3"/>
  <c r="M90" i="3"/>
  <c r="T89" i="3"/>
  <c r="M89" i="3"/>
  <c r="T88" i="3"/>
  <c r="M88" i="3"/>
  <c r="T87" i="3"/>
  <c r="M87" i="3"/>
  <c r="T86" i="3"/>
  <c r="M86" i="3"/>
  <c r="T85" i="3"/>
  <c r="M85" i="3"/>
  <c r="T84" i="3"/>
  <c r="M84" i="3"/>
  <c r="T83" i="3"/>
  <c r="M83" i="3"/>
  <c r="T82" i="3"/>
  <c r="M82" i="3"/>
  <c r="T81" i="3"/>
  <c r="M81" i="3"/>
  <c r="T80" i="3"/>
  <c r="M80" i="3"/>
  <c r="T79" i="3"/>
  <c r="M79" i="3"/>
  <c r="T78" i="3"/>
  <c r="M78" i="3"/>
  <c r="T77" i="3"/>
  <c r="M77" i="3"/>
  <c r="T76" i="3"/>
  <c r="M76" i="3"/>
  <c r="T75" i="3"/>
  <c r="M75" i="3"/>
  <c r="T74" i="3"/>
  <c r="M74" i="3"/>
  <c r="T73" i="3"/>
  <c r="M73" i="3"/>
  <c r="T72" i="3"/>
  <c r="M72" i="3"/>
  <c r="T71" i="3"/>
  <c r="M71" i="3"/>
  <c r="T70" i="3"/>
  <c r="M70" i="3"/>
  <c r="T69" i="3"/>
  <c r="M69" i="3"/>
  <c r="T68" i="3"/>
  <c r="M68" i="3"/>
  <c r="T67" i="3"/>
  <c r="M67" i="3"/>
  <c r="T66" i="3"/>
  <c r="M66" i="3"/>
  <c r="T65" i="3"/>
  <c r="M65" i="3"/>
  <c r="T64" i="3"/>
  <c r="M64" i="3"/>
  <c r="T63" i="3"/>
  <c r="M63" i="3"/>
  <c r="T62" i="3"/>
  <c r="M62" i="3"/>
  <c r="T61" i="3"/>
  <c r="M61" i="3"/>
  <c r="T60" i="3"/>
  <c r="M60" i="3"/>
  <c r="T59" i="3"/>
  <c r="M59" i="3"/>
  <c r="T58" i="3"/>
  <c r="M58" i="3"/>
  <c r="T57" i="3"/>
  <c r="M57" i="3"/>
  <c r="T56" i="3"/>
  <c r="M56" i="3"/>
  <c r="T55" i="3"/>
  <c r="M55" i="3"/>
  <c r="T54" i="3"/>
  <c r="M54" i="3"/>
  <c r="T53" i="3"/>
  <c r="M53" i="3"/>
  <c r="M52" i="3"/>
  <c r="T51" i="3"/>
  <c r="T50" i="3"/>
  <c r="T49" i="3"/>
  <c r="T48" i="3"/>
  <c r="T47" i="3"/>
  <c r="T46" i="3"/>
  <c r="T45" i="3"/>
  <c r="T44" i="3"/>
  <c r="T43" i="3"/>
  <c r="T42" i="3"/>
  <c r="T41" i="3"/>
  <c r="T40" i="3"/>
  <c r="T39" i="3"/>
  <c r="T38" i="3"/>
  <c r="T37" i="3"/>
  <c r="T36" i="3"/>
  <c r="T35" i="3"/>
  <c r="T34" i="3"/>
  <c r="T33" i="3"/>
  <c r="T32" i="3"/>
  <c r="T31" i="3"/>
  <c r="T30" i="3"/>
  <c r="T29" i="3"/>
  <c r="T28" i="3"/>
  <c r="T27" i="3"/>
  <c r="T26" i="3"/>
  <c r="T25" i="3"/>
  <c r="T24" i="3"/>
  <c r="T23" i="3"/>
  <c r="U23" i="3" s="1"/>
  <c r="V23" i="3" s="1"/>
  <c r="T22" i="3"/>
  <c r="U22" i="3" s="1"/>
  <c r="V22" i="3" s="1"/>
  <c r="P22" i="3"/>
  <c r="R22" i="3" s="1"/>
  <c r="T21" i="3"/>
  <c r="U21" i="3" s="1"/>
  <c r="V21" i="3" s="1"/>
  <c r="P21" i="3"/>
  <c r="R21" i="3" s="1"/>
  <c r="M21" i="3"/>
  <c r="T20" i="3"/>
  <c r="U20" i="3" s="1"/>
  <c r="V20" i="3" s="1"/>
  <c r="P20" i="3"/>
  <c r="R20" i="3" s="1"/>
  <c r="M20" i="3"/>
  <c r="T19" i="3"/>
  <c r="P19" i="3"/>
  <c r="R19" i="3" s="1"/>
  <c r="M19" i="3"/>
  <c r="T18" i="3"/>
  <c r="U18" i="3" s="1"/>
  <c r="V18" i="3" s="1"/>
  <c r="P18" i="3"/>
  <c r="R18" i="3" s="1"/>
  <c r="M18" i="3"/>
  <c r="T17" i="3"/>
  <c r="P17" i="3"/>
  <c r="R17" i="3" s="1"/>
  <c r="M17" i="3"/>
  <c r="T16" i="3"/>
  <c r="P16" i="3"/>
  <c r="R16" i="3" s="1"/>
  <c r="M16" i="3"/>
  <c r="T15" i="3"/>
  <c r="P15" i="3"/>
  <c r="R15" i="3" s="1"/>
  <c r="M15" i="3"/>
  <c r="T14" i="3"/>
  <c r="U14" i="3" s="1"/>
  <c r="V14" i="3" s="1"/>
  <c r="P14" i="3"/>
  <c r="R14" i="3" s="1"/>
  <c r="M14" i="3"/>
  <c r="T13" i="3"/>
  <c r="P13" i="3"/>
  <c r="R13" i="3" s="1"/>
  <c r="M13" i="3"/>
  <c r="T12" i="3"/>
  <c r="P12" i="3"/>
  <c r="R12" i="3" s="1"/>
  <c r="M12" i="3"/>
  <c r="I12" i="3"/>
  <c r="T11" i="3"/>
  <c r="P11" i="3"/>
  <c r="R11" i="3" s="1"/>
  <c r="M11" i="3"/>
  <c r="T10" i="3"/>
  <c r="P10" i="3"/>
  <c r="R10" i="3" s="1"/>
  <c r="M10" i="3"/>
  <c r="T9" i="3"/>
  <c r="P9" i="3"/>
  <c r="R9" i="3" s="1"/>
  <c r="M9" i="3"/>
  <c r="T8" i="3"/>
  <c r="P8" i="3"/>
  <c r="R8" i="3" s="1"/>
  <c r="M8" i="3"/>
  <c r="T7" i="3"/>
  <c r="P7" i="3"/>
  <c r="R7" i="3" s="1"/>
  <c r="M7" i="3"/>
  <c r="T6" i="3"/>
  <c r="P6" i="3"/>
  <c r="R6" i="3" s="1"/>
  <c r="M6" i="3"/>
  <c r="T5" i="3"/>
  <c r="P5" i="3"/>
  <c r="R5" i="3" s="1"/>
  <c r="M5" i="3"/>
  <c r="T4" i="3"/>
  <c r="P4" i="3"/>
  <c r="R4" i="3" s="1"/>
  <c r="M4" i="3"/>
  <c r="I4" i="3"/>
  <c r="E4" i="3"/>
  <c r="T3" i="3"/>
  <c r="P3" i="3"/>
  <c r="R3" i="3" s="1"/>
  <c r="M3" i="3"/>
  <c r="I3" i="3"/>
  <c r="E3" i="3"/>
  <c r="T2" i="3"/>
  <c r="P2" i="3"/>
  <c r="R2" i="3" s="1"/>
  <c r="M2" i="3"/>
  <c r="I2" i="3"/>
  <c r="E2" i="3"/>
  <c r="Y3" i="3" l="1"/>
  <c r="X3" i="3"/>
  <c r="Y15" i="3"/>
  <c r="X15" i="3"/>
  <c r="Y45" i="3"/>
  <c r="X45" i="3"/>
  <c r="Y49" i="3"/>
  <c r="X49" i="3"/>
  <c r="Y53" i="3"/>
  <c r="X53" i="3"/>
  <c r="Y57" i="3"/>
  <c r="X57" i="3"/>
  <c r="Y61" i="3"/>
  <c r="X61" i="3"/>
  <c r="Y65" i="3"/>
  <c r="X65" i="3"/>
  <c r="Y69" i="3"/>
  <c r="X69" i="3"/>
  <c r="Y75" i="3"/>
  <c r="X75" i="3"/>
  <c r="Y79" i="3"/>
  <c r="X79" i="3"/>
  <c r="Y83" i="3"/>
  <c r="X83" i="3"/>
  <c r="Y85" i="3"/>
  <c r="X85" i="3"/>
  <c r="Y89" i="3"/>
  <c r="X89" i="3"/>
  <c r="Y93" i="3"/>
  <c r="X93" i="3"/>
  <c r="Y97" i="3"/>
  <c r="X97" i="3"/>
  <c r="Y101" i="3"/>
  <c r="X101" i="3"/>
  <c r="Y105" i="3"/>
  <c r="X105" i="3"/>
  <c r="Y109" i="3"/>
  <c r="X109" i="3"/>
  <c r="Y113" i="3"/>
  <c r="X113" i="3"/>
  <c r="Y117" i="3"/>
  <c r="X117" i="3"/>
  <c r="Y121" i="3"/>
  <c r="X121" i="3"/>
  <c r="Y125" i="3"/>
  <c r="X125" i="3"/>
  <c r="Y129" i="3"/>
  <c r="X129" i="3"/>
  <c r="Y133" i="3"/>
  <c r="X133" i="3"/>
  <c r="Y137" i="3"/>
  <c r="X137" i="3"/>
  <c r="Y141" i="3"/>
  <c r="X141" i="3"/>
  <c r="Y145" i="3"/>
  <c r="X145" i="3"/>
  <c r="Y149" i="3"/>
  <c r="X149" i="3"/>
  <c r="Y153" i="3"/>
  <c r="X153" i="3"/>
  <c r="Y157" i="3"/>
  <c r="X157" i="3"/>
  <c r="Y161" i="3"/>
  <c r="X161" i="3"/>
  <c r="Y165" i="3"/>
  <c r="X165" i="3"/>
  <c r="Y169" i="3"/>
  <c r="X169" i="3"/>
  <c r="Y173" i="3"/>
  <c r="X173" i="3"/>
  <c r="Y177" i="3"/>
  <c r="X177" i="3"/>
  <c r="Y181" i="3"/>
  <c r="X181" i="3"/>
  <c r="Y185" i="3"/>
  <c r="X185" i="3"/>
  <c r="Y189" i="3"/>
  <c r="X189" i="3"/>
  <c r="Y193" i="3"/>
  <c r="X193" i="3"/>
  <c r="Y197" i="3"/>
  <c r="X197" i="3"/>
  <c r="Y201" i="3"/>
  <c r="X201" i="3"/>
  <c r="Y205" i="3"/>
  <c r="X205" i="3"/>
  <c r="Y209" i="3"/>
  <c r="X209" i="3"/>
  <c r="Y211" i="3"/>
  <c r="X211" i="3"/>
  <c r="Y215" i="3"/>
  <c r="X215" i="3"/>
  <c r="Y219" i="3"/>
  <c r="X219" i="3"/>
  <c r="Y223" i="3"/>
  <c r="X223" i="3"/>
  <c r="Y227" i="3"/>
  <c r="X227" i="3"/>
  <c r="Y231" i="3"/>
  <c r="X231" i="3"/>
  <c r="Y235" i="3"/>
  <c r="X235" i="3"/>
  <c r="Y239" i="3"/>
  <c r="X239" i="3"/>
  <c r="Y243" i="3"/>
  <c r="X243" i="3"/>
  <c r="Y247" i="3"/>
  <c r="X247" i="3"/>
  <c r="Y251" i="3"/>
  <c r="X251" i="3"/>
  <c r="Y255" i="3"/>
  <c r="X255" i="3"/>
  <c r="Y259" i="3"/>
  <c r="X259" i="3"/>
  <c r="Y263" i="3"/>
  <c r="X263" i="3"/>
  <c r="Y267" i="3"/>
  <c r="X267" i="3"/>
  <c r="Y271" i="3"/>
  <c r="X271" i="3"/>
  <c r="Y275" i="3"/>
  <c r="X275" i="3"/>
  <c r="Y279" i="3"/>
  <c r="X279" i="3"/>
  <c r="Y281" i="3"/>
  <c r="X281" i="3"/>
  <c r="Y285" i="3"/>
  <c r="X285" i="3"/>
  <c r="Y291" i="3"/>
  <c r="X291" i="3"/>
  <c r="Y295" i="3"/>
  <c r="X295" i="3"/>
  <c r="Y299" i="3"/>
  <c r="X299" i="3"/>
  <c r="Q303" i="3"/>
  <c r="Y303" i="3"/>
  <c r="X303" i="3"/>
  <c r="Q307" i="3"/>
  <c r="Y307" i="3"/>
  <c r="X307" i="3"/>
  <c r="Q311" i="3"/>
  <c r="Y311" i="3"/>
  <c r="X311" i="3"/>
  <c r="Q315" i="3"/>
  <c r="Y315" i="3"/>
  <c r="X315" i="3"/>
  <c r="Q319" i="3"/>
  <c r="Y319" i="3"/>
  <c r="X319" i="3"/>
  <c r="Y323" i="3"/>
  <c r="X323" i="3"/>
  <c r="Y327" i="3"/>
  <c r="X327" i="3"/>
  <c r="Y331" i="3"/>
  <c r="X331" i="3"/>
  <c r="Y335" i="3"/>
  <c r="X335" i="3"/>
  <c r="Y339" i="3"/>
  <c r="X339" i="3"/>
  <c r="Y343" i="3"/>
  <c r="X343" i="3"/>
  <c r="Y349" i="3"/>
  <c r="X349" i="3"/>
  <c r="Y353" i="3"/>
  <c r="X353" i="3"/>
  <c r="Y355" i="3"/>
  <c r="X355" i="3"/>
  <c r="Y359" i="3"/>
  <c r="X359" i="3"/>
  <c r="Y363" i="3"/>
  <c r="X363" i="3"/>
  <c r="Y367" i="3"/>
  <c r="X367" i="3"/>
  <c r="Y371" i="3"/>
  <c r="X371" i="3"/>
  <c r="Y377" i="3"/>
  <c r="X377" i="3"/>
  <c r="Y379" i="3"/>
  <c r="X379" i="3"/>
  <c r="Y383" i="3"/>
  <c r="X383" i="3"/>
  <c r="Y387" i="3"/>
  <c r="X387" i="3"/>
  <c r="Y393" i="3"/>
  <c r="X393" i="3"/>
  <c r="Y397" i="3"/>
  <c r="X397" i="3"/>
  <c r="Y401" i="3"/>
  <c r="X401" i="3"/>
  <c r="Y405" i="3"/>
  <c r="X405" i="3"/>
  <c r="Y409" i="3"/>
  <c r="X409" i="3"/>
  <c r="Y413" i="3"/>
  <c r="X413" i="3"/>
  <c r="Y417" i="3"/>
  <c r="X417" i="3"/>
  <c r="Y421" i="3"/>
  <c r="X421" i="3"/>
  <c r="Y425" i="3"/>
  <c r="X425" i="3"/>
  <c r="Y431" i="3"/>
  <c r="X431" i="3"/>
  <c r="Y475" i="3"/>
  <c r="X475" i="3"/>
  <c r="Y479" i="3"/>
  <c r="X479" i="3"/>
  <c r="Y483" i="3"/>
  <c r="X483" i="3"/>
  <c r="Y487" i="3"/>
  <c r="X487" i="3"/>
  <c r="Y491" i="3"/>
  <c r="X491" i="3"/>
  <c r="Y495" i="3"/>
  <c r="X495" i="3"/>
  <c r="Y499" i="3"/>
  <c r="X499" i="3"/>
  <c r="Y501" i="3"/>
  <c r="X501" i="3"/>
  <c r="Y505" i="3"/>
  <c r="X505" i="3"/>
  <c r="Y507" i="3"/>
  <c r="X507" i="3"/>
  <c r="Y509" i="3"/>
  <c r="X509" i="3"/>
  <c r="Y511" i="3"/>
  <c r="X511" i="3"/>
  <c r="Y513" i="3"/>
  <c r="X513" i="3"/>
  <c r="Y515" i="3"/>
  <c r="X515" i="3"/>
  <c r="Y519" i="3"/>
  <c r="X519" i="3"/>
  <c r="Y521" i="3"/>
  <c r="X521" i="3"/>
  <c r="Y523" i="3"/>
  <c r="X523" i="3"/>
  <c r="Y525" i="3"/>
  <c r="X525" i="3"/>
  <c r="Y527" i="3"/>
  <c r="X527" i="3"/>
  <c r="Y529" i="3"/>
  <c r="X529" i="3"/>
  <c r="Y531" i="3"/>
  <c r="X531" i="3"/>
  <c r="Y533" i="3"/>
  <c r="X533" i="3"/>
  <c r="Y535" i="3"/>
  <c r="X535" i="3"/>
  <c r="Y537" i="3"/>
  <c r="X537" i="3"/>
  <c r="Y539" i="3"/>
  <c r="X539" i="3"/>
  <c r="Y541" i="3"/>
  <c r="X541" i="3"/>
  <c r="Y543" i="3"/>
  <c r="X543" i="3"/>
  <c r="Y545" i="3"/>
  <c r="X545" i="3"/>
  <c r="Y547" i="3"/>
  <c r="X547" i="3"/>
  <c r="Y549" i="3"/>
  <c r="X549" i="3"/>
  <c r="Y551" i="3"/>
  <c r="X551" i="3"/>
  <c r="Y553" i="3"/>
  <c r="X553" i="3"/>
  <c r="Y555" i="3"/>
  <c r="X555" i="3"/>
  <c r="Y557" i="3"/>
  <c r="X557" i="3"/>
  <c r="Y559" i="3"/>
  <c r="X559" i="3"/>
  <c r="Y561" i="3"/>
  <c r="X561" i="3"/>
  <c r="Y563" i="3"/>
  <c r="X563" i="3"/>
  <c r="Y565" i="3"/>
  <c r="X565" i="3"/>
  <c r="Y567" i="3"/>
  <c r="X567" i="3"/>
  <c r="Y569" i="3"/>
  <c r="X569" i="3"/>
  <c r="Y571" i="3"/>
  <c r="X571" i="3"/>
  <c r="Y573" i="3"/>
  <c r="X573" i="3"/>
  <c r="Y575" i="3"/>
  <c r="X575" i="3"/>
  <c r="Y577" i="3"/>
  <c r="X577" i="3"/>
  <c r="Y579" i="3"/>
  <c r="X579" i="3"/>
  <c r="Y581" i="3"/>
  <c r="X581" i="3"/>
  <c r="Y583" i="3"/>
  <c r="X583" i="3"/>
  <c r="Y585" i="3"/>
  <c r="X585" i="3"/>
  <c r="Y587" i="3"/>
  <c r="X587" i="3"/>
  <c r="Y589" i="3"/>
  <c r="X589" i="3"/>
  <c r="Y591" i="3"/>
  <c r="X591" i="3"/>
  <c r="Y593" i="3"/>
  <c r="X593" i="3"/>
  <c r="Y595" i="3"/>
  <c r="X595" i="3"/>
  <c r="Y597" i="3"/>
  <c r="X597" i="3"/>
  <c r="Y599" i="3"/>
  <c r="X599" i="3"/>
  <c r="Y601" i="3"/>
  <c r="X601" i="3"/>
  <c r="Y603" i="3"/>
  <c r="X603" i="3"/>
  <c r="Y605" i="3"/>
  <c r="X605" i="3"/>
  <c r="Y607" i="3"/>
  <c r="X607" i="3"/>
  <c r="Y609" i="3"/>
  <c r="X609" i="3"/>
  <c r="Y611" i="3"/>
  <c r="X611" i="3"/>
  <c r="Y613" i="3"/>
  <c r="X613" i="3"/>
  <c r="Y615" i="3"/>
  <c r="X615" i="3"/>
  <c r="Y617" i="3"/>
  <c r="X617" i="3"/>
  <c r="Y619" i="3"/>
  <c r="X619" i="3"/>
  <c r="Y621" i="3"/>
  <c r="X621" i="3"/>
  <c r="Y623" i="3"/>
  <c r="X623" i="3"/>
  <c r="Y625" i="3"/>
  <c r="X625" i="3"/>
  <c r="Y627" i="3"/>
  <c r="X627" i="3"/>
  <c r="Y629" i="3"/>
  <c r="X629" i="3"/>
  <c r="Y631" i="3"/>
  <c r="X631" i="3"/>
  <c r="Y633" i="3"/>
  <c r="X633" i="3"/>
  <c r="Y635" i="3"/>
  <c r="X635" i="3"/>
  <c r="Y637" i="3"/>
  <c r="X637" i="3"/>
  <c r="Y639" i="3"/>
  <c r="X639" i="3"/>
  <c r="Y641" i="3"/>
  <c r="X641" i="3"/>
  <c r="Y643" i="3"/>
  <c r="X643" i="3"/>
  <c r="Y645" i="3"/>
  <c r="X645" i="3"/>
  <c r="Y647" i="3"/>
  <c r="X647" i="3"/>
  <c r="Y649" i="3"/>
  <c r="X649" i="3"/>
  <c r="Y651" i="3"/>
  <c r="X651" i="3"/>
  <c r="Y653" i="3"/>
  <c r="X653" i="3"/>
  <c r="Y655" i="3"/>
  <c r="X655" i="3"/>
  <c r="Y657" i="3"/>
  <c r="X657" i="3"/>
  <c r="Y659" i="3"/>
  <c r="X659" i="3"/>
  <c r="Y661" i="3"/>
  <c r="X661" i="3"/>
  <c r="Y663" i="3"/>
  <c r="X663" i="3"/>
  <c r="Y665" i="3"/>
  <c r="X665" i="3"/>
  <c r="Y667" i="3"/>
  <c r="X667" i="3"/>
  <c r="Y669" i="3"/>
  <c r="X669" i="3"/>
  <c r="Y671" i="3"/>
  <c r="X671" i="3"/>
  <c r="Y673" i="3"/>
  <c r="X673" i="3"/>
  <c r="Y675" i="3"/>
  <c r="X675" i="3"/>
  <c r="Y677" i="3"/>
  <c r="X677" i="3"/>
  <c r="Y679" i="3"/>
  <c r="X679" i="3"/>
  <c r="Y681" i="3"/>
  <c r="X681" i="3"/>
  <c r="Y683" i="3"/>
  <c r="X683" i="3"/>
  <c r="Y685" i="3"/>
  <c r="X685" i="3"/>
  <c r="Y687" i="3"/>
  <c r="X687" i="3"/>
  <c r="Y689" i="3"/>
  <c r="X689" i="3"/>
  <c r="Y691" i="3"/>
  <c r="X691" i="3"/>
  <c r="Y693" i="3"/>
  <c r="X693" i="3"/>
  <c r="Y695" i="3"/>
  <c r="X695" i="3"/>
  <c r="Y697" i="3"/>
  <c r="X697" i="3"/>
  <c r="Y699" i="3"/>
  <c r="X699" i="3"/>
  <c r="Y701" i="3"/>
  <c r="X701" i="3"/>
  <c r="Y703" i="3"/>
  <c r="X703" i="3"/>
  <c r="Y705" i="3"/>
  <c r="X705" i="3"/>
  <c r="Y707" i="3"/>
  <c r="X707" i="3"/>
  <c r="Y709" i="3"/>
  <c r="X709" i="3"/>
  <c r="Y711" i="3"/>
  <c r="X711" i="3"/>
  <c r="Y713" i="3"/>
  <c r="X713" i="3"/>
  <c r="Y715" i="3"/>
  <c r="X715" i="3"/>
  <c r="Y717" i="3"/>
  <c r="X717" i="3"/>
  <c r="Y719" i="3"/>
  <c r="X719" i="3"/>
  <c r="Y721" i="3"/>
  <c r="X721" i="3"/>
  <c r="Y723" i="3"/>
  <c r="X723" i="3"/>
  <c r="Y725" i="3"/>
  <c r="X725" i="3"/>
  <c r="Y727" i="3"/>
  <c r="X727" i="3"/>
  <c r="Y729" i="3"/>
  <c r="X729" i="3"/>
  <c r="Y731" i="3"/>
  <c r="X731" i="3"/>
  <c r="Y733" i="3"/>
  <c r="X733" i="3"/>
  <c r="Y735" i="3"/>
  <c r="X735" i="3"/>
  <c r="Y737" i="3"/>
  <c r="X737" i="3"/>
  <c r="Y739" i="3"/>
  <c r="X739" i="3"/>
  <c r="Y741" i="3"/>
  <c r="X741" i="3"/>
  <c r="Y743" i="3"/>
  <c r="X743" i="3"/>
  <c r="Y745" i="3"/>
  <c r="X745" i="3"/>
  <c r="Y747" i="3"/>
  <c r="X747" i="3"/>
  <c r="Y749" i="3"/>
  <c r="X749" i="3"/>
  <c r="Y751" i="3"/>
  <c r="X751" i="3"/>
  <c r="Y753" i="3"/>
  <c r="X753" i="3"/>
  <c r="Y755" i="3"/>
  <c r="X755" i="3"/>
  <c r="Y757" i="3"/>
  <c r="X757" i="3"/>
  <c r="Y759" i="3"/>
  <c r="X759" i="3"/>
  <c r="Y761" i="3"/>
  <c r="X761" i="3"/>
  <c r="Y763" i="3"/>
  <c r="X763" i="3"/>
  <c r="Y765" i="3"/>
  <c r="X765" i="3"/>
  <c r="Y767" i="3"/>
  <c r="X767" i="3"/>
  <c r="Y769" i="3"/>
  <c r="X769" i="3"/>
  <c r="Y771" i="3"/>
  <c r="X771" i="3"/>
  <c r="Y773" i="3"/>
  <c r="X773" i="3"/>
  <c r="Y775" i="3"/>
  <c r="X775" i="3"/>
  <c r="Y777" i="3"/>
  <c r="X777" i="3"/>
  <c r="Y779" i="3"/>
  <c r="X779" i="3"/>
  <c r="Y781" i="3"/>
  <c r="X781" i="3"/>
  <c r="Y783" i="3"/>
  <c r="X783" i="3"/>
  <c r="Y785" i="3"/>
  <c r="X785" i="3"/>
  <c r="Y787" i="3"/>
  <c r="X787" i="3"/>
  <c r="Y789" i="3"/>
  <c r="X789" i="3"/>
  <c r="Y791" i="3"/>
  <c r="X791" i="3"/>
  <c r="Y793" i="3"/>
  <c r="X793" i="3"/>
  <c r="Y795" i="3"/>
  <c r="X795" i="3"/>
  <c r="Y797" i="3"/>
  <c r="X797" i="3"/>
  <c r="Y799" i="3"/>
  <c r="X799" i="3"/>
  <c r="Y801" i="3"/>
  <c r="X801" i="3"/>
  <c r="Y803" i="3"/>
  <c r="X803" i="3"/>
  <c r="Y805" i="3"/>
  <c r="X805" i="3"/>
  <c r="Y807" i="3"/>
  <c r="X807" i="3"/>
  <c r="Y809" i="3"/>
  <c r="X809" i="3"/>
  <c r="Y811" i="3"/>
  <c r="X811" i="3"/>
  <c r="Y813" i="3"/>
  <c r="X813" i="3"/>
  <c r="Y815" i="3"/>
  <c r="X815" i="3"/>
  <c r="Y817" i="3"/>
  <c r="X817" i="3"/>
  <c r="Y819" i="3"/>
  <c r="X819" i="3"/>
  <c r="Y821" i="3"/>
  <c r="X821" i="3"/>
  <c r="Y823" i="3"/>
  <c r="X823" i="3"/>
  <c r="Y825" i="3"/>
  <c r="X825" i="3"/>
  <c r="Y827" i="3"/>
  <c r="X827" i="3"/>
  <c r="Y829" i="3"/>
  <c r="X829" i="3"/>
  <c r="Y831" i="3"/>
  <c r="X831" i="3"/>
  <c r="Y833" i="3"/>
  <c r="X833" i="3"/>
  <c r="Y835" i="3"/>
  <c r="X835" i="3"/>
  <c r="Y837" i="3"/>
  <c r="X837" i="3"/>
  <c r="Y839" i="3"/>
  <c r="X839" i="3"/>
  <c r="Y841" i="3"/>
  <c r="X841" i="3"/>
  <c r="Y843" i="3"/>
  <c r="X843" i="3"/>
  <c r="Y845" i="3"/>
  <c r="X845" i="3"/>
  <c r="Y847" i="3"/>
  <c r="X847" i="3"/>
  <c r="Y849" i="3"/>
  <c r="X849" i="3"/>
  <c r="Y851" i="3"/>
  <c r="X851" i="3"/>
  <c r="Y853" i="3"/>
  <c r="X853" i="3"/>
  <c r="Y855" i="3"/>
  <c r="X855" i="3"/>
  <c r="Y857" i="3"/>
  <c r="X857" i="3"/>
  <c r="Y859" i="3"/>
  <c r="X859" i="3"/>
  <c r="Y861" i="3"/>
  <c r="X861" i="3"/>
  <c r="Y863" i="3"/>
  <c r="X863" i="3"/>
  <c r="Y865" i="3"/>
  <c r="X865" i="3"/>
  <c r="Y867" i="3"/>
  <c r="X867" i="3"/>
  <c r="Y869" i="3"/>
  <c r="X869" i="3"/>
  <c r="Y871" i="3"/>
  <c r="X871" i="3"/>
  <c r="Y873" i="3"/>
  <c r="X873" i="3"/>
  <c r="Y875" i="3"/>
  <c r="X875" i="3"/>
  <c r="Y877" i="3"/>
  <c r="X877" i="3"/>
  <c r="Y879" i="3"/>
  <c r="X879" i="3"/>
  <c r="Y881" i="3"/>
  <c r="X881" i="3"/>
  <c r="Y883" i="3"/>
  <c r="X883" i="3"/>
  <c r="Y885" i="3"/>
  <c r="X885" i="3"/>
  <c r="Y887" i="3"/>
  <c r="X887" i="3"/>
  <c r="Y889" i="3"/>
  <c r="X889" i="3"/>
  <c r="Y891" i="3"/>
  <c r="X891" i="3"/>
  <c r="Y893" i="3"/>
  <c r="X893" i="3"/>
  <c r="Y895" i="3"/>
  <c r="X895" i="3"/>
  <c r="Y897" i="3"/>
  <c r="X897" i="3"/>
  <c r="Y899" i="3"/>
  <c r="X899" i="3"/>
  <c r="Y901" i="3"/>
  <c r="X901" i="3"/>
  <c r="Y903" i="3"/>
  <c r="X903" i="3"/>
  <c r="Y905" i="3"/>
  <c r="X905" i="3"/>
  <c r="Y907" i="3"/>
  <c r="X907" i="3"/>
  <c r="Y909" i="3"/>
  <c r="X909" i="3"/>
  <c r="Y911" i="3"/>
  <c r="X911" i="3"/>
  <c r="Y913" i="3"/>
  <c r="X913" i="3"/>
  <c r="Y915" i="3"/>
  <c r="X915" i="3"/>
  <c r="Y917" i="3"/>
  <c r="X917" i="3"/>
  <c r="Y919" i="3"/>
  <c r="X919" i="3"/>
  <c r="Y921" i="3"/>
  <c r="X921" i="3"/>
  <c r="Y923" i="3"/>
  <c r="X923" i="3"/>
  <c r="Y925" i="3"/>
  <c r="X925" i="3"/>
  <c r="Y927" i="3"/>
  <c r="X927" i="3"/>
  <c r="Y929" i="3"/>
  <c r="X929" i="3"/>
  <c r="Y931" i="3"/>
  <c r="X931" i="3"/>
  <c r="Y933" i="3"/>
  <c r="X933" i="3"/>
  <c r="Y935" i="3"/>
  <c r="X935" i="3"/>
  <c r="Y937" i="3"/>
  <c r="X937" i="3"/>
  <c r="Y939" i="3"/>
  <c r="X939" i="3"/>
  <c r="Y941" i="3"/>
  <c r="X941" i="3"/>
  <c r="Y943" i="3"/>
  <c r="X943" i="3"/>
  <c r="Y945" i="3"/>
  <c r="X945" i="3"/>
  <c r="Y947" i="3"/>
  <c r="X947" i="3"/>
  <c r="Y949" i="3"/>
  <c r="X949" i="3"/>
  <c r="Y951" i="3"/>
  <c r="X951" i="3"/>
  <c r="Y953" i="3"/>
  <c r="X953" i="3"/>
  <c r="Y955" i="3"/>
  <c r="X955" i="3"/>
  <c r="Y957" i="3"/>
  <c r="X957" i="3"/>
  <c r="Y959" i="3"/>
  <c r="X959" i="3"/>
  <c r="Y961" i="3"/>
  <c r="X961" i="3"/>
  <c r="Y963" i="3"/>
  <c r="X963" i="3"/>
  <c r="Y965" i="3"/>
  <c r="X965" i="3"/>
  <c r="Y967" i="3"/>
  <c r="X967" i="3"/>
  <c r="Y969" i="3"/>
  <c r="X969" i="3"/>
  <c r="Y971" i="3"/>
  <c r="X971" i="3"/>
  <c r="Y973" i="3"/>
  <c r="X973" i="3"/>
  <c r="Y975" i="3"/>
  <c r="X975" i="3"/>
  <c r="Y977" i="3"/>
  <c r="X977" i="3"/>
  <c r="Y979" i="3"/>
  <c r="X979" i="3"/>
  <c r="Y981" i="3"/>
  <c r="X981" i="3"/>
  <c r="Y983" i="3"/>
  <c r="X983" i="3"/>
  <c r="Y985" i="3"/>
  <c r="X985" i="3"/>
  <c r="Y987" i="3"/>
  <c r="X987" i="3"/>
  <c r="Y989" i="3"/>
  <c r="X989" i="3"/>
  <c r="Y991" i="3"/>
  <c r="X991" i="3"/>
  <c r="Y993" i="3"/>
  <c r="X993" i="3"/>
  <c r="Y995" i="3"/>
  <c r="X995" i="3"/>
  <c r="Y997" i="3"/>
  <c r="X997" i="3"/>
  <c r="Y999" i="3"/>
  <c r="X999" i="3"/>
  <c r="Y1001" i="3"/>
  <c r="X1001" i="3"/>
  <c r="Y43" i="3"/>
  <c r="X43" i="3"/>
  <c r="Y47" i="3"/>
  <c r="X47" i="3"/>
  <c r="Y51" i="3"/>
  <c r="X51" i="3"/>
  <c r="Y55" i="3"/>
  <c r="X55" i="3"/>
  <c r="Y59" i="3"/>
  <c r="X59" i="3"/>
  <c r="Y63" i="3"/>
  <c r="X63" i="3"/>
  <c r="Y67" i="3"/>
  <c r="X67" i="3"/>
  <c r="Y71" i="3"/>
  <c r="X71" i="3"/>
  <c r="Y73" i="3"/>
  <c r="X73" i="3"/>
  <c r="Y77" i="3"/>
  <c r="X77" i="3"/>
  <c r="Y81" i="3"/>
  <c r="X81" i="3"/>
  <c r="Y87" i="3"/>
  <c r="X87" i="3"/>
  <c r="Y91" i="3"/>
  <c r="X91" i="3"/>
  <c r="Y95" i="3"/>
  <c r="X95" i="3"/>
  <c r="Y99" i="3"/>
  <c r="X99" i="3"/>
  <c r="Y103" i="3"/>
  <c r="X103" i="3"/>
  <c r="Y107" i="3"/>
  <c r="X107" i="3"/>
  <c r="Y111" i="3"/>
  <c r="X111" i="3"/>
  <c r="Y115" i="3"/>
  <c r="X115" i="3"/>
  <c r="Y119" i="3"/>
  <c r="X119" i="3"/>
  <c r="Y123" i="3"/>
  <c r="X123" i="3"/>
  <c r="Y127" i="3"/>
  <c r="X127" i="3"/>
  <c r="Y131" i="3"/>
  <c r="X131" i="3"/>
  <c r="Y135" i="3"/>
  <c r="X135" i="3"/>
  <c r="Y139" i="3"/>
  <c r="X139" i="3"/>
  <c r="Y143" i="3"/>
  <c r="X143" i="3"/>
  <c r="Y147" i="3"/>
  <c r="X147" i="3"/>
  <c r="Y151" i="3"/>
  <c r="X151" i="3"/>
  <c r="Y155" i="3"/>
  <c r="X155" i="3"/>
  <c r="Y159" i="3"/>
  <c r="X159" i="3"/>
  <c r="Y163" i="3"/>
  <c r="X163" i="3"/>
  <c r="Y167" i="3"/>
  <c r="X167" i="3"/>
  <c r="Y171" i="3"/>
  <c r="X171" i="3"/>
  <c r="Y175" i="3"/>
  <c r="X175" i="3"/>
  <c r="Y179" i="3"/>
  <c r="X179" i="3"/>
  <c r="Y183" i="3"/>
  <c r="X183" i="3"/>
  <c r="Y187" i="3"/>
  <c r="X187" i="3"/>
  <c r="Y191" i="3"/>
  <c r="X191" i="3"/>
  <c r="Y195" i="3"/>
  <c r="X195" i="3"/>
  <c r="Y199" i="3"/>
  <c r="X199" i="3"/>
  <c r="Y203" i="3"/>
  <c r="X203" i="3"/>
  <c r="Y207" i="3"/>
  <c r="X207" i="3"/>
  <c r="Y213" i="3"/>
  <c r="X213" i="3"/>
  <c r="Y217" i="3"/>
  <c r="X217" i="3"/>
  <c r="Y221" i="3"/>
  <c r="X221" i="3"/>
  <c r="Y225" i="3"/>
  <c r="X225" i="3"/>
  <c r="Y229" i="3"/>
  <c r="X229" i="3"/>
  <c r="Y233" i="3"/>
  <c r="X233" i="3"/>
  <c r="Y237" i="3"/>
  <c r="X237" i="3"/>
  <c r="Y241" i="3"/>
  <c r="X241" i="3"/>
  <c r="Y245" i="3"/>
  <c r="X245" i="3"/>
  <c r="Y249" i="3"/>
  <c r="X249" i="3"/>
  <c r="Y253" i="3"/>
  <c r="X253" i="3"/>
  <c r="Y257" i="3"/>
  <c r="X257" i="3"/>
  <c r="Y261" i="3"/>
  <c r="X261" i="3"/>
  <c r="Y265" i="3"/>
  <c r="X265" i="3"/>
  <c r="Y269" i="3"/>
  <c r="X269" i="3"/>
  <c r="Y273" i="3"/>
  <c r="X273" i="3"/>
  <c r="Y277" i="3"/>
  <c r="X277" i="3"/>
  <c r="Y283" i="3"/>
  <c r="X283" i="3"/>
  <c r="Y287" i="3"/>
  <c r="X287" i="3"/>
  <c r="Y289" i="3"/>
  <c r="X289" i="3"/>
  <c r="Y293" i="3"/>
  <c r="X293" i="3"/>
  <c r="Y297" i="3"/>
  <c r="X297" i="3"/>
  <c r="Y301" i="3"/>
  <c r="X301" i="3"/>
  <c r="Q305" i="3"/>
  <c r="Y305" i="3"/>
  <c r="X305" i="3"/>
  <c r="Q309" i="3"/>
  <c r="Y309" i="3"/>
  <c r="X309" i="3"/>
  <c r="Q313" i="3"/>
  <c r="Y313" i="3"/>
  <c r="X313" i="3"/>
  <c r="Q317" i="3"/>
  <c r="Y317" i="3"/>
  <c r="X317" i="3"/>
  <c r="Q321" i="3"/>
  <c r="Y321" i="3"/>
  <c r="X321" i="3"/>
  <c r="Y325" i="3"/>
  <c r="X325" i="3"/>
  <c r="Y329" i="3"/>
  <c r="X329" i="3"/>
  <c r="Y333" i="3"/>
  <c r="X333" i="3"/>
  <c r="Y337" i="3"/>
  <c r="X337" i="3"/>
  <c r="Y341" i="3"/>
  <c r="X341" i="3"/>
  <c r="Y345" i="3"/>
  <c r="X345" i="3"/>
  <c r="Y347" i="3"/>
  <c r="X347" i="3"/>
  <c r="Y351" i="3"/>
  <c r="X351" i="3"/>
  <c r="Y357" i="3"/>
  <c r="X357" i="3"/>
  <c r="Y361" i="3"/>
  <c r="X361" i="3"/>
  <c r="Y365" i="3"/>
  <c r="X365" i="3"/>
  <c r="Y369" i="3"/>
  <c r="X369" i="3"/>
  <c r="Y373" i="3"/>
  <c r="X373" i="3"/>
  <c r="Y375" i="3"/>
  <c r="X375" i="3"/>
  <c r="Y381" i="3"/>
  <c r="X381" i="3"/>
  <c r="Y385" i="3"/>
  <c r="X385" i="3"/>
  <c r="Y389" i="3"/>
  <c r="X389" i="3"/>
  <c r="Y391" i="3"/>
  <c r="X391" i="3"/>
  <c r="Y395" i="3"/>
  <c r="X395" i="3"/>
  <c r="Y399" i="3"/>
  <c r="X399" i="3"/>
  <c r="Y403" i="3"/>
  <c r="X403" i="3"/>
  <c r="Y407" i="3"/>
  <c r="X407" i="3"/>
  <c r="Y411" i="3"/>
  <c r="X411" i="3"/>
  <c r="Y415" i="3"/>
  <c r="X415" i="3"/>
  <c r="Y419" i="3"/>
  <c r="X419" i="3"/>
  <c r="Y423" i="3"/>
  <c r="X423" i="3"/>
  <c r="Y427" i="3"/>
  <c r="X427" i="3"/>
  <c r="Y429" i="3"/>
  <c r="X429" i="3"/>
  <c r="Y433" i="3"/>
  <c r="X433" i="3"/>
  <c r="Y435" i="3"/>
  <c r="X435" i="3"/>
  <c r="Y437" i="3"/>
  <c r="X437" i="3"/>
  <c r="Y439" i="3"/>
  <c r="X439" i="3"/>
  <c r="Y441" i="3"/>
  <c r="X441" i="3"/>
  <c r="Y443" i="3"/>
  <c r="X443" i="3"/>
  <c r="Y445" i="3"/>
  <c r="X445" i="3"/>
  <c r="Y447" i="3"/>
  <c r="X447" i="3"/>
  <c r="Y449" i="3"/>
  <c r="X449" i="3"/>
  <c r="Y451" i="3"/>
  <c r="X451" i="3"/>
  <c r="Y453" i="3"/>
  <c r="X453" i="3"/>
  <c r="Y455" i="3"/>
  <c r="X455" i="3"/>
  <c r="Y457" i="3"/>
  <c r="X457" i="3"/>
  <c r="Y459" i="3"/>
  <c r="X459" i="3"/>
  <c r="Y461" i="3"/>
  <c r="X461" i="3"/>
  <c r="Y463" i="3"/>
  <c r="X463" i="3"/>
  <c r="Y465" i="3"/>
  <c r="X465" i="3"/>
  <c r="Y467" i="3"/>
  <c r="X467" i="3"/>
  <c r="Y469" i="3"/>
  <c r="X469" i="3"/>
  <c r="Y471" i="3"/>
  <c r="X471" i="3"/>
  <c r="Y473" i="3"/>
  <c r="X473" i="3"/>
  <c r="Y477" i="3"/>
  <c r="X477" i="3"/>
  <c r="Y481" i="3"/>
  <c r="X481" i="3"/>
  <c r="Y485" i="3"/>
  <c r="X485" i="3"/>
  <c r="Y489" i="3"/>
  <c r="X489" i="3"/>
  <c r="Y493" i="3"/>
  <c r="X493" i="3"/>
  <c r="Y497" i="3"/>
  <c r="X497" i="3"/>
  <c r="Y503" i="3"/>
  <c r="X503" i="3"/>
  <c r="Y517" i="3"/>
  <c r="X517" i="3"/>
  <c r="Y4" i="3"/>
  <c r="X4" i="3"/>
  <c r="Y8" i="3"/>
  <c r="X8" i="3"/>
  <c r="Y14" i="3"/>
  <c r="X14" i="3"/>
  <c r="Y18" i="3"/>
  <c r="X18" i="3"/>
  <c r="Z18" i="3" s="1"/>
  <c r="Y5" i="3"/>
  <c r="X5" i="3"/>
  <c r="Y13" i="3"/>
  <c r="X13" i="3"/>
  <c r="Y17" i="3"/>
  <c r="X17" i="3"/>
  <c r="Y21" i="3"/>
  <c r="X21" i="3"/>
  <c r="Y44" i="3"/>
  <c r="X44" i="3"/>
  <c r="Y48" i="3"/>
  <c r="X48" i="3"/>
  <c r="Y52" i="3"/>
  <c r="X52" i="3"/>
  <c r="Y58" i="3"/>
  <c r="X58" i="3"/>
  <c r="Y62" i="3"/>
  <c r="X62" i="3"/>
  <c r="Y66" i="3"/>
  <c r="X66" i="3"/>
  <c r="Y70" i="3"/>
  <c r="X70" i="3"/>
  <c r="Y74" i="3"/>
  <c r="X74" i="3"/>
  <c r="Y78" i="3"/>
  <c r="X78" i="3"/>
  <c r="Y82" i="3"/>
  <c r="X82" i="3"/>
  <c r="Y86" i="3"/>
  <c r="X86" i="3"/>
  <c r="Y90" i="3"/>
  <c r="X90" i="3"/>
  <c r="Y94" i="3"/>
  <c r="X94" i="3"/>
  <c r="Y98" i="3"/>
  <c r="X98" i="3"/>
  <c r="Y102" i="3"/>
  <c r="X102" i="3"/>
  <c r="Y106" i="3"/>
  <c r="X106" i="3"/>
  <c r="Y110" i="3"/>
  <c r="X110" i="3"/>
  <c r="Y114" i="3"/>
  <c r="X114" i="3"/>
  <c r="Y118" i="3"/>
  <c r="X118" i="3"/>
  <c r="Y122" i="3"/>
  <c r="X122" i="3"/>
  <c r="Y126" i="3"/>
  <c r="X126" i="3"/>
  <c r="Y130" i="3"/>
  <c r="X130" i="3"/>
  <c r="Y134" i="3"/>
  <c r="X134" i="3"/>
  <c r="Y138" i="3"/>
  <c r="X138" i="3"/>
  <c r="Y140" i="3"/>
  <c r="X140" i="3"/>
  <c r="Y144" i="3"/>
  <c r="X144" i="3"/>
  <c r="Y148" i="3"/>
  <c r="X148" i="3"/>
  <c r="Y152" i="3"/>
  <c r="X152" i="3"/>
  <c r="Y156" i="3"/>
  <c r="X156" i="3"/>
  <c r="Y160" i="3"/>
  <c r="X160" i="3"/>
  <c r="Y164" i="3"/>
  <c r="X164" i="3"/>
  <c r="Y168" i="3"/>
  <c r="X168" i="3"/>
  <c r="Y172" i="3"/>
  <c r="X172" i="3"/>
  <c r="Y176" i="3"/>
  <c r="X176" i="3"/>
  <c r="Y180" i="3"/>
  <c r="X180" i="3"/>
  <c r="Y184" i="3"/>
  <c r="X184" i="3"/>
  <c r="Y188" i="3"/>
  <c r="X188" i="3"/>
  <c r="Y192" i="3"/>
  <c r="X192" i="3"/>
  <c r="Y196" i="3"/>
  <c r="X196" i="3"/>
  <c r="Y200" i="3"/>
  <c r="X200" i="3"/>
  <c r="Y204" i="3"/>
  <c r="X204" i="3"/>
  <c r="Y208" i="3"/>
  <c r="X208" i="3"/>
  <c r="Y212" i="3"/>
  <c r="X212" i="3"/>
  <c r="Y216" i="3"/>
  <c r="X216" i="3"/>
  <c r="Y220" i="3"/>
  <c r="X220" i="3"/>
  <c r="Y224" i="3"/>
  <c r="X224" i="3"/>
  <c r="Y226" i="3"/>
  <c r="X226" i="3"/>
  <c r="Y230" i="3"/>
  <c r="X230" i="3"/>
  <c r="Y234" i="3"/>
  <c r="X234" i="3"/>
  <c r="Y238" i="3"/>
  <c r="X238" i="3"/>
  <c r="Y242" i="3"/>
  <c r="X242" i="3"/>
  <c r="Y246" i="3"/>
  <c r="X246" i="3"/>
  <c r="Y250" i="3"/>
  <c r="X250" i="3"/>
  <c r="Y254" i="3"/>
  <c r="X254" i="3"/>
  <c r="Y258" i="3"/>
  <c r="X258" i="3"/>
  <c r="Y262" i="3"/>
  <c r="X262" i="3"/>
  <c r="Y266" i="3"/>
  <c r="X266" i="3"/>
  <c r="Y270" i="3"/>
  <c r="X270" i="3"/>
  <c r="Y274" i="3"/>
  <c r="X274" i="3"/>
  <c r="Y278" i="3"/>
  <c r="X278" i="3"/>
  <c r="Y282" i="3"/>
  <c r="X282" i="3"/>
  <c r="Y286" i="3"/>
  <c r="X286" i="3"/>
  <c r="Y290" i="3"/>
  <c r="X290" i="3"/>
  <c r="Y294" i="3"/>
  <c r="X294" i="3"/>
  <c r="Y298" i="3"/>
  <c r="X298" i="3"/>
  <c r="Q302" i="3"/>
  <c r="Y302" i="3"/>
  <c r="X302" i="3"/>
  <c r="Y308" i="3"/>
  <c r="X308" i="3"/>
  <c r="Y312" i="3"/>
  <c r="X312" i="3"/>
  <c r="Y316" i="3"/>
  <c r="X316" i="3"/>
  <c r="Y320" i="3"/>
  <c r="X320" i="3"/>
  <c r="Y324" i="3"/>
  <c r="X324" i="3"/>
  <c r="Y328" i="3"/>
  <c r="X328" i="3"/>
  <c r="Y332" i="3"/>
  <c r="X332" i="3"/>
  <c r="Y336" i="3"/>
  <c r="X336" i="3"/>
  <c r="Y340" i="3"/>
  <c r="X340" i="3"/>
  <c r="Y344" i="3"/>
  <c r="X344" i="3"/>
  <c r="Y348" i="3"/>
  <c r="X348" i="3"/>
  <c r="Y354" i="3"/>
  <c r="X354" i="3"/>
  <c r="Y358" i="3"/>
  <c r="X358" i="3"/>
  <c r="Y362" i="3"/>
  <c r="X362" i="3"/>
  <c r="Y366" i="3"/>
  <c r="X366" i="3"/>
  <c r="Y370" i="3"/>
  <c r="X370" i="3"/>
  <c r="Y374" i="3"/>
  <c r="X374" i="3"/>
  <c r="Y378" i="3"/>
  <c r="X378" i="3"/>
  <c r="Y382" i="3"/>
  <c r="X382" i="3"/>
  <c r="Y386" i="3"/>
  <c r="X386" i="3"/>
  <c r="Y390" i="3"/>
  <c r="X390" i="3"/>
  <c r="Y394" i="3"/>
  <c r="X394" i="3"/>
  <c r="Y398" i="3"/>
  <c r="X398" i="3"/>
  <c r="Y404" i="3"/>
  <c r="X404" i="3"/>
  <c r="Y408" i="3"/>
  <c r="X408" i="3"/>
  <c r="Y410" i="3"/>
  <c r="X410" i="3"/>
  <c r="Y414" i="3"/>
  <c r="X414" i="3"/>
  <c r="Y418" i="3"/>
  <c r="X418" i="3"/>
  <c r="Y422" i="3"/>
  <c r="X422" i="3"/>
  <c r="Y426" i="3"/>
  <c r="X426" i="3"/>
  <c r="Y430" i="3"/>
  <c r="X430" i="3"/>
  <c r="Y434" i="3"/>
  <c r="X434" i="3"/>
  <c r="Y438" i="3"/>
  <c r="X438" i="3"/>
  <c r="Y442" i="3"/>
  <c r="X442" i="3"/>
  <c r="Y444" i="3"/>
  <c r="X444" i="3"/>
  <c r="Y448" i="3"/>
  <c r="X448" i="3"/>
  <c r="Y452" i="3"/>
  <c r="X452" i="3"/>
  <c r="Y456" i="3"/>
  <c r="X456" i="3"/>
  <c r="Y460" i="3"/>
  <c r="X460" i="3"/>
  <c r="Y464" i="3"/>
  <c r="X464" i="3"/>
  <c r="Y468" i="3"/>
  <c r="X468" i="3"/>
  <c r="Y472" i="3"/>
  <c r="X472" i="3"/>
  <c r="Y476" i="3"/>
  <c r="X476" i="3"/>
  <c r="Y478" i="3"/>
  <c r="X478" i="3"/>
  <c r="Y484" i="3"/>
  <c r="X484" i="3"/>
  <c r="Y488" i="3"/>
  <c r="X488" i="3"/>
  <c r="Y492" i="3"/>
  <c r="X492" i="3"/>
  <c r="Y494" i="3"/>
  <c r="X494" i="3"/>
  <c r="Y498" i="3"/>
  <c r="X498" i="3"/>
  <c r="Y500" i="3"/>
  <c r="X500" i="3"/>
  <c r="Y502" i="3"/>
  <c r="X502" i="3"/>
  <c r="Y504" i="3"/>
  <c r="X504" i="3"/>
  <c r="Y506" i="3"/>
  <c r="X506" i="3"/>
  <c r="Y510" i="3"/>
  <c r="X510" i="3"/>
  <c r="Y512" i="3"/>
  <c r="X512" i="3"/>
  <c r="Y514" i="3"/>
  <c r="X514" i="3"/>
  <c r="Y516" i="3"/>
  <c r="X516" i="3"/>
  <c r="Y518" i="3"/>
  <c r="X518" i="3"/>
  <c r="Y520" i="3"/>
  <c r="X520" i="3"/>
  <c r="Y522" i="3"/>
  <c r="X522" i="3"/>
  <c r="Y524" i="3"/>
  <c r="X524" i="3"/>
  <c r="Y526" i="3"/>
  <c r="X526" i="3"/>
  <c r="Y528" i="3"/>
  <c r="X528" i="3"/>
  <c r="Y530" i="3"/>
  <c r="X530" i="3"/>
  <c r="Y532" i="3"/>
  <c r="X532" i="3"/>
  <c r="Y534" i="3"/>
  <c r="X534" i="3"/>
  <c r="Y536" i="3"/>
  <c r="X536" i="3"/>
  <c r="Y538" i="3"/>
  <c r="X538" i="3"/>
  <c r="Y540" i="3"/>
  <c r="X540" i="3"/>
  <c r="Y542" i="3"/>
  <c r="X542" i="3"/>
  <c r="Y544" i="3"/>
  <c r="X544" i="3"/>
  <c r="Y546" i="3"/>
  <c r="X546" i="3"/>
  <c r="Y548" i="3"/>
  <c r="X548" i="3"/>
  <c r="Y550" i="3"/>
  <c r="X550" i="3"/>
  <c r="Y552" i="3"/>
  <c r="X552" i="3"/>
  <c r="Y554" i="3"/>
  <c r="X554" i="3"/>
  <c r="Y556" i="3"/>
  <c r="X556" i="3"/>
  <c r="Y558" i="3"/>
  <c r="X558" i="3"/>
  <c r="Y560" i="3"/>
  <c r="X560" i="3"/>
  <c r="Y562" i="3"/>
  <c r="X562" i="3"/>
  <c r="Y564" i="3"/>
  <c r="X564" i="3"/>
  <c r="Y566" i="3"/>
  <c r="X566" i="3"/>
  <c r="Y568" i="3"/>
  <c r="X568" i="3"/>
  <c r="Y570" i="3"/>
  <c r="X570" i="3"/>
  <c r="Y572" i="3"/>
  <c r="X572" i="3"/>
  <c r="Y574" i="3"/>
  <c r="X574" i="3"/>
  <c r="Y576" i="3"/>
  <c r="X576" i="3"/>
  <c r="Y578" i="3"/>
  <c r="X578" i="3"/>
  <c r="Y580" i="3"/>
  <c r="X580" i="3"/>
  <c r="Y582" i="3"/>
  <c r="X582" i="3"/>
  <c r="Y584" i="3"/>
  <c r="X584" i="3"/>
  <c r="Y586" i="3"/>
  <c r="X586" i="3"/>
  <c r="Y588" i="3"/>
  <c r="X588" i="3"/>
  <c r="Y590" i="3"/>
  <c r="X590" i="3"/>
  <c r="Y592" i="3"/>
  <c r="X592" i="3"/>
  <c r="Y594" i="3"/>
  <c r="X594" i="3"/>
  <c r="Y596" i="3"/>
  <c r="X596" i="3"/>
  <c r="Y598" i="3"/>
  <c r="X598" i="3"/>
  <c r="Y600" i="3"/>
  <c r="X600" i="3"/>
  <c r="Y602" i="3"/>
  <c r="X602" i="3"/>
  <c r="Y604" i="3"/>
  <c r="X604" i="3"/>
  <c r="Y606" i="3"/>
  <c r="X606" i="3"/>
  <c r="Y608" i="3"/>
  <c r="X608" i="3"/>
  <c r="Y610" i="3"/>
  <c r="X610" i="3"/>
  <c r="Y612" i="3"/>
  <c r="X612" i="3"/>
  <c r="Y614" i="3"/>
  <c r="X614" i="3"/>
  <c r="Y616" i="3"/>
  <c r="X616" i="3"/>
  <c r="Y618" i="3"/>
  <c r="X618" i="3"/>
  <c r="Y620" i="3"/>
  <c r="X620" i="3"/>
  <c r="Y622" i="3"/>
  <c r="X622" i="3"/>
  <c r="Y624" i="3"/>
  <c r="X624" i="3"/>
  <c r="Y626" i="3"/>
  <c r="X626" i="3"/>
  <c r="Y628" i="3"/>
  <c r="X628" i="3"/>
  <c r="Y630" i="3"/>
  <c r="X630" i="3"/>
  <c r="Y632" i="3"/>
  <c r="X632" i="3"/>
  <c r="Y634" i="3"/>
  <c r="X634" i="3"/>
  <c r="Y636" i="3"/>
  <c r="X636" i="3"/>
  <c r="Y638" i="3"/>
  <c r="X638" i="3"/>
  <c r="Y640" i="3"/>
  <c r="X640" i="3"/>
  <c r="Y642" i="3"/>
  <c r="X642" i="3"/>
  <c r="Y644" i="3"/>
  <c r="X644" i="3"/>
  <c r="Y646" i="3"/>
  <c r="X646" i="3"/>
  <c r="Y648" i="3"/>
  <c r="X648" i="3"/>
  <c r="Y650" i="3"/>
  <c r="X650" i="3"/>
  <c r="Y652" i="3"/>
  <c r="X652" i="3"/>
  <c r="Y654" i="3"/>
  <c r="X654" i="3"/>
  <c r="Y656" i="3"/>
  <c r="X656" i="3"/>
  <c r="Y658" i="3"/>
  <c r="X658" i="3"/>
  <c r="Y660" i="3"/>
  <c r="X660" i="3"/>
  <c r="Y662" i="3"/>
  <c r="X662" i="3"/>
  <c r="Y664" i="3"/>
  <c r="X664" i="3"/>
  <c r="Y666" i="3"/>
  <c r="X666" i="3"/>
  <c r="Y668" i="3"/>
  <c r="X668" i="3"/>
  <c r="Y670" i="3"/>
  <c r="X670" i="3"/>
  <c r="Y672" i="3"/>
  <c r="X672" i="3"/>
  <c r="Y674" i="3"/>
  <c r="X674" i="3"/>
  <c r="Y676" i="3"/>
  <c r="X676" i="3"/>
  <c r="Y678" i="3"/>
  <c r="X678" i="3"/>
  <c r="Y680" i="3"/>
  <c r="X680" i="3"/>
  <c r="Y682" i="3"/>
  <c r="X682" i="3"/>
  <c r="Y684" i="3"/>
  <c r="X684" i="3"/>
  <c r="Y686" i="3"/>
  <c r="X686" i="3"/>
  <c r="Y688" i="3"/>
  <c r="X688" i="3"/>
  <c r="Y690" i="3"/>
  <c r="X690" i="3"/>
  <c r="Y692" i="3"/>
  <c r="X692" i="3"/>
  <c r="Y694" i="3"/>
  <c r="X694" i="3"/>
  <c r="Y696" i="3"/>
  <c r="X696" i="3"/>
  <c r="Y698" i="3"/>
  <c r="X698" i="3"/>
  <c r="Y700" i="3"/>
  <c r="X700" i="3"/>
  <c r="Y702" i="3"/>
  <c r="X702" i="3"/>
  <c r="Y704" i="3"/>
  <c r="X704" i="3"/>
  <c r="Y706" i="3"/>
  <c r="X706" i="3"/>
  <c r="Y708" i="3"/>
  <c r="X708" i="3"/>
  <c r="Y710" i="3"/>
  <c r="X710" i="3"/>
  <c r="Y712" i="3"/>
  <c r="X712" i="3"/>
  <c r="Y714" i="3"/>
  <c r="X714" i="3"/>
  <c r="Y716" i="3"/>
  <c r="X716" i="3"/>
  <c r="Y718" i="3"/>
  <c r="X718" i="3"/>
  <c r="Y720" i="3"/>
  <c r="X720" i="3"/>
  <c r="Y722" i="3"/>
  <c r="X722" i="3"/>
  <c r="Y724" i="3"/>
  <c r="X724" i="3"/>
  <c r="Y726" i="3"/>
  <c r="X726" i="3"/>
  <c r="Y728" i="3"/>
  <c r="X728" i="3"/>
  <c r="Y730" i="3"/>
  <c r="X730" i="3"/>
  <c r="Y732" i="3"/>
  <c r="X732" i="3"/>
  <c r="Y734" i="3"/>
  <c r="X734" i="3"/>
  <c r="Y736" i="3"/>
  <c r="X736" i="3"/>
  <c r="Y738" i="3"/>
  <c r="X738" i="3"/>
  <c r="Y740" i="3"/>
  <c r="X740" i="3"/>
  <c r="Y742" i="3"/>
  <c r="X742" i="3"/>
  <c r="Y744" i="3"/>
  <c r="X744" i="3"/>
  <c r="Y746" i="3"/>
  <c r="X746" i="3"/>
  <c r="Y748" i="3"/>
  <c r="X748" i="3"/>
  <c r="Y750" i="3"/>
  <c r="X750" i="3"/>
  <c r="Y752" i="3"/>
  <c r="X752" i="3"/>
  <c r="Y754" i="3"/>
  <c r="X754" i="3"/>
  <c r="Y756" i="3"/>
  <c r="X756" i="3"/>
  <c r="Y758" i="3"/>
  <c r="X758" i="3"/>
  <c r="Y760" i="3"/>
  <c r="X760" i="3"/>
  <c r="Y762" i="3"/>
  <c r="X762" i="3"/>
  <c r="Y764" i="3"/>
  <c r="X764" i="3"/>
  <c r="Y766" i="3"/>
  <c r="X766" i="3"/>
  <c r="Y768" i="3"/>
  <c r="X768" i="3"/>
  <c r="Y770" i="3"/>
  <c r="X770" i="3"/>
  <c r="Y772" i="3"/>
  <c r="X772" i="3"/>
  <c r="Y774" i="3"/>
  <c r="X774" i="3"/>
  <c r="Y776" i="3"/>
  <c r="X776" i="3"/>
  <c r="Y778" i="3"/>
  <c r="X778" i="3"/>
  <c r="Y780" i="3"/>
  <c r="X780" i="3"/>
  <c r="Y782" i="3"/>
  <c r="X782" i="3"/>
  <c r="Y784" i="3"/>
  <c r="X784" i="3"/>
  <c r="Y786" i="3"/>
  <c r="X786" i="3"/>
  <c r="Y788" i="3"/>
  <c r="X788" i="3"/>
  <c r="Y790" i="3"/>
  <c r="X790" i="3"/>
  <c r="Y792" i="3"/>
  <c r="X792" i="3"/>
  <c r="Y794" i="3"/>
  <c r="X794" i="3"/>
  <c r="Y796" i="3"/>
  <c r="X796" i="3"/>
  <c r="Y798" i="3"/>
  <c r="X798" i="3"/>
  <c r="Y800" i="3"/>
  <c r="X800" i="3"/>
  <c r="Y802" i="3"/>
  <c r="X802" i="3"/>
  <c r="Y804" i="3"/>
  <c r="X804" i="3"/>
  <c r="Y806" i="3"/>
  <c r="X806" i="3"/>
  <c r="Y808" i="3"/>
  <c r="X808" i="3"/>
  <c r="Y810" i="3"/>
  <c r="X810" i="3"/>
  <c r="Y812" i="3"/>
  <c r="X812" i="3"/>
  <c r="Y814" i="3"/>
  <c r="X814" i="3"/>
  <c r="Y816" i="3"/>
  <c r="X816" i="3"/>
  <c r="Y818" i="3"/>
  <c r="X818" i="3"/>
  <c r="Y820" i="3"/>
  <c r="X820" i="3"/>
  <c r="Y822" i="3"/>
  <c r="X822" i="3"/>
  <c r="Y824" i="3"/>
  <c r="X824" i="3"/>
  <c r="Y826" i="3"/>
  <c r="X826" i="3"/>
  <c r="Y828" i="3"/>
  <c r="X828" i="3"/>
  <c r="Y830" i="3"/>
  <c r="X830" i="3"/>
  <c r="Y832" i="3"/>
  <c r="X832" i="3"/>
  <c r="Y834" i="3"/>
  <c r="X834" i="3"/>
  <c r="Y836" i="3"/>
  <c r="X836" i="3"/>
  <c r="Y838" i="3"/>
  <c r="X838" i="3"/>
  <c r="Y840" i="3"/>
  <c r="X840" i="3"/>
  <c r="Y842" i="3"/>
  <c r="X842" i="3"/>
  <c r="Y844" i="3"/>
  <c r="X844" i="3"/>
  <c r="Y846" i="3"/>
  <c r="X846" i="3"/>
  <c r="Y848" i="3"/>
  <c r="X848" i="3"/>
  <c r="Y850" i="3"/>
  <c r="X850" i="3"/>
  <c r="Y852" i="3"/>
  <c r="X852" i="3"/>
  <c r="Y854" i="3"/>
  <c r="X854" i="3"/>
  <c r="Y856" i="3"/>
  <c r="X856" i="3"/>
  <c r="Y858" i="3"/>
  <c r="X858" i="3"/>
  <c r="Y860" i="3"/>
  <c r="X860" i="3"/>
  <c r="Y862" i="3"/>
  <c r="X862" i="3"/>
  <c r="Y864" i="3"/>
  <c r="X864" i="3"/>
  <c r="Y866" i="3"/>
  <c r="X866" i="3"/>
  <c r="Y868" i="3"/>
  <c r="X868" i="3"/>
  <c r="Y870" i="3"/>
  <c r="X870" i="3"/>
  <c r="Y872" i="3"/>
  <c r="X872" i="3"/>
  <c r="Y874" i="3"/>
  <c r="X874" i="3"/>
  <c r="Y876" i="3"/>
  <c r="X876" i="3"/>
  <c r="Y878" i="3"/>
  <c r="X878" i="3"/>
  <c r="Y880" i="3"/>
  <c r="X880" i="3"/>
  <c r="Y882" i="3"/>
  <c r="X882" i="3"/>
  <c r="Y884" i="3"/>
  <c r="X884" i="3"/>
  <c r="Y886" i="3"/>
  <c r="X886" i="3"/>
  <c r="Y888" i="3"/>
  <c r="X888" i="3"/>
  <c r="Y890" i="3"/>
  <c r="X890" i="3"/>
  <c r="Y892" i="3"/>
  <c r="X892" i="3"/>
  <c r="Y894" i="3"/>
  <c r="X894" i="3"/>
  <c r="Y896" i="3"/>
  <c r="X896" i="3"/>
  <c r="Y898" i="3"/>
  <c r="X898" i="3"/>
  <c r="Y900" i="3"/>
  <c r="X900" i="3"/>
  <c r="Y902" i="3"/>
  <c r="X902" i="3"/>
  <c r="Y904" i="3"/>
  <c r="X904" i="3"/>
  <c r="Y906" i="3"/>
  <c r="X906" i="3"/>
  <c r="Y908" i="3"/>
  <c r="X908" i="3"/>
  <c r="Y910" i="3"/>
  <c r="X910" i="3"/>
  <c r="Y912" i="3"/>
  <c r="X912" i="3"/>
  <c r="Y914" i="3"/>
  <c r="X914" i="3"/>
  <c r="Y916" i="3"/>
  <c r="X916" i="3"/>
  <c r="Y918" i="3"/>
  <c r="X918" i="3"/>
  <c r="Y920" i="3"/>
  <c r="X920" i="3"/>
  <c r="Y922" i="3"/>
  <c r="X922" i="3"/>
  <c r="Y924" i="3"/>
  <c r="X924" i="3"/>
  <c r="Y926" i="3"/>
  <c r="X926" i="3"/>
  <c r="Y928" i="3"/>
  <c r="X928" i="3"/>
  <c r="Y930" i="3"/>
  <c r="X930" i="3"/>
  <c r="Y932" i="3"/>
  <c r="X932" i="3"/>
  <c r="Y934" i="3"/>
  <c r="X934" i="3"/>
  <c r="Y936" i="3"/>
  <c r="X936" i="3"/>
  <c r="Y938" i="3"/>
  <c r="X938" i="3"/>
  <c r="Y940" i="3"/>
  <c r="X940" i="3"/>
  <c r="Y942" i="3"/>
  <c r="X942" i="3"/>
  <c r="Y944" i="3"/>
  <c r="X944" i="3"/>
  <c r="Y946" i="3"/>
  <c r="X946" i="3"/>
  <c r="Y948" i="3"/>
  <c r="X948" i="3"/>
  <c r="Y950" i="3"/>
  <c r="X950" i="3"/>
  <c r="Y952" i="3"/>
  <c r="X952" i="3"/>
  <c r="Y954" i="3"/>
  <c r="X954" i="3"/>
  <c r="Y956" i="3"/>
  <c r="X956" i="3"/>
  <c r="Y958" i="3"/>
  <c r="X958" i="3"/>
  <c r="Y960" i="3"/>
  <c r="X960" i="3"/>
  <c r="Y962" i="3"/>
  <c r="X962" i="3"/>
  <c r="Y964" i="3"/>
  <c r="X964" i="3"/>
  <c r="Y966" i="3"/>
  <c r="X966" i="3"/>
  <c r="Y968" i="3"/>
  <c r="X968" i="3"/>
  <c r="Y970" i="3"/>
  <c r="X970" i="3"/>
  <c r="Y972" i="3"/>
  <c r="X972" i="3"/>
  <c r="Y974" i="3"/>
  <c r="X974" i="3"/>
  <c r="Y976" i="3"/>
  <c r="X976" i="3"/>
  <c r="Y978" i="3"/>
  <c r="X978" i="3"/>
  <c r="Y980" i="3"/>
  <c r="X980" i="3"/>
  <c r="Y982" i="3"/>
  <c r="X982" i="3"/>
  <c r="Y984" i="3"/>
  <c r="X984" i="3"/>
  <c r="Y986" i="3"/>
  <c r="X986" i="3"/>
  <c r="Y988" i="3"/>
  <c r="X988" i="3"/>
  <c r="Y990" i="3"/>
  <c r="X990" i="3"/>
  <c r="Y992" i="3"/>
  <c r="X992" i="3"/>
  <c r="Y994" i="3"/>
  <c r="X994" i="3"/>
  <c r="Y996" i="3"/>
  <c r="X996" i="3"/>
  <c r="Y998" i="3"/>
  <c r="X998" i="3"/>
  <c r="Y1000" i="3"/>
  <c r="X1000" i="3"/>
  <c r="Y1002" i="3"/>
  <c r="X1002" i="3"/>
  <c r="Y9" i="3"/>
  <c r="X9" i="3"/>
  <c r="Y19" i="3"/>
  <c r="X19" i="3"/>
  <c r="Y7" i="3"/>
  <c r="X7" i="3"/>
  <c r="Y11" i="3"/>
  <c r="X11" i="3"/>
  <c r="Y12" i="3"/>
  <c r="X12" i="3"/>
  <c r="X42" i="3"/>
  <c r="Y42" i="3"/>
  <c r="Y46" i="3"/>
  <c r="X46" i="3"/>
  <c r="Y50" i="3"/>
  <c r="X50" i="3"/>
  <c r="Y54" i="3"/>
  <c r="X54" i="3"/>
  <c r="Y56" i="3"/>
  <c r="X56" i="3"/>
  <c r="Y60" i="3"/>
  <c r="X60" i="3"/>
  <c r="Y64" i="3"/>
  <c r="X64" i="3"/>
  <c r="Y68" i="3"/>
  <c r="X68" i="3"/>
  <c r="Y72" i="3"/>
  <c r="X72" i="3"/>
  <c r="Y76" i="3"/>
  <c r="X76" i="3"/>
  <c r="Y80" i="3"/>
  <c r="X80" i="3"/>
  <c r="Y84" i="3"/>
  <c r="X84" i="3"/>
  <c r="Y88" i="3"/>
  <c r="X88" i="3"/>
  <c r="Y92" i="3"/>
  <c r="X92" i="3"/>
  <c r="Y96" i="3"/>
  <c r="X96" i="3"/>
  <c r="Y100" i="3"/>
  <c r="X100" i="3"/>
  <c r="Y104" i="3"/>
  <c r="X104" i="3"/>
  <c r="Y108" i="3"/>
  <c r="X108" i="3"/>
  <c r="Y112" i="3"/>
  <c r="X112" i="3"/>
  <c r="Y116" i="3"/>
  <c r="X116" i="3"/>
  <c r="Y120" i="3"/>
  <c r="X120" i="3"/>
  <c r="Y124" i="3"/>
  <c r="X124" i="3"/>
  <c r="Y128" i="3"/>
  <c r="X128" i="3"/>
  <c r="Y132" i="3"/>
  <c r="X132" i="3"/>
  <c r="Y136" i="3"/>
  <c r="X136" i="3"/>
  <c r="Y142" i="3"/>
  <c r="X142" i="3"/>
  <c r="Y146" i="3"/>
  <c r="X146" i="3"/>
  <c r="Y150" i="3"/>
  <c r="X150" i="3"/>
  <c r="Y154" i="3"/>
  <c r="X154" i="3"/>
  <c r="Y158" i="3"/>
  <c r="X158" i="3"/>
  <c r="Y162" i="3"/>
  <c r="X162" i="3"/>
  <c r="Y166" i="3"/>
  <c r="X166" i="3"/>
  <c r="Y170" i="3"/>
  <c r="X170" i="3"/>
  <c r="Y174" i="3"/>
  <c r="X174" i="3"/>
  <c r="Y178" i="3"/>
  <c r="X178" i="3"/>
  <c r="Y182" i="3"/>
  <c r="X182" i="3"/>
  <c r="Y186" i="3"/>
  <c r="X186" i="3"/>
  <c r="Y190" i="3"/>
  <c r="X190" i="3"/>
  <c r="Y194" i="3"/>
  <c r="X194" i="3"/>
  <c r="Y198" i="3"/>
  <c r="X198" i="3"/>
  <c r="Y202" i="3"/>
  <c r="X202" i="3"/>
  <c r="Y206" i="3"/>
  <c r="X206" i="3"/>
  <c r="Y210" i="3"/>
  <c r="X210" i="3"/>
  <c r="Y214" i="3"/>
  <c r="X214" i="3"/>
  <c r="Y218" i="3"/>
  <c r="X218" i="3"/>
  <c r="Y222" i="3"/>
  <c r="X222" i="3"/>
  <c r="Y228" i="3"/>
  <c r="X228" i="3"/>
  <c r="Y232" i="3"/>
  <c r="X232" i="3"/>
  <c r="Y236" i="3"/>
  <c r="X236" i="3"/>
  <c r="Y240" i="3"/>
  <c r="X240" i="3"/>
  <c r="Y244" i="3"/>
  <c r="X244" i="3"/>
  <c r="Y248" i="3"/>
  <c r="X248" i="3"/>
  <c r="Y252" i="3"/>
  <c r="X252" i="3"/>
  <c r="Y256" i="3"/>
  <c r="X256" i="3"/>
  <c r="Y260" i="3"/>
  <c r="X260" i="3"/>
  <c r="Y264" i="3"/>
  <c r="X264" i="3"/>
  <c r="Y268" i="3"/>
  <c r="X268" i="3"/>
  <c r="Y272" i="3"/>
  <c r="X272" i="3"/>
  <c r="Y276" i="3"/>
  <c r="X276" i="3"/>
  <c r="Y280" i="3"/>
  <c r="X280" i="3"/>
  <c r="Y284" i="3"/>
  <c r="X284" i="3"/>
  <c r="Y288" i="3"/>
  <c r="X288" i="3"/>
  <c r="Y292" i="3"/>
  <c r="X292" i="3"/>
  <c r="Y296" i="3"/>
  <c r="X296" i="3"/>
  <c r="Y300" i="3"/>
  <c r="X300" i="3"/>
  <c r="Y304" i="3"/>
  <c r="X304" i="3"/>
  <c r="Y306" i="3"/>
  <c r="X306" i="3"/>
  <c r="Y310" i="3"/>
  <c r="X310" i="3"/>
  <c r="Y314" i="3"/>
  <c r="X314" i="3"/>
  <c r="Y318" i="3"/>
  <c r="X318" i="3"/>
  <c r="Y322" i="3"/>
  <c r="X322" i="3"/>
  <c r="Y326" i="3"/>
  <c r="X326" i="3"/>
  <c r="Y330" i="3"/>
  <c r="X330" i="3"/>
  <c r="Y334" i="3"/>
  <c r="X334" i="3"/>
  <c r="Y338" i="3"/>
  <c r="X338" i="3"/>
  <c r="Y342" i="3"/>
  <c r="X342" i="3"/>
  <c r="Y346" i="3"/>
  <c r="X346" i="3"/>
  <c r="Y350" i="3"/>
  <c r="X350" i="3"/>
  <c r="Y352" i="3"/>
  <c r="X352" i="3"/>
  <c r="Y356" i="3"/>
  <c r="X356" i="3"/>
  <c r="Y360" i="3"/>
  <c r="X360" i="3"/>
  <c r="Y364" i="3"/>
  <c r="X364" i="3"/>
  <c r="Y368" i="3"/>
  <c r="X368" i="3"/>
  <c r="Y372" i="3"/>
  <c r="X372" i="3"/>
  <c r="Y376" i="3"/>
  <c r="X376" i="3"/>
  <c r="Y380" i="3"/>
  <c r="X380" i="3"/>
  <c r="Y384" i="3"/>
  <c r="X384" i="3"/>
  <c r="Y388" i="3"/>
  <c r="X388" i="3"/>
  <c r="Y392" i="3"/>
  <c r="X392" i="3"/>
  <c r="Y396" i="3"/>
  <c r="X396" i="3"/>
  <c r="Y400" i="3"/>
  <c r="X400" i="3"/>
  <c r="Y402" i="3"/>
  <c r="X402" i="3"/>
  <c r="Y406" i="3"/>
  <c r="X406" i="3"/>
  <c r="Y412" i="3"/>
  <c r="X412" i="3"/>
  <c r="Y416" i="3"/>
  <c r="X416" i="3"/>
  <c r="Y420" i="3"/>
  <c r="X420" i="3"/>
  <c r="Y424" i="3"/>
  <c r="X424" i="3"/>
  <c r="Y428" i="3"/>
  <c r="X428" i="3"/>
  <c r="Y432" i="3"/>
  <c r="X432" i="3"/>
  <c r="Y436" i="3"/>
  <c r="X436" i="3"/>
  <c r="Y440" i="3"/>
  <c r="X440" i="3"/>
  <c r="Y446" i="3"/>
  <c r="X446" i="3"/>
  <c r="Y450" i="3"/>
  <c r="X450" i="3"/>
  <c r="Y454" i="3"/>
  <c r="X454" i="3"/>
  <c r="Y458" i="3"/>
  <c r="X458" i="3"/>
  <c r="Y462" i="3"/>
  <c r="X462" i="3"/>
  <c r="Y466" i="3"/>
  <c r="X466" i="3"/>
  <c r="Y470" i="3"/>
  <c r="X470" i="3"/>
  <c r="Y474" i="3"/>
  <c r="X474" i="3"/>
  <c r="Y480" i="3"/>
  <c r="X480" i="3"/>
  <c r="Y482" i="3"/>
  <c r="X482" i="3"/>
  <c r="Y486" i="3"/>
  <c r="X486" i="3"/>
  <c r="Y490" i="3"/>
  <c r="X490" i="3"/>
  <c r="Y496" i="3"/>
  <c r="X496" i="3"/>
  <c r="Y508" i="3"/>
  <c r="X508" i="3"/>
  <c r="X2" i="3"/>
  <c r="Y2" i="3"/>
  <c r="Y6" i="3"/>
  <c r="X6" i="3"/>
  <c r="Y10" i="3"/>
  <c r="X10" i="3"/>
  <c r="Y16" i="3"/>
  <c r="X16" i="3"/>
  <c r="Y20" i="3"/>
  <c r="X20" i="3"/>
  <c r="AC29" i="4"/>
  <c r="AD29" i="4"/>
  <c r="AC33" i="4"/>
  <c r="AD33" i="4"/>
  <c r="AC31" i="4"/>
  <c r="AD31" i="4"/>
  <c r="AC21" i="4"/>
  <c r="AD21" i="4"/>
  <c r="Z43" i="4"/>
  <c r="N35" i="4"/>
  <c r="Z33" i="4"/>
  <c r="N17" i="4"/>
  <c r="N27" i="4"/>
  <c r="N25" i="4"/>
  <c r="N14" i="4"/>
  <c r="Z13" i="4"/>
  <c r="Z31" i="4"/>
  <c r="Z37" i="4"/>
  <c r="Z11" i="4"/>
  <c r="Z10" i="4"/>
  <c r="N12" i="4"/>
  <c r="N37" i="4"/>
  <c r="N18" i="4"/>
  <c r="Z12" i="4"/>
  <c r="N39" i="4"/>
  <c r="N23" i="4"/>
  <c r="Z35" i="4"/>
  <c r="N6" i="4"/>
  <c r="Z18" i="4"/>
  <c r="Z14" i="4"/>
  <c r="N10" i="4"/>
  <c r="Z42" i="4"/>
  <c r="N7" i="4"/>
  <c r="N41" i="4"/>
  <c r="Z6" i="4"/>
  <c r="Z17" i="4"/>
  <c r="Z21" i="4"/>
  <c r="N20" i="4"/>
  <c r="Z41" i="4"/>
  <c r="N4" i="4"/>
  <c r="Z4" i="4"/>
  <c r="Z29" i="4"/>
  <c r="N42" i="4"/>
  <c r="N11" i="4"/>
  <c r="Z7" i="4"/>
  <c r="N43" i="4"/>
  <c r="AE43" i="4" s="1"/>
  <c r="N13" i="4"/>
  <c r="N2" i="4"/>
  <c r="AE2" i="4" s="1"/>
  <c r="Z2" i="4"/>
  <c r="Z5" i="4"/>
  <c r="N5" i="4"/>
  <c r="S45" i="4"/>
  <c r="U45" i="4" s="1"/>
  <c r="V45" i="4" s="1"/>
  <c r="Z20" i="4"/>
  <c r="N30" i="4"/>
  <c r="Z15" i="4"/>
  <c r="N15" i="4"/>
  <c r="Z22" i="4"/>
  <c r="N8" i="4"/>
  <c r="N19" i="4"/>
  <c r="N3" i="4"/>
  <c r="Z44" i="4"/>
  <c r="N40" i="4"/>
  <c r="N32" i="4"/>
  <c r="N24" i="4"/>
  <c r="N9" i="4"/>
  <c r="N38" i="4"/>
  <c r="Z30" i="4"/>
  <c r="N22" i="4"/>
  <c r="Z36" i="4"/>
  <c r="Z28" i="4"/>
  <c r="N34" i="4"/>
  <c r="N26" i="4"/>
  <c r="N16" i="4"/>
  <c r="Z9" i="4"/>
  <c r="Z38" i="4"/>
  <c r="Z8" i="4"/>
  <c r="Z34" i="4"/>
  <c r="Z26" i="4"/>
  <c r="Z19" i="4"/>
  <c r="Z3" i="4"/>
  <c r="Z16" i="4"/>
  <c r="Z24" i="4"/>
  <c r="Z40" i="4"/>
  <c r="Z32" i="4"/>
  <c r="N36" i="4"/>
  <c r="N28" i="4"/>
  <c r="N44" i="4"/>
  <c r="AE44" i="4" s="1"/>
  <c r="N21" i="3"/>
  <c r="N18" i="3"/>
  <c r="N22" i="3"/>
  <c r="Z22" i="3"/>
  <c r="N14" i="3"/>
  <c r="N23" i="3"/>
  <c r="Z23" i="3"/>
  <c r="U19" i="3"/>
  <c r="V19" i="3" s="1"/>
  <c r="U2" i="3"/>
  <c r="V2" i="3" s="1"/>
  <c r="U16" i="3"/>
  <c r="V16" i="3" s="1"/>
  <c r="U17" i="3"/>
  <c r="V17" i="3" s="1"/>
  <c r="U5" i="3"/>
  <c r="V5" i="3" s="1"/>
  <c r="U9" i="3"/>
  <c r="V9" i="3" s="1"/>
  <c r="U3" i="3"/>
  <c r="U7" i="3"/>
  <c r="V7" i="3" s="1"/>
  <c r="U11" i="3"/>
  <c r="V11" i="3" s="1"/>
  <c r="U15" i="3"/>
  <c r="V15" i="3" s="1"/>
  <c r="N20" i="3"/>
  <c r="U13" i="3"/>
  <c r="V13" i="3" s="1"/>
  <c r="Z13" i="3" s="1"/>
  <c r="U4" i="3"/>
  <c r="V4" i="3" s="1"/>
  <c r="U8" i="3"/>
  <c r="V8" i="3" s="1"/>
  <c r="Z8" i="3" s="1"/>
  <c r="P23" i="3"/>
  <c r="R23" i="3" s="1"/>
  <c r="U6" i="3"/>
  <c r="V6" i="3" s="1"/>
  <c r="U10" i="3"/>
  <c r="V10" i="3" s="1"/>
  <c r="P24" i="3"/>
  <c r="R24" i="3" s="1"/>
  <c r="U12" i="3"/>
  <c r="V12" i="3" s="1"/>
  <c r="Q304" i="3"/>
  <c r="Q306" i="3"/>
  <c r="Q308" i="3"/>
  <c r="Q310" i="3"/>
  <c r="Q312" i="3"/>
  <c r="Q314" i="3"/>
  <c r="Q316" i="3"/>
  <c r="Q318" i="3"/>
  <c r="Q320" i="3"/>
  <c r="Q322" i="3"/>
  <c r="Z7" i="3" l="1"/>
  <c r="Z6" i="3"/>
  <c r="Z17" i="3"/>
  <c r="Z14" i="3"/>
  <c r="Z11" i="3"/>
  <c r="Z19" i="3"/>
  <c r="Z12" i="3"/>
  <c r="Z15" i="3"/>
  <c r="Z9" i="3"/>
  <c r="Z10" i="3"/>
  <c r="Z4" i="3"/>
  <c r="Z5" i="3"/>
  <c r="Z21" i="3"/>
  <c r="AE42" i="4"/>
  <c r="O42" i="4"/>
  <c r="Z20" i="3"/>
  <c r="Z16" i="3"/>
  <c r="AC36" i="4"/>
  <c r="AD36" i="4"/>
  <c r="AC16" i="4"/>
  <c r="AD16" i="4"/>
  <c r="AC9" i="4"/>
  <c r="AD9" i="4"/>
  <c r="AC26" i="4"/>
  <c r="AD26" i="4"/>
  <c r="AC3" i="4"/>
  <c r="AD3" i="4"/>
  <c r="AC15" i="4"/>
  <c r="AD15" i="4"/>
  <c r="AC44" i="4"/>
  <c r="AD44" i="4"/>
  <c r="AC34" i="4"/>
  <c r="AD34" i="4"/>
  <c r="AC32" i="4"/>
  <c r="AD32" i="4"/>
  <c r="AC19" i="4"/>
  <c r="AD19" i="4"/>
  <c r="AC5" i="4"/>
  <c r="AD5" i="4"/>
  <c r="AC13" i="4"/>
  <c r="AD13" i="4"/>
  <c r="AC42" i="4"/>
  <c r="AD42" i="4"/>
  <c r="AC10" i="4"/>
  <c r="AD10" i="4"/>
  <c r="AC18" i="4"/>
  <c r="AD18" i="4"/>
  <c r="AC14" i="4"/>
  <c r="AD14" i="4"/>
  <c r="AC7" i="4"/>
  <c r="AD7" i="4"/>
  <c r="AC39" i="4"/>
  <c r="AD39" i="4"/>
  <c r="AC12" i="4"/>
  <c r="AD12" i="4"/>
  <c r="AC27" i="4"/>
  <c r="AD27" i="4"/>
  <c r="AC22" i="4"/>
  <c r="AD22" i="4"/>
  <c r="AC24" i="4"/>
  <c r="AD24" i="4"/>
  <c r="AC11" i="4"/>
  <c r="AD11" i="4"/>
  <c r="AC4" i="4"/>
  <c r="AD4" i="4"/>
  <c r="AC6" i="4"/>
  <c r="AD6" i="4"/>
  <c r="AC17" i="4"/>
  <c r="AD17" i="4"/>
  <c r="AC28" i="4"/>
  <c r="AD28" i="4"/>
  <c r="AC38" i="4"/>
  <c r="AD38" i="4"/>
  <c r="AC40" i="4"/>
  <c r="AD40" i="4"/>
  <c r="AC8" i="4"/>
  <c r="AD8" i="4"/>
  <c r="AC30" i="4"/>
  <c r="AD30" i="4"/>
  <c r="AC43" i="4"/>
  <c r="AD43" i="4"/>
  <c r="AC20" i="4"/>
  <c r="AD20" i="4"/>
  <c r="AC41" i="4"/>
  <c r="AD41" i="4"/>
  <c r="AC23" i="4"/>
  <c r="AD23" i="4"/>
  <c r="AC37" i="4"/>
  <c r="AD37" i="4"/>
  <c r="AC25" i="4"/>
  <c r="AD25" i="4"/>
  <c r="AC35" i="4"/>
  <c r="AD35" i="4"/>
  <c r="AC2" i="4"/>
  <c r="AD2" i="4"/>
  <c r="N45" i="4"/>
  <c r="AE45" i="4" s="1"/>
  <c r="Z45" i="4"/>
  <c r="S46" i="4"/>
  <c r="U46" i="4" s="1"/>
  <c r="V46" i="4" s="1"/>
  <c r="V3" i="3"/>
  <c r="N3" i="3" s="1"/>
  <c r="Z2" i="3"/>
  <c r="N16" i="3"/>
  <c r="N19" i="3"/>
  <c r="N15" i="3"/>
  <c r="N10" i="3"/>
  <c r="N13" i="3"/>
  <c r="N17" i="3"/>
  <c r="N6" i="3"/>
  <c r="N12" i="3"/>
  <c r="N8" i="3"/>
  <c r="N11" i="3"/>
  <c r="N4" i="3"/>
  <c r="N7" i="3"/>
  <c r="N9" i="3"/>
  <c r="N5" i="3"/>
  <c r="N2" i="3"/>
  <c r="U24" i="3"/>
  <c r="V24" i="3" s="1"/>
  <c r="P25" i="3"/>
  <c r="R25" i="3" s="1"/>
  <c r="O43" i="4" l="1"/>
  <c r="P42" i="4"/>
  <c r="R42" i="4" s="1"/>
  <c r="AC45" i="4"/>
  <c r="AD45" i="4"/>
  <c r="S47" i="4"/>
  <c r="S48" i="4" s="1"/>
  <c r="Z46" i="4"/>
  <c r="N46" i="4"/>
  <c r="AE46" i="4" s="1"/>
  <c r="Z3" i="3"/>
  <c r="N24" i="3"/>
  <c r="Z24" i="3"/>
  <c r="P26" i="3"/>
  <c r="R26" i="3" s="1"/>
  <c r="U25" i="3"/>
  <c r="V25" i="3" s="1"/>
  <c r="P43" i="4" l="1"/>
  <c r="R43" i="4" s="1"/>
  <c r="O44" i="4"/>
  <c r="U47" i="4"/>
  <c r="V47" i="4" s="1"/>
  <c r="AC46" i="4"/>
  <c r="AD46" i="4"/>
  <c r="U48" i="4"/>
  <c r="V48" i="4" s="1"/>
  <c r="S49" i="4"/>
  <c r="N25" i="3"/>
  <c r="Z25" i="3"/>
  <c r="U26" i="3"/>
  <c r="V26" i="3" s="1"/>
  <c r="P27" i="3"/>
  <c r="R27" i="3" s="1"/>
  <c r="P44" i="4" l="1"/>
  <c r="R44" i="4" s="1"/>
  <c r="O45" i="4"/>
  <c r="N47" i="4"/>
  <c r="AE47" i="4" s="1"/>
  <c r="Z47" i="4"/>
  <c r="U49" i="4"/>
  <c r="V49" i="4" s="1"/>
  <c r="S50" i="4"/>
  <c r="Z48" i="4"/>
  <c r="N48" i="4"/>
  <c r="AE48" i="4" s="1"/>
  <c r="N26" i="3"/>
  <c r="Z26" i="3"/>
  <c r="P28" i="3"/>
  <c r="R28" i="3" s="1"/>
  <c r="U27" i="3"/>
  <c r="V27" i="3" s="1"/>
  <c r="P45" i="4" l="1"/>
  <c r="R45" i="4" s="1"/>
  <c r="O46" i="4"/>
  <c r="P46" i="4" s="1"/>
  <c r="R46" i="4" s="1"/>
  <c r="AD47" i="4"/>
  <c r="AC47" i="4"/>
  <c r="AC48" i="4"/>
  <c r="AD48" i="4"/>
  <c r="Z49" i="4"/>
  <c r="N49" i="4"/>
  <c r="AE49" i="4" s="1"/>
  <c r="U50" i="4"/>
  <c r="V50" i="4" s="1"/>
  <c r="S51" i="4"/>
  <c r="N27" i="3"/>
  <c r="Z27" i="3"/>
  <c r="U28" i="3"/>
  <c r="V28" i="3" s="1"/>
  <c r="P29" i="3"/>
  <c r="R29" i="3" s="1"/>
  <c r="O47" i="4" l="1"/>
  <c r="P47" i="4" s="1"/>
  <c r="R47" i="4" s="1"/>
  <c r="AC49" i="4"/>
  <c r="AD49" i="4"/>
  <c r="U51" i="4"/>
  <c r="V51" i="4" s="1"/>
  <c r="S52" i="4"/>
  <c r="Z50" i="4"/>
  <c r="N50" i="4"/>
  <c r="AE50" i="4" s="1"/>
  <c r="N28" i="3"/>
  <c r="Z28" i="3"/>
  <c r="P30" i="3"/>
  <c r="R30" i="3" s="1"/>
  <c r="U29" i="3"/>
  <c r="V29" i="3" s="1"/>
  <c r="O48" i="4" l="1"/>
  <c r="P48" i="4" s="1"/>
  <c r="R48" i="4" s="1"/>
  <c r="AD50" i="4"/>
  <c r="AC50" i="4"/>
  <c r="U52" i="4"/>
  <c r="V52" i="4" s="1"/>
  <c r="S53" i="4"/>
  <c r="Z51" i="4"/>
  <c r="N51" i="4"/>
  <c r="AE51" i="4" s="1"/>
  <c r="N29" i="3"/>
  <c r="Z29" i="3"/>
  <c r="U30" i="3"/>
  <c r="V30" i="3" s="1"/>
  <c r="P31" i="3"/>
  <c r="R31" i="3" s="1"/>
  <c r="O49" i="4" l="1"/>
  <c r="P49" i="4" s="1"/>
  <c r="R49" i="4" s="1"/>
  <c r="AC51" i="4"/>
  <c r="AD51" i="4"/>
  <c r="Z52" i="4"/>
  <c r="N52" i="4"/>
  <c r="AE52" i="4" s="1"/>
  <c r="U53" i="4"/>
  <c r="V53" i="4" s="1"/>
  <c r="S54" i="4"/>
  <c r="N30" i="3"/>
  <c r="Z30" i="3"/>
  <c r="P32" i="3"/>
  <c r="R32" i="3" s="1"/>
  <c r="U31" i="3"/>
  <c r="V31" i="3" s="1"/>
  <c r="O50" i="4" l="1"/>
  <c r="AC52" i="4"/>
  <c r="AD52" i="4"/>
  <c r="U54" i="4"/>
  <c r="V54" i="4" s="1"/>
  <c r="S55" i="4"/>
  <c r="Z53" i="4"/>
  <c r="N53" i="4"/>
  <c r="AE53" i="4" s="1"/>
  <c r="N31" i="3"/>
  <c r="Z31" i="3"/>
  <c r="U32" i="3"/>
  <c r="V32" i="3" s="1"/>
  <c r="P33" i="3"/>
  <c r="R33" i="3" s="1"/>
  <c r="P50" i="4" l="1"/>
  <c r="R50" i="4" s="1"/>
  <c r="O51" i="4"/>
  <c r="AD53" i="4"/>
  <c r="AC53" i="4"/>
  <c r="U55" i="4"/>
  <c r="V55" i="4" s="1"/>
  <c r="S56" i="4"/>
  <c r="Z54" i="4"/>
  <c r="N54" i="4"/>
  <c r="AE54" i="4" s="1"/>
  <c r="N32" i="3"/>
  <c r="Z32" i="3"/>
  <c r="P34" i="3"/>
  <c r="R34" i="3" s="1"/>
  <c r="U33" i="3"/>
  <c r="V33" i="3" s="1"/>
  <c r="P51" i="4" l="1"/>
  <c r="R51" i="4" s="1"/>
  <c r="O52" i="4"/>
  <c r="AC54" i="4"/>
  <c r="AD54" i="4"/>
  <c r="Z55" i="4"/>
  <c r="N55" i="4"/>
  <c r="AE55" i="4" s="1"/>
  <c r="U56" i="4"/>
  <c r="V56" i="4" s="1"/>
  <c r="S57" i="4"/>
  <c r="N33" i="3"/>
  <c r="Z33" i="3"/>
  <c r="U34" i="3"/>
  <c r="V34" i="3" s="1"/>
  <c r="P35" i="3"/>
  <c r="R35" i="3" s="1"/>
  <c r="P52" i="4" l="1"/>
  <c r="R52" i="4" s="1"/>
  <c r="O53" i="4"/>
  <c r="AC55" i="4"/>
  <c r="AD55" i="4"/>
  <c r="U57" i="4"/>
  <c r="V57" i="4" s="1"/>
  <c r="S58" i="4"/>
  <c r="Z56" i="4"/>
  <c r="N56" i="4"/>
  <c r="AE56" i="4" s="1"/>
  <c r="N34" i="3"/>
  <c r="Z34" i="3"/>
  <c r="P36" i="3"/>
  <c r="R36" i="3" s="1"/>
  <c r="U35" i="3"/>
  <c r="V35" i="3" s="1"/>
  <c r="P53" i="4" l="1"/>
  <c r="R53" i="4" s="1"/>
  <c r="O54" i="4"/>
  <c r="AD56" i="4"/>
  <c r="AC56" i="4"/>
  <c r="U58" i="4"/>
  <c r="V58" i="4" s="1"/>
  <c r="S59" i="4"/>
  <c r="Z57" i="4"/>
  <c r="N57" i="4"/>
  <c r="AE57" i="4" s="1"/>
  <c r="N35" i="3"/>
  <c r="Z35" i="3"/>
  <c r="U36" i="3"/>
  <c r="V36" i="3" s="1"/>
  <c r="P37" i="3"/>
  <c r="R37" i="3" s="1"/>
  <c r="P54" i="4" l="1"/>
  <c r="R54" i="4" s="1"/>
  <c r="O55" i="4"/>
  <c r="AC57" i="4"/>
  <c r="AD57" i="4"/>
  <c r="Z58" i="4"/>
  <c r="N58" i="4"/>
  <c r="AE58" i="4" s="1"/>
  <c r="U59" i="4"/>
  <c r="V59" i="4" s="1"/>
  <c r="S60" i="4"/>
  <c r="N36" i="3"/>
  <c r="Z36" i="3"/>
  <c r="P38" i="3"/>
  <c r="U37" i="3"/>
  <c r="V37" i="3" s="1"/>
  <c r="P55" i="4" l="1"/>
  <c r="R55" i="4" s="1"/>
  <c r="O56" i="4"/>
  <c r="AC58" i="4"/>
  <c r="AD58" i="4"/>
  <c r="U60" i="4"/>
  <c r="V60" i="4" s="1"/>
  <c r="S61" i="4"/>
  <c r="Z59" i="4"/>
  <c r="N59" i="4"/>
  <c r="AE59" i="4" s="1"/>
  <c r="N37" i="3"/>
  <c r="Z37" i="3"/>
  <c r="U38" i="3"/>
  <c r="V38" i="3" s="1"/>
  <c r="P39" i="3"/>
  <c r="R39" i="3" s="1"/>
  <c r="P56" i="4" l="1"/>
  <c r="R56" i="4" s="1"/>
  <c r="O57" i="4"/>
  <c r="AD59" i="4"/>
  <c r="AC59" i="4"/>
  <c r="U61" i="4"/>
  <c r="V61" i="4" s="1"/>
  <c r="S62" i="4"/>
  <c r="Z60" i="4"/>
  <c r="N60" i="4"/>
  <c r="AE60" i="4" s="1"/>
  <c r="N38" i="3"/>
  <c r="Z38" i="3"/>
  <c r="P41" i="3"/>
  <c r="R41" i="3" s="1"/>
  <c r="P40" i="3"/>
  <c r="R40" i="3" s="1"/>
  <c r="U39" i="3"/>
  <c r="V39" i="3" s="1"/>
  <c r="N39" i="3" s="1"/>
  <c r="P57" i="4" l="1"/>
  <c r="R57" i="4" s="1"/>
  <c r="O58" i="4"/>
  <c r="AC60" i="4"/>
  <c r="AD60" i="4"/>
  <c r="Z61" i="4"/>
  <c r="N61" i="4"/>
  <c r="AE61" i="4" s="1"/>
  <c r="U62" i="4"/>
  <c r="V62" i="4" s="1"/>
  <c r="S63" i="4"/>
  <c r="Z39" i="3"/>
  <c r="U40" i="3"/>
  <c r="V40" i="3" s="1"/>
  <c r="P58" i="4" l="1"/>
  <c r="R58" i="4" s="1"/>
  <c r="O59" i="4"/>
  <c r="AC61" i="4"/>
  <c r="AD61" i="4"/>
  <c r="U63" i="4"/>
  <c r="V63" i="4" s="1"/>
  <c r="S64" i="4"/>
  <c r="Z62" i="4"/>
  <c r="N62" i="4"/>
  <c r="AE62" i="4" s="1"/>
  <c r="N40" i="3"/>
  <c r="Z40" i="3"/>
  <c r="U41" i="3"/>
  <c r="V41" i="3" s="1"/>
  <c r="P59" i="4" l="1"/>
  <c r="R59" i="4" s="1"/>
  <c r="O60" i="4"/>
  <c r="AD62" i="4"/>
  <c r="AC62" i="4"/>
  <c r="U64" i="4"/>
  <c r="V64" i="4" s="1"/>
  <c r="S65" i="4"/>
  <c r="Z63" i="4"/>
  <c r="N63" i="4"/>
  <c r="AE63" i="4" s="1"/>
  <c r="N41" i="3"/>
  <c r="Z41" i="3"/>
  <c r="U42" i="3"/>
  <c r="V42" i="3" s="1"/>
  <c r="O61" i="4" l="1"/>
  <c r="P60" i="4"/>
  <c r="R60" i="4" s="1"/>
  <c r="AC63" i="4"/>
  <c r="AD63" i="4"/>
  <c r="Z64" i="4"/>
  <c r="N64" i="4"/>
  <c r="AE64" i="4" s="1"/>
  <c r="U65" i="4"/>
  <c r="V65" i="4" s="1"/>
  <c r="S66" i="4"/>
  <c r="N42" i="3"/>
  <c r="Z42" i="3"/>
  <c r="U43" i="3"/>
  <c r="V43" i="3" s="1"/>
  <c r="N43" i="3" s="1"/>
  <c r="P61" i="4" l="1"/>
  <c r="R61" i="4" s="1"/>
  <c r="O62" i="4"/>
  <c r="AC64" i="4"/>
  <c r="AD64" i="4"/>
  <c r="U66" i="4"/>
  <c r="V66" i="4" s="1"/>
  <c r="S67" i="4"/>
  <c r="Z65" i="4"/>
  <c r="N65" i="4"/>
  <c r="AE65" i="4" s="1"/>
  <c r="O42" i="3"/>
  <c r="P42" i="3" s="1"/>
  <c r="R42" i="3" s="1"/>
  <c r="S63" i="3" s="1"/>
  <c r="Z43" i="3"/>
  <c r="U44" i="3"/>
  <c r="V44" i="3" s="1"/>
  <c r="P62" i="4" l="1"/>
  <c r="R62" i="4" s="1"/>
  <c r="O63" i="4"/>
  <c r="AD65" i="4"/>
  <c r="AC65" i="4"/>
  <c r="U67" i="4"/>
  <c r="V67" i="4" s="1"/>
  <c r="S68" i="4"/>
  <c r="Z66" i="4"/>
  <c r="N66" i="4"/>
  <c r="AE66" i="4" s="1"/>
  <c r="O43" i="3"/>
  <c r="P43" i="3" s="1"/>
  <c r="R43" i="3" s="1"/>
  <c r="S64" i="3" s="1"/>
  <c r="N44" i="3"/>
  <c r="Z44" i="3"/>
  <c r="U45" i="3"/>
  <c r="V45" i="3" s="1"/>
  <c r="P63" i="4" l="1"/>
  <c r="R63" i="4" s="1"/>
  <c r="O64" i="4"/>
  <c r="AC66" i="4"/>
  <c r="AD66" i="4"/>
  <c r="Z67" i="4"/>
  <c r="N67" i="4"/>
  <c r="AE67" i="4" s="1"/>
  <c r="U68" i="4"/>
  <c r="V68" i="4" s="1"/>
  <c r="S69" i="4"/>
  <c r="O44" i="3"/>
  <c r="P44" i="3" s="1"/>
  <c r="N45" i="3"/>
  <c r="Z45" i="3"/>
  <c r="U46" i="3"/>
  <c r="V46" i="3" s="1"/>
  <c r="R44" i="3" l="1"/>
  <c r="S65" i="3" s="1"/>
  <c r="O45" i="3"/>
  <c r="P45" i="3" s="1"/>
  <c r="R45" i="3" s="1"/>
  <c r="S66" i="3" s="1"/>
  <c r="P64" i="4"/>
  <c r="R64" i="4" s="1"/>
  <c r="O65" i="4"/>
  <c r="AC67" i="4"/>
  <c r="AD67" i="4"/>
  <c r="U69" i="4"/>
  <c r="V69" i="4" s="1"/>
  <c r="S70" i="4"/>
  <c r="Z68" i="4"/>
  <c r="N68" i="4"/>
  <c r="AE68" i="4" s="1"/>
  <c r="N46" i="3"/>
  <c r="Z46" i="3"/>
  <c r="U47" i="3"/>
  <c r="V47" i="3" s="1"/>
  <c r="P65" i="4" l="1"/>
  <c r="R65" i="4" s="1"/>
  <c r="O66" i="4"/>
  <c r="AD68" i="4"/>
  <c r="AC68" i="4"/>
  <c r="U70" i="4"/>
  <c r="V70" i="4" s="1"/>
  <c r="S71" i="4"/>
  <c r="Z69" i="4"/>
  <c r="N69" i="4"/>
  <c r="AE69" i="4" s="1"/>
  <c r="O46" i="3"/>
  <c r="P46" i="3" s="1"/>
  <c r="R46" i="3" s="1"/>
  <c r="S67" i="3" s="1"/>
  <c r="N47" i="3"/>
  <c r="O47" i="3" s="1"/>
  <c r="P47" i="3" s="1"/>
  <c r="R47" i="3" s="1"/>
  <c r="Z47" i="3"/>
  <c r="U48" i="3"/>
  <c r="V48" i="3" s="1"/>
  <c r="S68" i="3" l="1"/>
  <c r="O67" i="4"/>
  <c r="P66" i="4"/>
  <c r="R66" i="4" s="1"/>
  <c r="AC69" i="4"/>
  <c r="AD69" i="4"/>
  <c r="Z70" i="4"/>
  <c r="N70" i="4"/>
  <c r="AE70" i="4" s="1"/>
  <c r="U71" i="4"/>
  <c r="V71" i="4" s="1"/>
  <c r="S72" i="4"/>
  <c r="N48" i="3"/>
  <c r="O48" i="3" s="1"/>
  <c r="Z48" i="3"/>
  <c r="U49" i="3"/>
  <c r="V49" i="3" s="1"/>
  <c r="P67" i="4" l="1"/>
  <c r="R67" i="4" s="1"/>
  <c r="O68" i="4"/>
  <c r="AC70" i="4"/>
  <c r="AD70" i="4"/>
  <c r="U72" i="4"/>
  <c r="V72" i="4" s="1"/>
  <c r="S73" i="4"/>
  <c r="Z71" i="4"/>
  <c r="N71" i="4"/>
  <c r="AE71" i="4" s="1"/>
  <c r="P48" i="3"/>
  <c r="R48" i="3" s="1"/>
  <c r="S69" i="3" s="1"/>
  <c r="N49" i="3"/>
  <c r="O49" i="3" s="1"/>
  <c r="P49" i="3" s="1"/>
  <c r="R49" i="3" s="1"/>
  <c r="Z49" i="3"/>
  <c r="U50" i="3"/>
  <c r="V50" i="3" s="1"/>
  <c r="N50" i="3" s="1"/>
  <c r="P68" i="4" l="1"/>
  <c r="R68" i="4" s="1"/>
  <c r="O69" i="4"/>
  <c r="AD71" i="4"/>
  <c r="AC71" i="4"/>
  <c r="U73" i="4"/>
  <c r="V73" i="4" s="1"/>
  <c r="S74" i="4"/>
  <c r="Z72" i="4"/>
  <c r="N72" i="4"/>
  <c r="AE72" i="4" s="1"/>
  <c r="S70" i="3"/>
  <c r="O50" i="3"/>
  <c r="P50" i="3" s="1"/>
  <c r="R50" i="3" s="1"/>
  <c r="Z50" i="3"/>
  <c r="U51" i="3"/>
  <c r="V51" i="3" s="1"/>
  <c r="P69" i="4" l="1"/>
  <c r="R69" i="4" s="1"/>
  <c r="O70" i="4"/>
  <c r="AC72" i="4"/>
  <c r="AD72" i="4"/>
  <c r="Z73" i="4"/>
  <c r="N73" i="4"/>
  <c r="AE73" i="4" s="1"/>
  <c r="U74" i="4"/>
  <c r="V74" i="4" s="1"/>
  <c r="S75" i="4"/>
  <c r="S71" i="3"/>
  <c r="N51" i="3"/>
  <c r="O51" i="3" s="1"/>
  <c r="Z51" i="3"/>
  <c r="U52" i="3"/>
  <c r="V52" i="3" s="1"/>
  <c r="P51" i="3" l="1"/>
  <c r="R51" i="3" s="1"/>
  <c r="O52" i="3"/>
  <c r="P52" i="3" s="1"/>
  <c r="P70" i="4"/>
  <c r="R70" i="4" s="1"/>
  <c r="O71" i="4"/>
  <c r="AC73" i="4"/>
  <c r="AD73" i="4"/>
  <c r="U75" i="4"/>
  <c r="V75" i="4" s="1"/>
  <c r="S76" i="4"/>
  <c r="Z74" i="4"/>
  <c r="N74" i="4"/>
  <c r="AE74" i="4" s="1"/>
  <c r="S72" i="3"/>
  <c r="N52" i="3"/>
  <c r="R52" i="3" s="1"/>
  <c r="Z52" i="3"/>
  <c r="U53" i="3"/>
  <c r="V53" i="3" s="1"/>
  <c r="P71" i="4" l="1"/>
  <c r="R71" i="4" s="1"/>
  <c r="O72" i="4"/>
  <c r="AD74" i="4"/>
  <c r="AC74" i="4"/>
  <c r="U76" i="4"/>
  <c r="V76" i="4" s="1"/>
  <c r="S77" i="4"/>
  <c r="Z75" i="4"/>
  <c r="N75" i="4"/>
  <c r="AE75" i="4" s="1"/>
  <c r="S73" i="3"/>
  <c r="N53" i="3"/>
  <c r="O53" i="3" s="1"/>
  <c r="P53" i="3" s="1"/>
  <c r="R53" i="3" s="1"/>
  <c r="Z53" i="3"/>
  <c r="U54" i="3"/>
  <c r="V54" i="3" s="1"/>
  <c r="P72" i="4" l="1"/>
  <c r="R72" i="4" s="1"/>
  <c r="O73" i="4"/>
  <c r="AC75" i="4"/>
  <c r="AD75" i="4"/>
  <c r="Z76" i="4"/>
  <c r="N76" i="4"/>
  <c r="AE76" i="4" s="1"/>
  <c r="U77" i="4"/>
  <c r="V77" i="4" s="1"/>
  <c r="S78" i="4"/>
  <c r="S74" i="3"/>
  <c r="N54" i="3"/>
  <c r="O54" i="3" s="1"/>
  <c r="P54" i="3" s="1"/>
  <c r="R54" i="3" s="1"/>
  <c r="Z54" i="3"/>
  <c r="U55" i="3"/>
  <c r="V55" i="3" s="1"/>
  <c r="P73" i="4" l="1"/>
  <c r="R73" i="4" s="1"/>
  <c r="O74" i="4"/>
  <c r="AC76" i="4"/>
  <c r="AD76" i="4"/>
  <c r="U78" i="4"/>
  <c r="V78" i="4" s="1"/>
  <c r="S79" i="4"/>
  <c r="Z77" i="4"/>
  <c r="N77" i="4"/>
  <c r="AE77" i="4" s="1"/>
  <c r="S75" i="3"/>
  <c r="N55" i="3"/>
  <c r="O55" i="3" s="1"/>
  <c r="P55" i="3" s="1"/>
  <c r="R55" i="3" s="1"/>
  <c r="Z55" i="3"/>
  <c r="U56" i="3"/>
  <c r="V56" i="3" s="1"/>
  <c r="P74" i="4" l="1"/>
  <c r="R74" i="4" s="1"/>
  <c r="O75" i="4"/>
  <c r="AD77" i="4"/>
  <c r="AC77" i="4"/>
  <c r="U79" i="4"/>
  <c r="V79" i="4" s="1"/>
  <c r="S80" i="4"/>
  <c r="Z78" i="4"/>
  <c r="N78" i="4"/>
  <c r="AE78" i="4" s="1"/>
  <c r="S76" i="3"/>
  <c r="N56" i="3"/>
  <c r="O56" i="3" s="1"/>
  <c r="Z56" i="3"/>
  <c r="U57" i="3"/>
  <c r="V57" i="3" s="1"/>
  <c r="P75" i="4" l="1"/>
  <c r="R75" i="4" s="1"/>
  <c r="O76" i="4"/>
  <c r="AC78" i="4"/>
  <c r="AD78" i="4"/>
  <c r="U80" i="4"/>
  <c r="V80" i="4" s="1"/>
  <c r="S81" i="4"/>
  <c r="Z79" i="4"/>
  <c r="N79" i="4"/>
  <c r="AE79" i="4" s="1"/>
  <c r="P56" i="3"/>
  <c r="R56" i="3" s="1"/>
  <c r="S77" i="3" s="1"/>
  <c r="N57" i="3"/>
  <c r="O57" i="3" s="1"/>
  <c r="P57" i="3" s="1"/>
  <c r="R57" i="3" s="1"/>
  <c r="Z57" i="3"/>
  <c r="U58" i="3"/>
  <c r="V58" i="3" s="1"/>
  <c r="P76" i="4" l="1"/>
  <c r="R76" i="4" s="1"/>
  <c r="O77" i="4"/>
  <c r="AC79" i="4"/>
  <c r="AD79" i="4"/>
  <c r="S78" i="3"/>
  <c r="U81" i="4"/>
  <c r="V81" i="4" s="1"/>
  <c r="S82" i="4"/>
  <c r="Z80" i="4"/>
  <c r="N80" i="4"/>
  <c r="AE80" i="4" s="1"/>
  <c r="N58" i="3"/>
  <c r="O58" i="3" s="1"/>
  <c r="P58" i="3" s="1"/>
  <c r="R58" i="3" s="1"/>
  <c r="Z58" i="3"/>
  <c r="U59" i="3"/>
  <c r="V59" i="3" s="1"/>
  <c r="P77" i="4" l="1"/>
  <c r="R77" i="4" s="1"/>
  <c r="O78" i="4"/>
  <c r="AD80" i="4"/>
  <c r="AC80" i="4"/>
  <c r="S79" i="3"/>
  <c r="U82" i="4"/>
  <c r="V82" i="4" s="1"/>
  <c r="S83" i="4"/>
  <c r="Z81" i="4"/>
  <c r="N81" i="4"/>
  <c r="AE81" i="4" s="1"/>
  <c r="N59" i="3"/>
  <c r="O59" i="3" s="1"/>
  <c r="P59" i="3" s="1"/>
  <c r="R59" i="3" s="1"/>
  <c r="Z59" i="3"/>
  <c r="U60" i="3"/>
  <c r="V60" i="3" s="1"/>
  <c r="O79" i="4" l="1"/>
  <c r="P78" i="4"/>
  <c r="R78" i="4" s="1"/>
  <c r="S80" i="3"/>
  <c r="AC81" i="4"/>
  <c r="AD81" i="4"/>
  <c r="Z82" i="4"/>
  <c r="N82" i="4"/>
  <c r="AE82" i="4" s="1"/>
  <c r="U83" i="4"/>
  <c r="V83" i="4" s="1"/>
  <c r="S84" i="4"/>
  <c r="N60" i="3"/>
  <c r="O60" i="3" s="1"/>
  <c r="Z60" i="3"/>
  <c r="U61" i="3"/>
  <c r="V61" i="3" s="1"/>
  <c r="P79" i="4" l="1"/>
  <c r="R79" i="4" s="1"/>
  <c r="O80" i="4"/>
  <c r="AC82" i="4"/>
  <c r="AD82" i="4"/>
  <c r="U84" i="4"/>
  <c r="V84" i="4" s="1"/>
  <c r="S85" i="4"/>
  <c r="Z83" i="4"/>
  <c r="N83" i="4"/>
  <c r="AE83" i="4" s="1"/>
  <c r="P60" i="3"/>
  <c r="R60" i="3" s="1"/>
  <c r="S81" i="3" s="1"/>
  <c r="N61" i="3"/>
  <c r="O61" i="3" s="1"/>
  <c r="P61" i="3" s="1"/>
  <c r="R61" i="3" s="1"/>
  <c r="Z61" i="3"/>
  <c r="U62" i="3"/>
  <c r="V62" i="3" s="1"/>
  <c r="P80" i="4" l="1"/>
  <c r="R80" i="4" s="1"/>
  <c r="O81" i="4"/>
  <c r="AD83" i="4"/>
  <c r="AC83" i="4"/>
  <c r="U85" i="4"/>
  <c r="V85" i="4" s="1"/>
  <c r="S86" i="4"/>
  <c r="S82" i="3"/>
  <c r="Z84" i="4"/>
  <c r="N84" i="4"/>
  <c r="AE84" i="4" s="1"/>
  <c r="N62" i="3"/>
  <c r="O62" i="3" s="1"/>
  <c r="Z62" i="3"/>
  <c r="U63" i="3"/>
  <c r="V63" i="3" s="1"/>
  <c r="P81" i="4" l="1"/>
  <c r="R81" i="4" s="1"/>
  <c r="O82" i="4"/>
  <c r="AC84" i="4"/>
  <c r="AD84" i="4"/>
  <c r="Z85" i="4"/>
  <c r="N85" i="4"/>
  <c r="AE85" i="4" s="1"/>
  <c r="U86" i="4"/>
  <c r="V86" i="4" s="1"/>
  <c r="S87" i="4"/>
  <c r="P62" i="3"/>
  <c r="R62" i="3" s="1"/>
  <c r="S83" i="3" s="1"/>
  <c r="N63" i="3"/>
  <c r="O63" i="3" s="1"/>
  <c r="P63" i="3" s="1"/>
  <c r="R63" i="3" s="1"/>
  <c r="Z63" i="3"/>
  <c r="U64" i="3"/>
  <c r="V64" i="3" s="1"/>
  <c r="P82" i="4" l="1"/>
  <c r="R82" i="4" s="1"/>
  <c r="O83" i="4"/>
  <c r="AC85" i="4"/>
  <c r="AD85" i="4"/>
  <c r="U87" i="4"/>
  <c r="V87" i="4" s="1"/>
  <c r="S88" i="4"/>
  <c r="Z86" i="4"/>
  <c r="N86" i="4"/>
  <c r="AE86" i="4" s="1"/>
  <c r="S84" i="3"/>
  <c r="N64" i="3"/>
  <c r="O64" i="3" s="1"/>
  <c r="P64" i="3" s="1"/>
  <c r="R64" i="3" s="1"/>
  <c r="Z64" i="3"/>
  <c r="U65" i="3"/>
  <c r="V65" i="3" s="1"/>
  <c r="P83" i="4" l="1"/>
  <c r="R83" i="4" s="1"/>
  <c r="O84" i="4"/>
  <c r="AD86" i="4"/>
  <c r="AC86" i="4"/>
  <c r="U88" i="4"/>
  <c r="V88" i="4" s="1"/>
  <c r="S89" i="4"/>
  <c r="Z87" i="4"/>
  <c r="N87" i="4"/>
  <c r="AE87" i="4" s="1"/>
  <c r="S85" i="3"/>
  <c r="N65" i="3"/>
  <c r="O65" i="3" s="1"/>
  <c r="P65" i="3" s="1"/>
  <c r="R65" i="3" s="1"/>
  <c r="Z65" i="3"/>
  <c r="U66" i="3"/>
  <c r="V66" i="3" s="1"/>
  <c r="P84" i="4" l="1"/>
  <c r="R84" i="4" s="1"/>
  <c r="O85" i="4"/>
  <c r="AC87" i="4"/>
  <c r="AD87" i="4"/>
  <c r="Z88" i="4"/>
  <c r="N88" i="4"/>
  <c r="AE88" i="4" s="1"/>
  <c r="U89" i="4"/>
  <c r="V89" i="4" s="1"/>
  <c r="S90" i="4"/>
  <c r="S86" i="3"/>
  <c r="N66" i="3"/>
  <c r="O66" i="3" s="1"/>
  <c r="P66" i="3" s="1"/>
  <c r="R66" i="3" s="1"/>
  <c r="Z66" i="3"/>
  <c r="U67" i="3"/>
  <c r="V67" i="3" s="1"/>
  <c r="P85" i="4" l="1"/>
  <c r="R85" i="4" s="1"/>
  <c r="O86" i="4"/>
  <c r="AC88" i="4"/>
  <c r="AD88" i="4"/>
  <c r="U90" i="4"/>
  <c r="V90" i="4" s="1"/>
  <c r="S91" i="4"/>
  <c r="S87" i="3"/>
  <c r="Z89" i="4"/>
  <c r="N89" i="4"/>
  <c r="AE89" i="4" s="1"/>
  <c r="N67" i="3"/>
  <c r="O67" i="3" s="1"/>
  <c r="P67" i="3" s="1"/>
  <c r="R67" i="3" s="1"/>
  <c r="Z67" i="3"/>
  <c r="U68" i="3"/>
  <c r="V68" i="3" s="1"/>
  <c r="P86" i="4" l="1"/>
  <c r="R86" i="4" s="1"/>
  <c r="O87" i="4"/>
  <c r="AD89" i="4"/>
  <c r="AC89" i="4"/>
  <c r="S88" i="3"/>
  <c r="U91" i="4"/>
  <c r="V91" i="4" s="1"/>
  <c r="S92" i="4"/>
  <c r="Z90" i="4"/>
  <c r="N90" i="4"/>
  <c r="AE90" i="4" s="1"/>
  <c r="N68" i="3"/>
  <c r="O68" i="3" s="1"/>
  <c r="Z68" i="3"/>
  <c r="U69" i="3"/>
  <c r="V69" i="3" s="1"/>
  <c r="P87" i="4" l="1"/>
  <c r="R87" i="4" s="1"/>
  <c r="O88" i="4"/>
  <c r="AC90" i="4"/>
  <c r="AD90" i="4"/>
  <c r="U92" i="4"/>
  <c r="V92" i="4" s="1"/>
  <c r="S93" i="4"/>
  <c r="Z91" i="4"/>
  <c r="N91" i="4"/>
  <c r="AE91" i="4" s="1"/>
  <c r="P68" i="3"/>
  <c r="R68" i="3" s="1"/>
  <c r="S89" i="3" s="1"/>
  <c r="N69" i="3"/>
  <c r="O69" i="3" s="1"/>
  <c r="P69" i="3" s="1"/>
  <c r="R69" i="3" s="1"/>
  <c r="Z69" i="3"/>
  <c r="U70" i="3"/>
  <c r="V70" i="3" s="1"/>
  <c r="P88" i="4" l="1"/>
  <c r="R88" i="4" s="1"/>
  <c r="O89" i="4"/>
  <c r="AC91" i="4"/>
  <c r="AD91" i="4"/>
  <c r="U93" i="4"/>
  <c r="V93" i="4" s="1"/>
  <c r="S94" i="4"/>
  <c r="Z92" i="4"/>
  <c r="N92" i="4"/>
  <c r="AE92" i="4" s="1"/>
  <c r="S90" i="3"/>
  <c r="N70" i="3"/>
  <c r="O70" i="3" s="1"/>
  <c r="P70" i="3" s="1"/>
  <c r="R70" i="3" s="1"/>
  <c r="Z70" i="3"/>
  <c r="U71" i="3"/>
  <c r="V71" i="3" s="1"/>
  <c r="P89" i="4" l="1"/>
  <c r="R89" i="4" s="1"/>
  <c r="O90" i="4"/>
  <c r="AD92" i="4"/>
  <c r="AC92" i="4"/>
  <c r="U94" i="4"/>
  <c r="V94" i="4" s="1"/>
  <c r="S95" i="4"/>
  <c r="Z93" i="4"/>
  <c r="N93" i="4"/>
  <c r="AE93" i="4" s="1"/>
  <c r="S91" i="3"/>
  <c r="N71" i="3"/>
  <c r="O71" i="3" s="1"/>
  <c r="P71" i="3" s="1"/>
  <c r="R71" i="3" s="1"/>
  <c r="Z71" i="3"/>
  <c r="U72" i="3"/>
  <c r="V72" i="3" s="1"/>
  <c r="O91" i="4" l="1"/>
  <c r="P90" i="4"/>
  <c r="R90" i="4" s="1"/>
  <c r="AC93" i="4"/>
  <c r="AD93" i="4"/>
  <c r="Z94" i="4"/>
  <c r="N94" i="4"/>
  <c r="AE94" i="4" s="1"/>
  <c r="U95" i="4"/>
  <c r="V95" i="4" s="1"/>
  <c r="S96" i="4"/>
  <c r="S92" i="3"/>
  <c r="N72" i="3"/>
  <c r="O72" i="3" s="1"/>
  <c r="Z72" i="3"/>
  <c r="U73" i="3"/>
  <c r="V73" i="3" s="1"/>
  <c r="P91" i="4" l="1"/>
  <c r="R91" i="4" s="1"/>
  <c r="O92" i="4"/>
  <c r="AC94" i="4"/>
  <c r="AD94" i="4"/>
  <c r="U96" i="4"/>
  <c r="V96" i="4" s="1"/>
  <c r="S97" i="4"/>
  <c r="Z95" i="4"/>
  <c r="N95" i="4"/>
  <c r="AE95" i="4" s="1"/>
  <c r="P72" i="3"/>
  <c r="R72" i="3" s="1"/>
  <c r="S93" i="3" s="1"/>
  <c r="N73" i="3"/>
  <c r="O73" i="3" s="1"/>
  <c r="P73" i="3" s="1"/>
  <c r="R73" i="3" s="1"/>
  <c r="Z73" i="3"/>
  <c r="U74" i="3"/>
  <c r="V74" i="3" s="1"/>
  <c r="P92" i="4" l="1"/>
  <c r="R92" i="4" s="1"/>
  <c r="O93" i="4"/>
  <c r="AD95" i="4"/>
  <c r="AC95" i="4"/>
  <c r="S94" i="3"/>
  <c r="U97" i="4"/>
  <c r="V97" i="4" s="1"/>
  <c r="S98" i="4"/>
  <c r="Z96" i="4"/>
  <c r="N96" i="4"/>
  <c r="AE96" i="4" s="1"/>
  <c r="N74" i="3"/>
  <c r="O74" i="3" s="1"/>
  <c r="Z74" i="3"/>
  <c r="U75" i="3"/>
  <c r="V75" i="3" s="1"/>
  <c r="P93" i="4" l="1"/>
  <c r="R93" i="4" s="1"/>
  <c r="O94" i="4"/>
  <c r="AC96" i="4"/>
  <c r="AD96" i="4"/>
  <c r="Z97" i="4"/>
  <c r="N97" i="4"/>
  <c r="AE97" i="4" s="1"/>
  <c r="U98" i="4"/>
  <c r="V98" i="4" s="1"/>
  <c r="S99" i="4"/>
  <c r="P74" i="3"/>
  <c r="R74" i="3" s="1"/>
  <c r="S95" i="3" s="1"/>
  <c r="N75" i="3"/>
  <c r="O75" i="3" s="1"/>
  <c r="P75" i="3" s="1"/>
  <c r="R75" i="3" s="1"/>
  <c r="Z75" i="3"/>
  <c r="U76" i="3"/>
  <c r="V76" i="3" s="1"/>
  <c r="P94" i="4" l="1"/>
  <c r="R94" i="4" s="1"/>
  <c r="O95" i="4"/>
  <c r="AC97" i="4"/>
  <c r="AD97" i="4"/>
  <c r="U99" i="4"/>
  <c r="V99" i="4" s="1"/>
  <c r="S100" i="4"/>
  <c r="Z98" i="4"/>
  <c r="N98" i="4"/>
  <c r="AE98" i="4" s="1"/>
  <c r="S96" i="3"/>
  <c r="N76" i="3"/>
  <c r="O76" i="3" s="1"/>
  <c r="P76" i="3" s="1"/>
  <c r="R76" i="3" s="1"/>
  <c r="Z76" i="3"/>
  <c r="U77" i="3"/>
  <c r="V77" i="3" s="1"/>
  <c r="P95" i="4" l="1"/>
  <c r="R95" i="4" s="1"/>
  <c r="O96" i="4"/>
  <c r="AD98" i="4"/>
  <c r="AC98" i="4"/>
  <c r="U100" i="4"/>
  <c r="V100" i="4" s="1"/>
  <c r="S101" i="4"/>
  <c r="Z99" i="4"/>
  <c r="N99" i="4"/>
  <c r="AE99" i="4" s="1"/>
  <c r="S97" i="3"/>
  <c r="N77" i="3"/>
  <c r="O77" i="3" s="1"/>
  <c r="P77" i="3" s="1"/>
  <c r="R77" i="3" s="1"/>
  <c r="Z77" i="3"/>
  <c r="U78" i="3"/>
  <c r="V78" i="3" s="1"/>
  <c r="P96" i="4" l="1"/>
  <c r="R96" i="4" s="1"/>
  <c r="O97" i="4"/>
  <c r="AC99" i="4"/>
  <c r="AD99" i="4"/>
  <c r="Z100" i="4"/>
  <c r="N100" i="4"/>
  <c r="AE100" i="4" s="1"/>
  <c r="U101" i="4"/>
  <c r="V101" i="4" s="1"/>
  <c r="S102" i="4"/>
  <c r="S98" i="3"/>
  <c r="N78" i="3"/>
  <c r="O78" i="3" s="1"/>
  <c r="P78" i="3" s="1"/>
  <c r="R78" i="3" s="1"/>
  <c r="Z78" i="3"/>
  <c r="U79" i="3"/>
  <c r="V79" i="3" s="1"/>
  <c r="P97" i="4" l="1"/>
  <c r="R97" i="4" s="1"/>
  <c r="O98" i="4"/>
  <c r="AC100" i="4"/>
  <c r="AD100" i="4"/>
  <c r="U102" i="4"/>
  <c r="V102" i="4" s="1"/>
  <c r="S103" i="4"/>
  <c r="Z101" i="4"/>
  <c r="N101" i="4"/>
  <c r="AE101" i="4" s="1"/>
  <c r="S99" i="3"/>
  <c r="N79" i="3"/>
  <c r="O79" i="3" s="1"/>
  <c r="P79" i="3" s="1"/>
  <c r="R79" i="3" s="1"/>
  <c r="Z79" i="3"/>
  <c r="U80" i="3"/>
  <c r="V80" i="3" s="1"/>
  <c r="P98" i="4" l="1"/>
  <c r="R98" i="4" s="1"/>
  <c r="O99" i="4"/>
  <c r="AD101" i="4"/>
  <c r="AC101" i="4"/>
  <c r="U103" i="4"/>
  <c r="V103" i="4" s="1"/>
  <c r="S104" i="4"/>
  <c r="Z102" i="4"/>
  <c r="N102" i="4"/>
  <c r="AE102" i="4" s="1"/>
  <c r="S100" i="3"/>
  <c r="N80" i="3"/>
  <c r="O80" i="3" s="1"/>
  <c r="Z80" i="3"/>
  <c r="U81" i="3"/>
  <c r="V81" i="3" s="1"/>
  <c r="P99" i="4" l="1"/>
  <c r="R99" i="4" s="1"/>
  <c r="O100" i="4"/>
  <c r="AC102" i="4"/>
  <c r="AD102" i="4"/>
  <c r="Z103" i="4"/>
  <c r="N103" i="4"/>
  <c r="AE103" i="4" s="1"/>
  <c r="U104" i="4"/>
  <c r="V104" i="4" s="1"/>
  <c r="S105" i="4"/>
  <c r="P80" i="3"/>
  <c r="R80" i="3" s="1"/>
  <c r="S101" i="3" s="1"/>
  <c r="N81" i="3"/>
  <c r="O81" i="3" s="1"/>
  <c r="P81" i="3" s="1"/>
  <c r="R81" i="3" s="1"/>
  <c r="Z81" i="3"/>
  <c r="U82" i="3"/>
  <c r="V82" i="3" s="1"/>
  <c r="P100" i="4" l="1"/>
  <c r="R100" i="4" s="1"/>
  <c r="O101" i="4"/>
  <c r="AC103" i="4"/>
  <c r="AD103" i="4"/>
  <c r="S102" i="3"/>
  <c r="U105" i="4"/>
  <c r="V105" i="4" s="1"/>
  <c r="S106" i="4"/>
  <c r="Z104" i="4"/>
  <c r="N104" i="4"/>
  <c r="AE104" i="4" s="1"/>
  <c r="N82" i="3"/>
  <c r="O82" i="3" s="1"/>
  <c r="Z82" i="3"/>
  <c r="U83" i="3"/>
  <c r="V83" i="3" s="1"/>
  <c r="P101" i="4" l="1"/>
  <c r="R101" i="4" s="1"/>
  <c r="O102" i="4"/>
  <c r="AD104" i="4"/>
  <c r="AC104" i="4"/>
  <c r="U106" i="4"/>
  <c r="V106" i="4" s="1"/>
  <c r="S107" i="4"/>
  <c r="Z105" i="4"/>
  <c r="N105" i="4"/>
  <c r="AE105" i="4" s="1"/>
  <c r="P82" i="3"/>
  <c r="R82" i="3" s="1"/>
  <c r="S103" i="3" s="1"/>
  <c r="N83" i="3"/>
  <c r="O83" i="3" s="1"/>
  <c r="P83" i="3" s="1"/>
  <c r="R83" i="3" s="1"/>
  <c r="Z83" i="3"/>
  <c r="U84" i="3"/>
  <c r="V84" i="3" s="1"/>
  <c r="P102" i="4" l="1"/>
  <c r="R102" i="4" s="1"/>
  <c r="O103" i="4"/>
  <c r="AC105" i="4"/>
  <c r="AD105" i="4"/>
  <c r="Z106" i="4"/>
  <c r="N106" i="4"/>
  <c r="AE106" i="4" s="1"/>
  <c r="U107" i="4"/>
  <c r="V107" i="4" s="1"/>
  <c r="S108" i="4"/>
  <c r="S104" i="3"/>
  <c r="N84" i="3"/>
  <c r="O84" i="3" s="1"/>
  <c r="Z84" i="3"/>
  <c r="U85" i="3"/>
  <c r="V85" i="3" s="1"/>
  <c r="P103" i="4" l="1"/>
  <c r="R103" i="4" s="1"/>
  <c r="O104" i="4"/>
  <c r="AC106" i="4"/>
  <c r="AD106" i="4"/>
  <c r="U108" i="4"/>
  <c r="V108" i="4" s="1"/>
  <c r="S109" i="4"/>
  <c r="Z107" i="4"/>
  <c r="N107" i="4"/>
  <c r="AE107" i="4" s="1"/>
  <c r="P84" i="3"/>
  <c r="R84" i="3" s="1"/>
  <c r="S105" i="3" s="1"/>
  <c r="N85" i="3"/>
  <c r="O85" i="3" s="1"/>
  <c r="P85" i="3" s="1"/>
  <c r="R85" i="3" s="1"/>
  <c r="Z85" i="3"/>
  <c r="U86" i="3"/>
  <c r="V86" i="3" s="1"/>
  <c r="P104" i="4" l="1"/>
  <c r="R104" i="4" s="1"/>
  <c r="O105" i="4"/>
  <c r="AD107" i="4"/>
  <c r="AC107" i="4"/>
  <c r="U109" i="4"/>
  <c r="V109" i="4" s="1"/>
  <c r="S110" i="4"/>
  <c r="S106" i="3"/>
  <c r="Z108" i="4"/>
  <c r="N108" i="4"/>
  <c r="AE108" i="4" s="1"/>
  <c r="N86" i="3"/>
  <c r="O86" i="3" s="1"/>
  <c r="Z86" i="3"/>
  <c r="U87" i="3"/>
  <c r="V87" i="3" s="1"/>
  <c r="P105" i="4" l="1"/>
  <c r="R105" i="4" s="1"/>
  <c r="O106" i="4"/>
  <c r="AC108" i="4"/>
  <c r="AD108" i="4"/>
  <c r="Z109" i="4"/>
  <c r="N109" i="4"/>
  <c r="AE109" i="4" s="1"/>
  <c r="U110" i="4"/>
  <c r="V110" i="4" s="1"/>
  <c r="S111" i="4"/>
  <c r="P86" i="3"/>
  <c r="R86" i="3" s="1"/>
  <c r="S107" i="3" s="1"/>
  <c r="N87" i="3"/>
  <c r="O87" i="3" s="1"/>
  <c r="P87" i="3" s="1"/>
  <c r="R87" i="3" s="1"/>
  <c r="Z87" i="3"/>
  <c r="U88" i="3"/>
  <c r="V88" i="3" s="1"/>
  <c r="P106" i="4" l="1"/>
  <c r="R106" i="4" s="1"/>
  <c r="O107" i="4"/>
  <c r="AC109" i="4"/>
  <c r="AD109" i="4"/>
  <c r="U111" i="4"/>
  <c r="V111" i="4" s="1"/>
  <c r="S112" i="4"/>
  <c r="Z110" i="4"/>
  <c r="N110" i="4"/>
  <c r="AE110" i="4" s="1"/>
  <c r="S108" i="3"/>
  <c r="N88" i="3"/>
  <c r="O88" i="3" s="1"/>
  <c r="Z88" i="3"/>
  <c r="U89" i="3"/>
  <c r="V89" i="3" s="1"/>
  <c r="P107" i="4" l="1"/>
  <c r="R107" i="4" s="1"/>
  <c r="O108" i="4"/>
  <c r="AD110" i="4"/>
  <c r="AC110" i="4"/>
  <c r="U112" i="4"/>
  <c r="V112" i="4" s="1"/>
  <c r="S113" i="4"/>
  <c r="Z111" i="4"/>
  <c r="N111" i="4"/>
  <c r="AE111" i="4" s="1"/>
  <c r="P88" i="3"/>
  <c r="R88" i="3" s="1"/>
  <c r="S109" i="3" s="1"/>
  <c r="N89" i="3"/>
  <c r="O89" i="3" s="1"/>
  <c r="P89" i="3" s="1"/>
  <c r="R89" i="3" s="1"/>
  <c r="Z89" i="3"/>
  <c r="U90" i="3"/>
  <c r="V90" i="3" s="1"/>
  <c r="P108" i="4" l="1"/>
  <c r="R108" i="4" s="1"/>
  <c r="O109" i="4"/>
  <c r="AC111" i="4"/>
  <c r="AD111" i="4"/>
  <c r="S110" i="3"/>
  <c r="Z112" i="4"/>
  <c r="N112" i="4"/>
  <c r="AE112" i="4" s="1"/>
  <c r="U113" i="4"/>
  <c r="V113" i="4" s="1"/>
  <c r="S114" i="4"/>
  <c r="N90" i="3"/>
  <c r="O90" i="3" s="1"/>
  <c r="Z90" i="3"/>
  <c r="U91" i="3"/>
  <c r="V91" i="3" s="1"/>
  <c r="P109" i="4" l="1"/>
  <c r="R109" i="4" s="1"/>
  <c r="O110" i="4"/>
  <c r="AC112" i="4"/>
  <c r="AD112" i="4"/>
  <c r="U114" i="4"/>
  <c r="V114" i="4" s="1"/>
  <c r="S115" i="4"/>
  <c r="Z113" i="4"/>
  <c r="N113" i="4"/>
  <c r="AE113" i="4" s="1"/>
  <c r="P90" i="3"/>
  <c r="R90" i="3" s="1"/>
  <c r="S111" i="3" s="1"/>
  <c r="N91" i="3"/>
  <c r="O91" i="3" s="1"/>
  <c r="P91" i="3" s="1"/>
  <c r="R91" i="3" s="1"/>
  <c r="Z91" i="3"/>
  <c r="U92" i="3"/>
  <c r="V92" i="3" s="1"/>
  <c r="P110" i="4" l="1"/>
  <c r="R110" i="4" s="1"/>
  <c r="O111" i="4"/>
  <c r="AD113" i="4"/>
  <c r="AC113" i="4"/>
  <c r="U115" i="4"/>
  <c r="V115" i="4" s="1"/>
  <c r="S116" i="4"/>
  <c r="Z114" i="4"/>
  <c r="N114" i="4"/>
  <c r="AE114" i="4" s="1"/>
  <c r="S112" i="3"/>
  <c r="N92" i="3"/>
  <c r="O92" i="3" s="1"/>
  <c r="Z92" i="3"/>
  <c r="U93" i="3"/>
  <c r="V93" i="3" s="1"/>
  <c r="P111" i="4" l="1"/>
  <c r="R111" i="4" s="1"/>
  <c r="O112" i="4"/>
  <c r="AC114" i="4"/>
  <c r="AD114" i="4"/>
  <c r="Z115" i="4"/>
  <c r="N115" i="4"/>
  <c r="AE115" i="4" s="1"/>
  <c r="U116" i="4"/>
  <c r="V116" i="4" s="1"/>
  <c r="S117" i="4"/>
  <c r="P92" i="3"/>
  <c r="R92" i="3" s="1"/>
  <c r="S113" i="3" s="1"/>
  <c r="N93" i="3"/>
  <c r="O93" i="3" s="1"/>
  <c r="P93" i="3" s="1"/>
  <c r="R93" i="3" s="1"/>
  <c r="Z93" i="3"/>
  <c r="U94" i="3"/>
  <c r="V94" i="3" s="1"/>
  <c r="P112" i="4" l="1"/>
  <c r="R112" i="4" s="1"/>
  <c r="O113" i="4"/>
  <c r="AC115" i="4"/>
  <c r="AD115" i="4"/>
  <c r="S114" i="3"/>
  <c r="U117" i="4"/>
  <c r="V117" i="4" s="1"/>
  <c r="S118" i="4"/>
  <c r="Z116" i="4"/>
  <c r="N116" i="4"/>
  <c r="AE116" i="4" s="1"/>
  <c r="N94" i="3"/>
  <c r="O94" i="3" s="1"/>
  <c r="P94" i="3" s="1"/>
  <c r="R94" i="3" s="1"/>
  <c r="Z94" i="3"/>
  <c r="U95" i="3"/>
  <c r="V95" i="3" s="1"/>
  <c r="O114" i="4" l="1"/>
  <c r="P113" i="4"/>
  <c r="R113" i="4" s="1"/>
  <c r="AD116" i="4"/>
  <c r="S115" i="3"/>
  <c r="AC116" i="4"/>
  <c r="U118" i="4"/>
  <c r="V118" i="4" s="1"/>
  <c r="S119" i="4"/>
  <c r="Z117" i="4"/>
  <c r="N117" i="4"/>
  <c r="AE117" i="4" s="1"/>
  <c r="N95" i="3"/>
  <c r="O95" i="3" s="1"/>
  <c r="P95" i="3" s="1"/>
  <c r="R95" i="3" s="1"/>
  <c r="Z95" i="3"/>
  <c r="U96" i="3"/>
  <c r="V96" i="3" s="1"/>
  <c r="P114" i="4" l="1"/>
  <c r="R114" i="4" s="1"/>
  <c r="O115" i="4"/>
  <c r="S116" i="3"/>
  <c r="AC117" i="4"/>
  <c r="AD117" i="4"/>
  <c r="Z118" i="4"/>
  <c r="N118" i="4"/>
  <c r="AE118" i="4" s="1"/>
  <c r="U119" i="4"/>
  <c r="V119" i="4" s="1"/>
  <c r="S120" i="4"/>
  <c r="N96" i="3"/>
  <c r="O96" i="3" s="1"/>
  <c r="Z96" i="3"/>
  <c r="U97" i="3"/>
  <c r="V97" i="3" s="1"/>
  <c r="P115" i="4" l="1"/>
  <c r="R115" i="4" s="1"/>
  <c r="O116" i="4"/>
  <c r="AC118" i="4"/>
  <c r="AD118" i="4"/>
  <c r="U120" i="4"/>
  <c r="V120" i="4" s="1"/>
  <c r="S121" i="4"/>
  <c r="Z119" i="4"/>
  <c r="N119" i="4"/>
  <c r="AE119" i="4" s="1"/>
  <c r="P96" i="3"/>
  <c r="R96" i="3" s="1"/>
  <c r="S117" i="3" s="1"/>
  <c r="N97" i="3"/>
  <c r="O97" i="3" s="1"/>
  <c r="P97" i="3" s="1"/>
  <c r="R97" i="3" s="1"/>
  <c r="Z97" i="3"/>
  <c r="U98" i="3"/>
  <c r="V98" i="3" s="1"/>
  <c r="P116" i="4" l="1"/>
  <c r="R116" i="4" s="1"/>
  <c r="O117" i="4"/>
  <c r="AD119" i="4"/>
  <c r="AC119" i="4"/>
  <c r="U121" i="4"/>
  <c r="V121" i="4" s="1"/>
  <c r="S122" i="4"/>
  <c r="Z120" i="4"/>
  <c r="N120" i="4"/>
  <c r="AE120" i="4" s="1"/>
  <c r="S118" i="3"/>
  <c r="N98" i="3"/>
  <c r="O98" i="3" s="1"/>
  <c r="Z98" i="3"/>
  <c r="U99" i="3"/>
  <c r="V99" i="3" s="1"/>
  <c r="P117" i="4" l="1"/>
  <c r="R117" i="4" s="1"/>
  <c r="O118" i="4"/>
  <c r="AC120" i="4"/>
  <c r="AD120" i="4"/>
  <c r="Z121" i="4"/>
  <c r="N121" i="4"/>
  <c r="AE121" i="4" s="1"/>
  <c r="U122" i="4"/>
  <c r="V122" i="4" s="1"/>
  <c r="S123" i="4"/>
  <c r="P98" i="3"/>
  <c r="R98" i="3" s="1"/>
  <c r="S119" i="3" s="1"/>
  <c r="N99" i="3"/>
  <c r="O99" i="3" s="1"/>
  <c r="P99" i="3" s="1"/>
  <c r="R99" i="3" s="1"/>
  <c r="Z99" i="3"/>
  <c r="U100" i="3"/>
  <c r="V100" i="3" s="1"/>
  <c r="P118" i="4" l="1"/>
  <c r="R118" i="4" s="1"/>
  <c r="O119" i="4"/>
  <c r="AC121" i="4"/>
  <c r="AD121" i="4"/>
  <c r="S120" i="3"/>
  <c r="U123" i="4"/>
  <c r="V123" i="4" s="1"/>
  <c r="S124" i="4"/>
  <c r="Z122" i="4"/>
  <c r="N122" i="4"/>
  <c r="AE122" i="4" s="1"/>
  <c r="N100" i="3"/>
  <c r="O100" i="3" s="1"/>
  <c r="P100" i="3" s="1"/>
  <c r="R100" i="3" s="1"/>
  <c r="Z100" i="3"/>
  <c r="U101" i="3"/>
  <c r="V101" i="3" s="1"/>
  <c r="P119" i="4" l="1"/>
  <c r="R119" i="4" s="1"/>
  <c r="O120" i="4"/>
  <c r="AD122" i="4"/>
  <c r="AC122" i="4"/>
  <c r="S121" i="3"/>
  <c r="U124" i="4"/>
  <c r="V124" i="4" s="1"/>
  <c r="S125" i="4"/>
  <c r="Z123" i="4"/>
  <c r="N123" i="4"/>
  <c r="AE123" i="4" s="1"/>
  <c r="N101" i="3"/>
  <c r="O101" i="3" s="1"/>
  <c r="P101" i="3" s="1"/>
  <c r="R101" i="3" s="1"/>
  <c r="Z101" i="3"/>
  <c r="U102" i="3"/>
  <c r="V102" i="3" s="1"/>
  <c r="P120" i="4" l="1"/>
  <c r="R120" i="4" s="1"/>
  <c r="O121" i="4"/>
  <c r="S122" i="3"/>
  <c r="AC123" i="4"/>
  <c r="AD123" i="4"/>
  <c r="Z124" i="4"/>
  <c r="N124" i="4"/>
  <c r="AE124" i="4" s="1"/>
  <c r="U125" i="4"/>
  <c r="V125" i="4" s="1"/>
  <c r="S126" i="4"/>
  <c r="N102" i="3"/>
  <c r="O102" i="3" s="1"/>
  <c r="Z102" i="3"/>
  <c r="U103" i="3"/>
  <c r="V103" i="3" s="1"/>
  <c r="P121" i="4" l="1"/>
  <c r="R121" i="4" s="1"/>
  <c r="O122" i="4"/>
  <c r="AC124" i="4"/>
  <c r="AD124" i="4"/>
  <c r="U126" i="4"/>
  <c r="V126" i="4" s="1"/>
  <c r="S127" i="4"/>
  <c r="Z125" i="4"/>
  <c r="N125" i="4"/>
  <c r="AE125" i="4" s="1"/>
  <c r="P102" i="3"/>
  <c r="R102" i="3" s="1"/>
  <c r="S123" i="3" s="1"/>
  <c r="N103" i="3"/>
  <c r="O103" i="3" s="1"/>
  <c r="P103" i="3" s="1"/>
  <c r="R103" i="3" s="1"/>
  <c r="Z103" i="3"/>
  <c r="U104" i="3"/>
  <c r="V104" i="3" s="1"/>
  <c r="O123" i="4" l="1"/>
  <c r="P122" i="4"/>
  <c r="R122" i="4" s="1"/>
  <c r="AD125" i="4"/>
  <c r="AC125" i="4"/>
  <c r="U127" i="4"/>
  <c r="V127" i="4" s="1"/>
  <c r="S128" i="4"/>
  <c r="Z126" i="4"/>
  <c r="N126" i="4"/>
  <c r="AE126" i="4" s="1"/>
  <c r="S124" i="3"/>
  <c r="N104" i="3"/>
  <c r="O104" i="3" s="1"/>
  <c r="Z104" i="3"/>
  <c r="U105" i="3"/>
  <c r="V105" i="3" s="1"/>
  <c r="P123" i="4" l="1"/>
  <c r="R123" i="4" s="1"/>
  <c r="O124" i="4"/>
  <c r="AC126" i="4"/>
  <c r="AD126" i="4"/>
  <c r="Z127" i="4"/>
  <c r="N127" i="4"/>
  <c r="AE127" i="4" s="1"/>
  <c r="U128" i="4"/>
  <c r="V128" i="4" s="1"/>
  <c r="S129" i="4"/>
  <c r="P104" i="3"/>
  <c r="R104" i="3" s="1"/>
  <c r="S125" i="3" s="1"/>
  <c r="N105" i="3"/>
  <c r="O105" i="3" s="1"/>
  <c r="P105" i="3" s="1"/>
  <c r="R105" i="3" s="1"/>
  <c r="Z105" i="3"/>
  <c r="U106" i="3"/>
  <c r="V106" i="3" s="1"/>
  <c r="P124" i="4" l="1"/>
  <c r="R124" i="4" s="1"/>
  <c r="O125" i="4"/>
  <c r="AC127" i="4"/>
  <c r="AD127" i="4"/>
  <c r="U129" i="4"/>
  <c r="V129" i="4" s="1"/>
  <c r="S130" i="4"/>
  <c r="S126" i="3"/>
  <c r="Z128" i="4"/>
  <c r="N128" i="4"/>
  <c r="AE128" i="4" s="1"/>
  <c r="N106" i="3"/>
  <c r="O106" i="3" s="1"/>
  <c r="P106" i="3" s="1"/>
  <c r="R106" i="3" s="1"/>
  <c r="Z106" i="3"/>
  <c r="U107" i="3"/>
  <c r="V107" i="3" s="1"/>
  <c r="P125" i="4" l="1"/>
  <c r="R125" i="4" s="1"/>
  <c r="O126" i="4"/>
  <c r="AD128" i="4"/>
  <c r="AC128" i="4"/>
  <c r="S127" i="3"/>
  <c r="U130" i="4"/>
  <c r="V130" i="4" s="1"/>
  <c r="S131" i="4"/>
  <c r="Z129" i="4"/>
  <c r="N129" i="4"/>
  <c r="AE129" i="4" s="1"/>
  <c r="N107" i="3"/>
  <c r="O107" i="3" s="1"/>
  <c r="P107" i="3" s="1"/>
  <c r="R107" i="3" s="1"/>
  <c r="Z107" i="3"/>
  <c r="U108" i="3"/>
  <c r="V108" i="3" s="1"/>
  <c r="P126" i="4" l="1"/>
  <c r="R126" i="4" s="1"/>
  <c r="O127" i="4"/>
  <c r="S128" i="3"/>
  <c r="AC129" i="4"/>
  <c r="AD129" i="4"/>
  <c r="U131" i="4"/>
  <c r="V131" i="4" s="1"/>
  <c r="S132" i="4"/>
  <c r="Z130" i="4"/>
  <c r="N130" i="4"/>
  <c r="AE130" i="4" s="1"/>
  <c r="N108" i="3"/>
  <c r="O108" i="3" s="1"/>
  <c r="Z108" i="3"/>
  <c r="U109" i="3"/>
  <c r="V109" i="3" s="1"/>
  <c r="P127" i="4" l="1"/>
  <c r="R127" i="4" s="1"/>
  <c r="O128" i="4"/>
  <c r="AC130" i="4"/>
  <c r="AD130" i="4"/>
  <c r="U132" i="4"/>
  <c r="V132" i="4" s="1"/>
  <c r="S133" i="4"/>
  <c r="Z131" i="4"/>
  <c r="N131" i="4"/>
  <c r="AE131" i="4" s="1"/>
  <c r="P108" i="3"/>
  <c r="R108" i="3" s="1"/>
  <c r="S129" i="3" s="1"/>
  <c r="N109" i="3"/>
  <c r="O109" i="3" s="1"/>
  <c r="P109" i="3" s="1"/>
  <c r="R109" i="3" s="1"/>
  <c r="Z109" i="3"/>
  <c r="U110" i="3"/>
  <c r="V110" i="3" s="1"/>
  <c r="P128" i="4" l="1"/>
  <c r="R128" i="4" s="1"/>
  <c r="O129" i="4"/>
  <c r="AD131" i="4"/>
  <c r="AC131" i="4"/>
  <c r="U133" i="4"/>
  <c r="V133" i="4" s="1"/>
  <c r="S134" i="4"/>
  <c r="Z132" i="4"/>
  <c r="N132" i="4"/>
  <c r="AE132" i="4" s="1"/>
  <c r="S130" i="3"/>
  <c r="N110" i="3"/>
  <c r="O110" i="3" s="1"/>
  <c r="P110" i="3" s="1"/>
  <c r="R110" i="3" s="1"/>
  <c r="Z110" i="3"/>
  <c r="U111" i="3"/>
  <c r="V111" i="3" s="1"/>
  <c r="P129" i="4" l="1"/>
  <c r="R129" i="4" s="1"/>
  <c r="O130" i="4"/>
  <c r="AC132" i="4"/>
  <c r="AD132" i="4"/>
  <c r="Z133" i="4"/>
  <c r="N133" i="4"/>
  <c r="AE133" i="4" s="1"/>
  <c r="U134" i="4"/>
  <c r="V134" i="4" s="1"/>
  <c r="S135" i="4"/>
  <c r="S131" i="3"/>
  <c r="N111" i="3"/>
  <c r="O111" i="3" s="1"/>
  <c r="P111" i="3" s="1"/>
  <c r="R111" i="3" s="1"/>
  <c r="Z111" i="3"/>
  <c r="U112" i="3"/>
  <c r="V112" i="3" s="1"/>
  <c r="P130" i="4" l="1"/>
  <c r="R130" i="4" s="1"/>
  <c r="O131" i="4"/>
  <c r="AC133" i="4"/>
  <c r="AD133" i="4"/>
  <c r="U135" i="4"/>
  <c r="V135" i="4" s="1"/>
  <c r="S136" i="4"/>
  <c r="Z134" i="4"/>
  <c r="N134" i="4"/>
  <c r="AE134" i="4" s="1"/>
  <c r="S132" i="3"/>
  <c r="N112" i="3"/>
  <c r="O112" i="3" s="1"/>
  <c r="P112" i="3" s="1"/>
  <c r="R112" i="3" s="1"/>
  <c r="Z112" i="3"/>
  <c r="U113" i="3"/>
  <c r="V113" i="3" s="1"/>
  <c r="P131" i="4" l="1"/>
  <c r="R131" i="4" s="1"/>
  <c r="O132" i="4"/>
  <c r="AD134" i="4"/>
  <c r="AC134" i="4"/>
  <c r="U136" i="4"/>
  <c r="V136" i="4" s="1"/>
  <c r="S137" i="4"/>
  <c r="Z135" i="4"/>
  <c r="N135" i="4"/>
  <c r="AE135" i="4" s="1"/>
  <c r="S133" i="3"/>
  <c r="N113" i="3"/>
  <c r="O113" i="3" s="1"/>
  <c r="P113" i="3" s="1"/>
  <c r="R113" i="3" s="1"/>
  <c r="Z113" i="3"/>
  <c r="U114" i="3"/>
  <c r="V114" i="3" s="1"/>
  <c r="P132" i="4" l="1"/>
  <c r="R132" i="4" s="1"/>
  <c r="O133" i="4"/>
  <c r="AC135" i="4"/>
  <c r="AD135" i="4"/>
  <c r="U137" i="4"/>
  <c r="V137" i="4" s="1"/>
  <c r="S138" i="4"/>
  <c r="Z136" i="4"/>
  <c r="N136" i="4"/>
  <c r="AE136" i="4" s="1"/>
  <c r="S134" i="3"/>
  <c r="N114" i="3"/>
  <c r="O114" i="3" s="1"/>
  <c r="Z114" i="3"/>
  <c r="U115" i="3"/>
  <c r="V115" i="3" s="1"/>
  <c r="P133" i="4" l="1"/>
  <c r="R133" i="4" s="1"/>
  <c r="O134" i="4"/>
  <c r="AC136" i="4"/>
  <c r="AD136" i="4"/>
  <c r="U138" i="4"/>
  <c r="V138" i="4" s="1"/>
  <c r="S139" i="4"/>
  <c r="Z137" i="4"/>
  <c r="N137" i="4"/>
  <c r="AE137" i="4" s="1"/>
  <c r="P114" i="3"/>
  <c r="R114" i="3" s="1"/>
  <c r="S135" i="3" s="1"/>
  <c r="N115" i="3"/>
  <c r="O115" i="3" s="1"/>
  <c r="P115" i="3" s="1"/>
  <c r="R115" i="3" s="1"/>
  <c r="Z115" i="3"/>
  <c r="U116" i="3"/>
  <c r="V116" i="3" s="1"/>
  <c r="P134" i="4" l="1"/>
  <c r="R134" i="4" s="1"/>
  <c r="O135" i="4"/>
  <c r="AD137" i="4"/>
  <c r="AC137" i="4"/>
  <c r="U139" i="4"/>
  <c r="V139" i="4" s="1"/>
  <c r="S140" i="4"/>
  <c r="S136" i="3"/>
  <c r="Z138" i="4"/>
  <c r="N138" i="4"/>
  <c r="AE138" i="4" s="1"/>
  <c r="N116" i="3"/>
  <c r="O116" i="3" s="1"/>
  <c r="P116" i="3" s="1"/>
  <c r="R116" i="3" s="1"/>
  <c r="Z116" i="3"/>
  <c r="U117" i="3"/>
  <c r="V117" i="3" s="1"/>
  <c r="P135" i="4" l="1"/>
  <c r="R135" i="4" s="1"/>
  <c r="O136" i="4"/>
  <c r="AC138" i="4"/>
  <c r="AD138" i="4"/>
  <c r="S137" i="3"/>
  <c r="Z139" i="4"/>
  <c r="N139" i="4"/>
  <c r="AE139" i="4" s="1"/>
  <c r="U140" i="4"/>
  <c r="V140" i="4" s="1"/>
  <c r="S141" i="4"/>
  <c r="N117" i="3"/>
  <c r="O117" i="3" s="1"/>
  <c r="P117" i="3" s="1"/>
  <c r="R117" i="3" s="1"/>
  <c r="Z117" i="3"/>
  <c r="U118" i="3"/>
  <c r="V118" i="3" s="1"/>
  <c r="P136" i="4" l="1"/>
  <c r="R136" i="4" s="1"/>
  <c r="O137" i="4"/>
  <c r="AC139" i="4"/>
  <c r="AD139" i="4"/>
  <c r="S138" i="3"/>
  <c r="U141" i="4"/>
  <c r="V141" i="4" s="1"/>
  <c r="S142" i="4"/>
  <c r="Z140" i="4"/>
  <c r="N140" i="4"/>
  <c r="AE140" i="4" s="1"/>
  <c r="N118" i="3"/>
  <c r="O118" i="3" s="1"/>
  <c r="P118" i="3" s="1"/>
  <c r="R118" i="3" s="1"/>
  <c r="Z118" i="3"/>
  <c r="U119" i="3"/>
  <c r="V119" i="3" s="1"/>
  <c r="P137" i="4" l="1"/>
  <c r="R137" i="4" s="1"/>
  <c r="O138" i="4"/>
  <c r="AD140" i="4"/>
  <c r="S139" i="3"/>
  <c r="AC140" i="4"/>
  <c r="U142" i="4"/>
  <c r="V142" i="4" s="1"/>
  <c r="S143" i="4"/>
  <c r="Z141" i="4"/>
  <c r="N141" i="4"/>
  <c r="AE141" i="4" s="1"/>
  <c r="N119" i="3"/>
  <c r="O119" i="3" s="1"/>
  <c r="P119" i="3" s="1"/>
  <c r="R119" i="3" s="1"/>
  <c r="Z119" i="3"/>
  <c r="U120" i="3"/>
  <c r="V120" i="3" s="1"/>
  <c r="P138" i="4" l="1"/>
  <c r="R138" i="4" s="1"/>
  <c r="O139" i="4"/>
  <c r="S140" i="3"/>
  <c r="AC141" i="4"/>
  <c r="AD141" i="4"/>
  <c r="Z142" i="4"/>
  <c r="N142" i="4"/>
  <c r="AE142" i="4" s="1"/>
  <c r="U143" i="4"/>
  <c r="V143" i="4" s="1"/>
  <c r="S144" i="4"/>
  <c r="N120" i="3"/>
  <c r="O120" i="3" s="1"/>
  <c r="Z120" i="3"/>
  <c r="U121" i="3"/>
  <c r="V121" i="3" s="1"/>
  <c r="P139" i="4" l="1"/>
  <c r="R139" i="4" s="1"/>
  <c r="O140" i="4"/>
  <c r="AC142" i="4"/>
  <c r="AD142" i="4"/>
  <c r="U144" i="4"/>
  <c r="V144" i="4" s="1"/>
  <c r="S145" i="4"/>
  <c r="Z143" i="4"/>
  <c r="N143" i="4"/>
  <c r="AE143" i="4" s="1"/>
  <c r="P120" i="3"/>
  <c r="R120" i="3" s="1"/>
  <c r="S141" i="3" s="1"/>
  <c r="N121" i="3"/>
  <c r="O121" i="3" s="1"/>
  <c r="P121" i="3" s="1"/>
  <c r="R121" i="3" s="1"/>
  <c r="Z121" i="3"/>
  <c r="U122" i="3"/>
  <c r="V122" i="3" s="1"/>
  <c r="P140" i="4" l="1"/>
  <c r="R140" i="4" s="1"/>
  <c r="O141" i="4"/>
  <c r="AD143" i="4"/>
  <c r="AC143" i="4"/>
  <c r="U145" i="4"/>
  <c r="V145" i="4" s="1"/>
  <c r="S146" i="4"/>
  <c r="Z144" i="4"/>
  <c r="N144" i="4"/>
  <c r="AE144" i="4" s="1"/>
  <c r="S142" i="3"/>
  <c r="N122" i="3"/>
  <c r="O122" i="3" s="1"/>
  <c r="P122" i="3" s="1"/>
  <c r="R122" i="3" s="1"/>
  <c r="Z122" i="3"/>
  <c r="U123" i="3"/>
  <c r="V123" i="3" s="1"/>
  <c r="O142" i="4" l="1"/>
  <c r="P141" i="4"/>
  <c r="R141" i="4" s="1"/>
  <c r="AC144" i="4"/>
  <c r="AD144" i="4"/>
  <c r="Z145" i="4"/>
  <c r="N145" i="4"/>
  <c r="AE145" i="4" s="1"/>
  <c r="U146" i="4"/>
  <c r="V146" i="4" s="1"/>
  <c r="S147" i="4"/>
  <c r="S143" i="3"/>
  <c r="N123" i="3"/>
  <c r="O123" i="3" s="1"/>
  <c r="P123" i="3" s="1"/>
  <c r="R123" i="3" s="1"/>
  <c r="Z123" i="3"/>
  <c r="U124" i="3"/>
  <c r="V124" i="3" s="1"/>
  <c r="P142" i="4" l="1"/>
  <c r="R142" i="4" s="1"/>
  <c r="O143" i="4"/>
  <c r="AC145" i="4"/>
  <c r="AD145" i="4"/>
  <c r="U147" i="4"/>
  <c r="V147" i="4" s="1"/>
  <c r="S148" i="4"/>
  <c r="Z146" i="4"/>
  <c r="N146" i="4"/>
  <c r="AE146" i="4" s="1"/>
  <c r="S144" i="3"/>
  <c r="N124" i="3"/>
  <c r="O124" i="3" s="1"/>
  <c r="P124" i="3" s="1"/>
  <c r="R124" i="3" s="1"/>
  <c r="Z124" i="3"/>
  <c r="U125" i="3"/>
  <c r="V125" i="3" s="1"/>
  <c r="P143" i="4" l="1"/>
  <c r="R143" i="4" s="1"/>
  <c r="O144" i="4"/>
  <c r="AD146" i="4"/>
  <c r="AC146" i="4"/>
  <c r="U148" i="4"/>
  <c r="V148" i="4" s="1"/>
  <c r="S149" i="4"/>
  <c r="Z147" i="4"/>
  <c r="N147" i="4"/>
  <c r="AE147" i="4" s="1"/>
  <c r="S145" i="3"/>
  <c r="N125" i="3"/>
  <c r="O125" i="3" s="1"/>
  <c r="P125" i="3" s="1"/>
  <c r="R125" i="3" s="1"/>
  <c r="Z125" i="3"/>
  <c r="U126" i="3"/>
  <c r="V126" i="3" s="1"/>
  <c r="P144" i="4" l="1"/>
  <c r="R144" i="4" s="1"/>
  <c r="O145" i="4"/>
  <c r="AC147" i="4"/>
  <c r="AD147" i="4"/>
  <c r="Z148" i="4"/>
  <c r="N148" i="4"/>
  <c r="AE148" i="4" s="1"/>
  <c r="U149" i="4"/>
  <c r="V149" i="4" s="1"/>
  <c r="S150" i="4"/>
  <c r="S146" i="3"/>
  <c r="N126" i="3"/>
  <c r="O126" i="3" s="1"/>
  <c r="P126" i="3" s="1"/>
  <c r="R126" i="3" s="1"/>
  <c r="Z126" i="3"/>
  <c r="U127" i="3"/>
  <c r="V127" i="3" s="1"/>
  <c r="P145" i="4" l="1"/>
  <c r="R145" i="4" s="1"/>
  <c r="O146" i="4"/>
  <c r="AC148" i="4"/>
  <c r="AD148" i="4"/>
  <c r="S147" i="3"/>
  <c r="U150" i="4"/>
  <c r="V150" i="4" s="1"/>
  <c r="S151" i="4"/>
  <c r="Z149" i="4"/>
  <c r="N149" i="4"/>
  <c r="AE149" i="4" s="1"/>
  <c r="N127" i="3"/>
  <c r="O127" i="3" s="1"/>
  <c r="P127" i="3" s="1"/>
  <c r="R127" i="3" s="1"/>
  <c r="Z127" i="3"/>
  <c r="U128" i="3"/>
  <c r="V128" i="3" s="1"/>
  <c r="P146" i="4" l="1"/>
  <c r="R146" i="4" s="1"/>
  <c r="O147" i="4"/>
  <c r="AD149" i="4"/>
  <c r="AC149" i="4"/>
  <c r="S148" i="3"/>
  <c r="U151" i="4"/>
  <c r="V151" i="4" s="1"/>
  <c r="S152" i="4"/>
  <c r="Z150" i="4"/>
  <c r="N150" i="4"/>
  <c r="AE150" i="4" s="1"/>
  <c r="N128" i="3"/>
  <c r="O128" i="3" s="1"/>
  <c r="Z128" i="3"/>
  <c r="U129" i="3"/>
  <c r="V129" i="3" s="1"/>
  <c r="P147" i="4" l="1"/>
  <c r="R147" i="4" s="1"/>
  <c r="O148" i="4"/>
  <c r="AC150" i="4"/>
  <c r="AD150" i="4"/>
  <c r="U152" i="4"/>
  <c r="V152" i="4" s="1"/>
  <c r="S153" i="4"/>
  <c r="Z151" i="4"/>
  <c r="N151" i="4"/>
  <c r="AE151" i="4" s="1"/>
  <c r="P128" i="3"/>
  <c r="R128" i="3" s="1"/>
  <c r="S149" i="3" s="1"/>
  <c r="N129" i="3"/>
  <c r="O129" i="3" s="1"/>
  <c r="P129" i="3" s="1"/>
  <c r="R129" i="3" s="1"/>
  <c r="Z129" i="3"/>
  <c r="U130" i="3"/>
  <c r="V130" i="3" s="1"/>
  <c r="P148" i="4" l="1"/>
  <c r="R148" i="4" s="1"/>
  <c r="O149" i="4"/>
  <c r="AC151" i="4"/>
  <c r="AD151" i="4"/>
  <c r="U153" i="4"/>
  <c r="V153" i="4" s="1"/>
  <c r="S154" i="4"/>
  <c r="Z152" i="4"/>
  <c r="N152" i="4"/>
  <c r="AE152" i="4" s="1"/>
  <c r="S150" i="3"/>
  <c r="N130" i="3"/>
  <c r="O130" i="3" s="1"/>
  <c r="Z130" i="3"/>
  <c r="U131" i="3"/>
  <c r="V131" i="3" s="1"/>
  <c r="P149" i="4" l="1"/>
  <c r="R149" i="4" s="1"/>
  <c r="O150" i="4"/>
  <c r="AD152" i="4"/>
  <c r="AC152" i="4"/>
  <c r="U154" i="4"/>
  <c r="V154" i="4" s="1"/>
  <c r="S155" i="4"/>
  <c r="Z153" i="4"/>
  <c r="N153" i="4"/>
  <c r="AE153" i="4" s="1"/>
  <c r="P130" i="3"/>
  <c r="R130" i="3" s="1"/>
  <c r="S151" i="3" s="1"/>
  <c r="N131" i="3"/>
  <c r="O131" i="3" s="1"/>
  <c r="P131" i="3" s="1"/>
  <c r="R131" i="3" s="1"/>
  <c r="Z131" i="3"/>
  <c r="U132" i="3"/>
  <c r="V132" i="3" s="1"/>
  <c r="P150" i="4" l="1"/>
  <c r="R150" i="4" s="1"/>
  <c r="O151" i="4"/>
  <c r="AC153" i="4"/>
  <c r="AD153" i="4"/>
  <c r="S152" i="3"/>
  <c r="Z154" i="4"/>
  <c r="N154" i="4"/>
  <c r="AE154" i="4" s="1"/>
  <c r="U155" i="4"/>
  <c r="V155" i="4" s="1"/>
  <c r="S156" i="4"/>
  <c r="N132" i="3"/>
  <c r="O132" i="3" s="1"/>
  <c r="Z132" i="3"/>
  <c r="U133" i="3"/>
  <c r="V133" i="3" s="1"/>
  <c r="P151" i="4" l="1"/>
  <c r="R151" i="4" s="1"/>
  <c r="O152" i="4"/>
  <c r="AC154" i="4"/>
  <c r="AD154" i="4"/>
  <c r="U156" i="4"/>
  <c r="V156" i="4" s="1"/>
  <c r="S157" i="4"/>
  <c r="Z155" i="4"/>
  <c r="N155" i="4"/>
  <c r="AE155" i="4" s="1"/>
  <c r="P132" i="3"/>
  <c r="R132" i="3" s="1"/>
  <c r="S153" i="3" s="1"/>
  <c r="N133" i="3"/>
  <c r="O133" i="3" s="1"/>
  <c r="P133" i="3" s="1"/>
  <c r="R133" i="3" s="1"/>
  <c r="Z133" i="3"/>
  <c r="U134" i="3"/>
  <c r="V134" i="3" s="1"/>
  <c r="P152" i="4" l="1"/>
  <c r="R152" i="4" s="1"/>
  <c r="O153" i="4"/>
  <c r="AD155" i="4"/>
  <c r="AC155" i="4"/>
  <c r="U157" i="4"/>
  <c r="V157" i="4" s="1"/>
  <c r="S158" i="4"/>
  <c r="Z156" i="4"/>
  <c r="N156" i="4"/>
  <c r="AE156" i="4" s="1"/>
  <c r="S154" i="3"/>
  <c r="N134" i="3"/>
  <c r="O134" i="3" s="1"/>
  <c r="Z134" i="3"/>
  <c r="U135" i="3"/>
  <c r="V135" i="3" s="1"/>
  <c r="O154" i="4" l="1"/>
  <c r="P153" i="4"/>
  <c r="R153" i="4" s="1"/>
  <c r="AC156" i="4"/>
  <c r="AD156" i="4"/>
  <c r="Z157" i="4"/>
  <c r="N157" i="4"/>
  <c r="AE157" i="4" s="1"/>
  <c r="U158" i="4"/>
  <c r="V158" i="4" s="1"/>
  <c r="S159" i="4"/>
  <c r="P134" i="3"/>
  <c r="R134" i="3" s="1"/>
  <c r="S155" i="3" s="1"/>
  <c r="N135" i="3"/>
  <c r="O135" i="3" s="1"/>
  <c r="P135" i="3" s="1"/>
  <c r="R135" i="3" s="1"/>
  <c r="Z135" i="3"/>
  <c r="U136" i="3"/>
  <c r="V136" i="3" s="1"/>
  <c r="P154" i="4" l="1"/>
  <c r="R154" i="4" s="1"/>
  <c r="O155" i="4"/>
  <c r="AC157" i="4"/>
  <c r="AD157" i="4"/>
  <c r="S156" i="3"/>
  <c r="U159" i="4"/>
  <c r="V159" i="4" s="1"/>
  <c r="S160" i="4"/>
  <c r="Z158" i="4"/>
  <c r="N158" i="4"/>
  <c r="AE158" i="4" s="1"/>
  <c r="N136" i="3"/>
  <c r="O136" i="3" s="1"/>
  <c r="P136" i="3" s="1"/>
  <c r="R136" i="3" s="1"/>
  <c r="Z136" i="3"/>
  <c r="U137" i="3"/>
  <c r="V137" i="3" s="1"/>
  <c r="P155" i="4" l="1"/>
  <c r="R155" i="4" s="1"/>
  <c r="O156" i="4"/>
  <c r="AD158" i="4"/>
  <c r="S157" i="3"/>
  <c r="AC158" i="4"/>
  <c r="Z159" i="4"/>
  <c r="N159" i="4"/>
  <c r="AE159" i="4" s="1"/>
  <c r="U160" i="4"/>
  <c r="V160" i="4" s="1"/>
  <c r="S161" i="4"/>
  <c r="N137" i="3"/>
  <c r="O137" i="3" s="1"/>
  <c r="P137" i="3" s="1"/>
  <c r="R137" i="3" s="1"/>
  <c r="Z137" i="3"/>
  <c r="U138" i="3"/>
  <c r="V138" i="3" s="1"/>
  <c r="P156" i="4" l="1"/>
  <c r="R156" i="4" s="1"/>
  <c r="O157" i="4"/>
  <c r="S158" i="3"/>
  <c r="AC159" i="4"/>
  <c r="AD159" i="4"/>
  <c r="U161" i="4"/>
  <c r="V161" i="4" s="1"/>
  <c r="S162" i="4"/>
  <c r="Z160" i="4"/>
  <c r="N160" i="4"/>
  <c r="AE160" i="4" s="1"/>
  <c r="N138" i="3"/>
  <c r="O138" i="3" s="1"/>
  <c r="P138" i="3" s="1"/>
  <c r="R138" i="3" s="1"/>
  <c r="Z138" i="3"/>
  <c r="U139" i="3"/>
  <c r="V139" i="3" s="1"/>
  <c r="P157" i="4" l="1"/>
  <c r="R157" i="4" s="1"/>
  <c r="O158" i="4"/>
  <c r="S159" i="3"/>
  <c r="AC160" i="4"/>
  <c r="AD160" i="4"/>
  <c r="U162" i="4"/>
  <c r="V162" i="4" s="1"/>
  <c r="S163" i="4"/>
  <c r="Z161" i="4"/>
  <c r="N161" i="4"/>
  <c r="AE161" i="4" s="1"/>
  <c r="N139" i="3"/>
  <c r="O139" i="3" s="1"/>
  <c r="P139" i="3" s="1"/>
  <c r="R139" i="3" s="1"/>
  <c r="Z139" i="3"/>
  <c r="U140" i="3"/>
  <c r="V140" i="3" s="1"/>
  <c r="O159" i="4" l="1"/>
  <c r="P158" i="4"/>
  <c r="R158" i="4" s="1"/>
  <c r="AD161" i="4"/>
  <c r="S160" i="3"/>
  <c r="AC161" i="4"/>
  <c r="U163" i="4"/>
  <c r="V163" i="4" s="1"/>
  <c r="S164" i="4"/>
  <c r="Z162" i="4"/>
  <c r="N162" i="4"/>
  <c r="AE162" i="4" s="1"/>
  <c r="N140" i="3"/>
  <c r="O140" i="3" s="1"/>
  <c r="Z140" i="3"/>
  <c r="U141" i="3"/>
  <c r="V141" i="3" s="1"/>
  <c r="P159" i="4" l="1"/>
  <c r="R159" i="4" s="1"/>
  <c r="O160" i="4"/>
  <c r="AC162" i="4"/>
  <c r="AD162" i="4"/>
  <c r="Z163" i="4"/>
  <c r="N163" i="4"/>
  <c r="AE163" i="4" s="1"/>
  <c r="U164" i="4"/>
  <c r="V164" i="4" s="1"/>
  <c r="S165" i="4"/>
  <c r="P140" i="3"/>
  <c r="R140" i="3" s="1"/>
  <c r="S161" i="3" s="1"/>
  <c r="N141" i="3"/>
  <c r="O141" i="3" s="1"/>
  <c r="P141" i="3" s="1"/>
  <c r="R141" i="3" s="1"/>
  <c r="Z141" i="3"/>
  <c r="U142" i="3"/>
  <c r="V142" i="3" s="1"/>
  <c r="P160" i="4" l="1"/>
  <c r="R160" i="4" s="1"/>
  <c r="O161" i="4"/>
  <c r="AC163" i="4"/>
  <c r="AD163" i="4"/>
  <c r="U165" i="4"/>
  <c r="V165" i="4" s="1"/>
  <c r="S166" i="4"/>
  <c r="Z164" i="4"/>
  <c r="N164" i="4"/>
  <c r="AE164" i="4" s="1"/>
  <c r="S162" i="3"/>
  <c r="N142" i="3"/>
  <c r="O142" i="3" s="1"/>
  <c r="P142" i="3" s="1"/>
  <c r="R142" i="3" s="1"/>
  <c r="Z142" i="3"/>
  <c r="U143" i="3"/>
  <c r="V143" i="3" s="1"/>
  <c r="P161" i="4" l="1"/>
  <c r="R161" i="4" s="1"/>
  <c r="O162" i="4"/>
  <c r="AD164" i="4"/>
  <c r="AC164" i="4"/>
  <c r="U166" i="4"/>
  <c r="V166" i="4" s="1"/>
  <c r="S167" i="4"/>
  <c r="Z165" i="4"/>
  <c r="N165" i="4"/>
  <c r="AE165" i="4" s="1"/>
  <c r="S163" i="3"/>
  <c r="N143" i="3"/>
  <c r="O143" i="3" s="1"/>
  <c r="P143" i="3" s="1"/>
  <c r="R143" i="3" s="1"/>
  <c r="Z143" i="3"/>
  <c r="U144" i="3"/>
  <c r="V144" i="3" s="1"/>
  <c r="O163" i="4" l="1"/>
  <c r="P162" i="4"/>
  <c r="R162" i="4" s="1"/>
  <c r="AC165" i="4"/>
  <c r="AD165" i="4"/>
  <c r="U167" i="4"/>
  <c r="V167" i="4" s="1"/>
  <c r="S168" i="4"/>
  <c r="Z166" i="4"/>
  <c r="N166" i="4"/>
  <c r="AE166" i="4" s="1"/>
  <c r="S164" i="3"/>
  <c r="N144" i="3"/>
  <c r="O144" i="3" s="1"/>
  <c r="Z144" i="3"/>
  <c r="U145" i="3"/>
  <c r="V145" i="3" s="1"/>
  <c r="P163" i="4" l="1"/>
  <c r="R163" i="4" s="1"/>
  <c r="O164" i="4"/>
  <c r="AC166" i="4"/>
  <c r="AD166" i="4"/>
  <c r="U168" i="4"/>
  <c r="V168" i="4" s="1"/>
  <c r="S169" i="4"/>
  <c r="Z167" i="4"/>
  <c r="N167" i="4"/>
  <c r="AE167" i="4" s="1"/>
  <c r="P144" i="3"/>
  <c r="R144" i="3" s="1"/>
  <c r="S165" i="3" s="1"/>
  <c r="N145" i="3"/>
  <c r="O145" i="3" s="1"/>
  <c r="P145" i="3" s="1"/>
  <c r="R145" i="3" s="1"/>
  <c r="Z145" i="3"/>
  <c r="U146" i="3"/>
  <c r="V146" i="3" s="1"/>
  <c r="P164" i="4" l="1"/>
  <c r="R164" i="4" s="1"/>
  <c r="O165" i="4"/>
  <c r="AD167" i="4"/>
  <c r="AC167" i="4"/>
  <c r="U169" i="4"/>
  <c r="V169" i="4" s="1"/>
  <c r="S170" i="4"/>
  <c r="S166" i="3"/>
  <c r="Z168" i="4"/>
  <c r="N168" i="4"/>
  <c r="AE168" i="4" s="1"/>
  <c r="N146" i="3"/>
  <c r="O146" i="3" s="1"/>
  <c r="Z146" i="3"/>
  <c r="U147" i="3"/>
  <c r="V147" i="3" s="1"/>
  <c r="P165" i="4" l="1"/>
  <c r="R165" i="4" s="1"/>
  <c r="O166" i="4"/>
  <c r="AC168" i="4"/>
  <c r="AD168" i="4"/>
  <c r="Z169" i="4"/>
  <c r="N169" i="4"/>
  <c r="AE169" i="4" s="1"/>
  <c r="U170" i="4"/>
  <c r="V170" i="4" s="1"/>
  <c r="S171" i="4"/>
  <c r="P146" i="3"/>
  <c r="R146" i="3" s="1"/>
  <c r="S167" i="3" s="1"/>
  <c r="N147" i="3"/>
  <c r="O147" i="3" s="1"/>
  <c r="P147" i="3" s="1"/>
  <c r="R147" i="3" s="1"/>
  <c r="Z147" i="3"/>
  <c r="U148" i="3"/>
  <c r="V148" i="3" s="1"/>
  <c r="P166" i="4" l="1"/>
  <c r="R166" i="4" s="1"/>
  <c r="O167" i="4"/>
  <c r="AC169" i="4"/>
  <c r="AD169" i="4"/>
  <c r="S168" i="3"/>
  <c r="U171" i="4"/>
  <c r="V171" i="4" s="1"/>
  <c r="S172" i="4"/>
  <c r="Z170" i="4"/>
  <c r="N170" i="4"/>
  <c r="AE170" i="4" s="1"/>
  <c r="N148" i="3"/>
  <c r="O148" i="3" s="1"/>
  <c r="P148" i="3" s="1"/>
  <c r="R148" i="3" s="1"/>
  <c r="Z148" i="3"/>
  <c r="U149" i="3"/>
  <c r="V149" i="3" s="1"/>
  <c r="P167" i="4" l="1"/>
  <c r="R167" i="4" s="1"/>
  <c r="O168" i="4"/>
  <c r="AD170" i="4"/>
  <c r="AC170" i="4"/>
  <c r="S169" i="3"/>
  <c r="U172" i="4"/>
  <c r="V172" i="4" s="1"/>
  <c r="S173" i="4"/>
  <c r="Z171" i="4"/>
  <c r="N171" i="4"/>
  <c r="AE171" i="4" s="1"/>
  <c r="N149" i="3"/>
  <c r="O149" i="3" s="1"/>
  <c r="P149" i="3" s="1"/>
  <c r="R149" i="3" s="1"/>
  <c r="Z149" i="3"/>
  <c r="U150" i="3"/>
  <c r="V150" i="3" s="1"/>
  <c r="P168" i="4" l="1"/>
  <c r="R168" i="4" s="1"/>
  <c r="O169" i="4"/>
  <c r="AC171" i="4"/>
  <c r="AD171" i="4"/>
  <c r="S170" i="3"/>
  <c r="Z172" i="4"/>
  <c r="N172" i="4"/>
  <c r="AE172" i="4" s="1"/>
  <c r="U173" i="4"/>
  <c r="V173" i="4" s="1"/>
  <c r="S174" i="4"/>
  <c r="N150" i="3"/>
  <c r="O150" i="3" s="1"/>
  <c r="P150" i="3" s="1"/>
  <c r="R150" i="3" s="1"/>
  <c r="Z150" i="3"/>
  <c r="U151" i="3"/>
  <c r="V151" i="3" s="1"/>
  <c r="P169" i="4" l="1"/>
  <c r="R169" i="4" s="1"/>
  <c r="O170" i="4"/>
  <c r="S171" i="3"/>
  <c r="AC172" i="4"/>
  <c r="AD172" i="4"/>
  <c r="U174" i="4"/>
  <c r="V174" i="4" s="1"/>
  <c r="S175" i="4"/>
  <c r="Z173" i="4"/>
  <c r="N173" i="4"/>
  <c r="AE173" i="4" s="1"/>
  <c r="N151" i="3"/>
  <c r="O151" i="3" s="1"/>
  <c r="P151" i="3" s="1"/>
  <c r="R151" i="3" s="1"/>
  <c r="Z151" i="3"/>
  <c r="U152" i="3"/>
  <c r="V152" i="3" s="1"/>
  <c r="P170" i="4" l="1"/>
  <c r="R170" i="4" s="1"/>
  <c r="O171" i="4"/>
  <c r="AD173" i="4"/>
  <c r="S172" i="3"/>
  <c r="AC173" i="4"/>
  <c r="U175" i="4"/>
  <c r="V175" i="4" s="1"/>
  <c r="S176" i="4"/>
  <c r="Z174" i="4"/>
  <c r="N174" i="4"/>
  <c r="AE174" i="4" s="1"/>
  <c r="N152" i="3"/>
  <c r="O152" i="3" s="1"/>
  <c r="P152" i="3" s="1"/>
  <c r="R152" i="3" s="1"/>
  <c r="Z152" i="3"/>
  <c r="U153" i="3"/>
  <c r="V153" i="3" s="1"/>
  <c r="P171" i="4" l="1"/>
  <c r="R171" i="4" s="1"/>
  <c r="O172" i="4"/>
  <c r="S173" i="3"/>
  <c r="AC174" i="4"/>
  <c r="AD174" i="4"/>
  <c r="U176" i="4"/>
  <c r="V176" i="4" s="1"/>
  <c r="S177" i="4"/>
  <c r="Z175" i="4"/>
  <c r="N175" i="4"/>
  <c r="AE175" i="4" s="1"/>
  <c r="N153" i="3"/>
  <c r="O153" i="3" s="1"/>
  <c r="P153" i="3" s="1"/>
  <c r="R153" i="3" s="1"/>
  <c r="Z153" i="3"/>
  <c r="U154" i="3"/>
  <c r="V154" i="3" s="1"/>
  <c r="S174" i="3" l="1"/>
  <c r="P172" i="4"/>
  <c r="R172" i="4" s="1"/>
  <c r="O173" i="4"/>
  <c r="AC175" i="4"/>
  <c r="AD175" i="4"/>
  <c r="U177" i="4"/>
  <c r="V177" i="4" s="1"/>
  <c r="S178" i="4"/>
  <c r="Z176" i="4"/>
  <c r="N176" i="4"/>
  <c r="AE176" i="4" s="1"/>
  <c r="N154" i="3"/>
  <c r="O154" i="3" s="1"/>
  <c r="P154" i="3" s="1"/>
  <c r="R154" i="3" s="1"/>
  <c r="Z154" i="3"/>
  <c r="U155" i="3"/>
  <c r="V155" i="3" s="1"/>
  <c r="S175" i="3" l="1"/>
  <c r="P173" i="4"/>
  <c r="R173" i="4" s="1"/>
  <c r="O174" i="4"/>
  <c r="AD176" i="4"/>
  <c r="AC176" i="4"/>
  <c r="U178" i="4"/>
  <c r="V178" i="4" s="1"/>
  <c r="S179" i="4"/>
  <c r="Z177" i="4"/>
  <c r="N177" i="4"/>
  <c r="AE177" i="4" s="1"/>
  <c r="N155" i="3"/>
  <c r="O155" i="3" s="1"/>
  <c r="P155" i="3" s="1"/>
  <c r="R155" i="3" s="1"/>
  <c r="S176" i="3" s="1"/>
  <c r="Z155" i="3"/>
  <c r="U156" i="3"/>
  <c r="V156" i="3" s="1"/>
  <c r="P174" i="4" l="1"/>
  <c r="R174" i="4" s="1"/>
  <c r="O175" i="4"/>
  <c r="AC177" i="4"/>
  <c r="AD177" i="4"/>
  <c r="U179" i="4"/>
  <c r="V179" i="4" s="1"/>
  <c r="S180" i="4"/>
  <c r="Z178" i="4"/>
  <c r="N178" i="4"/>
  <c r="AE178" i="4" s="1"/>
  <c r="N156" i="3"/>
  <c r="O156" i="3" s="1"/>
  <c r="Z156" i="3"/>
  <c r="U157" i="3"/>
  <c r="V157" i="3" s="1"/>
  <c r="P175" i="4" l="1"/>
  <c r="R175" i="4" s="1"/>
  <c r="O176" i="4"/>
  <c r="AC178" i="4"/>
  <c r="AD178" i="4"/>
  <c r="U180" i="4"/>
  <c r="V180" i="4" s="1"/>
  <c r="S181" i="4"/>
  <c r="Z179" i="4"/>
  <c r="N179" i="4"/>
  <c r="AE179" i="4" s="1"/>
  <c r="P156" i="3"/>
  <c r="R156" i="3" s="1"/>
  <c r="S177" i="3" s="1"/>
  <c r="N157" i="3"/>
  <c r="O157" i="3" s="1"/>
  <c r="P157" i="3" s="1"/>
  <c r="R157" i="3" s="1"/>
  <c r="Z157" i="3"/>
  <c r="U158" i="3"/>
  <c r="V158" i="3" s="1"/>
  <c r="P176" i="4" l="1"/>
  <c r="R176" i="4" s="1"/>
  <c r="O177" i="4"/>
  <c r="AD179" i="4"/>
  <c r="AC179" i="4"/>
  <c r="U181" i="4"/>
  <c r="V181" i="4" s="1"/>
  <c r="S182" i="4"/>
  <c r="Z180" i="4"/>
  <c r="N180" i="4"/>
  <c r="AE180" i="4" s="1"/>
  <c r="S178" i="3"/>
  <c r="N158" i="3"/>
  <c r="O158" i="3" s="1"/>
  <c r="P158" i="3" s="1"/>
  <c r="R158" i="3" s="1"/>
  <c r="Z158" i="3"/>
  <c r="U159" i="3"/>
  <c r="V159" i="3" s="1"/>
  <c r="P177" i="4" l="1"/>
  <c r="R177" i="4" s="1"/>
  <c r="O178" i="4"/>
  <c r="AC180" i="4"/>
  <c r="AD180" i="4"/>
  <c r="Z181" i="4"/>
  <c r="N181" i="4"/>
  <c r="AE181" i="4" s="1"/>
  <c r="U182" i="4"/>
  <c r="V182" i="4" s="1"/>
  <c r="S183" i="4"/>
  <c r="S179" i="3"/>
  <c r="N159" i="3"/>
  <c r="O159" i="3" s="1"/>
  <c r="P159" i="3" s="1"/>
  <c r="R159" i="3" s="1"/>
  <c r="Z159" i="3"/>
  <c r="U160" i="3"/>
  <c r="V160" i="3" s="1"/>
  <c r="P178" i="4" l="1"/>
  <c r="R178" i="4" s="1"/>
  <c r="O179" i="4"/>
  <c r="AC181" i="4"/>
  <c r="AD181" i="4"/>
  <c r="U183" i="4"/>
  <c r="V183" i="4" s="1"/>
  <c r="S184" i="4"/>
  <c r="Z182" i="4"/>
  <c r="N182" i="4"/>
  <c r="AE182" i="4" s="1"/>
  <c r="S180" i="3"/>
  <c r="N160" i="3"/>
  <c r="O160" i="3" s="1"/>
  <c r="P160" i="3" s="1"/>
  <c r="R160" i="3" s="1"/>
  <c r="Z160" i="3"/>
  <c r="U161" i="3"/>
  <c r="V161" i="3" s="1"/>
  <c r="P179" i="4" l="1"/>
  <c r="R179" i="4" s="1"/>
  <c r="O180" i="4"/>
  <c r="AD182" i="4"/>
  <c r="AC182" i="4"/>
  <c r="U184" i="4"/>
  <c r="V184" i="4" s="1"/>
  <c r="S185" i="4"/>
  <c r="Z183" i="4"/>
  <c r="N183" i="4"/>
  <c r="AE183" i="4" s="1"/>
  <c r="S181" i="3"/>
  <c r="N161" i="3"/>
  <c r="O161" i="3" s="1"/>
  <c r="P161" i="3" s="1"/>
  <c r="R161" i="3" s="1"/>
  <c r="Z161" i="3"/>
  <c r="U162" i="3"/>
  <c r="V162" i="3" s="1"/>
  <c r="P180" i="4" l="1"/>
  <c r="R180" i="4" s="1"/>
  <c r="O181" i="4"/>
  <c r="AC183" i="4"/>
  <c r="AD183" i="4"/>
  <c r="U185" i="4"/>
  <c r="V185" i="4" s="1"/>
  <c r="S186" i="4"/>
  <c r="Z184" i="4"/>
  <c r="N184" i="4"/>
  <c r="AE184" i="4" s="1"/>
  <c r="S182" i="3"/>
  <c r="N162" i="3"/>
  <c r="O162" i="3" s="1"/>
  <c r="Z162" i="3"/>
  <c r="U163" i="3"/>
  <c r="V163" i="3" s="1"/>
  <c r="P181" i="4" l="1"/>
  <c r="R181" i="4" s="1"/>
  <c r="O182" i="4"/>
  <c r="AC184" i="4"/>
  <c r="AD184" i="4"/>
  <c r="U186" i="4"/>
  <c r="V186" i="4" s="1"/>
  <c r="S187" i="4"/>
  <c r="Z185" i="4"/>
  <c r="N185" i="4"/>
  <c r="AE185" i="4" s="1"/>
  <c r="P162" i="3"/>
  <c r="R162" i="3" s="1"/>
  <c r="S183" i="3" s="1"/>
  <c r="N163" i="3"/>
  <c r="O163" i="3" s="1"/>
  <c r="P163" i="3" s="1"/>
  <c r="R163" i="3" s="1"/>
  <c r="Z163" i="3"/>
  <c r="U164" i="3"/>
  <c r="V164" i="3" s="1"/>
  <c r="P182" i="4" l="1"/>
  <c r="R182" i="4" s="1"/>
  <c r="O183" i="4"/>
  <c r="AD185" i="4"/>
  <c r="AC185" i="4"/>
  <c r="S184" i="3"/>
  <c r="U187" i="4"/>
  <c r="V187" i="4" s="1"/>
  <c r="S188" i="4"/>
  <c r="Z186" i="4"/>
  <c r="N186" i="4"/>
  <c r="AE186" i="4" s="1"/>
  <c r="N164" i="3"/>
  <c r="O164" i="3" s="1"/>
  <c r="Z164" i="3"/>
  <c r="U165" i="3"/>
  <c r="V165" i="3" s="1"/>
  <c r="P183" i="4" l="1"/>
  <c r="R183" i="4" s="1"/>
  <c r="O184" i="4"/>
  <c r="AC186" i="4"/>
  <c r="AD186" i="4"/>
  <c r="Z187" i="4"/>
  <c r="N187" i="4"/>
  <c r="AE187" i="4" s="1"/>
  <c r="U188" i="4"/>
  <c r="V188" i="4" s="1"/>
  <c r="S189" i="4"/>
  <c r="P164" i="3"/>
  <c r="R164" i="3" s="1"/>
  <c r="S185" i="3" s="1"/>
  <c r="N165" i="3"/>
  <c r="O165" i="3" s="1"/>
  <c r="P165" i="3" s="1"/>
  <c r="R165" i="3" s="1"/>
  <c r="Z165" i="3"/>
  <c r="U166" i="3"/>
  <c r="V166" i="3" s="1"/>
  <c r="P184" i="4" l="1"/>
  <c r="R184" i="4" s="1"/>
  <c r="O185" i="4"/>
  <c r="AC187" i="4"/>
  <c r="AD187" i="4"/>
  <c r="U189" i="4"/>
  <c r="V189" i="4" s="1"/>
  <c r="S190" i="4"/>
  <c r="Z188" i="4"/>
  <c r="N188" i="4"/>
  <c r="AE188" i="4" s="1"/>
  <c r="S186" i="3"/>
  <c r="N166" i="3"/>
  <c r="O166" i="3" s="1"/>
  <c r="Z166" i="3"/>
  <c r="U167" i="3"/>
  <c r="V167" i="3" s="1"/>
  <c r="O186" i="4" l="1"/>
  <c r="P185" i="4"/>
  <c r="R185" i="4" s="1"/>
  <c r="AD188" i="4"/>
  <c r="AC188" i="4"/>
  <c r="U190" i="4"/>
  <c r="V190" i="4" s="1"/>
  <c r="S191" i="4"/>
  <c r="Z189" i="4"/>
  <c r="N189" i="4"/>
  <c r="AE189" i="4" s="1"/>
  <c r="P166" i="3"/>
  <c r="R166" i="3" s="1"/>
  <c r="S187" i="3" s="1"/>
  <c r="N167" i="3"/>
  <c r="O167" i="3" s="1"/>
  <c r="P167" i="3" s="1"/>
  <c r="R167" i="3" s="1"/>
  <c r="Z167" i="3"/>
  <c r="U168" i="3"/>
  <c r="V168" i="3" s="1"/>
  <c r="P186" i="4" l="1"/>
  <c r="R186" i="4" s="1"/>
  <c r="O187" i="4"/>
  <c r="AC189" i="4"/>
  <c r="AD189" i="4"/>
  <c r="S188" i="3"/>
  <c r="U191" i="4"/>
  <c r="V191" i="4" s="1"/>
  <c r="S192" i="4"/>
  <c r="Z190" i="4"/>
  <c r="N190" i="4"/>
  <c r="AE190" i="4" s="1"/>
  <c r="N168" i="3"/>
  <c r="O168" i="3" s="1"/>
  <c r="Z168" i="3"/>
  <c r="U169" i="3"/>
  <c r="V169" i="3" s="1"/>
  <c r="P187" i="4" l="1"/>
  <c r="R187" i="4" s="1"/>
  <c r="O188" i="4"/>
  <c r="AC190" i="4"/>
  <c r="AD190" i="4"/>
  <c r="U192" i="4"/>
  <c r="V192" i="4" s="1"/>
  <c r="S193" i="4"/>
  <c r="Z191" i="4"/>
  <c r="N191" i="4"/>
  <c r="AE191" i="4" s="1"/>
  <c r="P168" i="3"/>
  <c r="R168" i="3" s="1"/>
  <c r="S189" i="3" s="1"/>
  <c r="N169" i="3"/>
  <c r="O169" i="3" s="1"/>
  <c r="P169" i="3" s="1"/>
  <c r="R169" i="3" s="1"/>
  <c r="Z169" i="3"/>
  <c r="U170" i="3"/>
  <c r="V170" i="3" s="1"/>
  <c r="P188" i="4" l="1"/>
  <c r="R188" i="4" s="1"/>
  <c r="O189" i="4"/>
  <c r="AD191" i="4"/>
  <c r="AC191" i="4"/>
  <c r="U193" i="4"/>
  <c r="V193" i="4" s="1"/>
  <c r="S194" i="4"/>
  <c r="Z192" i="4"/>
  <c r="N192" i="4"/>
  <c r="AE192" i="4" s="1"/>
  <c r="S190" i="3"/>
  <c r="N170" i="3"/>
  <c r="O170" i="3" s="1"/>
  <c r="P170" i="3" s="1"/>
  <c r="R170" i="3" s="1"/>
  <c r="Z170" i="3"/>
  <c r="U171" i="3"/>
  <c r="V171" i="3" s="1"/>
  <c r="P189" i="4" l="1"/>
  <c r="R189" i="4" s="1"/>
  <c r="O190" i="4"/>
  <c r="AC192" i="4"/>
  <c r="AD192" i="4"/>
  <c r="Z193" i="4"/>
  <c r="N193" i="4"/>
  <c r="AE193" i="4" s="1"/>
  <c r="U194" i="4"/>
  <c r="V194" i="4" s="1"/>
  <c r="S195" i="4"/>
  <c r="S191" i="3"/>
  <c r="N171" i="3"/>
  <c r="O171" i="3" s="1"/>
  <c r="P171" i="3" s="1"/>
  <c r="R171" i="3" s="1"/>
  <c r="Z171" i="3"/>
  <c r="U172" i="3"/>
  <c r="V172" i="3" s="1"/>
  <c r="P190" i="4" l="1"/>
  <c r="R190" i="4" s="1"/>
  <c r="O191" i="4"/>
  <c r="AC193" i="4"/>
  <c r="AD193" i="4"/>
  <c r="U195" i="4"/>
  <c r="V195" i="4" s="1"/>
  <c r="S196" i="4"/>
  <c r="Z194" i="4"/>
  <c r="N194" i="4"/>
  <c r="AE194" i="4" s="1"/>
  <c r="S192" i="3"/>
  <c r="N172" i="3"/>
  <c r="O172" i="3" s="1"/>
  <c r="Z172" i="3"/>
  <c r="U173" i="3"/>
  <c r="V173" i="3" s="1"/>
  <c r="P191" i="4" l="1"/>
  <c r="R191" i="4" s="1"/>
  <c r="O192" i="4"/>
  <c r="AD194" i="4"/>
  <c r="AC194" i="4"/>
  <c r="U196" i="4"/>
  <c r="V196" i="4" s="1"/>
  <c r="S197" i="4"/>
  <c r="Z195" i="4"/>
  <c r="N195" i="4"/>
  <c r="AE195" i="4" s="1"/>
  <c r="P172" i="3"/>
  <c r="R172" i="3" s="1"/>
  <c r="S193" i="3" s="1"/>
  <c r="N173" i="3"/>
  <c r="O173" i="3" s="1"/>
  <c r="P173" i="3" s="1"/>
  <c r="R173" i="3" s="1"/>
  <c r="Z173" i="3"/>
  <c r="U174" i="3"/>
  <c r="V174" i="3" s="1"/>
  <c r="P192" i="4" l="1"/>
  <c r="R192" i="4" s="1"/>
  <c r="O193" i="4"/>
  <c r="AC195" i="4"/>
  <c r="AD195" i="4"/>
  <c r="U197" i="4"/>
  <c r="V197" i="4" s="1"/>
  <c r="S198" i="4"/>
  <c r="S194" i="3"/>
  <c r="Z196" i="4"/>
  <c r="N196" i="4"/>
  <c r="AE196" i="4" s="1"/>
  <c r="N174" i="3"/>
  <c r="O174" i="3" s="1"/>
  <c r="P174" i="3" s="1"/>
  <c r="R174" i="3" s="1"/>
  <c r="Z174" i="3"/>
  <c r="U175" i="3"/>
  <c r="V175" i="3" s="1"/>
  <c r="P193" i="4" l="1"/>
  <c r="R193" i="4" s="1"/>
  <c r="O194" i="4"/>
  <c r="AC196" i="4"/>
  <c r="AD196" i="4"/>
  <c r="S195" i="3"/>
  <c r="U198" i="4"/>
  <c r="V198" i="4" s="1"/>
  <c r="S199" i="4"/>
  <c r="Z197" i="4"/>
  <c r="N197" i="4"/>
  <c r="AE197" i="4" s="1"/>
  <c r="N175" i="3"/>
  <c r="O175" i="3" s="1"/>
  <c r="P175" i="3" s="1"/>
  <c r="R175" i="3" s="1"/>
  <c r="Z175" i="3"/>
  <c r="U176" i="3"/>
  <c r="V176" i="3" s="1"/>
  <c r="P194" i="4" l="1"/>
  <c r="R194" i="4" s="1"/>
  <c r="O195" i="4"/>
  <c r="AD197" i="4"/>
  <c r="S196" i="3"/>
  <c r="AC197" i="4"/>
  <c r="U199" i="4"/>
  <c r="V199" i="4" s="1"/>
  <c r="S200" i="4"/>
  <c r="Z198" i="4"/>
  <c r="N198" i="4"/>
  <c r="AE198" i="4" s="1"/>
  <c r="N176" i="3"/>
  <c r="O176" i="3" s="1"/>
  <c r="Z176" i="3"/>
  <c r="U177" i="3"/>
  <c r="V177" i="3" s="1"/>
  <c r="P195" i="4" l="1"/>
  <c r="R195" i="4" s="1"/>
  <c r="O196" i="4"/>
  <c r="AC198" i="4"/>
  <c r="AD198" i="4"/>
  <c r="Z199" i="4"/>
  <c r="N199" i="4"/>
  <c r="AE199" i="4" s="1"/>
  <c r="U200" i="4"/>
  <c r="V200" i="4" s="1"/>
  <c r="S201" i="4"/>
  <c r="P176" i="3"/>
  <c r="R176" i="3" s="1"/>
  <c r="S197" i="3" s="1"/>
  <c r="N177" i="3"/>
  <c r="O177" i="3" s="1"/>
  <c r="P177" i="3" s="1"/>
  <c r="R177" i="3" s="1"/>
  <c r="Z177" i="3"/>
  <c r="U178" i="3"/>
  <c r="V178" i="3" s="1"/>
  <c r="P196" i="4" l="1"/>
  <c r="R196" i="4" s="1"/>
  <c r="O197" i="4"/>
  <c r="AC199" i="4"/>
  <c r="AD199" i="4"/>
  <c r="U201" i="4"/>
  <c r="V201" i="4" s="1"/>
  <c r="S202" i="4"/>
  <c r="Z200" i="4"/>
  <c r="N200" i="4"/>
  <c r="AE200" i="4" s="1"/>
  <c r="S198" i="3"/>
  <c r="N178" i="3"/>
  <c r="O178" i="3" s="1"/>
  <c r="Z178" i="3"/>
  <c r="U179" i="3"/>
  <c r="V179" i="3" s="1"/>
  <c r="P197" i="4" l="1"/>
  <c r="R197" i="4" s="1"/>
  <c r="O198" i="4"/>
  <c r="AD200" i="4"/>
  <c r="AC200" i="4"/>
  <c r="U202" i="4"/>
  <c r="V202" i="4" s="1"/>
  <c r="S203" i="4"/>
  <c r="Z201" i="4"/>
  <c r="N201" i="4"/>
  <c r="AE201" i="4" s="1"/>
  <c r="P178" i="3"/>
  <c r="R178" i="3" s="1"/>
  <c r="S199" i="3" s="1"/>
  <c r="N179" i="3"/>
  <c r="O179" i="3" s="1"/>
  <c r="P179" i="3" s="1"/>
  <c r="R179" i="3" s="1"/>
  <c r="Z179" i="3"/>
  <c r="U180" i="3"/>
  <c r="V180" i="3" s="1"/>
  <c r="P198" i="4" l="1"/>
  <c r="R198" i="4" s="1"/>
  <c r="O199" i="4"/>
  <c r="AC201" i="4"/>
  <c r="AD201" i="4"/>
  <c r="U203" i="4"/>
  <c r="V203" i="4" s="1"/>
  <c r="S204" i="4"/>
  <c r="Z202" i="4"/>
  <c r="N202" i="4"/>
  <c r="AE202" i="4" s="1"/>
  <c r="S200" i="3"/>
  <c r="N180" i="3"/>
  <c r="O180" i="3" s="1"/>
  <c r="Z180" i="3"/>
  <c r="U181" i="3"/>
  <c r="V181" i="3" s="1"/>
  <c r="P199" i="4" l="1"/>
  <c r="R199" i="4" s="1"/>
  <c r="O200" i="4"/>
  <c r="AC202" i="4"/>
  <c r="AD202" i="4"/>
  <c r="U204" i="4"/>
  <c r="V204" i="4" s="1"/>
  <c r="S205" i="4"/>
  <c r="Z203" i="4"/>
  <c r="N203" i="4"/>
  <c r="AE203" i="4" s="1"/>
  <c r="P180" i="3"/>
  <c r="R180" i="3" s="1"/>
  <c r="S201" i="3" s="1"/>
  <c r="N181" i="3"/>
  <c r="O181" i="3" s="1"/>
  <c r="P181" i="3" s="1"/>
  <c r="R181" i="3" s="1"/>
  <c r="Z181" i="3"/>
  <c r="U182" i="3"/>
  <c r="V182" i="3" s="1"/>
  <c r="P200" i="4" l="1"/>
  <c r="R200" i="4" s="1"/>
  <c r="O201" i="4"/>
  <c r="AD203" i="4"/>
  <c r="AC203" i="4"/>
  <c r="S202" i="3"/>
  <c r="U205" i="4"/>
  <c r="V205" i="4" s="1"/>
  <c r="S206" i="4"/>
  <c r="Z204" i="4"/>
  <c r="N204" i="4"/>
  <c r="AE204" i="4" s="1"/>
  <c r="N182" i="3"/>
  <c r="O182" i="3" s="1"/>
  <c r="P182" i="3" s="1"/>
  <c r="R182" i="3" s="1"/>
  <c r="Z182" i="3"/>
  <c r="U183" i="3"/>
  <c r="V183" i="3" s="1"/>
  <c r="P201" i="4" l="1"/>
  <c r="R201" i="4" s="1"/>
  <c r="O202" i="4"/>
  <c r="AC204" i="4"/>
  <c r="AD204" i="4"/>
  <c r="S203" i="3"/>
  <c r="Z205" i="4"/>
  <c r="N205" i="4"/>
  <c r="AE205" i="4" s="1"/>
  <c r="U206" i="4"/>
  <c r="V206" i="4" s="1"/>
  <c r="S207" i="4"/>
  <c r="N183" i="3"/>
  <c r="O183" i="3" s="1"/>
  <c r="P183" i="3" s="1"/>
  <c r="R183" i="3" s="1"/>
  <c r="Z183" i="3"/>
  <c r="U184" i="3"/>
  <c r="V184" i="3" s="1"/>
  <c r="P202" i="4" l="1"/>
  <c r="R202" i="4" s="1"/>
  <c r="O203" i="4"/>
  <c r="S204" i="3"/>
  <c r="AC205" i="4"/>
  <c r="AD205" i="4"/>
  <c r="U207" i="4"/>
  <c r="V207" i="4" s="1"/>
  <c r="S208" i="4"/>
  <c r="Z206" i="4"/>
  <c r="N206" i="4"/>
  <c r="AE206" i="4" s="1"/>
  <c r="N184" i="3"/>
  <c r="O184" i="3" s="1"/>
  <c r="P184" i="3" s="1"/>
  <c r="R184" i="3" s="1"/>
  <c r="Z184" i="3"/>
  <c r="U185" i="3"/>
  <c r="V185" i="3" s="1"/>
  <c r="P203" i="4" l="1"/>
  <c r="R203" i="4" s="1"/>
  <c r="O204" i="4"/>
  <c r="AD206" i="4"/>
  <c r="S205" i="3"/>
  <c r="AC206" i="4"/>
  <c r="U208" i="4"/>
  <c r="V208" i="4" s="1"/>
  <c r="S209" i="4"/>
  <c r="Z207" i="4"/>
  <c r="N207" i="4"/>
  <c r="AE207" i="4" s="1"/>
  <c r="N185" i="3"/>
  <c r="O185" i="3" s="1"/>
  <c r="P185" i="3" s="1"/>
  <c r="R185" i="3" s="1"/>
  <c r="Z185" i="3"/>
  <c r="U186" i="3"/>
  <c r="V186" i="3" s="1"/>
  <c r="P204" i="4" l="1"/>
  <c r="R204" i="4" s="1"/>
  <c r="O205" i="4"/>
  <c r="S206" i="3"/>
  <c r="AC207" i="4"/>
  <c r="AD207" i="4"/>
  <c r="U209" i="4"/>
  <c r="V209" i="4" s="1"/>
  <c r="S210" i="4"/>
  <c r="Z208" i="4"/>
  <c r="N208" i="4"/>
  <c r="AE208" i="4" s="1"/>
  <c r="N186" i="3"/>
  <c r="O186" i="3" s="1"/>
  <c r="Z186" i="3"/>
  <c r="U187" i="3"/>
  <c r="V187" i="3" s="1"/>
  <c r="P205" i="4" l="1"/>
  <c r="R205" i="4" s="1"/>
  <c r="O206" i="4"/>
  <c r="AC208" i="4"/>
  <c r="AD208" i="4"/>
  <c r="U210" i="4"/>
  <c r="V210" i="4" s="1"/>
  <c r="S211" i="4"/>
  <c r="Z209" i="4"/>
  <c r="N209" i="4"/>
  <c r="AE209" i="4" s="1"/>
  <c r="P186" i="3"/>
  <c r="R186" i="3" s="1"/>
  <c r="S207" i="3" s="1"/>
  <c r="N187" i="3"/>
  <c r="O187" i="3" s="1"/>
  <c r="P187" i="3" s="1"/>
  <c r="R187" i="3" s="1"/>
  <c r="Z187" i="3"/>
  <c r="U188" i="3"/>
  <c r="V188" i="3" s="1"/>
  <c r="P206" i="4" l="1"/>
  <c r="R206" i="4" s="1"/>
  <c r="O207" i="4"/>
  <c r="AD209" i="4"/>
  <c r="AC209" i="4"/>
  <c r="U211" i="4"/>
  <c r="V211" i="4" s="1"/>
  <c r="S212" i="4"/>
  <c r="Z210" i="4"/>
  <c r="N210" i="4"/>
  <c r="AE210" i="4" s="1"/>
  <c r="S208" i="3"/>
  <c r="N188" i="3"/>
  <c r="O188" i="3" s="1"/>
  <c r="P188" i="3" s="1"/>
  <c r="R188" i="3" s="1"/>
  <c r="Z188" i="3"/>
  <c r="U189" i="3"/>
  <c r="V189" i="3" s="1"/>
  <c r="O208" i="4" l="1"/>
  <c r="P207" i="4"/>
  <c r="R207" i="4" s="1"/>
  <c r="AC210" i="4"/>
  <c r="AD210" i="4"/>
  <c r="Z211" i="4"/>
  <c r="N211" i="4"/>
  <c r="AE211" i="4" s="1"/>
  <c r="U212" i="4"/>
  <c r="V212" i="4" s="1"/>
  <c r="S213" i="4"/>
  <c r="S209" i="3"/>
  <c r="N189" i="3"/>
  <c r="O189" i="3" s="1"/>
  <c r="P189" i="3" s="1"/>
  <c r="R189" i="3" s="1"/>
  <c r="Z189" i="3"/>
  <c r="U190" i="3"/>
  <c r="V190" i="3" s="1"/>
  <c r="P208" i="4" l="1"/>
  <c r="R208" i="4" s="1"/>
  <c r="O209" i="4"/>
  <c r="AC211" i="4"/>
  <c r="AD211" i="4"/>
  <c r="U213" i="4"/>
  <c r="V213" i="4" s="1"/>
  <c r="S214" i="4"/>
  <c r="Z212" i="4"/>
  <c r="N212" i="4"/>
  <c r="AE212" i="4" s="1"/>
  <c r="S210" i="3"/>
  <c r="N190" i="3"/>
  <c r="O190" i="3" s="1"/>
  <c r="Z190" i="3"/>
  <c r="U191" i="3"/>
  <c r="V191" i="3" s="1"/>
  <c r="P209" i="4" l="1"/>
  <c r="R209" i="4" s="1"/>
  <c r="O210" i="4"/>
  <c r="AD212" i="4"/>
  <c r="AC212" i="4"/>
  <c r="U214" i="4"/>
  <c r="V214" i="4" s="1"/>
  <c r="S215" i="4"/>
  <c r="Z213" i="4"/>
  <c r="N213" i="4"/>
  <c r="AE213" i="4" s="1"/>
  <c r="P190" i="3"/>
  <c r="R190" i="3" s="1"/>
  <c r="S211" i="3" s="1"/>
  <c r="N191" i="3"/>
  <c r="O191" i="3" s="1"/>
  <c r="P191" i="3" s="1"/>
  <c r="R191" i="3" s="1"/>
  <c r="Z191" i="3"/>
  <c r="U192" i="3"/>
  <c r="V192" i="3" s="1"/>
  <c r="P210" i="4" l="1"/>
  <c r="R210" i="4" s="1"/>
  <c r="O211" i="4"/>
  <c r="AC213" i="4"/>
  <c r="AD213" i="4"/>
  <c r="U215" i="4"/>
  <c r="V215" i="4" s="1"/>
  <c r="S216" i="4"/>
  <c r="S212" i="3"/>
  <c r="Z214" i="4"/>
  <c r="N214" i="4"/>
  <c r="AE214" i="4" s="1"/>
  <c r="N192" i="3"/>
  <c r="O192" i="3" s="1"/>
  <c r="P192" i="3" s="1"/>
  <c r="R192" i="3" s="1"/>
  <c r="Z192" i="3"/>
  <c r="U193" i="3"/>
  <c r="V193" i="3" s="1"/>
  <c r="P211" i="4" l="1"/>
  <c r="R211" i="4" s="1"/>
  <c r="O212" i="4"/>
  <c r="AC214" i="4"/>
  <c r="AD214" i="4"/>
  <c r="S213" i="3"/>
  <c r="U216" i="4"/>
  <c r="V216" i="4" s="1"/>
  <c r="S217" i="4"/>
  <c r="Z215" i="4"/>
  <c r="N215" i="4"/>
  <c r="AE215" i="4" s="1"/>
  <c r="N193" i="3"/>
  <c r="O193" i="3" s="1"/>
  <c r="P193" i="3" s="1"/>
  <c r="R193" i="3" s="1"/>
  <c r="Z193" i="3"/>
  <c r="U194" i="3"/>
  <c r="V194" i="3" s="1"/>
  <c r="P212" i="4" l="1"/>
  <c r="R212" i="4" s="1"/>
  <c r="O213" i="4"/>
  <c r="AD215" i="4"/>
  <c r="AC215" i="4"/>
  <c r="S214" i="3"/>
  <c r="U217" i="4"/>
  <c r="V217" i="4" s="1"/>
  <c r="S218" i="4"/>
  <c r="Z216" i="4"/>
  <c r="N216" i="4"/>
  <c r="AE216" i="4" s="1"/>
  <c r="N194" i="3"/>
  <c r="O194" i="3" s="1"/>
  <c r="Z194" i="3"/>
  <c r="U195" i="3"/>
  <c r="V195" i="3" s="1"/>
  <c r="P213" i="4" l="1"/>
  <c r="R213" i="4" s="1"/>
  <c r="O214" i="4"/>
  <c r="AC216" i="4"/>
  <c r="AD216" i="4"/>
  <c r="Z217" i="4"/>
  <c r="N217" i="4"/>
  <c r="AE217" i="4" s="1"/>
  <c r="U218" i="4"/>
  <c r="V218" i="4" s="1"/>
  <c r="S219" i="4"/>
  <c r="P194" i="3"/>
  <c r="R194" i="3" s="1"/>
  <c r="S215" i="3" s="1"/>
  <c r="N195" i="3"/>
  <c r="O195" i="3" s="1"/>
  <c r="P195" i="3" s="1"/>
  <c r="R195" i="3" s="1"/>
  <c r="Z195" i="3"/>
  <c r="U196" i="3"/>
  <c r="V196" i="3" s="1"/>
  <c r="P214" i="4" l="1"/>
  <c r="R214" i="4" s="1"/>
  <c r="O215" i="4"/>
  <c r="AC217" i="4"/>
  <c r="AD217" i="4"/>
  <c r="U219" i="4"/>
  <c r="V219" i="4" s="1"/>
  <c r="S220" i="4"/>
  <c r="Z218" i="4"/>
  <c r="N218" i="4"/>
  <c r="AE218" i="4" s="1"/>
  <c r="S216" i="3"/>
  <c r="N196" i="3"/>
  <c r="O196" i="3" s="1"/>
  <c r="P196" i="3" s="1"/>
  <c r="R196" i="3" s="1"/>
  <c r="Z196" i="3"/>
  <c r="U197" i="3"/>
  <c r="V197" i="3" s="1"/>
  <c r="P215" i="4" l="1"/>
  <c r="R215" i="4" s="1"/>
  <c r="O216" i="4"/>
  <c r="AD218" i="4"/>
  <c r="AC218" i="4"/>
  <c r="U220" i="4"/>
  <c r="V220" i="4" s="1"/>
  <c r="S221" i="4"/>
  <c r="Z219" i="4"/>
  <c r="N219" i="4"/>
  <c r="AE219" i="4" s="1"/>
  <c r="S217" i="3"/>
  <c r="N197" i="3"/>
  <c r="O197" i="3" s="1"/>
  <c r="P197" i="3" s="1"/>
  <c r="R197" i="3" s="1"/>
  <c r="Z197" i="3"/>
  <c r="U198" i="3"/>
  <c r="V198" i="3" s="1"/>
  <c r="P216" i="4" l="1"/>
  <c r="R216" i="4" s="1"/>
  <c r="O217" i="4"/>
  <c r="AC219" i="4"/>
  <c r="AD219" i="4"/>
  <c r="U221" i="4"/>
  <c r="V221" i="4" s="1"/>
  <c r="S222" i="4"/>
  <c r="Z220" i="4"/>
  <c r="N220" i="4"/>
  <c r="AE220" i="4" s="1"/>
  <c r="S218" i="3"/>
  <c r="N198" i="3"/>
  <c r="O198" i="3" s="1"/>
  <c r="Z198" i="3"/>
  <c r="U199" i="3"/>
  <c r="V199" i="3" s="1"/>
  <c r="P217" i="4" l="1"/>
  <c r="R217" i="4" s="1"/>
  <c r="O218" i="4"/>
  <c r="AC220" i="4"/>
  <c r="AD220" i="4"/>
  <c r="U222" i="4"/>
  <c r="V222" i="4" s="1"/>
  <c r="S223" i="4"/>
  <c r="Z221" i="4"/>
  <c r="N221" i="4"/>
  <c r="AE221" i="4" s="1"/>
  <c r="P198" i="3"/>
  <c r="R198" i="3" s="1"/>
  <c r="S219" i="3" s="1"/>
  <c r="N199" i="3"/>
  <c r="O199" i="3" s="1"/>
  <c r="P199" i="3" s="1"/>
  <c r="R199" i="3" s="1"/>
  <c r="Z199" i="3"/>
  <c r="U200" i="3"/>
  <c r="V200" i="3" s="1"/>
  <c r="P218" i="4" l="1"/>
  <c r="R218" i="4" s="1"/>
  <c r="O219" i="4"/>
  <c r="AD221" i="4"/>
  <c r="AC221" i="4"/>
  <c r="U223" i="4"/>
  <c r="V223" i="4" s="1"/>
  <c r="S224" i="4"/>
  <c r="Z222" i="4"/>
  <c r="N222" i="4"/>
  <c r="AE222" i="4" s="1"/>
  <c r="S220" i="3"/>
  <c r="N200" i="3"/>
  <c r="O200" i="3" s="1"/>
  <c r="Z200" i="3"/>
  <c r="U201" i="3"/>
  <c r="V201" i="3" s="1"/>
  <c r="P219" i="4" l="1"/>
  <c r="R219" i="4" s="1"/>
  <c r="O220" i="4"/>
  <c r="AC222" i="4"/>
  <c r="AD222" i="4"/>
  <c r="Z223" i="4"/>
  <c r="N223" i="4"/>
  <c r="AE223" i="4" s="1"/>
  <c r="U224" i="4"/>
  <c r="V224" i="4" s="1"/>
  <c r="S225" i="4"/>
  <c r="P200" i="3"/>
  <c r="R200" i="3" s="1"/>
  <c r="S221" i="3" s="1"/>
  <c r="N201" i="3"/>
  <c r="O201" i="3" s="1"/>
  <c r="P201" i="3" s="1"/>
  <c r="R201" i="3" s="1"/>
  <c r="Z201" i="3"/>
  <c r="U202" i="3"/>
  <c r="V202" i="3" s="1"/>
  <c r="P220" i="4" l="1"/>
  <c r="R220" i="4" s="1"/>
  <c r="O221" i="4"/>
  <c r="AC223" i="4"/>
  <c r="AD223" i="4"/>
  <c r="S222" i="3"/>
  <c r="U225" i="4"/>
  <c r="V225" i="4" s="1"/>
  <c r="S226" i="4"/>
  <c r="Z224" i="4"/>
  <c r="N224" i="4"/>
  <c r="AE224" i="4" s="1"/>
  <c r="N202" i="3"/>
  <c r="O202" i="3" s="1"/>
  <c r="P202" i="3" s="1"/>
  <c r="R202" i="3" s="1"/>
  <c r="Z202" i="3"/>
  <c r="U203" i="3"/>
  <c r="V203" i="3" s="1"/>
  <c r="P221" i="4" l="1"/>
  <c r="R221" i="4" s="1"/>
  <c r="O222" i="4"/>
  <c r="AD224" i="4"/>
  <c r="S223" i="3"/>
  <c r="AC224" i="4"/>
  <c r="U226" i="4"/>
  <c r="V226" i="4" s="1"/>
  <c r="S227" i="4"/>
  <c r="Z225" i="4"/>
  <c r="N225" i="4"/>
  <c r="AE225" i="4" s="1"/>
  <c r="N203" i="3"/>
  <c r="O203" i="3" s="1"/>
  <c r="P203" i="3" s="1"/>
  <c r="R203" i="3" s="1"/>
  <c r="Z203" i="3"/>
  <c r="U204" i="3"/>
  <c r="V204" i="3" s="1"/>
  <c r="P222" i="4" l="1"/>
  <c r="R222" i="4" s="1"/>
  <c r="O223" i="4"/>
  <c r="S224" i="3"/>
  <c r="AC225" i="4"/>
  <c r="AD225" i="4"/>
  <c r="U227" i="4"/>
  <c r="V227" i="4" s="1"/>
  <c r="S228" i="4"/>
  <c r="Z226" i="4"/>
  <c r="N226" i="4"/>
  <c r="AE226" i="4" s="1"/>
  <c r="N204" i="3"/>
  <c r="O204" i="3" s="1"/>
  <c r="Z204" i="3"/>
  <c r="U205" i="3"/>
  <c r="V205" i="3" s="1"/>
  <c r="P223" i="4" l="1"/>
  <c r="R223" i="4" s="1"/>
  <c r="O224" i="4"/>
  <c r="AC226" i="4"/>
  <c r="AD226" i="4"/>
  <c r="U228" i="4"/>
  <c r="V228" i="4" s="1"/>
  <c r="S229" i="4"/>
  <c r="Z227" i="4"/>
  <c r="N227" i="4"/>
  <c r="AE227" i="4" s="1"/>
  <c r="P204" i="3"/>
  <c r="R204" i="3" s="1"/>
  <c r="S225" i="3" s="1"/>
  <c r="N205" i="3"/>
  <c r="O205" i="3" s="1"/>
  <c r="P205" i="3" s="1"/>
  <c r="R205" i="3" s="1"/>
  <c r="Z205" i="3"/>
  <c r="U206" i="3"/>
  <c r="V206" i="3" s="1"/>
  <c r="P224" i="4" l="1"/>
  <c r="R224" i="4" s="1"/>
  <c r="O225" i="4"/>
  <c r="AD227" i="4"/>
  <c r="AC227" i="4"/>
  <c r="U229" i="4"/>
  <c r="V229" i="4" s="1"/>
  <c r="S230" i="4"/>
  <c r="Z228" i="4"/>
  <c r="N228" i="4"/>
  <c r="AE228" i="4" s="1"/>
  <c r="S226" i="3"/>
  <c r="N206" i="3"/>
  <c r="O206" i="3" s="1"/>
  <c r="Z206" i="3"/>
  <c r="U207" i="3"/>
  <c r="V207" i="3" s="1"/>
  <c r="P225" i="4" l="1"/>
  <c r="R225" i="4" s="1"/>
  <c r="O226" i="4"/>
  <c r="AC228" i="4"/>
  <c r="AD228" i="4"/>
  <c r="Z229" i="4"/>
  <c r="N229" i="4"/>
  <c r="AE229" i="4" s="1"/>
  <c r="U230" i="4"/>
  <c r="V230" i="4" s="1"/>
  <c r="S231" i="4"/>
  <c r="P206" i="3"/>
  <c r="R206" i="3" s="1"/>
  <c r="S227" i="3" s="1"/>
  <c r="N207" i="3"/>
  <c r="O207" i="3" s="1"/>
  <c r="P207" i="3" s="1"/>
  <c r="R207" i="3" s="1"/>
  <c r="Z207" i="3"/>
  <c r="U208" i="3"/>
  <c r="V208" i="3" s="1"/>
  <c r="P226" i="4" l="1"/>
  <c r="R226" i="4" s="1"/>
  <c r="O227" i="4"/>
  <c r="AC229" i="4"/>
  <c r="AD229" i="4"/>
  <c r="S228" i="3"/>
  <c r="U231" i="4"/>
  <c r="V231" i="4" s="1"/>
  <c r="S232" i="4"/>
  <c r="Z230" i="4"/>
  <c r="N230" i="4"/>
  <c r="AE230" i="4" s="1"/>
  <c r="N208" i="3"/>
  <c r="O208" i="3" s="1"/>
  <c r="P208" i="3" s="1"/>
  <c r="R208" i="3" s="1"/>
  <c r="Z208" i="3"/>
  <c r="U209" i="3"/>
  <c r="V209" i="3" s="1"/>
  <c r="P227" i="4" l="1"/>
  <c r="R227" i="4" s="1"/>
  <c r="O228" i="4"/>
  <c r="AD230" i="4"/>
  <c r="S229" i="3"/>
  <c r="AC230" i="4"/>
  <c r="U232" i="4"/>
  <c r="V232" i="4" s="1"/>
  <c r="S233" i="4"/>
  <c r="Z231" i="4"/>
  <c r="N231" i="4"/>
  <c r="AE231" i="4" s="1"/>
  <c r="N209" i="3"/>
  <c r="O209" i="3" s="1"/>
  <c r="P209" i="3" s="1"/>
  <c r="R209" i="3" s="1"/>
  <c r="Z209" i="3"/>
  <c r="U210" i="3"/>
  <c r="V210" i="3" s="1"/>
  <c r="O229" i="4" l="1"/>
  <c r="P228" i="4"/>
  <c r="R228" i="4" s="1"/>
  <c r="S230" i="3"/>
  <c r="AC231" i="4"/>
  <c r="AD231" i="4"/>
  <c r="U233" i="4"/>
  <c r="V233" i="4" s="1"/>
  <c r="S234" i="4"/>
  <c r="Z232" i="4"/>
  <c r="N232" i="4"/>
  <c r="AE232" i="4" s="1"/>
  <c r="N210" i="3"/>
  <c r="O210" i="3" s="1"/>
  <c r="Z210" i="3"/>
  <c r="U211" i="3"/>
  <c r="V211" i="3" s="1"/>
  <c r="P229" i="4" l="1"/>
  <c r="R229" i="4" s="1"/>
  <c r="O230" i="4"/>
  <c r="AC232" i="4"/>
  <c r="AD232" i="4"/>
  <c r="Z233" i="4"/>
  <c r="N233" i="4"/>
  <c r="AE233" i="4" s="1"/>
  <c r="U234" i="4"/>
  <c r="V234" i="4" s="1"/>
  <c r="S235" i="4"/>
  <c r="P210" i="3"/>
  <c r="R210" i="3" s="1"/>
  <c r="S231" i="3" s="1"/>
  <c r="N211" i="3"/>
  <c r="O211" i="3" s="1"/>
  <c r="P211" i="3" s="1"/>
  <c r="R211" i="3" s="1"/>
  <c r="Z211" i="3"/>
  <c r="U212" i="3"/>
  <c r="V212" i="3" s="1"/>
  <c r="P230" i="4" l="1"/>
  <c r="R230" i="4" s="1"/>
  <c r="O231" i="4"/>
  <c r="AD233" i="4"/>
  <c r="AC233" i="4"/>
  <c r="Z234" i="4"/>
  <c r="N234" i="4"/>
  <c r="AE234" i="4" s="1"/>
  <c r="U235" i="4"/>
  <c r="V235" i="4" s="1"/>
  <c r="S236" i="4"/>
  <c r="S232" i="3"/>
  <c r="N212" i="3"/>
  <c r="O212" i="3" s="1"/>
  <c r="Z212" i="3"/>
  <c r="U213" i="3"/>
  <c r="V213" i="3" s="1"/>
  <c r="P231" i="4" l="1"/>
  <c r="R231" i="4" s="1"/>
  <c r="O232" i="4"/>
  <c r="AC234" i="4"/>
  <c r="AD234" i="4"/>
  <c r="Z235" i="4"/>
  <c r="N235" i="4"/>
  <c r="AE235" i="4" s="1"/>
  <c r="U236" i="4"/>
  <c r="V236" i="4" s="1"/>
  <c r="S237" i="4"/>
  <c r="P212" i="3"/>
  <c r="R212" i="3" s="1"/>
  <c r="S233" i="3" s="1"/>
  <c r="N213" i="3"/>
  <c r="O213" i="3" s="1"/>
  <c r="P213" i="3" s="1"/>
  <c r="R213" i="3" s="1"/>
  <c r="Z213" i="3"/>
  <c r="U214" i="3"/>
  <c r="V214" i="3" s="1"/>
  <c r="P232" i="4" l="1"/>
  <c r="R232" i="4" s="1"/>
  <c r="O233" i="4"/>
  <c r="AC235" i="4"/>
  <c r="AD235" i="4"/>
  <c r="S234" i="3"/>
  <c r="U237" i="4"/>
  <c r="V237" i="4" s="1"/>
  <c r="S238" i="4"/>
  <c r="Z236" i="4"/>
  <c r="N236" i="4"/>
  <c r="AE236" i="4" s="1"/>
  <c r="N214" i="3"/>
  <c r="O214" i="3" s="1"/>
  <c r="P214" i="3" s="1"/>
  <c r="R214" i="3" s="1"/>
  <c r="Z214" i="3"/>
  <c r="U215" i="3"/>
  <c r="V215" i="3" s="1"/>
  <c r="P233" i="4" l="1"/>
  <c r="R233" i="4" s="1"/>
  <c r="O234" i="4"/>
  <c r="AD236" i="4"/>
  <c r="AC236" i="4"/>
  <c r="S235" i="3"/>
  <c r="Z237" i="4"/>
  <c r="N237" i="4"/>
  <c r="AE237" i="4" s="1"/>
  <c r="U238" i="4"/>
  <c r="V238" i="4" s="1"/>
  <c r="S239" i="4"/>
  <c r="N215" i="3"/>
  <c r="O215" i="3" s="1"/>
  <c r="P215" i="3" s="1"/>
  <c r="R215" i="3" s="1"/>
  <c r="Z215" i="3"/>
  <c r="U216" i="3"/>
  <c r="V216" i="3" s="1"/>
  <c r="O235" i="4" l="1"/>
  <c r="P234" i="4"/>
  <c r="R234" i="4" s="1"/>
  <c r="S236" i="3"/>
  <c r="AC237" i="4"/>
  <c r="AD237" i="4"/>
  <c r="U239" i="4"/>
  <c r="V239" i="4" s="1"/>
  <c r="S240" i="4"/>
  <c r="Z238" i="4"/>
  <c r="N238" i="4"/>
  <c r="AE238" i="4" s="1"/>
  <c r="N216" i="3"/>
  <c r="O216" i="3" s="1"/>
  <c r="Z216" i="3"/>
  <c r="U217" i="3"/>
  <c r="V217" i="3" s="1"/>
  <c r="P235" i="4" l="1"/>
  <c r="R235" i="4" s="1"/>
  <c r="O236" i="4"/>
  <c r="AC238" i="4"/>
  <c r="AD238" i="4"/>
  <c r="U240" i="4"/>
  <c r="V240" i="4" s="1"/>
  <c r="S241" i="4"/>
  <c r="Z239" i="4"/>
  <c r="N239" i="4"/>
  <c r="AE239" i="4" s="1"/>
  <c r="P216" i="3"/>
  <c r="R216" i="3" s="1"/>
  <c r="S237" i="3" s="1"/>
  <c r="N217" i="3"/>
  <c r="O217" i="3" s="1"/>
  <c r="P217" i="3" s="1"/>
  <c r="R217" i="3" s="1"/>
  <c r="Z217" i="3"/>
  <c r="U218" i="3"/>
  <c r="V218" i="3" s="1"/>
  <c r="P236" i="4" l="1"/>
  <c r="R236" i="4" s="1"/>
  <c r="O237" i="4"/>
  <c r="AD239" i="4"/>
  <c r="AC239" i="4"/>
  <c r="U241" i="4"/>
  <c r="V241" i="4" s="1"/>
  <c r="S242" i="4"/>
  <c r="Z240" i="4"/>
  <c r="N240" i="4"/>
  <c r="AE240" i="4" s="1"/>
  <c r="S238" i="3"/>
  <c r="N218" i="3"/>
  <c r="O218" i="3" s="1"/>
  <c r="Z218" i="3"/>
  <c r="U219" i="3"/>
  <c r="V219" i="3" s="1"/>
  <c r="P237" i="4" l="1"/>
  <c r="R237" i="4" s="1"/>
  <c r="O238" i="4"/>
  <c r="AC240" i="4"/>
  <c r="AD240" i="4"/>
  <c r="U242" i="4"/>
  <c r="V242" i="4" s="1"/>
  <c r="S243" i="4"/>
  <c r="Z241" i="4"/>
  <c r="N241" i="4"/>
  <c r="AE241" i="4" s="1"/>
  <c r="P218" i="3"/>
  <c r="R218" i="3" s="1"/>
  <c r="S239" i="3" s="1"/>
  <c r="N219" i="3"/>
  <c r="O219" i="3" s="1"/>
  <c r="P219" i="3" s="1"/>
  <c r="R219" i="3" s="1"/>
  <c r="Z219" i="3"/>
  <c r="U220" i="3"/>
  <c r="V220" i="3" s="1"/>
  <c r="P238" i="4" l="1"/>
  <c r="R238" i="4" s="1"/>
  <c r="O239" i="4"/>
  <c r="AC241" i="4"/>
  <c r="AD241" i="4"/>
  <c r="S240" i="3"/>
  <c r="U243" i="4"/>
  <c r="V243" i="4" s="1"/>
  <c r="S244" i="4"/>
  <c r="Z242" i="4"/>
  <c r="N242" i="4"/>
  <c r="AE242" i="4" s="1"/>
  <c r="N220" i="3"/>
  <c r="O220" i="3" s="1"/>
  <c r="P220" i="3" s="1"/>
  <c r="R220" i="3" s="1"/>
  <c r="Z220" i="3"/>
  <c r="U221" i="3"/>
  <c r="V221" i="3" s="1"/>
  <c r="O240" i="4" l="1"/>
  <c r="P239" i="4"/>
  <c r="R239" i="4" s="1"/>
  <c r="AD242" i="4"/>
  <c r="AC242" i="4"/>
  <c r="S241" i="3"/>
  <c r="U244" i="4"/>
  <c r="V244" i="4" s="1"/>
  <c r="S245" i="4"/>
  <c r="Z243" i="4"/>
  <c r="N243" i="4"/>
  <c r="AE243" i="4" s="1"/>
  <c r="N221" i="3"/>
  <c r="O221" i="3" s="1"/>
  <c r="P221" i="3" s="1"/>
  <c r="R221" i="3" s="1"/>
  <c r="Z221" i="3"/>
  <c r="U222" i="3"/>
  <c r="V222" i="3" s="1"/>
  <c r="P240" i="4" l="1"/>
  <c r="R240" i="4" s="1"/>
  <c r="O241" i="4"/>
  <c r="S242" i="3"/>
  <c r="AC243" i="4"/>
  <c r="AD243" i="4"/>
  <c r="U245" i="4"/>
  <c r="V245" i="4" s="1"/>
  <c r="S246" i="4"/>
  <c r="Z244" i="4"/>
  <c r="N244" i="4"/>
  <c r="AE244" i="4" s="1"/>
  <c r="N222" i="3"/>
  <c r="O222" i="3" s="1"/>
  <c r="Z222" i="3"/>
  <c r="U223" i="3"/>
  <c r="V223" i="3" s="1"/>
  <c r="P241" i="4" l="1"/>
  <c r="R241" i="4" s="1"/>
  <c r="O242" i="4"/>
  <c r="AC244" i="4"/>
  <c r="AD244" i="4"/>
  <c r="U246" i="4"/>
  <c r="V246" i="4" s="1"/>
  <c r="S247" i="4"/>
  <c r="Z245" i="4"/>
  <c r="N245" i="4"/>
  <c r="AE245" i="4" s="1"/>
  <c r="P222" i="3"/>
  <c r="R222" i="3" s="1"/>
  <c r="S243" i="3" s="1"/>
  <c r="N223" i="3"/>
  <c r="O223" i="3" s="1"/>
  <c r="P223" i="3" s="1"/>
  <c r="R223" i="3" s="1"/>
  <c r="Z223" i="3"/>
  <c r="U224" i="3"/>
  <c r="V224" i="3" s="1"/>
  <c r="P242" i="4" l="1"/>
  <c r="R242" i="4" s="1"/>
  <c r="O243" i="4"/>
  <c r="AD245" i="4"/>
  <c r="AC245" i="4"/>
  <c r="U247" i="4"/>
  <c r="V247" i="4" s="1"/>
  <c r="S248" i="4"/>
  <c r="Z246" i="4"/>
  <c r="N246" i="4"/>
  <c r="AE246" i="4" s="1"/>
  <c r="S244" i="3"/>
  <c r="N224" i="3"/>
  <c r="O224" i="3" s="1"/>
  <c r="Z224" i="3"/>
  <c r="U225" i="3"/>
  <c r="V225" i="3" s="1"/>
  <c r="O244" i="4" l="1"/>
  <c r="P243" i="4"/>
  <c r="R243" i="4" s="1"/>
  <c r="AC246" i="4"/>
  <c r="AD246" i="4"/>
  <c r="Z247" i="4"/>
  <c r="N247" i="4"/>
  <c r="AE247" i="4" s="1"/>
  <c r="U248" i="4"/>
  <c r="V248" i="4" s="1"/>
  <c r="S249" i="4"/>
  <c r="P224" i="3"/>
  <c r="R224" i="3" s="1"/>
  <c r="S245" i="3" s="1"/>
  <c r="N225" i="3"/>
  <c r="O225" i="3" s="1"/>
  <c r="P225" i="3" s="1"/>
  <c r="R225" i="3" s="1"/>
  <c r="Z225" i="3"/>
  <c r="U226" i="3"/>
  <c r="V226" i="3" s="1"/>
  <c r="P244" i="4" l="1"/>
  <c r="R244" i="4" s="1"/>
  <c r="O245" i="4"/>
  <c r="AC247" i="4"/>
  <c r="AD247" i="4"/>
  <c r="Z248" i="4"/>
  <c r="N248" i="4"/>
  <c r="AE248" i="4" s="1"/>
  <c r="S246" i="3"/>
  <c r="U249" i="4"/>
  <c r="V249" i="4" s="1"/>
  <c r="S250" i="4"/>
  <c r="N226" i="3"/>
  <c r="O226" i="3" s="1"/>
  <c r="P226" i="3" s="1"/>
  <c r="R226" i="3" s="1"/>
  <c r="Z226" i="3"/>
  <c r="U227" i="3"/>
  <c r="V227" i="3" s="1"/>
  <c r="O246" i="4" l="1"/>
  <c r="P245" i="4"/>
  <c r="R245" i="4" s="1"/>
  <c r="AD248" i="4"/>
  <c r="AC248" i="4"/>
  <c r="S247" i="3"/>
  <c r="Z249" i="4"/>
  <c r="N249" i="4"/>
  <c r="AE249" i="4" s="1"/>
  <c r="U250" i="4"/>
  <c r="V250" i="4" s="1"/>
  <c r="S251" i="4"/>
  <c r="N227" i="3"/>
  <c r="O227" i="3" s="1"/>
  <c r="P227" i="3" s="1"/>
  <c r="R227" i="3" s="1"/>
  <c r="Z227" i="3"/>
  <c r="U228" i="3"/>
  <c r="V228" i="3" s="1"/>
  <c r="P246" i="4" l="1"/>
  <c r="R246" i="4" s="1"/>
  <c r="O247" i="4"/>
  <c r="AC249" i="4"/>
  <c r="AD249" i="4"/>
  <c r="S248" i="3"/>
  <c r="U251" i="4"/>
  <c r="V251" i="4" s="1"/>
  <c r="S252" i="4"/>
  <c r="Z250" i="4"/>
  <c r="N250" i="4"/>
  <c r="AE250" i="4" s="1"/>
  <c r="N228" i="3"/>
  <c r="O228" i="3" s="1"/>
  <c r="Z228" i="3"/>
  <c r="U229" i="3"/>
  <c r="V229" i="3" s="1"/>
  <c r="P247" i="4" l="1"/>
  <c r="R247" i="4" s="1"/>
  <c r="O248" i="4"/>
  <c r="AC250" i="4"/>
  <c r="AD250" i="4"/>
  <c r="Z251" i="4"/>
  <c r="N251" i="4"/>
  <c r="AE251" i="4" s="1"/>
  <c r="U252" i="4"/>
  <c r="V252" i="4" s="1"/>
  <c r="S253" i="4"/>
  <c r="P228" i="3"/>
  <c r="R228" i="3" s="1"/>
  <c r="S249" i="3" s="1"/>
  <c r="N229" i="3"/>
  <c r="O229" i="3" s="1"/>
  <c r="P229" i="3" s="1"/>
  <c r="R229" i="3" s="1"/>
  <c r="Z229" i="3"/>
  <c r="U230" i="3"/>
  <c r="V230" i="3" s="1"/>
  <c r="P248" i="4" l="1"/>
  <c r="R248" i="4" s="1"/>
  <c r="O249" i="4"/>
  <c r="AD251" i="4"/>
  <c r="AC251" i="4"/>
  <c r="U253" i="4"/>
  <c r="V253" i="4" s="1"/>
  <c r="S254" i="4"/>
  <c r="Z252" i="4"/>
  <c r="N252" i="4"/>
  <c r="AE252" i="4" s="1"/>
  <c r="S250" i="3"/>
  <c r="N230" i="3"/>
  <c r="O230" i="3" s="1"/>
  <c r="P230" i="3" s="1"/>
  <c r="R230" i="3" s="1"/>
  <c r="Z230" i="3"/>
  <c r="U231" i="3"/>
  <c r="V231" i="3" s="1"/>
  <c r="P249" i="4" l="1"/>
  <c r="R249" i="4" s="1"/>
  <c r="O250" i="4"/>
  <c r="AC252" i="4"/>
  <c r="AD252" i="4"/>
  <c r="U254" i="4"/>
  <c r="V254" i="4" s="1"/>
  <c r="S255" i="4"/>
  <c r="Z253" i="4"/>
  <c r="N253" i="4"/>
  <c r="AE253" i="4" s="1"/>
  <c r="S251" i="3"/>
  <c r="N231" i="3"/>
  <c r="O231" i="3" s="1"/>
  <c r="P231" i="3" s="1"/>
  <c r="R231" i="3" s="1"/>
  <c r="Z231" i="3"/>
  <c r="U232" i="3"/>
  <c r="V232" i="3" s="1"/>
  <c r="P250" i="4" l="1"/>
  <c r="R250" i="4" s="1"/>
  <c r="O251" i="4"/>
  <c r="AC253" i="4"/>
  <c r="AD253" i="4"/>
  <c r="U255" i="4"/>
  <c r="V255" i="4" s="1"/>
  <c r="S256" i="4"/>
  <c r="Z254" i="4"/>
  <c r="N254" i="4"/>
  <c r="AE254" i="4" s="1"/>
  <c r="S252" i="3"/>
  <c r="N232" i="3"/>
  <c r="O232" i="3" s="1"/>
  <c r="Z232" i="3"/>
  <c r="U233" i="3"/>
  <c r="V233" i="3" s="1"/>
  <c r="P251" i="4" l="1"/>
  <c r="R251" i="4" s="1"/>
  <c r="O252" i="4"/>
  <c r="AD254" i="4"/>
  <c r="AC254" i="4"/>
  <c r="U256" i="4"/>
  <c r="V256" i="4" s="1"/>
  <c r="S257" i="4"/>
  <c r="N255" i="4"/>
  <c r="AE255" i="4" s="1"/>
  <c r="Z255" i="4"/>
  <c r="P232" i="3"/>
  <c r="R232" i="3" s="1"/>
  <c r="S253" i="3" s="1"/>
  <c r="N233" i="3"/>
  <c r="O233" i="3" s="1"/>
  <c r="P233" i="3" s="1"/>
  <c r="R233" i="3" s="1"/>
  <c r="Z233" i="3"/>
  <c r="U234" i="3"/>
  <c r="V234" i="3" s="1"/>
  <c r="P252" i="4" l="1"/>
  <c r="R252" i="4" s="1"/>
  <c r="O253" i="4"/>
  <c r="AC255" i="4"/>
  <c r="AD255" i="4"/>
  <c r="S254" i="3"/>
  <c r="N256" i="4"/>
  <c r="AE256" i="4" s="1"/>
  <c r="Z256" i="4"/>
  <c r="U257" i="4"/>
  <c r="V257" i="4" s="1"/>
  <c r="S258" i="4"/>
  <c r="N234" i="3"/>
  <c r="O234" i="3" s="1"/>
  <c r="Z234" i="3"/>
  <c r="U235" i="3"/>
  <c r="V235" i="3" s="1"/>
  <c r="P253" i="4" l="1"/>
  <c r="R253" i="4" s="1"/>
  <c r="O254" i="4"/>
  <c r="AC256" i="4"/>
  <c r="AD256" i="4"/>
  <c r="U258" i="4"/>
  <c r="V258" i="4" s="1"/>
  <c r="S259" i="4"/>
  <c r="N257" i="4"/>
  <c r="AE257" i="4" s="1"/>
  <c r="Z257" i="4"/>
  <c r="P234" i="3"/>
  <c r="R234" i="3" s="1"/>
  <c r="S255" i="3" s="1"/>
  <c r="N235" i="3"/>
  <c r="O235" i="3" s="1"/>
  <c r="P235" i="3" s="1"/>
  <c r="R235" i="3" s="1"/>
  <c r="Z235" i="3"/>
  <c r="U236" i="3"/>
  <c r="V236" i="3" s="1"/>
  <c r="P254" i="4" l="1"/>
  <c r="R254" i="4" s="1"/>
  <c r="O255" i="4"/>
  <c r="AD257" i="4"/>
  <c r="AC257" i="4"/>
  <c r="U259" i="4"/>
  <c r="V259" i="4" s="1"/>
  <c r="S260" i="4"/>
  <c r="Z258" i="4"/>
  <c r="N258" i="4"/>
  <c r="AE258" i="4" s="1"/>
  <c r="S256" i="3"/>
  <c r="N236" i="3"/>
  <c r="O236" i="3" s="1"/>
  <c r="Z236" i="3"/>
  <c r="U237" i="3"/>
  <c r="V237" i="3" s="1"/>
  <c r="P255" i="4" l="1"/>
  <c r="R255" i="4" s="1"/>
  <c r="O256" i="4"/>
  <c r="AC258" i="4"/>
  <c r="AD258" i="4"/>
  <c r="N259" i="4"/>
  <c r="AE259" i="4" s="1"/>
  <c r="Z259" i="4"/>
  <c r="U260" i="4"/>
  <c r="V260" i="4" s="1"/>
  <c r="S261" i="4"/>
  <c r="P236" i="3"/>
  <c r="R236" i="3" s="1"/>
  <c r="S257" i="3" s="1"/>
  <c r="N237" i="3"/>
  <c r="O237" i="3" s="1"/>
  <c r="P237" i="3" s="1"/>
  <c r="R237" i="3" s="1"/>
  <c r="Z237" i="3"/>
  <c r="U238" i="3"/>
  <c r="V238" i="3" s="1"/>
  <c r="P256" i="4" l="1"/>
  <c r="R256" i="4" s="1"/>
  <c r="O257" i="4"/>
  <c r="AC259" i="4"/>
  <c r="AD259" i="4"/>
  <c r="U261" i="4"/>
  <c r="V261" i="4" s="1"/>
  <c r="S262" i="4"/>
  <c r="N260" i="4"/>
  <c r="AE260" i="4" s="1"/>
  <c r="Z260" i="4"/>
  <c r="S258" i="3"/>
  <c r="N238" i="3"/>
  <c r="O238" i="3" s="1"/>
  <c r="P238" i="3" s="1"/>
  <c r="R238" i="3" s="1"/>
  <c r="Z238" i="3"/>
  <c r="U239" i="3"/>
  <c r="V239" i="3" s="1"/>
  <c r="P257" i="4" l="1"/>
  <c r="R257" i="4" s="1"/>
  <c r="O258" i="4"/>
  <c r="AD260" i="4"/>
  <c r="AC260" i="4"/>
  <c r="U262" i="4"/>
  <c r="V262" i="4" s="1"/>
  <c r="S263" i="4"/>
  <c r="N261" i="4"/>
  <c r="AE261" i="4" s="1"/>
  <c r="Z261" i="4"/>
  <c r="S259" i="3"/>
  <c r="N239" i="3"/>
  <c r="O239" i="3" s="1"/>
  <c r="P239" i="3" s="1"/>
  <c r="R239" i="3" s="1"/>
  <c r="Z239" i="3"/>
  <c r="U240" i="3"/>
  <c r="V240" i="3" s="1"/>
  <c r="O259" i="4" l="1"/>
  <c r="P258" i="4"/>
  <c r="R258" i="4" s="1"/>
  <c r="AC261" i="4"/>
  <c r="AD261" i="4"/>
  <c r="N262" i="4"/>
  <c r="AE262" i="4" s="1"/>
  <c r="Z262" i="4"/>
  <c r="U263" i="4"/>
  <c r="V263" i="4" s="1"/>
  <c r="S264" i="4"/>
  <c r="S260" i="3"/>
  <c r="N240" i="3"/>
  <c r="O240" i="3" s="1"/>
  <c r="Z240" i="3"/>
  <c r="U241" i="3"/>
  <c r="V241" i="3" s="1"/>
  <c r="P259" i="4" l="1"/>
  <c r="R259" i="4" s="1"/>
  <c r="O260" i="4"/>
  <c r="AC262" i="4"/>
  <c r="AD262" i="4"/>
  <c r="U264" i="4"/>
  <c r="V264" i="4" s="1"/>
  <c r="S265" i="4"/>
  <c r="N263" i="4"/>
  <c r="AE263" i="4" s="1"/>
  <c r="Z263" i="4"/>
  <c r="P240" i="3"/>
  <c r="R240" i="3" s="1"/>
  <c r="S261" i="3" s="1"/>
  <c r="N241" i="3"/>
  <c r="O241" i="3" s="1"/>
  <c r="P241" i="3" s="1"/>
  <c r="R241" i="3" s="1"/>
  <c r="Z241" i="3"/>
  <c r="U242" i="3"/>
  <c r="V242" i="3" s="1"/>
  <c r="P260" i="4" l="1"/>
  <c r="R260" i="4" s="1"/>
  <c r="O261" i="4"/>
  <c r="AD263" i="4"/>
  <c r="AC263" i="4"/>
  <c r="S262" i="3"/>
  <c r="U265" i="4"/>
  <c r="V265" i="4" s="1"/>
  <c r="S266" i="4"/>
  <c r="N264" i="4"/>
  <c r="AE264" i="4" s="1"/>
  <c r="Z264" i="4"/>
  <c r="N242" i="3"/>
  <c r="O242" i="3" s="1"/>
  <c r="Z242" i="3"/>
  <c r="U243" i="3"/>
  <c r="V243" i="3" s="1"/>
  <c r="O262" i="4" l="1"/>
  <c r="P261" i="4"/>
  <c r="R261" i="4" s="1"/>
  <c r="AC264" i="4"/>
  <c r="AD264" i="4"/>
  <c r="N265" i="4"/>
  <c r="AE265" i="4" s="1"/>
  <c r="Z265" i="4"/>
  <c r="U266" i="4"/>
  <c r="V266" i="4" s="1"/>
  <c r="S267" i="4"/>
  <c r="P242" i="3"/>
  <c r="R242" i="3" s="1"/>
  <c r="S263" i="3" s="1"/>
  <c r="N243" i="3"/>
  <c r="O243" i="3" s="1"/>
  <c r="P243" i="3" s="1"/>
  <c r="R243" i="3" s="1"/>
  <c r="Z243" i="3"/>
  <c r="U244" i="3"/>
  <c r="V244" i="3" s="1"/>
  <c r="P262" i="4" l="1"/>
  <c r="R262" i="4" s="1"/>
  <c r="O263" i="4"/>
  <c r="AC265" i="4"/>
  <c r="AD265" i="4"/>
  <c r="U267" i="4"/>
  <c r="V267" i="4" s="1"/>
  <c r="S268" i="4"/>
  <c r="N266" i="4"/>
  <c r="AE266" i="4" s="1"/>
  <c r="Z266" i="4"/>
  <c r="S264" i="3"/>
  <c r="N244" i="3"/>
  <c r="O244" i="3" s="1"/>
  <c r="P244" i="3" s="1"/>
  <c r="R244" i="3" s="1"/>
  <c r="Z244" i="3"/>
  <c r="U245" i="3"/>
  <c r="V245" i="3" s="1"/>
  <c r="P263" i="4" l="1"/>
  <c r="R263" i="4" s="1"/>
  <c r="O264" i="4"/>
  <c r="AD266" i="4"/>
  <c r="AC266" i="4"/>
  <c r="U268" i="4"/>
  <c r="V268" i="4" s="1"/>
  <c r="S269" i="4"/>
  <c r="N267" i="4"/>
  <c r="AE267" i="4" s="1"/>
  <c r="Z267" i="4"/>
  <c r="S265" i="3"/>
  <c r="N245" i="3"/>
  <c r="O245" i="3" s="1"/>
  <c r="P245" i="3" s="1"/>
  <c r="R245" i="3" s="1"/>
  <c r="Z245" i="3"/>
  <c r="U246" i="3"/>
  <c r="V246" i="3" s="1"/>
  <c r="P264" i="4" l="1"/>
  <c r="R264" i="4" s="1"/>
  <c r="O265" i="4"/>
  <c r="AC267" i="4"/>
  <c r="AD267" i="4"/>
  <c r="N268" i="4"/>
  <c r="AE268" i="4" s="1"/>
  <c r="Z268" i="4"/>
  <c r="U269" i="4"/>
  <c r="V269" i="4" s="1"/>
  <c r="S270" i="4"/>
  <c r="S266" i="3"/>
  <c r="N246" i="3"/>
  <c r="O246" i="3" s="1"/>
  <c r="P246" i="3" s="1"/>
  <c r="R246" i="3" s="1"/>
  <c r="Z246" i="3"/>
  <c r="U247" i="3"/>
  <c r="V247" i="3" s="1"/>
  <c r="P265" i="4" l="1"/>
  <c r="R265" i="4" s="1"/>
  <c r="O266" i="4"/>
  <c r="AC268" i="4"/>
  <c r="AD268" i="4"/>
  <c r="U270" i="4"/>
  <c r="V270" i="4" s="1"/>
  <c r="S271" i="4"/>
  <c r="N269" i="4"/>
  <c r="AE269" i="4" s="1"/>
  <c r="Z269" i="4"/>
  <c r="S267" i="3"/>
  <c r="N247" i="3"/>
  <c r="O247" i="3" s="1"/>
  <c r="P247" i="3" s="1"/>
  <c r="R247" i="3" s="1"/>
  <c r="Z247" i="3"/>
  <c r="U248" i="3"/>
  <c r="V248" i="3" s="1"/>
  <c r="O267" i="4" l="1"/>
  <c r="P266" i="4"/>
  <c r="R266" i="4" s="1"/>
  <c r="AD269" i="4"/>
  <c r="AC269" i="4"/>
  <c r="U271" i="4"/>
  <c r="V271" i="4" s="1"/>
  <c r="S272" i="4"/>
  <c r="N270" i="4"/>
  <c r="AE270" i="4" s="1"/>
  <c r="Z270" i="4"/>
  <c r="S268" i="3"/>
  <c r="N248" i="3"/>
  <c r="O248" i="3" s="1"/>
  <c r="P248" i="3" s="1"/>
  <c r="R248" i="3" s="1"/>
  <c r="Z248" i="3"/>
  <c r="U249" i="3"/>
  <c r="V249" i="3" s="1"/>
  <c r="P267" i="4" l="1"/>
  <c r="R267" i="4" s="1"/>
  <c r="O268" i="4"/>
  <c r="AC270" i="4"/>
  <c r="AD270" i="4"/>
  <c r="N271" i="4"/>
  <c r="AE271" i="4" s="1"/>
  <c r="Z271" i="4"/>
  <c r="U272" i="4"/>
  <c r="V272" i="4" s="1"/>
  <c r="S273" i="4"/>
  <c r="S269" i="3"/>
  <c r="N249" i="3"/>
  <c r="O249" i="3" s="1"/>
  <c r="P249" i="3" s="1"/>
  <c r="R249" i="3" s="1"/>
  <c r="Z249" i="3"/>
  <c r="U250" i="3"/>
  <c r="V250" i="3" s="1"/>
  <c r="P268" i="4" l="1"/>
  <c r="R268" i="4" s="1"/>
  <c r="O269" i="4"/>
  <c r="AC271" i="4"/>
  <c r="AD271" i="4"/>
  <c r="U273" i="4"/>
  <c r="V273" i="4" s="1"/>
  <c r="S274" i="4"/>
  <c r="N272" i="4"/>
  <c r="AE272" i="4" s="1"/>
  <c r="Z272" i="4"/>
  <c r="S270" i="3"/>
  <c r="N250" i="3"/>
  <c r="O250" i="3" s="1"/>
  <c r="Z250" i="3"/>
  <c r="U251" i="3"/>
  <c r="V251" i="3" s="1"/>
  <c r="O270" i="4" l="1"/>
  <c r="P269" i="4"/>
  <c r="R269" i="4" s="1"/>
  <c r="AD272" i="4"/>
  <c r="AC272" i="4"/>
  <c r="U274" i="4"/>
  <c r="V274" i="4" s="1"/>
  <c r="S275" i="4"/>
  <c r="N273" i="4"/>
  <c r="AE273" i="4" s="1"/>
  <c r="Z273" i="4"/>
  <c r="P250" i="3"/>
  <c r="R250" i="3" s="1"/>
  <c r="S271" i="3" s="1"/>
  <c r="N251" i="3"/>
  <c r="O251" i="3" s="1"/>
  <c r="P251" i="3" s="1"/>
  <c r="R251" i="3" s="1"/>
  <c r="Z251" i="3"/>
  <c r="U252" i="3"/>
  <c r="V252" i="3" s="1"/>
  <c r="P270" i="4" l="1"/>
  <c r="R270" i="4" s="1"/>
  <c r="O271" i="4"/>
  <c r="AC273" i="4"/>
  <c r="AD273" i="4"/>
  <c r="S272" i="3"/>
  <c r="N274" i="4"/>
  <c r="AE274" i="4" s="1"/>
  <c r="Z274" i="4"/>
  <c r="U275" i="4"/>
  <c r="V275" i="4" s="1"/>
  <c r="S276" i="4"/>
  <c r="N252" i="3"/>
  <c r="O252" i="3" s="1"/>
  <c r="Z252" i="3"/>
  <c r="U253" i="3"/>
  <c r="V253" i="3" s="1"/>
  <c r="P271" i="4" l="1"/>
  <c r="R271" i="4" s="1"/>
  <c r="O272" i="4"/>
  <c r="AC274" i="4"/>
  <c r="AD274" i="4"/>
  <c r="N275" i="4"/>
  <c r="AE275" i="4" s="1"/>
  <c r="Z275" i="4"/>
  <c r="U276" i="4"/>
  <c r="V276" i="4" s="1"/>
  <c r="S277" i="4"/>
  <c r="P252" i="3"/>
  <c r="R252" i="3" s="1"/>
  <c r="S273" i="3" s="1"/>
  <c r="N253" i="3"/>
  <c r="O253" i="3" s="1"/>
  <c r="P253" i="3" s="1"/>
  <c r="R253" i="3" s="1"/>
  <c r="Z253" i="3"/>
  <c r="U254" i="3"/>
  <c r="V254" i="3" s="1"/>
  <c r="P272" i="4" l="1"/>
  <c r="R272" i="4" s="1"/>
  <c r="O273" i="4"/>
  <c r="AD275" i="4"/>
  <c r="AC275" i="4"/>
  <c r="U277" i="4"/>
  <c r="V277" i="4" s="1"/>
  <c r="S278" i="4"/>
  <c r="N276" i="4"/>
  <c r="AE276" i="4" s="1"/>
  <c r="Z276" i="4"/>
  <c r="S274" i="3"/>
  <c r="N254" i="3"/>
  <c r="O254" i="3" s="1"/>
  <c r="P254" i="3" s="1"/>
  <c r="R254" i="3" s="1"/>
  <c r="Z254" i="3"/>
  <c r="U255" i="3"/>
  <c r="V255" i="3" s="1"/>
  <c r="O274" i="4" l="1"/>
  <c r="P273" i="4"/>
  <c r="R273" i="4" s="1"/>
  <c r="AC276" i="4"/>
  <c r="AD276" i="4"/>
  <c r="U278" i="4"/>
  <c r="V278" i="4" s="1"/>
  <c r="S279" i="4"/>
  <c r="N277" i="4"/>
  <c r="AE277" i="4" s="1"/>
  <c r="Z277" i="4"/>
  <c r="S275" i="3"/>
  <c r="N255" i="3"/>
  <c r="O255" i="3" s="1"/>
  <c r="P255" i="3" s="1"/>
  <c r="R255" i="3" s="1"/>
  <c r="Z255" i="3"/>
  <c r="U256" i="3"/>
  <c r="V256" i="3" s="1"/>
  <c r="P274" i="4" l="1"/>
  <c r="R274" i="4" s="1"/>
  <c r="O275" i="4"/>
  <c r="AC277" i="4"/>
  <c r="AD277" i="4"/>
  <c r="U279" i="4"/>
  <c r="V279" i="4" s="1"/>
  <c r="S280" i="4"/>
  <c r="N278" i="4"/>
  <c r="AE278" i="4" s="1"/>
  <c r="Z278" i="4"/>
  <c r="S276" i="3"/>
  <c r="N256" i="3"/>
  <c r="O256" i="3" s="1"/>
  <c r="P256" i="3" s="1"/>
  <c r="R256" i="3" s="1"/>
  <c r="Z256" i="3"/>
  <c r="U257" i="3"/>
  <c r="V257" i="3" s="1"/>
  <c r="O276" i="4" l="1"/>
  <c r="P275" i="4"/>
  <c r="R275" i="4" s="1"/>
  <c r="AD278" i="4"/>
  <c r="AC278" i="4"/>
  <c r="U280" i="4"/>
  <c r="V280" i="4" s="1"/>
  <c r="S281" i="4"/>
  <c r="N279" i="4"/>
  <c r="AE279" i="4" s="1"/>
  <c r="Z279" i="4"/>
  <c r="S277" i="3"/>
  <c r="N257" i="3"/>
  <c r="O257" i="3" s="1"/>
  <c r="P257" i="3" s="1"/>
  <c r="R257" i="3" s="1"/>
  <c r="Z257" i="3"/>
  <c r="U258" i="3"/>
  <c r="V258" i="3" s="1"/>
  <c r="P276" i="4" l="1"/>
  <c r="R276" i="4" s="1"/>
  <c r="O277" i="4"/>
  <c r="AC279" i="4"/>
  <c r="AD279" i="4"/>
  <c r="N280" i="4"/>
  <c r="AE280" i="4" s="1"/>
  <c r="Z280" i="4"/>
  <c r="U281" i="4"/>
  <c r="V281" i="4" s="1"/>
  <c r="S282" i="4"/>
  <c r="S278" i="3"/>
  <c r="N258" i="3"/>
  <c r="O258" i="3" s="1"/>
  <c r="Z258" i="3"/>
  <c r="U259" i="3"/>
  <c r="V259" i="3" s="1"/>
  <c r="P277" i="4" l="1"/>
  <c r="R277" i="4" s="1"/>
  <c r="O278" i="4"/>
  <c r="AC280" i="4"/>
  <c r="AD280" i="4"/>
  <c r="U282" i="4"/>
  <c r="V282" i="4" s="1"/>
  <c r="S283" i="4"/>
  <c r="N281" i="4"/>
  <c r="AE281" i="4" s="1"/>
  <c r="Z281" i="4"/>
  <c r="P258" i="3"/>
  <c r="R258" i="3" s="1"/>
  <c r="S279" i="3" s="1"/>
  <c r="N259" i="3"/>
  <c r="O259" i="3" s="1"/>
  <c r="P259" i="3" s="1"/>
  <c r="R259" i="3" s="1"/>
  <c r="Z259" i="3"/>
  <c r="U260" i="3"/>
  <c r="V260" i="3" s="1"/>
  <c r="O279" i="4" l="1"/>
  <c r="P278" i="4"/>
  <c r="R278" i="4" s="1"/>
  <c r="AD281" i="4"/>
  <c r="AC281" i="4"/>
  <c r="U283" i="4"/>
  <c r="V283" i="4" s="1"/>
  <c r="S284" i="4"/>
  <c r="S280" i="3"/>
  <c r="N282" i="4"/>
  <c r="AE282" i="4" s="1"/>
  <c r="Z282" i="4"/>
  <c r="N260" i="3"/>
  <c r="O260" i="3" s="1"/>
  <c r="Z260" i="3"/>
  <c r="U261" i="3"/>
  <c r="V261" i="3" s="1"/>
  <c r="O280" i="4" l="1"/>
  <c r="P279" i="4"/>
  <c r="R279" i="4" s="1"/>
  <c r="AC282" i="4"/>
  <c r="AD282" i="4"/>
  <c r="N283" i="4"/>
  <c r="AE283" i="4" s="1"/>
  <c r="Z283" i="4"/>
  <c r="U284" i="4"/>
  <c r="V284" i="4" s="1"/>
  <c r="S285" i="4"/>
  <c r="P260" i="3"/>
  <c r="R260" i="3" s="1"/>
  <c r="S281" i="3" s="1"/>
  <c r="N261" i="3"/>
  <c r="O261" i="3" s="1"/>
  <c r="P261" i="3" s="1"/>
  <c r="R261" i="3" s="1"/>
  <c r="Z261" i="3"/>
  <c r="U262" i="3"/>
  <c r="V262" i="3" s="1"/>
  <c r="P280" i="4" l="1"/>
  <c r="R280" i="4" s="1"/>
  <c r="O281" i="4"/>
  <c r="AC283" i="4"/>
  <c r="AD283" i="4"/>
  <c r="U285" i="4"/>
  <c r="V285" i="4" s="1"/>
  <c r="S286" i="4"/>
  <c r="N284" i="4"/>
  <c r="AE284" i="4" s="1"/>
  <c r="Z284" i="4"/>
  <c r="S282" i="3"/>
  <c r="N262" i="3"/>
  <c r="O262" i="3" s="1"/>
  <c r="Z262" i="3"/>
  <c r="U263" i="3"/>
  <c r="V263" i="3" s="1"/>
  <c r="P281" i="4" l="1"/>
  <c r="R281" i="4" s="1"/>
  <c r="O282" i="4"/>
  <c r="AD284" i="4"/>
  <c r="AC284" i="4"/>
  <c r="U286" i="4"/>
  <c r="V286" i="4" s="1"/>
  <c r="S287" i="4"/>
  <c r="N285" i="4"/>
  <c r="AE285" i="4" s="1"/>
  <c r="Z285" i="4"/>
  <c r="P262" i="3"/>
  <c r="R262" i="3" s="1"/>
  <c r="S283" i="3" s="1"/>
  <c r="N263" i="3"/>
  <c r="O263" i="3" s="1"/>
  <c r="P263" i="3" s="1"/>
  <c r="R263" i="3" s="1"/>
  <c r="Z263" i="3"/>
  <c r="U264" i="3"/>
  <c r="V264" i="3" s="1"/>
  <c r="P282" i="4" l="1"/>
  <c r="R282" i="4" s="1"/>
  <c r="O283" i="4"/>
  <c r="AC285" i="4"/>
  <c r="AD285" i="4"/>
  <c r="N286" i="4"/>
  <c r="AE286" i="4" s="1"/>
  <c r="Z286" i="4"/>
  <c r="U287" i="4"/>
  <c r="V287" i="4" s="1"/>
  <c r="S288" i="4"/>
  <c r="S284" i="3"/>
  <c r="N264" i="3"/>
  <c r="O264" i="3" s="1"/>
  <c r="P264" i="3" s="1"/>
  <c r="R264" i="3" s="1"/>
  <c r="Z264" i="3"/>
  <c r="U265" i="3"/>
  <c r="V265" i="3" s="1"/>
  <c r="P283" i="4" l="1"/>
  <c r="R283" i="4" s="1"/>
  <c r="O284" i="4"/>
  <c r="AC286" i="4"/>
  <c r="AD286" i="4"/>
  <c r="U288" i="4"/>
  <c r="V288" i="4" s="1"/>
  <c r="S289" i="4"/>
  <c r="N287" i="4"/>
  <c r="AE287" i="4" s="1"/>
  <c r="Z287" i="4"/>
  <c r="S285" i="3"/>
  <c r="N265" i="3"/>
  <c r="O265" i="3" s="1"/>
  <c r="P265" i="3" s="1"/>
  <c r="R265" i="3" s="1"/>
  <c r="Z265" i="3"/>
  <c r="U266" i="3"/>
  <c r="V266" i="3" s="1"/>
  <c r="P284" i="4" l="1"/>
  <c r="R284" i="4" s="1"/>
  <c r="O285" i="4"/>
  <c r="AD287" i="4"/>
  <c r="AC287" i="4"/>
  <c r="U289" i="4"/>
  <c r="V289" i="4" s="1"/>
  <c r="S290" i="4"/>
  <c r="N288" i="4"/>
  <c r="AE288" i="4" s="1"/>
  <c r="Z288" i="4"/>
  <c r="S286" i="3"/>
  <c r="N266" i="3"/>
  <c r="O266" i="3" s="1"/>
  <c r="Z266" i="3"/>
  <c r="U267" i="3"/>
  <c r="V267" i="3" s="1"/>
  <c r="O286" i="4" l="1"/>
  <c r="P285" i="4"/>
  <c r="R285" i="4" s="1"/>
  <c r="AC288" i="4"/>
  <c r="AD288" i="4"/>
  <c r="N289" i="4"/>
  <c r="AE289" i="4" s="1"/>
  <c r="Z289" i="4"/>
  <c r="U290" i="4"/>
  <c r="V290" i="4" s="1"/>
  <c r="S291" i="4"/>
  <c r="P266" i="3"/>
  <c r="R266" i="3" s="1"/>
  <c r="S287" i="3" s="1"/>
  <c r="N267" i="3"/>
  <c r="O267" i="3" s="1"/>
  <c r="P267" i="3" s="1"/>
  <c r="R267" i="3" s="1"/>
  <c r="Z267" i="3"/>
  <c r="U268" i="3"/>
  <c r="V268" i="3" s="1"/>
  <c r="P286" i="4" l="1"/>
  <c r="R286" i="4" s="1"/>
  <c r="O287" i="4"/>
  <c r="AC289" i="4"/>
  <c r="AD289" i="4"/>
  <c r="U291" i="4"/>
  <c r="V291" i="4" s="1"/>
  <c r="S292" i="4"/>
  <c r="S288" i="3"/>
  <c r="N290" i="4"/>
  <c r="AE290" i="4" s="1"/>
  <c r="Z290" i="4"/>
  <c r="N268" i="3"/>
  <c r="O268" i="3" s="1"/>
  <c r="P268" i="3" s="1"/>
  <c r="R268" i="3" s="1"/>
  <c r="Z268" i="3"/>
  <c r="U269" i="3"/>
  <c r="V269" i="3" s="1"/>
  <c r="P287" i="4" l="1"/>
  <c r="R287" i="4" s="1"/>
  <c r="O288" i="4"/>
  <c r="AD290" i="4"/>
  <c r="AC290" i="4"/>
  <c r="S289" i="3"/>
  <c r="U292" i="4"/>
  <c r="V292" i="4" s="1"/>
  <c r="S293" i="4"/>
  <c r="N291" i="4"/>
  <c r="AE291" i="4" s="1"/>
  <c r="Z291" i="4"/>
  <c r="N269" i="3"/>
  <c r="O269" i="3" s="1"/>
  <c r="P269" i="3" s="1"/>
  <c r="R269" i="3" s="1"/>
  <c r="Z269" i="3"/>
  <c r="U270" i="3"/>
  <c r="V270" i="3" s="1"/>
  <c r="O289" i="4" l="1"/>
  <c r="P288" i="4"/>
  <c r="R288" i="4" s="1"/>
  <c r="AC291" i="4"/>
  <c r="AD291" i="4"/>
  <c r="S290" i="3"/>
  <c r="Z292" i="4"/>
  <c r="N292" i="4"/>
  <c r="AE292" i="4" s="1"/>
  <c r="U293" i="4"/>
  <c r="V293" i="4" s="1"/>
  <c r="S294" i="4"/>
  <c r="N270" i="3"/>
  <c r="O270" i="3" s="1"/>
  <c r="Z270" i="3"/>
  <c r="U271" i="3"/>
  <c r="V271" i="3" s="1"/>
  <c r="P289" i="4" l="1"/>
  <c r="R289" i="4" s="1"/>
  <c r="O290" i="4"/>
  <c r="AC292" i="4"/>
  <c r="AD292" i="4"/>
  <c r="Z293" i="4"/>
  <c r="N293" i="4"/>
  <c r="AE293" i="4" s="1"/>
  <c r="U294" i="4"/>
  <c r="V294" i="4" s="1"/>
  <c r="S295" i="4"/>
  <c r="P270" i="3"/>
  <c r="R270" i="3" s="1"/>
  <c r="S291" i="3" s="1"/>
  <c r="N271" i="3"/>
  <c r="O271" i="3" s="1"/>
  <c r="P271" i="3" s="1"/>
  <c r="R271" i="3" s="1"/>
  <c r="Z271" i="3"/>
  <c r="U272" i="3"/>
  <c r="V272" i="3" s="1"/>
  <c r="P290" i="4" l="1"/>
  <c r="R290" i="4" s="1"/>
  <c r="O291" i="4"/>
  <c r="AD293" i="4"/>
  <c r="AC293" i="4"/>
  <c r="S292" i="3"/>
  <c r="U295" i="4"/>
  <c r="V295" i="4" s="1"/>
  <c r="S296" i="4"/>
  <c r="Z294" i="4"/>
  <c r="N294" i="4"/>
  <c r="AE294" i="4" s="1"/>
  <c r="N272" i="3"/>
  <c r="O272" i="3" s="1"/>
  <c r="Z272" i="3"/>
  <c r="U273" i="3"/>
  <c r="V273" i="3" s="1"/>
  <c r="O292" i="4" l="1"/>
  <c r="P291" i="4"/>
  <c r="R291" i="4" s="1"/>
  <c r="AC294" i="4"/>
  <c r="AD294" i="4"/>
  <c r="U296" i="4"/>
  <c r="V296" i="4" s="1"/>
  <c r="S297" i="4"/>
  <c r="Z295" i="4"/>
  <c r="N295" i="4"/>
  <c r="AE295" i="4" s="1"/>
  <c r="P272" i="3"/>
  <c r="R272" i="3" s="1"/>
  <c r="S293" i="3" s="1"/>
  <c r="N273" i="3"/>
  <c r="O273" i="3" s="1"/>
  <c r="P273" i="3" s="1"/>
  <c r="R273" i="3" s="1"/>
  <c r="Z273" i="3"/>
  <c r="U274" i="3"/>
  <c r="V274" i="3" s="1"/>
  <c r="P292" i="4" l="1"/>
  <c r="R292" i="4" s="1"/>
  <c r="O293" i="4"/>
  <c r="AC295" i="4"/>
  <c r="AD295" i="4"/>
  <c r="S294" i="3"/>
  <c r="Z296" i="4"/>
  <c r="N296" i="4"/>
  <c r="AE296" i="4" s="1"/>
  <c r="U297" i="4"/>
  <c r="V297" i="4" s="1"/>
  <c r="S298" i="4"/>
  <c r="N274" i="3"/>
  <c r="O274" i="3" s="1"/>
  <c r="Z274" i="3"/>
  <c r="U275" i="3"/>
  <c r="V275" i="3" s="1"/>
  <c r="O294" i="4" l="1"/>
  <c r="P293" i="4"/>
  <c r="R293" i="4" s="1"/>
  <c r="AD296" i="4"/>
  <c r="AC296" i="4"/>
  <c r="Z297" i="4"/>
  <c r="N297" i="4"/>
  <c r="AE297" i="4" s="1"/>
  <c r="U298" i="4"/>
  <c r="V298" i="4" s="1"/>
  <c r="S299" i="4"/>
  <c r="P274" i="3"/>
  <c r="R274" i="3" s="1"/>
  <c r="S295" i="3" s="1"/>
  <c r="N275" i="3"/>
  <c r="O275" i="3" s="1"/>
  <c r="P275" i="3" s="1"/>
  <c r="R275" i="3" s="1"/>
  <c r="Z275" i="3"/>
  <c r="U276" i="3"/>
  <c r="V276" i="3" s="1"/>
  <c r="P294" i="4" l="1"/>
  <c r="R294" i="4" s="1"/>
  <c r="O295" i="4"/>
  <c r="AC297" i="4"/>
  <c r="AD297" i="4"/>
  <c r="U299" i="4"/>
  <c r="V299" i="4" s="1"/>
  <c r="S300" i="4"/>
  <c r="Z298" i="4"/>
  <c r="N298" i="4"/>
  <c r="AE298" i="4" s="1"/>
  <c r="S296" i="3"/>
  <c r="N276" i="3"/>
  <c r="O276" i="3" s="1"/>
  <c r="Z276" i="3"/>
  <c r="U277" i="3"/>
  <c r="V277" i="3" s="1"/>
  <c r="P295" i="4" l="1"/>
  <c r="R295" i="4" s="1"/>
  <c r="O296" i="4"/>
  <c r="AC298" i="4"/>
  <c r="AD298" i="4"/>
  <c r="U300" i="4"/>
  <c r="V300" i="4" s="1"/>
  <c r="S301" i="4"/>
  <c r="Z299" i="4"/>
  <c r="N299" i="4"/>
  <c r="AE299" i="4" s="1"/>
  <c r="P276" i="3"/>
  <c r="R276" i="3" s="1"/>
  <c r="S297" i="3" s="1"/>
  <c r="N277" i="3"/>
  <c r="O277" i="3" s="1"/>
  <c r="P277" i="3" s="1"/>
  <c r="R277" i="3" s="1"/>
  <c r="Z277" i="3"/>
  <c r="U278" i="3"/>
  <c r="V278" i="3" s="1"/>
  <c r="O297" i="4" l="1"/>
  <c r="P296" i="4"/>
  <c r="R296" i="4" s="1"/>
  <c r="AD299" i="4"/>
  <c r="AC299" i="4"/>
  <c r="S298" i="3"/>
  <c r="U301" i="4"/>
  <c r="V301" i="4" s="1"/>
  <c r="S302" i="4"/>
  <c r="Z300" i="4"/>
  <c r="AA2" i="4" s="1"/>
  <c r="N300" i="4"/>
  <c r="AE300" i="4" s="1"/>
  <c r="N278" i="3"/>
  <c r="O278" i="3" s="1"/>
  <c r="P278" i="3" s="1"/>
  <c r="R278" i="3" s="1"/>
  <c r="Z278" i="3"/>
  <c r="U279" i="3"/>
  <c r="V279" i="3" s="1"/>
  <c r="P297" i="4" l="1"/>
  <c r="R297" i="4" s="1"/>
  <c r="O298" i="4"/>
  <c r="S299" i="3"/>
  <c r="AC300" i="4"/>
  <c r="AD300" i="4"/>
  <c r="U302" i="4"/>
  <c r="V302" i="4" s="1"/>
  <c r="S303" i="4"/>
  <c r="Z301" i="4"/>
  <c r="N301" i="4"/>
  <c r="AE301" i="4" s="1"/>
  <c r="N279" i="3"/>
  <c r="O279" i="3" s="1"/>
  <c r="P279" i="3" s="1"/>
  <c r="R279" i="3" s="1"/>
  <c r="Z279" i="3"/>
  <c r="U280" i="3"/>
  <c r="V280" i="3" s="1"/>
  <c r="P298" i="4" l="1"/>
  <c r="R298" i="4" s="1"/>
  <c r="O299" i="4"/>
  <c r="S300" i="3"/>
  <c r="AC301" i="4"/>
  <c r="AD301" i="4"/>
  <c r="U303" i="4"/>
  <c r="V303" i="4" s="1"/>
  <c r="S304" i="4"/>
  <c r="Z302" i="4"/>
  <c r="N302" i="4"/>
  <c r="AE302" i="4" s="1"/>
  <c r="N280" i="3"/>
  <c r="O280" i="3" s="1"/>
  <c r="P280" i="3" s="1"/>
  <c r="R280" i="3" s="1"/>
  <c r="Z280" i="3"/>
  <c r="U281" i="3"/>
  <c r="V281" i="3" s="1"/>
  <c r="O300" i="4" l="1"/>
  <c r="P299" i="4"/>
  <c r="R299" i="4" s="1"/>
  <c r="AD302" i="4"/>
  <c r="S301" i="3"/>
  <c r="AC302" i="4"/>
  <c r="U304" i="4"/>
  <c r="V304" i="4" s="1"/>
  <c r="S305" i="4"/>
  <c r="Z303" i="4"/>
  <c r="N303" i="4"/>
  <c r="AE303" i="4" s="1"/>
  <c r="N281" i="3"/>
  <c r="O281" i="3" s="1"/>
  <c r="P281" i="3" s="1"/>
  <c r="R281" i="3" s="1"/>
  <c r="Z281" i="3"/>
  <c r="U282" i="3"/>
  <c r="V282" i="3" s="1"/>
  <c r="P300" i="4" l="1"/>
  <c r="R300" i="4" s="1"/>
  <c r="O301" i="4"/>
  <c r="S302" i="3"/>
  <c r="AC303" i="4"/>
  <c r="AD303" i="4"/>
  <c r="Z304" i="4"/>
  <c r="N304" i="4"/>
  <c r="AE304" i="4" s="1"/>
  <c r="U305" i="4"/>
  <c r="V305" i="4" s="1"/>
  <c r="S306" i="4"/>
  <c r="N282" i="3"/>
  <c r="O282" i="3" s="1"/>
  <c r="Z282" i="3"/>
  <c r="U283" i="3"/>
  <c r="V283" i="3" s="1"/>
  <c r="P301" i="4" l="1"/>
  <c r="R301" i="4" s="1"/>
  <c r="O302" i="4"/>
  <c r="AC304" i="4"/>
  <c r="AD304" i="4"/>
  <c r="U306" i="4"/>
  <c r="V306" i="4" s="1"/>
  <c r="S307" i="4"/>
  <c r="Z305" i="4"/>
  <c r="N305" i="4"/>
  <c r="AE305" i="4" s="1"/>
  <c r="P282" i="3"/>
  <c r="R282" i="3" s="1"/>
  <c r="S303" i="3" s="1"/>
  <c r="N283" i="3"/>
  <c r="O283" i="3" s="1"/>
  <c r="P283" i="3" s="1"/>
  <c r="R283" i="3" s="1"/>
  <c r="Z283" i="3"/>
  <c r="U284" i="3"/>
  <c r="V284" i="3" s="1"/>
  <c r="P302" i="4" l="1"/>
  <c r="R302" i="4" s="1"/>
  <c r="O303" i="4"/>
  <c r="AD305" i="4"/>
  <c r="AC305" i="4"/>
  <c r="U307" i="4"/>
  <c r="V307" i="4" s="1"/>
  <c r="S308" i="4"/>
  <c r="N306" i="4"/>
  <c r="AE306" i="4" s="1"/>
  <c r="Z306" i="4"/>
  <c r="S304" i="3"/>
  <c r="N284" i="3"/>
  <c r="O284" i="3" s="1"/>
  <c r="P284" i="3" s="1"/>
  <c r="R284" i="3" s="1"/>
  <c r="Z284" i="3"/>
  <c r="U285" i="3"/>
  <c r="V285" i="3" s="1"/>
  <c r="P303" i="4" l="1"/>
  <c r="R303" i="4" s="1"/>
  <c r="O304" i="4"/>
  <c r="AC306" i="4"/>
  <c r="AD306" i="4"/>
  <c r="Z307" i="4"/>
  <c r="N307" i="4"/>
  <c r="AE307" i="4" s="1"/>
  <c r="U308" i="4"/>
  <c r="V308" i="4" s="1"/>
  <c r="S309" i="4"/>
  <c r="S305" i="3"/>
  <c r="N285" i="3"/>
  <c r="O285" i="3" s="1"/>
  <c r="P285" i="3" s="1"/>
  <c r="R285" i="3" s="1"/>
  <c r="Z285" i="3"/>
  <c r="U286" i="3"/>
  <c r="V286" i="3" s="1"/>
  <c r="P304" i="4" l="1"/>
  <c r="R304" i="4" s="1"/>
  <c r="O305" i="4"/>
  <c r="AC307" i="4"/>
  <c r="AD307" i="4"/>
  <c r="U309" i="4"/>
  <c r="V309" i="4" s="1"/>
  <c r="S310" i="4"/>
  <c r="Z308" i="4"/>
  <c r="N308" i="4"/>
  <c r="AE308" i="4" s="1"/>
  <c r="S306" i="3"/>
  <c r="N286" i="3"/>
  <c r="O286" i="3" s="1"/>
  <c r="P286" i="3" s="1"/>
  <c r="R286" i="3" s="1"/>
  <c r="Z286" i="3"/>
  <c r="U287" i="3"/>
  <c r="V287" i="3" s="1"/>
  <c r="O306" i="4" l="1"/>
  <c r="P305" i="4"/>
  <c r="R305" i="4" s="1"/>
  <c r="AD308" i="4"/>
  <c r="AC308" i="4"/>
  <c r="U310" i="4"/>
  <c r="V310" i="4" s="1"/>
  <c r="S311" i="4"/>
  <c r="Z309" i="4"/>
  <c r="N309" i="4"/>
  <c r="AE309" i="4" s="1"/>
  <c r="S307" i="3"/>
  <c r="N287" i="3"/>
  <c r="O287" i="3" s="1"/>
  <c r="P287" i="3" s="1"/>
  <c r="R287" i="3" s="1"/>
  <c r="Z287" i="3"/>
  <c r="U288" i="3"/>
  <c r="V288" i="3" s="1"/>
  <c r="P306" i="4" l="1"/>
  <c r="R306" i="4" s="1"/>
  <c r="O307" i="4"/>
  <c r="AC309" i="4"/>
  <c r="AD309" i="4"/>
  <c r="Z310" i="4"/>
  <c r="N310" i="4"/>
  <c r="AE310" i="4" s="1"/>
  <c r="U311" i="4"/>
  <c r="V311" i="4" s="1"/>
  <c r="S312" i="4"/>
  <c r="S308" i="3"/>
  <c r="N288" i="3"/>
  <c r="O288" i="3" s="1"/>
  <c r="P288" i="3" s="1"/>
  <c r="R288" i="3" s="1"/>
  <c r="Z288" i="3"/>
  <c r="U289" i="3"/>
  <c r="V289" i="3" s="1"/>
  <c r="P307" i="4" l="1"/>
  <c r="R307" i="4" s="1"/>
  <c r="O308" i="4"/>
  <c r="AC310" i="4"/>
  <c r="AD310" i="4"/>
  <c r="U312" i="4"/>
  <c r="V312" i="4" s="1"/>
  <c r="S313" i="4"/>
  <c r="Z311" i="4"/>
  <c r="N311" i="4"/>
  <c r="AE311" i="4" s="1"/>
  <c r="S309" i="3"/>
  <c r="N289" i="3"/>
  <c r="O289" i="3" s="1"/>
  <c r="P289" i="3" s="1"/>
  <c r="R289" i="3" s="1"/>
  <c r="Z289" i="3"/>
  <c r="U290" i="3"/>
  <c r="V290" i="3" s="1"/>
  <c r="O309" i="4" l="1"/>
  <c r="P308" i="4"/>
  <c r="R308" i="4" s="1"/>
  <c r="AD311" i="4"/>
  <c r="AC311" i="4"/>
  <c r="U313" i="4"/>
  <c r="V313" i="4" s="1"/>
  <c r="S314" i="4"/>
  <c r="Z312" i="4"/>
  <c r="N312" i="4"/>
  <c r="AE312" i="4" s="1"/>
  <c r="S310" i="3"/>
  <c r="N290" i="3"/>
  <c r="O290" i="3" s="1"/>
  <c r="Z290" i="3"/>
  <c r="U291" i="3"/>
  <c r="V291" i="3" s="1"/>
  <c r="P309" i="4" l="1"/>
  <c r="R309" i="4" s="1"/>
  <c r="O310" i="4"/>
  <c r="AC312" i="4"/>
  <c r="AD312" i="4"/>
  <c r="Z313" i="4"/>
  <c r="N313" i="4"/>
  <c r="AE313" i="4" s="1"/>
  <c r="U314" i="4"/>
  <c r="V314" i="4" s="1"/>
  <c r="S315" i="4"/>
  <c r="P290" i="3"/>
  <c r="R290" i="3" s="1"/>
  <c r="S311" i="3" s="1"/>
  <c r="N291" i="3"/>
  <c r="O291" i="3" s="1"/>
  <c r="P291" i="3" s="1"/>
  <c r="R291" i="3" s="1"/>
  <c r="Z291" i="3"/>
  <c r="U292" i="3"/>
  <c r="V292" i="3" s="1"/>
  <c r="P310" i="4" l="1"/>
  <c r="R310" i="4" s="1"/>
  <c r="O311" i="4"/>
  <c r="AC313" i="4"/>
  <c r="AD313" i="4"/>
  <c r="S312" i="3"/>
  <c r="U315" i="4"/>
  <c r="V315" i="4" s="1"/>
  <c r="S316" i="4"/>
  <c r="Z314" i="4"/>
  <c r="N314" i="4"/>
  <c r="AE314" i="4" s="1"/>
  <c r="N292" i="3"/>
  <c r="O292" i="3" s="1"/>
  <c r="P292" i="3" s="1"/>
  <c r="R292" i="3" s="1"/>
  <c r="Z292" i="3"/>
  <c r="U293" i="3"/>
  <c r="V293" i="3" s="1"/>
  <c r="P311" i="4" l="1"/>
  <c r="R311" i="4" s="1"/>
  <c r="O312" i="4"/>
  <c r="AD314" i="4"/>
  <c r="S313" i="3"/>
  <c r="AC314" i="4"/>
  <c r="U316" i="4"/>
  <c r="V316" i="4" s="1"/>
  <c r="S317" i="4"/>
  <c r="Z315" i="4"/>
  <c r="N315" i="4"/>
  <c r="AE315" i="4" s="1"/>
  <c r="N293" i="3"/>
  <c r="O293" i="3" s="1"/>
  <c r="P293" i="3" s="1"/>
  <c r="R293" i="3" s="1"/>
  <c r="Z293" i="3"/>
  <c r="U294" i="3"/>
  <c r="V294" i="3" s="1"/>
  <c r="P312" i="4" l="1"/>
  <c r="R312" i="4" s="1"/>
  <c r="O313" i="4"/>
  <c r="S314" i="3"/>
  <c r="AC315" i="4"/>
  <c r="AD315" i="4"/>
  <c r="Z316" i="4"/>
  <c r="N316" i="4"/>
  <c r="AE316" i="4" s="1"/>
  <c r="U317" i="4"/>
  <c r="V317" i="4" s="1"/>
  <c r="S318" i="4"/>
  <c r="N294" i="3"/>
  <c r="O294" i="3" s="1"/>
  <c r="P294" i="3" s="1"/>
  <c r="R294" i="3" s="1"/>
  <c r="Z294" i="3"/>
  <c r="U295" i="3"/>
  <c r="V295" i="3" s="1"/>
  <c r="S315" i="3" l="1"/>
  <c r="P313" i="4"/>
  <c r="R313" i="4" s="1"/>
  <c r="O314" i="4"/>
  <c r="AC316" i="4"/>
  <c r="AD316" i="4"/>
  <c r="U318" i="4"/>
  <c r="V318" i="4" s="1"/>
  <c r="S319" i="4"/>
  <c r="Z317" i="4"/>
  <c r="N317" i="4"/>
  <c r="AE317" i="4" s="1"/>
  <c r="N295" i="3"/>
  <c r="O295" i="3" s="1"/>
  <c r="P295" i="3" s="1"/>
  <c r="R295" i="3" s="1"/>
  <c r="S316" i="3" s="1"/>
  <c r="Z295" i="3"/>
  <c r="U296" i="3"/>
  <c r="V296" i="3" s="1"/>
  <c r="P314" i="4" l="1"/>
  <c r="R314" i="4" s="1"/>
  <c r="O315" i="4"/>
  <c r="AD317" i="4"/>
  <c r="AC317" i="4"/>
  <c r="U319" i="4"/>
  <c r="V319" i="4" s="1"/>
  <c r="S320" i="4"/>
  <c r="Z318" i="4"/>
  <c r="N318" i="4"/>
  <c r="AE318" i="4" s="1"/>
  <c r="N296" i="3"/>
  <c r="O296" i="3" s="1"/>
  <c r="Z296" i="3"/>
  <c r="U297" i="3"/>
  <c r="V297" i="3" s="1"/>
  <c r="O316" i="4" l="1"/>
  <c r="P315" i="4"/>
  <c r="R315" i="4" s="1"/>
  <c r="AC318" i="4"/>
  <c r="AD318" i="4"/>
  <c r="Z319" i="4"/>
  <c r="N319" i="4"/>
  <c r="AE319" i="4" s="1"/>
  <c r="U320" i="4"/>
  <c r="V320" i="4" s="1"/>
  <c r="S321" i="4"/>
  <c r="P296" i="3"/>
  <c r="R296" i="3" s="1"/>
  <c r="S317" i="3" s="1"/>
  <c r="N297" i="3"/>
  <c r="O297" i="3" s="1"/>
  <c r="P297" i="3" s="1"/>
  <c r="R297" i="3" s="1"/>
  <c r="Z297" i="3"/>
  <c r="U298" i="3"/>
  <c r="V298" i="3" s="1"/>
  <c r="P316" i="4" l="1"/>
  <c r="R316" i="4" s="1"/>
  <c r="O317" i="4"/>
  <c r="AC319" i="4"/>
  <c r="AD319" i="4"/>
  <c r="U321" i="4"/>
  <c r="V321" i="4" s="1"/>
  <c r="S322" i="4"/>
  <c r="Z320" i="4"/>
  <c r="N320" i="4"/>
  <c r="AE320" i="4" s="1"/>
  <c r="S318" i="3"/>
  <c r="N298" i="3"/>
  <c r="O298" i="3" s="1"/>
  <c r="P298" i="3" s="1"/>
  <c r="R298" i="3" s="1"/>
  <c r="Z298" i="3"/>
  <c r="U299" i="3"/>
  <c r="V299" i="3" s="1"/>
  <c r="P317" i="4" l="1"/>
  <c r="R317" i="4" s="1"/>
  <c r="O318" i="4"/>
  <c r="AD320" i="4"/>
  <c r="AC320" i="4"/>
  <c r="U322" i="4"/>
  <c r="V322" i="4" s="1"/>
  <c r="AB2" i="4" s="1"/>
  <c r="AB3" i="4" s="1"/>
  <c r="S323" i="4"/>
  <c r="Z321" i="4"/>
  <c r="N321" i="4"/>
  <c r="AE321" i="4" s="1"/>
  <c r="S319" i="3"/>
  <c r="N299" i="3"/>
  <c r="O299" i="3" s="1"/>
  <c r="P299" i="3" s="1"/>
  <c r="R299" i="3" s="1"/>
  <c r="Z299" i="3"/>
  <c r="U300" i="3"/>
  <c r="V300" i="3" s="1"/>
  <c r="O319" i="4" l="1"/>
  <c r="P318" i="4"/>
  <c r="R318" i="4" s="1"/>
  <c r="AC321" i="4"/>
  <c r="AD321" i="4"/>
  <c r="N322" i="4"/>
  <c r="AE322" i="4" s="1"/>
  <c r="Z322" i="4"/>
  <c r="AB4" i="4"/>
  <c r="AB5" i="4" s="1"/>
  <c r="U323" i="4"/>
  <c r="V323" i="4" s="1"/>
  <c r="S324" i="4"/>
  <c r="S320" i="3"/>
  <c r="N300" i="3"/>
  <c r="O300" i="3" s="1"/>
  <c r="Z300" i="3"/>
  <c r="AA2" i="3" s="1"/>
  <c r="U301" i="3"/>
  <c r="V301" i="3" s="1"/>
  <c r="P319" i="4" l="1"/>
  <c r="R319" i="4" s="1"/>
  <c r="O320" i="4"/>
  <c r="AC322" i="4"/>
  <c r="AD322" i="4"/>
  <c r="U324" i="4"/>
  <c r="V324" i="4" s="1"/>
  <c r="S325" i="4"/>
  <c r="Z323" i="4"/>
  <c r="N323" i="4"/>
  <c r="AE323" i="4" s="1"/>
  <c r="P300" i="3"/>
  <c r="R300" i="3" s="1"/>
  <c r="S321" i="3" s="1"/>
  <c r="N301" i="3"/>
  <c r="O301" i="3" s="1"/>
  <c r="P301" i="3" s="1"/>
  <c r="R301" i="3" s="1"/>
  <c r="Z301" i="3"/>
  <c r="U302" i="3"/>
  <c r="V302" i="3" s="1"/>
  <c r="P320" i="4" l="1"/>
  <c r="R320" i="4" s="1"/>
  <c r="O321" i="4"/>
  <c r="AD323" i="4"/>
  <c r="AC323" i="4"/>
  <c r="U325" i="4"/>
  <c r="V325" i="4" s="1"/>
  <c r="S326" i="4"/>
  <c r="S322" i="3"/>
  <c r="Z324" i="4"/>
  <c r="N324" i="4"/>
  <c r="AE324" i="4" s="1"/>
  <c r="N302" i="3"/>
  <c r="O302" i="3" s="1"/>
  <c r="Z302" i="3"/>
  <c r="U303" i="3"/>
  <c r="V303" i="3" s="1"/>
  <c r="O322" i="4" l="1"/>
  <c r="P321" i="4"/>
  <c r="R321" i="4" s="1"/>
  <c r="AC324" i="4"/>
  <c r="AD324" i="4"/>
  <c r="Z325" i="4"/>
  <c r="N325" i="4"/>
  <c r="AE325" i="4" s="1"/>
  <c r="U326" i="4"/>
  <c r="V326" i="4" s="1"/>
  <c r="S327" i="4"/>
  <c r="P302" i="3"/>
  <c r="R302" i="3" s="1"/>
  <c r="S323" i="3" s="1"/>
  <c r="N303" i="3"/>
  <c r="O303" i="3" s="1"/>
  <c r="P303" i="3" s="1"/>
  <c r="R303" i="3" s="1"/>
  <c r="Z303" i="3"/>
  <c r="U304" i="3"/>
  <c r="V304" i="3" s="1"/>
  <c r="P322" i="4" l="1"/>
  <c r="R322" i="4" s="1"/>
  <c r="O323" i="4"/>
  <c r="AC325" i="4"/>
  <c r="AD325" i="4"/>
  <c r="U327" i="4"/>
  <c r="V327" i="4" s="1"/>
  <c r="S328" i="4"/>
  <c r="Z326" i="4"/>
  <c r="N326" i="4"/>
  <c r="AE326" i="4" s="1"/>
  <c r="S324" i="3"/>
  <c r="N304" i="3"/>
  <c r="O304" i="3" s="1"/>
  <c r="P304" i="3" s="1"/>
  <c r="R304" i="3" s="1"/>
  <c r="Z304" i="3"/>
  <c r="U305" i="3"/>
  <c r="V305" i="3" s="1"/>
  <c r="O324" i="4" l="1"/>
  <c r="P323" i="4"/>
  <c r="R323" i="4" s="1"/>
  <c r="AD326" i="4"/>
  <c r="AC326" i="4"/>
  <c r="U328" i="4"/>
  <c r="V328" i="4" s="1"/>
  <c r="S329" i="4"/>
  <c r="Z327" i="4"/>
  <c r="N327" i="4"/>
  <c r="AE327" i="4" s="1"/>
  <c r="S325" i="3"/>
  <c r="N305" i="3"/>
  <c r="O305" i="3" s="1"/>
  <c r="P305" i="3" s="1"/>
  <c r="R305" i="3" s="1"/>
  <c r="Z305" i="3"/>
  <c r="U306" i="3"/>
  <c r="V306" i="3" s="1"/>
  <c r="P324" i="4" l="1"/>
  <c r="R324" i="4" s="1"/>
  <c r="O325" i="4"/>
  <c r="AC327" i="4"/>
  <c r="AD327" i="4"/>
  <c r="Z328" i="4"/>
  <c r="N328" i="4"/>
  <c r="AE328" i="4" s="1"/>
  <c r="U329" i="4"/>
  <c r="V329" i="4" s="1"/>
  <c r="S330" i="4"/>
  <c r="S326" i="3"/>
  <c r="N306" i="3"/>
  <c r="O306" i="3" s="1"/>
  <c r="Z306" i="3"/>
  <c r="U307" i="3"/>
  <c r="V307" i="3" s="1"/>
  <c r="P325" i="4" l="1"/>
  <c r="R325" i="4" s="1"/>
  <c r="O326" i="4"/>
  <c r="AC328" i="4"/>
  <c r="AD328" i="4"/>
  <c r="U330" i="4"/>
  <c r="V330" i="4" s="1"/>
  <c r="S331" i="4"/>
  <c r="Z329" i="4"/>
  <c r="N329" i="4"/>
  <c r="AE329" i="4" s="1"/>
  <c r="P306" i="3"/>
  <c r="R306" i="3" s="1"/>
  <c r="S327" i="3" s="1"/>
  <c r="N307" i="3"/>
  <c r="O307" i="3" s="1"/>
  <c r="P307" i="3" s="1"/>
  <c r="R307" i="3" s="1"/>
  <c r="Z307" i="3"/>
  <c r="U308" i="3"/>
  <c r="V308" i="3" s="1"/>
  <c r="O327" i="4" l="1"/>
  <c r="P326" i="4"/>
  <c r="R326" i="4" s="1"/>
  <c r="AD329" i="4"/>
  <c r="AC329" i="4"/>
  <c r="S328" i="3"/>
  <c r="U331" i="4"/>
  <c r="V331" i="4" s="1"/>
  <c r="S332" i="4"/>
  <c r="Z330" i="4"/>
  <c r="N330" i="4"/>
  <c r="AE330" i="4" s="1"/>
  <c r="N308" i="3"/>
  <c r="O308" i="3" s="1"/>
  <c r="P308" i="3" s="1"/>
  <c r="R308" i="3" s="1"/>
  <c r="Z308" i="3"/>
  <c r="U309" i="3"/>
  <c r="V309" i="3" s="1"/>
  <c r="P327" i="4" l="1"/>
  <c r="R327" i="4" s="1"/>
  <c r="O328" i="4"/>
  <c r="AC330" i="4"/>
  <c r="AD330" i="4"/>
  <c r="S329" i="3"/>
  <c r="Z331" i="4"/>
  <c r="N331" i="4"/>
  <c r="AE331" i="4" s="1"/>
  <c r="U332" i="4"/>
  <c r="V332" i="4" s="1"/>
  <c r="S333" i="4"/>
  <c r="N309" i="3"/>
  <c r="O309" i="3" s="1"/>
  <c r="P309" i="3" s="1"/>
  <c r="R309" i="3" s="1"/>
  <c r="Z309" i="3"/>
  <c r="U310" i="3"/>
  <c r="V310" i="3" s="1"/>
  <c r="P328" i="4" l="1"/>
  <c r="R328" i="4" s="1"/>
  <c r="O329" i="4"/>
  <c r="S330" i="3"/>
  <c r="AC331" i="4"/>
  <c r="AD331" i="4"/>
  <c r="U333" i="4"/>
  <c r="V333" i="4" s="1"/>
  <c r="S334" i="4"/>
  <c r="Z332" i="4"/>
  <c r="N332" i="4"/>
  <c r="AE332" i="4" s="1"/>
  <c r="N310" i="3"/>
  <c r="O310" i="3" s="1"/>
  <c r="P310" i="3" s="1"/>
  <c r="R310" i="3" s="1"/>
  <c r="Z310" i="3"/>
  <c r="U311" i="3"/>
  <c r="V311" i="3" s="1"/>
  <c r="P329" i="4" l="1"/>
  <c r="R329" i="4" s="1"/>
  <c r="O330" i="4"/>
  <c r="S331" i="3"/>
  <c r="AD332" i="4"/>
  <c r="AC332" i="4"/>
  <c r="U334" i="4"/>
  <c r="V334" i="4" s="1"/>
  <c r="S335" i="4"/>
  <c r="Z333" i="4"/>
  <c r="N333" i="4"/>
  <c r="AE333" i="4" s="1"/>
  <c r="N311" i="3"/>
  <c r="O311" i="3" s="1"/>
  <c r="P311" i="3" s="1"/>
  <c r="R311" i="3" s="1"/>
  <c r="Z311" i="3"/>
  <c r="U312" i="3"/>
  <c r="V312" i="3" s="1"/>
  <c r="O331" i="4" l="1"/>
  <c r="P330" i="4"/>
  <c r="R330" i="4" s="1"/>
  <c r="S332" i="3"/>
  <c r="AC333" i="4"/>
  <c r="AD333" i="4"/>
  <c r="Z334" i="4"/>
  <c r="N334" i="4"/>
  <c r="AE334" i="4" s="1"/>
  <c r="U335" i="4"/>
  <c r="V335" i="4" s="1"/>
  <c r="S336" i="4"/>
  <c r="N312" i="3"/>
  <c r="O312" i="3" s="1"/>
  <c r="Z312" i="3"/>
  <c r="U313" i="3"/>
  <c r="V313" i="3" s="1"/>
  <c r="P331" i="4" l="1"/>
  <c r="R331" i="4" s="1"/>
  <c r="O332" i="4"/>
  <c r="AC334" i="4"/>
  <c r="AD334" i="4"/>
  <c r="U336" i="4"/>
  <c r="V336" i="4" s="1"/>
  <c r="S337" i="4"/>
  <c r="Z335" i="4"/>
  <c r="N335" i="4"/>
  <c r="AE335" i="4" s="1"/>
  <c r="P312" i="3"/>
  <c r="R312" i="3" s="1"/>
  <c r="S333" i="3" s="1"/>
  <c r="N313" i="3"/>
  <c r="O313" i="3" s="1"/>
  <c r="P313" i="3" s="1"/>
  <c r="R313" i="3" s="1"/>
  <c r="Z313" i="3"/>
  <c r="U314" i="3"/>
  <c r="V314" i="3" s="1"/>
  <c r="P332" i="4" l="1"/>
  <c r="R332" i="4" s="1"/>
  <c r="O333" i="4"/>
  <c r="AD335" i="4"/>
  <c r="AC335" i="4"/>
  <c r="S334" i="3"/>
  <c r="U337" i="4"/>
  <c r="V337" i="4" s="1"/>
  <c r="S338" i="4"/>
  <c r="Z336" i="4"/>
  <c r="N336" i="4"/>
  <c r="AE336" i="4" s="1"/>
  <c r="N314" i="3"/>
  <c r="O314" i="3" s="1"/>
  <c r="P314" i="3" s="1"/>
  <c r="R314" i="3" s="1"/>
  <c r="Z314" i="3"/>
  <c r="U315" i="3"/>
  <c r="V315" i="3" s="1"/>
  <c r="O334" i="4" l="1"/>
  <c r="P333" i="4"/>
  <c r="R333" i="4" s="1"/>
  <c r="AC336" i="4"/>
  <c r="AD336" i="4"/>
  <c r="S335" i="3"/>
  <c r="Z337" i="4"/>
  <c r="N337" i="4"/>
  <c r="AE337" i="4" s="1"/>
  <c r="U338" i="4"/>
  <c r="V338" i="4" s="1"/>
  <c r="S339" i="4"/>
  <c r="N315" i="3"/>
  <c r="O315" i="3" s="1"/>
  <c r="P315" i="3" s="1"/>
  <c r="R315" i="3" s="1"/>
  <c r="Z315" i="3"/>
  <c r="U316" i="3"/>
  <c r="V316" i="3" s="1"/>
  <c r="P334" i="4" l="1"/>
  <c r="R334" i="4" s="1"/>
  <c r="O335" i="4"/>
  <c r="S336" i="3"/>
  <c r="AC337" i="4"/>
  <c r="AD337" i="4"/>
  <c r="U339" i="4"/>
  <c r="V339" i="4" s="1"/>
  <c r="S340" i="4"/>
  <c r="Z338" i="4"/>
  <c r="N338" i="4"/>
  <c r="AE338" i="4" s="1"/>
  <c r="N316" i="3"/>
  <c r="O316" i="3" s="1"/>
  <c r="P316" i="3" s="1"/>
  <c r="R316" i="3" s="1"/>
  <c r="Z316" i="3"/>
  <c r="U317" i="3"/>
  <c r="V317" i="3" s="1"/>
  <c r="P335" i="4" l="1"/>
  <c r="R335" i="4" s="1"/>
  <c r="O336" i="4"/>
  <c r="AD338" i="4"/>
  <c r="S337" i="3"/>
  <c r="AC338" i="4"/>
  <c r="U340" i="4"/>
  <c r="V340" i="4" s="1"/>
  <c r="S341" i="4"/>
  <c r="Z339" i="4"/>
  <c r="N339" i="4"/>
  <c r="AE339" i="4" s="1"/>
  <c r="N317" i="3"/>
  <c r="O317" i="3" s="1"/>
  <c r="P317" i="3" s="1"/>
  <c r="R317" i="3" s="1"/>
  <c r="Z317" i="3"/>
  <c r="U318" i="3"/>
  <c r="V318" i="3" s="1"/>
  <c r="P336" i="4" l="1"/>
  <c r="R336" i="4" s="1"/>
  <c r="O337" i="4"/>
  <c r="S338" i="3"/>
  <c r="AC339" i="4"/>
  <c r="AD339" i="4"/>
  <c r="Z340" i="4"/>
  <c r="N340" i="4"/>
  <c r="AE340" i="4" s="1"/>
  <c r="U341" i="4"/>
  <c r="V341" i="4" s="1"/>
  <c r="S342" i="4"/>
  <c r="N318" i="3"/>
  <c r="O318" i="3" s="1"/>
  <c r="Z318" i="3"/>
  <c r="U319" i="3"/>
  <c r="V319" i="3" s="1"/>
  <c r="P337" i="4" l="1"/>
  <c r="R337" i="4" s="1"/>
  <c r="O338" i="4"/>
  <c r="AC340" i="4"/>
  <c r="AD340" i="4"/>
  <c r="U342" i="4"/>
  <c r="V342" i="4" s="1"/>
  <c r="S343" i="4"/>
  <c r="Z341" i="4"/>
  <c r="N341" i="4"/>
  <c r="AE341" i="4" s="1"/>
  <c r="P318" i="3"/>
  <c r="R318" i="3" s="1"/>
  <c r="S339" i="3" s="1"/>
  <c r="N319" i="3"/>
  <c r="O319" i="3" s="1"/>
  <c r="P319" i="3" s="1"/>
  <c r="R319" i="3" s="1"/>
  <c r="Z319" i="3"/>
  <c r="U320" i="3"/>
  <c r="V320" i="3" s="1"/>
  <c r="P338" i="4" l="1"/>
  <c r="R338" i="4" s="1"/>
  <c r="O339" i="4"/>
  <c r="AD341" i="4"/>
  <c r="AC341" i="4"/>
  <c r="U343" i="4"/>
  <c r="V343" i="4" s="1"/>
  <c r="S344" i="4"/>
  <c r="Z342" i="4"/>
  <c r="N342" i="4"/>
  <c r="AE342" i="4" s="1"/>
  <c r="S340" i="3"/>
  <c r="N320" i="3"/>
  <c r="O320" i="3" s="1"/>
  <c r="Z320" i="3"/>
  <c r="U321" i="3"/>
  <c r="V321" i="3" s="1"/>
  <c r="O340" i="4" l="1"/>
  <c r="P339" i="4"/>
  <c r="R339" i="4" s="1"/>
  <c r="AC342" i="4"/>
  <c r="AD342" i="4"/>
  <c r="Z343" i="4"/>
  <c r="N343" i="4"/>
  <c r="AE343" i="4" s="1"/>
  <c r="U344" i="4"/>
  <c r="V344" i="4" s="1"/>
  <c r="S345" i="4"/>
  <c r="P320" i="3"/>
  <c r="R320" i="3" s="1"/>
  <c r="S341" i="3" s="1"/>
  <c r="N321" i="3"/>
  <c r="O321" i="3" s="1"/>
  <c r="P321" i="3" s="1"/>
  <c r="R321" i="3" s="1"/>
  <c r="Z321" i="3"/>
  <c r="U322" i="3"/>
  <c r="V322" i="3" s="1"/>
  <c r="AB2" i="3" s="1"/>
  <c r="P340" i="4" l="1"/>
  <c r="R340" i="4" s="1"/>
  <c r="O341" i="4"/>
  <c r="AC343" i="4"/>
  <c r="AD343" i="4"/>
  <c r="S342" i="3"/>
  <c r="U345" i="4"/>
  <c r="V345" i="4" s="1"/>
  <c r="S346" i="4"/>
  <c r="Z344" i="4"/>
  <c r="N344" i="4"/>
  <c r="AE344" i="4" s="1"/>
  <c r="N322" i="3"/>
  <c r="O322" i="3" s="1"/>
  <c r="P322" i="3" s="1"/>
  <c r="R322" i="3" s="1"/>
  <c r="Z322" i="3"/>
  <c r="U323" i="3"/>
  <c r="V323" i="3" s="1"/>
  <c r="S343" i="3" l="1"/>
  <c r="O342" i="4"/>
  <c r="P341" i="4"/>
  <c r="R341" i="4" s="1"/>
  <c r="AD344" i="4"/>
  <c r="AC344" i="4"/>
  <c r="U346" i="4"/>
  <c r="V346" i="4" s="1"/>
  <c r="S347" i="4"/>
  <c r="Z345" i="4"/>
  <c r="N345" i="4"/>
  <c r="AE345" i="4" s="1"/>
  <c r="N323" i="3"/>
  <c r="O323" i="3" s="1"/>
  <c r="P323" i="3" s="1"/>
  <c r="R323" i="3" s="1"/>
  <c r="Z323" i="3"/>
  <c r="U324" i="3"/>
  <c r="V324" i="3" s="1"/>
  <c r="S344" i="3" l="1"/>
  <c r="P342" i="4"/>
  <c r="R342" i="4" s="1"/>
  <c r="O343" i="4"/>
  <c r="AC345" i="4"/>
  <c r="AD345" i="4"/>
  <c r="Z346" i="4"/>
  <c r="N346" i="4"/>
  <c r="AE346" i="4" s="1"/>
  <c r="U347" i="4"/>
  <c r="V347" i="4" s="1"/>
  <c r="S348" i="4"/>
  <c r="N324" i="3"/>
  <c r="O324" i="3" s="1"/>
  <c r="Z324" i="3"/>
  <c r="U325" i="3"/>
  <c r="V325" i="3" s="1"/>
  <c r="P343" i="4" l="1"/>
  <c r="R343" i="4" s="1"/>
  <c r="O344" i="4"/>
  <c r="AC346" i="4"/>
  <c r="AD346" i="4"/>
  <c r="U348" i="4"/>
  <c r="V348" i="4" s="1"/>
  <c r="S349" i="4"/>
  <c r="Z347" i="4"/>
  <c r="N347" i="4"/>
  <c r="AE347" i="4" s="1"/>
  <c r="P324" i="3"/>
  <c r="R324" i="3" s="1"/>
  <c r="S345" i="3" s="1"/>
  <c r="N325" i="3"/>
  <c r="O325" i="3" s="1"/>
  <c r="P325" i="3" s="1"/>
  <c r="R325" i="3" s="1"/>
  <c r="Z325" i="3"/>
  <c r="U326" i="3"/>
  <c r="V326" i="3" s="1"/>
  <c r="P344" i="4" l="1"/>
  <c r="R344" i="4" s="1"/>
  <c r="O345" i="4"/>
  <c r="AD347" i="4"/>
  <c r="AC347" i="4"/>
  <c r="U349" i="4"/>
  <c r="V349" i="4" s="1"/>
  <c r="S350" i="4"/>
  <c r="Z348" i="4"/>
  <c r="N348" i="4"/>
  <c r="AE348" i="4" s="1"/>
  <c r="S346" i="3"/>
  <c r="N326" i="3"/>
  <c r="O326" i="3" s="1"/>
  <c r="Z326" i="3"/>
  <c r="U327" i="3"/>
  <c r="V327" i="3" s="1"/>
  <c r="O346" i="4" l="1"/>
  <c r="P345" i="4"/>
  <c r="R345" i="4" s="1"/>
  <c r="AC348" i="4"/>
  <c r="AD348" i="4"/>
  <c r="Z349" i="4"/>
  <c r="N349" i="4"/>
  <c r="AE349" i="4" s="1"/>
  <c r="U350" i="4"/>
  <c r="V350" i="4" s="1"/>
  <c r="S351" i="4"/>
  <c r="P326" i="3"/>
  <c r="R326" i="3" s="1"/>
  <c r="S347" i="3" s="1"/>
  <c r="N327" i="3"/>
  <c r="O327" i="3" s="1"/>
  <c r="P327" i="3" s="1"/>
  <c r="R327" i="3" s="1"/>
  <c r="Z327" i="3"/>
  <c r="U328" i="3"/>
  <c r="V328" i="3" s="1"/>
  <c r="P346" i="4" l="1"/>
  <c r="R346" i="4" s="1"/>
  <c r="O347" i="4"/>
  <c r="AC349" i="4"/>
  <c r="AD349" i="4"/>
  <c r="S348" i="3"/>
  <c r="U351" i="4"/>
  <c r="V351" i="4" s="1"/>
  <c r="S352" i="4"/>
  <c r="Z350" i="4"/>
  <c r="N350" i="4"/>
  <c r="AE350" i="4" s="1"/>
  <c r="N328" i="3"/>
  <c r="O328" i="3" s="1"/>
  <c r="P328" i="3" s="1"/>
  <c r="R328" i="3" s="1"/>
  <c r="Z328" i="3"/>
  <c r="U329" i="3"/>
  <c r="V329" i="3" s="1"/>
  <c r="P347" i="4" l="1"/>
  <c r="R347" i="4" s="1"/>
  <c r="O348" i="4"/>
  <c r="AD350" i="4"/>
  <c r="S349" i="3"/>
  <c r="AC350" i="4"/>
  <c r="U352" i="4"/>
  <c r="V352" i="4" s="1"/>
  <c r="S353" i="4"/>
  <c r="Z351" i="4"/>
  <c r="N351" i="4"/>
  <c r="AE351" i="4" s="1"/>
  <c r="N329" i="3"/>
  <c r="O329" i="3" s="1"/>
  <c r="P329" i="3" s="1"/>
  <c r="R329" i="3" s="1"/>
  <c r="Z329" i="3"/>
  <c r="U330" i="3"/>
  <c r="V330" i="3" s="1"/>
  <c r="O349" i="4" l="1"/>
  <c r="P348" i="4"/>
  <c r="R348" i="4" s="1"/>
  <c r="S350" i="3"/>
  <c r="AC351" i="4"/>
  <c r="AD351" i="4"/>
  <c r="Z352" i="4"/>
  <c r="N352" i="4"/>
  <c r="AE352" i="4" s="1"/>
  <c r="U353" i="4"/>
  <c r="V353" i="4" s="1"/>
  <c r="S354" i="4"/>
  <c r="N330" i="3"/>
  <c r="O330" i="3" s="1"/>
  <c r="Z330" i="3"/>
  <c r="U331" i="3"/>
  <c r="V331" i="3" s="1"/>
  <c r="P349" i="4" l="1"/>
  <c r="R349" i="4" s="1"/>
  <c r="O350" i="4"/>
  <c r="AC352" i="4"/>
  <c r="AD352" i="4"/>
  <c r="U354" i="4"/>
  <c r="V354" i="4" s="1"/>
  <c r="S355" i="4"/>
  <c r="Z353" i="4"/>
  <c r="N353" i="4"/>
  <c r="AE353" i="4" s="1"/>
  <c r="P330" i="3"/>
  <c r="R330" i="3" s="1"/>
  <c r="S351" i="3" s="1"/>
  <c r="N331" i="3"/>
  <c r="O331" i="3" s="1"/>
  <c r="P331" i="3" s="1"/>
  <c r="R331" i="3" s="1"/>
  <c r="Z331" i="3"/>
  <c r="U332" i="3"/>
  <c r="V332" i="3" s="1"/>
  <c r="P350" i="4" l="1"/>
  <c r="R350" i="4" s="1"/>
  <c r="O351" i="4"/>
  <c r="AD353" i="4"/>
  <c r="AC353" i="4"/>
  <c r="U355" i="4"/>
  <c r="V355" i="4" s="1"/>
  <c r="S356" i="4"/>
  <c r="Z354" i="4"/>
  <c r="N354" i="4"/>
  <c r="AE354" i="4" s="1"/>
  <c r="S352" i="3"/>
  <c r="N332" i="3"/>
  <c r="O332" i="3" s="1"/>
  <c r="Z332" i="3"/>
  <c r="U333" i="3"/>
  <c r="V333" i="3" s="1"/>
  <c r="O352" i="4" l="1"/>
  <c r="P351" i="4"/>
  <c r="R351" i="4" s="1"/>
  <c r="AC354" i="4"/>
  <c r="AD354" i="4"/>
  <c r="Z355" i="4"/>
  <c r="N355" i="4"/>
  <c r="AE355" i="4" s="1"/>
  <c r="U356" i="4"/>
  <c r="V356" i="4" s="1"/>
  <c r="S357" i="4"/>
  <c r="P332" i="3"/>
  <c r="R332" i="3" s="1"/>
  <c r="S353" i="3" s="1"/>
  <c r="N333" i="3"/>
  <c r="O333" i="3" s="1"/>
  <c r="P333" i="3" s="1"/>
  <c r="R333" i="3" s="1"/>
  <c r="Z333" i="3"/>
  <c r="U334" i="3"/>
  <c r="V334" i="3" s="1"/>
  <c r="P352" i="4" l="1"/>
  <c r="R352" i="4" s="1"/>
  <c r="O353" i="4"/>
  <c r="AC355" i="4"/>
  <c r="AD355" i="4"/>
  <c r="S354" i="3"/>
  <c r="U357" i="4"/>
  <c r="V357" i="4" s="1"/>
  <c r="S358" i="4"/>
  <c r="Z356" i="4"/>
  <c r="N356" i="4"/>
  <c r="AE356" i="4" s="1"/>
  <c r="N334" i="3"/>
  <c r="O334" i="3" s="1"/>
  <c r="Z334" i="3"/>
  <c r="U335" i="3"/>
  <c r="V335" i="3" s="1"/>
  <c r="O354" i="4" l="1"/>
  <c r="P353" i="4"/>
  <c r="R353" i="4" s="1"/>
  <c r="AD356" i="4"/>
  <c r="AC356" i="4"/>
  <c r="U358" i="4"/>
  <c r="V358" i="4" s="1"/>
  <c r="S359" i="4"/>
  <c r="Z357" i="4"/>
  <c r="N357" i="4"/>
  <c r="AE357" i="4" s="1"/>
  <c r="P334" i="3"/>
  <c r="R334" i="3" s="1"/>
  <c r="S355" i="3" s="1"/>
  <c r="N335" i="3"/>
  <c r="O335" i="3" s="1"/>
  <c r="P335" i="3" s="1"/>
  <c r="R335" i="3" s="1"/>
  <c r="Z335" i="3"/>
  <c r="U336" i="3"/>
  <c r="V336" i="3" s="1"/>
  <c r="P354" i="4" l="1"/>
  <c r="R354" i="4" s="1"/>
  <c r="O355" i="4"/>
  <c r="AC357" i="4"/>
  <c r="AD357" i="4"/>
  <c r="Z358" i="4"/>
  <c r="N358" i="4"/>
  <c r="AE358" i="4" s="1"/>
  <c r="U359" i="4"/>
  <c r="V359" i="4" s="1"/>
  <c r="S360" i="4"/>
  <c r="S356" i="3"/>
  <c r="N336" i="3"/>
  <c r="O336" i="3" s="1"/>
  <c r="P336" i="3" s="1"/>
  <c r="R336" i="3" s="1"/>
  <c r="Z336" i="3"/>
  <c r="U337" i="3"/>
  <c r="V337" i="3" s="1"/>
  <c r="P355" i="4" l="1"/>
  <c r="R355" i="4" s="1"/>
  <c r="O356" i="4"/>
  <c r="AC358" i="4"/>
  <c r="AD358" i="4"/>
  <c r="U360" i="4"/>
  <c r="V360" i="4" s="1"/>
  <c r="S361" i="4"/>
  <c r="Z359" i="4"/>
  <c r="N359" i="4"/>
  <c r="AE359" i="4" s="1"/>
  <c r="S357" i="3"/>
  <c r="N337" i="3"/>
  <c r="O337" i="3" s="1"/>
  <c r="P337" i="3" s="1"/>
  <c r="R337" i="3" s="1"/>
  <c r="Z337" i="3"/>
  <c r="U338" i="3"/>
  <c r="V338" i="3" s="1"/>
  <c r="O357" i="4" l="1"/>
  <c r="P356" i="4"/>
  <c r="R356" i="4" s="1"/>
  <c r="AD359" i="4"/>
  <c r="AC359" i="4"/>
  <c r="U361" i="4"/>
  <c r="V361" i="4" s="1"/>
  <c r="S362" i="4"/>
  <c r="Z360" i="4"/>
  <c r="N360" i="4"/>
  <c r="AE360" i="4" s="1"/>
  <c r="S358" i="3"/>
  <c r="N338" i="3"/>
  <c r="O338" i="3" s="1"/>
  <c r="Z338" i="3"/>
  <c r="U339" i="3"/>
  <c r="V339" i="3" s="1"/>
  <c r="P357" i="4" l="1"/>
  <c r="R357" i="4" s="1"/>
  <c r="O358" i="4"/>
  <c r="AC360" i="4"/>
  <c r="AD360" i="4"/>
  <c r="Z361" i="4"/>
  <c r="N361" i="4"/>
  <c r="AE361" i="4" s="1"/>
  <c r="U362" i="4"/>
  <c r="V362" i="4" s="1"/>
  <c r="S363" i="4"/>
  <c r="P338" i="3"/>
  <c r="R338" i="3" s="1"/>
  <c r="S359" i="3" s="1"/>
  <c r="N339" i="3"/>
  <c r="O339" i="3" s="1"/>
  <c r="P339" i="3" s="1"/>
  <c r="R339" i="3" s="1"/>
  <c r="Z339" i="3"/>
  <c r="U340" i="3"/>
  <c r="V340" i="3" s="1"/>
  <c r="P358" i="4" l="1"/>
  <c r="R358" i="4" s="1"/>
  <c r="O359" i="4"/>
  <c r="AC361" i="4"/>
  <c r="AD361" i="4"/>
  <c r="S360" i="3"/>
  <c r="U363" i="4"/>
  <c r="V363" i="4" s="1"/>
  <c r="S364" i="4"/>
  <c r="Z362" i="4"/>
  <c r="N362" i="4"/>
  <c r="AE362" i="4" s="1"/>
  <c r="N340" i="3"/>
  <c r="O340" i="3" s="1"/>
  <c r="P340" i="3" s="1"/>
  <c r="R340" i="3" s="1"/>
  <c r="Z340" i="3"/>
  <c r="U341" i="3"/>
  <c r="V341" i="3" s="1"/>
  <c r="P359" i="4" l="1"/>
  <c r="R359" i="4" s="1"/>
  <c r="O360" i="4"/>
  <c r="AD362" i="4"/>
  <c r="AC362" i="4"/>
  <c r="S361" i="3"/>
  <c r="U364" i="4"/>
  <c r="V364" i="4" s="1"/>
  <c r="S365" i="4"/>
  <c r="Z363" i="4"/>
  <c r="N363" i="4"/>
  <c r="AE363" i="4" s="1"/>
  <c r="N341" i="3"/>
  <c r="O341" i="3" s="1"/>
  <c r="P341" i="3" s="1"/>
  <c r="R341" i="3" s="1"/>
  <c r="Z341" i="3"/>
  <c r="U342" i="3"/>
  <c r="V342" i="3" s="1"/>
  <c r="O361" i="4" l="1"/>
  <c r="P360" i="4"/>
  <c r="R360" i="4" s="1"/>
  <c r="S362" i="3"/>
  <c r="AC363" i="4"/>
  <c r="AD363" i="4"/>
  <c r="Z364" i="4"/>
  <c r="N364" i="4"/>
  <c r="AE364" i="4" s="1"/>
  <c r="U365" i="4"/>
  <c r="V365" i="4" s="1"/>
  <c r="S366" i="4"/>
  <c r="N342" i="3"/>
  <c r="O342" i="3" s="1"/>
  <c r="Z342" i="3"/>
  <c r="U343" i="3"/>
  <c r="V343" i="3" s="1"/>
  <c r="P361" i="4" l="1"/>
  <c r="R361" i="4" s="1"/>
  <c r="O362" i="4"/>
  <c r="AC364" i="4"/>
  <c r="AD364" i="4"/>
  <c r="U366" i="4"/>
  <c r="V366" i="4" s="1"/>
  <c r="S367" i="4"/>
  <c r="Z365" i="4"/>
  <c r="N365" i="4"/>
  <c r="AE365" i="4" s="1"/>
  <c r="P342" i="3"/>
  <c r="R342" i="3" s="1"/>
  <c r="S363" i="3" s="1"/>
  <c r="N343" i="3"/>
  <c r="O343" i="3" s="1"/>
  <c r="P343" i="3" s="1"/>
  <c r="R343" i="3" s="1"/>
  <c r="Z343" i="3"/>
  <c r="U344" i="3"/>
  <c r="V344" i="3" s="1"/>
  <c r="P362" i="4" l="1"/>
  <c r="R362" i="4" s="1"/>
  <c r="O363" i="4"/>
  <c r="AD365" i="4"/>
  <c r="AC365" i="4"/>
  <c r="U367" i="4"/>
  <c r="V367" i="4" s="1"/>
  <c r="S368" i="4"/>
  <c r="Z366" i="4"/>
  <c r="N366" i="4"/>
  <c r="AE366" i="4" s="1"/>
  <c r="S364" i="3"/>
  <c r="N344" i="3"/>
  <c r="O344" i="3" s="1"/>
  <c r="P344" i="3" s="1"/>
  <c r="R344" i="3" s="1"/>
  <c r="Z344" i="3"/>
  <c r="U345" i="3"/>
  <c r="V345" i="3" s="1"/>
  <c r="O364" i="4" l="1"/>
  <c r="P363" i="4"/>
  <c r="R363" i="4" s="1"/>
  <c r="AC366" i="4"/>
  <c r="AD366" i="4"/>
  <c r="Z367" i="4"/>
  <c r="N367" i="4"/>
  <c r="AE367" i="4" s="1"/>
  <c r="U368" i="4"/>
  <c r="V368" i="4" s="1"/>
  <c r="S369" i="4"/>
  <c r="S365" i="3"/>
  <c r="N345" i="3"/>
  <c r="O345" i="3" s="1"/>
  <c r="P345" i="3" s="1"/>
  <c r="R345" i="3" s="1"/>
  <c r="Z345" i="3"/>
  <c r="U346" i="3"/>
  <c r="V346" i="3" s="1"/>
  <c r="P364" i="4" l="1"/>
  <c r="R364" i="4" s="1"/>
  <c r="O365" i="4"/>
  <c r="AC367" i="4"/>
  <c r="AD367" i="4"/>
  <c r="U369" i="4"/>
  <c r="V369" i="4" s="1"/>
  <c r="S370" i="4"/>
  <c r="Z368" i="4"/>
  <c r="N368" i="4"/>
  <c r="AE368" i="4" s="1"/>
  <c r="S366" i="3"/>
  <c r="N346" i="3"/>
  <c r="O346" i="3" s="1"/>
  <c r="P346" i="3" s="1"/>
  <c r="R346" i="3" s="1"/>
  <c r="Z346" i="3"/>
  <c r="U347" i="3"/>
  <c r="V347" i="3" s="1"/>
  <c r="P365" i="4" l="1"/>
  <c r="R365" i="4" s="1"/>
  <c r="O366" i="4"/>
  <c r="AD368" i="4"/>
  <c r="AC368" i="4"/>
  <c r="U370" i="4"/>
  <c r="V370" i="4" s="1"/>
  <c r="S371" i="4"/>
  <c r="Z369" i="4"/>
  <c r="N369" i="4"/>
  <c r="AE369" i="4" s="1"/>
  <c r="S367" i="3"/>
  <c r="N347" i="3"/>
  <c r="O347" i="3" s="1"/>
  <c r="P347" i="3" s="1"/>
  <c r="R347" i="3" s="1"/>
  <c r="Z347" i="3"/>
  <c r="U348" i="3"/>
  <c r="V348" i="3" s="1"/>
  <c r="P366" i="4" l="1"/>
  <c r="R366" i="4" s="1"/>
  <c r="O367" i="4"/>
  <c r="AC369" i="4"/>
  <c r="AD369" i="4"/>
  <c r="Z370" i="4"/>
  <c r="N370" i="4"/>
  <c r="AE370" i="4" s="1"/>
  <c r="U371" i="4"/>
  <c r="V371" i="4" s="1"/>
  <c r="S372" i="4"/>
  <c r="S368" i="3"/>
  <c r="N348" i="3"/>
  <c r="O348" i="3" s="1"/>
  <c r="Z348" i="3"/>
  <c r="U349" i="3"/>
  <c r="V349" i="3" s="1"/>
  <c r="P367" i="4" l="1"/>
  <c r="R367" i="4" s="1"/>
  <c r="O368" i="4"/>
  <c r="AC370" i="4"/>
  <c r="AD370" i="4"/>
  <c r="U372" i="4"/>
  <c r="V372" i="4" s="1"/>
  <c r="S373" i="4"/>
  <c r="Z371" i="4"/>
  <c r="N371" i="4"/>
  <c r="AE371" i="4" s="1"/>
  <c r="P348" i="3"/>
  <c r="R348" i="3" s="1"/>
  <c r="S369" i="3" s="1"/>
  <c r="N349" i="3"/>
  <c r="O349" i="3" s="1"/>
  <c r="P349" i="3" s="1"/>
  <c r="R349" i="3" s="1"/>
  <c r="Z349" i="3"/>
  <c r="U350" i="3"/>
  <c r="V350" i="3" s="1"/>
  <c r="O369" i="4" l="1"/>
  <c r="P368" i="4"/>
  <c r="R368" i="4" s="1"/>
  <c r="AD371" i="4"/>
  <c r="AC371" i="4"/>
  <c r="S370" i="3"/>
  <c r="U373" i="4"/>
  <c r="V373" i="4" s="1"/>
  <c r="S374" i="4"/>
  <c r="Z372" i="4"/>
  <c r="N372" i="4"/>
  <c r="AE372" i="4" s="1"/>
  <c r="N350" i="3"/>
  <c r="O350" i="3" s="1"/>
  <c r="P350" i="3" s="1"/>
  <c r="R350" i="3" s="1"/>
  <c r="Z350" i="3"/>
  <c r="U351" i="3"/>
  <c r="V351" i="3" s="1"/>
  <c r="P369" i="4" l="1"/>
  <c r="R369" i="4" s="1"/>
  <c r="O370" i="4"/>
  <c r="AC372" i="4"/>
  <c r="AD372" i="4"/>
  <c r="S371" i="3"/>
  <c r="Z373" i="4"/>
  <c r="N373" i="4"/>
  <c r="AE373" i="4" s="1"/>
  <c r="U374" i="4"/>
  <c r="V374" i="4" s="1"/>
  <c r="S375" i="4"/>
  <c r="N351" i="3"/>
  <c r="O351" i="3" s="1"/>
  <c r="P351" i="3" s="1"/>
  <c r="R351" i="3" s="1"/>
  <c r="Z351" i="3"/>
  <c r="U352" i="3"/>
  <c r="V352" i="3" s="1"/>
  <c r="P370" i="4" l="1"/>
  <c r="R370" i="4" s="1"/>
  <c r="O371" i="4"/>
  <c r="S372" i="3"/>
  <c r="AC373" i="4"/>
  <c r="AD373" i="4"/>
  <c r="U375" i="4"/>
  <c r="V375" i="4" s="1"/>
  <c r="S376" i="4"/>
  <c r="Z374" i="4"/>
  <c r="N374" i="4"/>
  <c r="AE374" i="4" s="1"/>
  <c r="N352" i="3"/>
  <c r="O352" i="3" s="1"/>
  <c r="P352" i="3" s="1"/>
  <c r="R352" i="3" s="1"/>
  <c r="Z352" i="3"/>
  <c r="U353" i="3"/>
  <c r="V353" i="3" s="1"/>
  <c r="P371" i="4" l="1"/>
  <c r="R371" i="4" s="1"/>
  <c r="O372" i="4"/>
  <c r="AD374" i="4"/>
  <c r="S373" i="3"/>
  <c r="AC374" i="4"/>
  <c r="U376" i="4"/>
  <c r="V376" i="4" s="1"/>
  <c r="S377" i="4"/>
  <c r="Z375" i="4"/>
  <c r="N375" i="4"/>
  <c r="AE375" i="4" s="1"/>
  <c r="N353" i="3"/>
  <c r="O353" i="3" s="1"/>
  <c r="P353" i="3" s="1"/>
  <c r="R353" i="3" s="1"/>
  <c r="Z353" i="3"/>
  <c r="U354" i="3"/>
  <c r="V354" i="3" s="1"/>
  <c r="S374" i="3" l="1"/>
  <c r="P372" i="4"/>
  <c r="R372" i="4" s="1"/>
  <c r="O373" i="4"/>
  <c r="AC375" i="4"/>
  <c r="AD375" i="4"/>
  <c r="Z376" i="4"/>
  <c r="N376" i="4"/>
  <c r="AE376" i="4" s="1"/>
  <c r="U377" i="4"/>
  <c r="V377" i="4" s="1"/>
  <c r="S378" i="4"/>
  <c r="N354" i="3"/>
  <c r="O354" i="3" s="1"/>
  <c r="Z354" i="3"/>
  <c r="U355" i="3"/>
  <c r="V355" i="3" s="1"/>
  <c r="P373" i="4" l="1"/>
  <c r="R373" i="4" s="1"/>
  <c r="O374" i="4"/>
  <c r="AC376" i="4"/>
  <c r="AD376" i="4"/>
  <c r="U378" i="4"/>
  <c r="V378" i="4" s="1"/>
  <c r="S379" i="4"/>
  <c r="Z377" i="4"/>
  <c r="N377" i="4"/>
  <c r="AE377" i="4" s="1"/>
  <c r="P354" i="3"/>
  <c r="R354" i="3" s="1"/>
  <c r="S375" i="3" s="1"/>
  <c r="N355" i="3"/>
  <c r="O355" i="3" s="1"/>
  <c r="P355" i="3" s="1"/>
  <c r="R355" i="3" s="1"/>
  <c r="Z355" i="3"/>
  <c r="U356" i="3"/>
  <c r="V356" i="3" s="1"/>
  <c r="O375" i="4" l="1"/>
  <c r="P374" i="4"/>
  <c r="R374" i="4" s="1"/>
  <c r="AD377" i="4"/>
  <c r="AC377" i="4"/>
  <c r="U379" i="4"/>
  <c r="V379" i="4" s="1"/>
  <c r="S380" i="4"/>
  <c r="Z378" i="4"/>
  <c r="N378" i="4"/>
  <c r="AE378" i="4" s="1"/>
  <c r="S376" i="3"/>
  <c r="N356" i="3"/>
  <c r="O356" i="3" s="1"/>
  <c r="P356" i="3" s="1"/>
  <c r="R356" i="3" s="1"/>
  <c r="Z356" i="3"/>
  <c r="U357" i="3"/>
  <c r="V357" i="3" s="1"/>
  <c r="O376" i="4" l="1"/>
  <c r="P375" i="4"/>
  <c r="R375" i="4" s="1"/>
  <c r="AC378" i="4"/>
  <c r="AD378" i="4"/>
  <c r="Z379" i="4"/>
  <c r="N379" i="4"/>
  <c r="AE379" i="4" s="1"/>
  <c r="U380" i="4"/>
  <c r="V380" i="4" s="1"/>
  <c r="S381" i="4"/>
  <c r="S377" i="3"/>
  <c r="N357" i="3"/>
  <c r="O357" i="3" s="1"/>
  <c r="P357" i="3" s="1"/>
  <c r="R357" i="3" s="1"/>
  <c r="Z357" i="3"/>
  <c r="U358" i="3"/>
  <c r="V358" i="3" s="1"/>
  <c r="P376" i="4" l="1"/>
  <c r="R376" i="4" s="1"/>
  <c r="O377" i="4"/>
  <c r="AC379" i="4"/>
  <c r="AD379" i="4"/>
  <c r="U381" i="4"/>
  <c r="V381" i="4" s="1"/>
  <c r="S382" i="4"/>
  <c r="Z380" i="4"/>
  <c r="N380" i="4"/>
  <c r="AE380" i="4" s="1"/>
  <c r="S378" i="3"/>
  <c r="N358" i="3"/>
  <c r="O358" i="3" s="1"/>
  <c r="P358" i="3" s="1"/>
  <c r="R358" i="3" s="1"/>
  <c r="Z358" i="3"/>
  <c r="U359" i="3"/>
  <c r="V359" i="3" s="1"/>
  <c r="O378" i="4" l="1"/>
  <c r="P377" i="4"/>
  <c r="R377" i="4" s="1"/>
  <c r="AD380" i="4"/>
  <c r="AC380" i="4"/>
  <c r="U382" i="4"/>
  <c r="V382" i="4" s="1"/>
  <c r="S383" i="4"/>
  <c r="Z381" i="4"/>
  <c r="N381" i="4"/>
  <c r="AE381" i="4" s="1"/>
  <c r="S379" i="3"/>
  <c r="N359" i="3"/>
  <c r="O359" i="3" s="1"/>
  <c r="P359" i="3" s="1"/>
  <c r="R359" i="3" s="1"/>
  <c r="Z359" i="3"/>
  <c r="U360" i="3"/>
  <c r="V360" i="3" s="1"/>
  <c r="P378" i="4" l="1"/>
  <c r="R378" i="4" s="1"/>
  <c r="O379" i="4"/>
  <c r="AC381" i="4"/>
  <c r="AD381" i="4"/>
  <c r="Z382" i="4"/>
  <c r="N382" i="4"/>
  <c r="AE382" i="4" s="1"/>
  <c r="U383" i="4"/>
  <c r="V383" i="4" s="1"/>
  <c r="S384" i="4"/>
  <c r="S380" i="3"/>
  <c r="N360" i="3"/>
  <c r="O360" i="3" s="1"/>
  <c r="Z360" i="3"/>
  <c r="U361" i="3"/>
  <c r="V361" i="3" s="1"/>
  <c r="P379" i="4" l="1"/>
  <c r="R379" i="4" s="1"/>
  <c r="O380" i="4"/>
  <c r="AC382" i="4"/>
  <c r="AD382" i="4"/>
  <c r="U384" i="4"/>
  <c r="V384" i="4" s="1"/>
  <c r="S385" i="4"/>
  <c r="Z383" i="4"/>
  <c r="N383" i="4"/>
  <c r="AE383" i="4" s="1"/>
  <c r="P360" i="3"/>
  <c r="R360" i="3" s="1"/>
  <c r="S381" i="3" s="1"/>
  <c r="N361" i="3"/>
  <c r="O361" i="3" s="1"/>
  <c r="P361" i="3" s="1"/>
  <c r="R361" i="3" s="1"/>
  <c r="Z361" i="3"/>
  <c r="U362" i="3"/>
  <c r="V362" i="3" s="1"/>
  <c r="O381" i="4" l="1"/>
  <c r="P380" i="4"/>
  <c r="R380" i="4" s="1"/>
  <c r="AD383" i="4"/>
  <c r="AC383" i="4"/>
  <c r="U385" i="4"/>
  <c r="V385" i="4" s="1"/>
  <c r="S386" i="4"/>
  <c r="S382" i="3"/>
  <c r="Z384" i="4"/>
  <c r="N384" i="4"/>
  <c r="AE384" i="4" s="1"/>
  <c r="N362" i="3"/>
  <c r="O362" i="3" s="1"/>
  <c r="Z362" i="3"/>
  <c r="U363" i="3"/>
  <c r="V363" i="3" s="1"/>
  <c r="P381" i="4" l="1"/>
  <c r="R381" i="4" s="1"/>
  <c r="O382" i="4"/>
  <c r="AC384" i="4"/>
  <c r="AD384" i="4"/>
  <c r="Z385" i="4"/>
  <c r="N385" i="4"/>
  <c r="AE385" i="4" s="1"/>
  <c r="U386" i="4"/>
  <c r="V386" i="4" s="1"/>
  <c r="S387" i="4"/>
  <c r="P362" i="3"/>
  <c r="R362" i="3" s="1"/>
  <c r="S383" i="3" s="1"/>
  <c r="N363" i="3"/>
  <c r="O363" i="3" s="1"/>
  <c r="P363" i="3" s="1"/>
  <c r="R363" i="3" s="1"/>
  <c r="Z363" i="3"/>
  <c r="U364" i="3"/>
  <c r="V364" i="3" s="1"/>
  <c r="P382" i="4" l="1"/>
  <c r="R382" i="4" s="1"/>
  <c r="O383" i="4"/>
  <c r="AC385" i="4"/>
  <c r="AD385" i="4"/>
  <c r="U387" i="4"/>
  <c r="V387" i="4" s="1"/>
  <c r="S388" i="4"/>
  <c r="Z386" i="4"/>
  <c r="N386" i="4"/>
  <c r="AE386" i="4" s="1"/>
  <c r="S384" i="3"/>
  <c r="N364" i="3"/>
  <c r="O364" i="3" s="1"/>
  <c r="P364" i="3" s="1"/>
  <c r="R364" i="3" s="1"/>
  <c r="Z364" i="3"/>
  <c r="U365" i="3"/>
  <c r="V365" i="3" s="1"/>
  <c r="O384" i="4" l="1"/>
  <c r="P383" i="4"/>
  <c r="R383" i="4" s="1"/>
  <c r="AD386" i="4"/>
  <c r="AC386" i="4"/>
  <c r="U388" i="4"/>
  <c r="V388" i="4" s="1"/>
  <c r="S389" i="4"/>
  <c r="Z387" i="4"/>
  <c r="N387" i="4"/>
  <c r="AE387" i="4" s="1"/>
  <c r="S385" i="3"/>
  <c r="N365" i="3"/>
  <c r="O365" i="3" s="1"/>
  <c r="P365" i="3" s="1"/>
  <c r="R365" i="3" s="1"/>
  <c r="Z365" i="3"/>
  <c r="U366" i="3"/>
  <c r="V366" i="3" s="1"/>
  <c r="P384" i="4" l="1"/>
  <c r="R384" i="4" s="1"/>
  <c r="O385" i="4"/>
  <c r="AC387" i="4"/>
  <c r="AD387" i="4"/>
  <c r="Z388" i="4"/>
  <c r="N388" i="4"/>
  <c r="AE388" i="4" s="1"/>
  <c r="U389" i="4"/>
  <c r="V389" i="4" s="1"/>
  <c r="S390" i="4"/>
  <c r="S386" i="3"/>
  <c r="N366" i="3"/>
  <c r="O366" i="3" s="1"/>
  <c r="P366" i="3" s="1"/>
  <c r="R366" i="3" s="1"/>
  <c r="Z366" i="3"/>
  <c r="U367" i="3"/>
  <c r="V367" i="3" s="1"/>
  <c r="P385" i="4" l="1"/>
  <c r="R385" i="4" s="1"/>
  <c r="O386" i="4"/>
  <c r="AC388" i="4"/>
  <c r="AD388" i="4"/>
  <c r="U390" i="4"/>
  <c r="V390" i="4" s="1"/>
  <c r="S391" i="4"/>
  <c r="Z389" i="4"/>
  <c r="N389" i="4"/>
  <c r="AE389" i="4" s="1"/>
  <c r="S387" i="3"/>
  <c r="N367" i="3"/>
  <c r="O367" i="3" s="1"/>
  <c r="P367" i="3" s="1"/>
  <c r="R367" i="3" s="1"/>
  <c r="Z367" i="3"/>
  <c r="U368" i="3"/>
  <c r="V368" i="3" s="1"/>
  <c r="O387" i="4" l="1"/>
  <c r="P386" i="4"/>
  <c r="R386" i="4" s="1"/>
  <c r="AD389" i="4"/>
  <c r="AC389" i="4"/>
  <c r="U391" i="4"/>
  <c r="V391" i="4" s="1"/>
  <c r="S392" i="4"/>
  <c r="Z390" i="4"/>
  <c r="N390" i="4"/>
  <c r="AE390" i="4" s="1"/>
  <c r="S388" i="3"/>
  <c r="N368" i="3"/>
  <c r="O368" i="3" s="1"/>
  <c r="Z368" i="3"/>
  <c r="U369" i="3"/>
  <c r="V369" i="3" s="1"/>
  <c r="O388" i="4" l="1"/>
  <c r="P387" i="4"/>
  <c r="R387" i="4" s="1"/>
  <c r="AC390" i="4"/>
  <c r="AD390" i="4"/>
  <c r="Z391" i="4"/>
  <c r="N391" i="4"/>
  <c r="AE391" i="4" s="1"/>
  <c r="U392" i="4"/>
  <c r="V392" i="4" s="1"/>
  <c r="S393" i="4"/>
  <c r="P368" i="3"/>
  <c r="R368" i="3" s="1"/>
  <c r="S389" i="3" s="1"/>
  <c r="N369" i="3"/>
  <c r="O369" i="3" s="1"/>
  <c r="P369" i="3" s="1"/>
  <c r="R369" i="3" s="1"/>
  <c r="Z369" i="3"/>
  <c r="U370" i="3"/>
  <c r="V370" i="3" s="1"/>
  <c r="P388" i="4" l="1"/>
  <c r="R388" i="4" s="1"/>
  <c r="O389" i="4"/>
  <c r="AC391" i="4"/>
  <c r="AD391" i="4"/>
  <c r="S390" i="3"/>
  <c r="U393" i="4"/>
  <c r="V393" i="4" s="1"/>
  <c r="S394" i="4"/>
  <c r="Z392" i="4"/>
  <c r="N392" i="4"/>
  <c r="AE392" i="4" s="1"/>
  <c r="N370" i="3"/>
  <c r="O370" i="3" s="1"/>
  <c r="P370" i="3" s="1"/>
  <c r="R370" i="3" s="1"/>
  <c r="Z370" i="3"/>
  <c r="U371" i="3"/>
  <c r="V371" i="3" s="1"/>
  <c r="P389" i="4" l="1"/>
  <c r="R389" i="4" s="1"/>
  <c r="O390" i="4"/>
  <c r="AD392" i="4"/>
  <c r="AC392" i="4"/>
  <c r="S391" i="3"/>
  <c r="U394" i="4"/>
  <c r="V394" i="4" s="1"/>
  <c r="S395" i="4"/>
  <c r="Z393" i="4"/>
  <c r="N393" i="4"/>
  <c r="AE393" i="4" s="1"/>
  <c r="N371" i="3"/>
  <c r="O371" i="3" s="1"/>
  <c r="P371" i="3" s="1"/>
  <c r="R371" i="3" s="1"/>
  <c r="Z371" i="3"/>
  <c r="U372" i="3"/>
  <c r="V372" i="3" s="1"/>
  <c r="P390" i="4" l="1"/>
  <c r="R390" i="4" s="1"/>
  <c r="O391" i="4"/>
  <c r="S392" i="3"/>
  <c r="AC393" i="4"/>
  <c r="AD393" i="4"/>
  <c r="U395" i="4"/>
  <c r="V395" i="4" s="1"/>
  <c r="S396" i="4"/>
  <c r="Z394" i="4"/>
  <c r="N394" i="4"/>
  <c r="AE394" i="4" s="1"/>
  <c r="N372" i="3"/>
  <c r="O372" i="3" s="1"/>
  <c r="P372" i="3" s="1"/>
  <c r="R372" i="3" s="1"/>
  <c r="Z372" i="3"/>
  <c r="U373" i="3"/>
  <c r="V373" i="3" s="1"/>
  <c r="P391" i="4" l="1"/>
  <c r="R391" i="4" s="1"/>
  <c r="O392" i="4"/>
  <c r="S393" i="3"/>
  <c r="AC394" i="4"/>
  <c r="AD394" i="4"/>
  <c r="U396" i="4"/>
  <c r="V396" i="4" s="1"/>
  <c r="S397" i="4"/>
  <c r="Z395" i="4"/>
  <c r="N395" i="4"/>
  <c r="AE395" i="4" s="1"/>
  <c r="N373" i="3"/>
  <c r="O373" i="3" s="1"/>
  <c r="P373" i="3" s="1"/>
  <c r="R373" i="3" s="1"/>
  <c r="Z373" i="3"/>
  <c r="U374" i="3"/>
  <c r="V374" i="3" s="1"/>
  <c r="S394" i="3" l="1"/>
  <c r="O393" i="4"/>
  <c r="P392" i="4"/>
  <c r="R392" i="4" s="1"/>
  <c r="AD395" i="4"/>
  <c r="AC395" i="4"/>
  <c r="U397" i="4"/>
  <c r="V397" i="4" s="1"/>
  <c r="S398" i="4"/>
  <c r="Z396" i="4"/>
  <c r="N396" i="4"/>
  <c r="AE396" i="4" s="1"/>
  <c r="N374" i="3"/>
  <c r="O374" i="3" s="1"/>
  <c r="P374" i="3" s="1"/>
  <c r="R374" i="3" s="1"/>
  <c r="Z374" i="3"/>
  <c r="U375" i="3"/>
  <c r="V375" i="3" s="1"/>
  <c r="S395" i="3" l="1"/>
  <c r="P393" i="4"/>
  <c r="R393" i="4" s="1"/>
  <c r="O394" i="4"/>
  <c r="AC396" i="4"/>
  <c r="AD396" i="4"/>
  <c r="Z397" i="4"/>
  <c r="N397" i="4"/>
  <c r="AE397" i="4" s="1"/>
  <c r="U398" i="4"/>
  <c r="V398" i="4" s="1"/>
  <c r="S399" i="4"/>
  <c r="N375" i="3"/>
  <c r="O375" i="3" s="1"/>
  <c r="P375" i="3" s="1"/>
  <c r="R375" i="3" s="1"/>
  <c r="S396" i="3" s="1"/>
  <c r="Z375" i="3"/>
  <c r="U376" i="3"/>
  <c r="V376" i="3" s="1"/>
  <c r="P394" i="4" l="1"/>
  <c r="R394" i="4" s="1"/>
  <c r="O395" i="4"/>
  <c r="AC397" i="4"/>
  <c r="AD397" i="4"/>
  <c r="U399" i="4"/>
  <c r="V399" i="4" s="1"/>
  <c r="S400" i="4"/>
  <c r="Z398" i="4"/>
  <c r="N398" i="4"/>
  <c r="AE398" i="4" s="1"/>
  <c r="N376" i="3"/>
  <c r="O376" i="3" s="1"/>
  <c r="P376" i="3" s="1"/>
  <c r="R376" i="3" s="1"/>
  <c r="S397" i="3" s="1"/>
  <c r="Z376" i="3"/>
  <c r="U377" i="3"/>
  <c r="V377" i="3" s="1"/>
  <c r="O396" i="4" l="1"/>
  <c r="P395" i="4"/>
  <c r="R395" i="4" s="1"/>
  <c r="AD398" i="4"/>
  <c r="AC398" i="4"/>
  <c r="U400" i="4"/>
  <c r="V400" i="4" s="1"/>
  <c r="S401" i="4"/>
  <c r="Z399" i="4"/>
  <c r="N399" i="4"/>
  <c r="AE399" i="4" s="1"/>
  <c r="N377" i="3"/>
  <c r="O377" i="3" s="1"/>
  <c r="P377" i="3" s="1"/>
  <c r="R377" i="3" s="1"/>
  <c r="S398" i="3" s="1"/>
  <c r="Z377" i="3"/>
  <c r="U378" i="3"/>
  <c r="V378" i="3" s="1"/>
  <c r="O397" i="4" l="1"/>
  <c r="P396" i="4"/>
  <c r="R396" i="4" s="1"/>
  <c r="AC399" i="4"/>
  <c r="AD399" i="4"/>
  <c r="Z400" i="4"/>
  <c r="N400" i="4"/>
  <c r="AE400" i="4" s="1"/>
  <c r="U401" i="4"/>
  <c r="V401" i="4" s="1"/>
  <c r="S402" i="4"/>
  <c r="N378" i="3"/>
  <c r="O378" i="3" s="1"/>
  <c r="Z378" i="3"/>
  <c r="U379" i="3"/>
  <c r="V379" i="3" s="1"/>
  <c r="P397" i="4" l="1"/>
  <c r="R397" i="4" s="1"/>
  <c r="O398" i="4"/>
  <c r="AC400" i="4"/>
  <c r="AD400" i="4"/>
  <c r="U402" i="4"/>
  <c r="V402" i="4" s="1"/>
  <c r="S403" i="4"/>
  <c r="Z401" i="4"/>
  <c r="N401" i="4"/>
  <c r="AE401" i="4" s="1"/>
  <c r="P378" i="3"/>
  <c r="R378" i="3" s="1"/>
  <c r="S399" i="3" s="1"/>
  <c r="N379" i="3"/>
  <c r="O379" i="3" s="1"/>
  <c r="P379" i="3" s="1"/>
  <c r="R379" i="3" s="1"/>
  <c r="Z379" i="3"/>
  <c r="U380" i="3"/>
  <c r="V380" i="3" s="1"/>
  <c r="P398" i="4" l="1"/>
  <c r="R398" i="4" s="1"/>
  <c r="O399" i="4"/>
  <c r="AD401" i="4"/>
  <c r="AC401" i="4"/>
  <c r="U403" i="4"/>
  <c r="V403" i="4" s="1"/>
  <c r="S404" i="4"/>
  <c r="Z402" i="4"/>
  <c r="N402" i="4"/>
  <c r="AE402" i="4" s="1"/>
  <c r="S400" i="3"/>
  <c r="N380" i="3"/>
  <c r="O380" i="3" s="1"/>
  <c r="Z380" i="3"/>
  <c r="U381" i="3"/>
  <c r="V381" i="3" s="1"/>
  <c r="O400" i="4" l="1"/>
  <c r="P399" i="4"/>
  <c r="R399" i="4" s="1"/>
  <c r="AC402" i="4"/>
  <c r="AD402" i="4"/>
  <c r="Z403" i="4"/>
  <c r="N403" i="4"/>
  <c r="AE403" i="4" s="1"/>
  <c r="U404" i="4"/>
  <c r="V404" i="4" s="1"/>
  <c r="S405" i="4"/>
  <c r="P380" i="3"/>
  <c r="R380" i="3" s="1"/>
  <c r="S401" i="3" s="1"/>
  <c r="N381" i="3"/>
  <c r="O381" i="3" s="1"/>
  <c r="P381" i="3" s="1"/>
  <c r="R381" i="3" s="1"/>
  <c r="Z381" i="3"/>
  <c r="U382" i="3"/>
  <c r="V382" i="3" s="1"/>
  <c r="P400" i="4" l="1"/>
  <c r="R400" i="4" s="1"/>
  <c r="O401" i="4"/>
  <c r="AC403" i="4"/>
  <c r="AD403" i="4"/>
  <c r="S402" i="3"/>
  <c r="U405" i="4"/>
  <c r="V405" i="4" s="1"/>
  <c r="S406" i="4"/>
  <c r="Z404" i="4"/>
  <c r="N404" i="4"/>
  <c r="AE404" i="4" s="1"/>
  <c r="N382" i="3"/>
  <c r="O382" i="3" s="1"/>
  <c r="P382" i="3" s="1"/>
  <c r="R382" i="3" s="1"/>
  <c r="Z382" i="3"/>
  <c r="U383" i="3"/>
  <c r="V383" i="3" s="1"/>
  <c r="P401" i="4" l="1"/>
  <c r="R401" i="4" s="1"/>
  <c r="O402" i="4"/>
  <c r="AD404" i="4"/>
  <c r="S403" i="3"/>
  <c r="AC404" i="4"/>
  <c r="U406" i="4"/>
  <c r="V406" i="4" s="1"/>
  <c r="S407" i="4"/>
  <c r="Z405" i="4"/>
  <c r="N405" i="4"/>
  <c r="AE405" i="4" s="1"/>
  <c r="N383" i="3"/>
  <c r="O383" i="3" s="1"/>
  <c r="P383" i="3" s="1"/>
  <c r="R383" i="3" s="1"/>
  <c r="Z383" i="3"/>
  <c r="U384" i="3"/>
  <c r="V384" i="3" s="1"/>
  <c r="O403" i="4" l="1"/>
  <c r="P402" i="4"/>
  <c r="R402" i="4" s="1"/>
  <c r="S404" i="3"/>
  <c r="AC405" i="4"/>
  <c r="AD405" i="4"/>
  <c r="Z406" i="4"/>
  <c r="N406" i="4"/>
  <c r="AE406" i="4" s="1"/>
  <c r="U407" i="4"/>
  <c r="V407" i="4" s="1"/>
  <c r="S408" i="4"/>
  <c r="N384" i="3"/>
  <c r="O384" i="3" s="1"/>
  <c r="P384" i="3" s="1"/>
  <c r="R384" i="3" s="1"/>
  <c r="Z384" i="3"/>
  <c r="U385" i="3"/>
  <c r="V385" i="3" s="1"/>
  <c r="P403" i="4" l="1"/>
  <c r="R403" i="4" s="1"/>
  <c r="O404" i="4"/>
  <c r="S405" i="3"/>
  <c r="AC406" i="4"/>
  <c r="AD406" i="4"/>
  <c r="U408" i="4"/>
  <c r="V408" i="4" s="1"/>
  <c r="S409" i="4"/>
  <c r="Z407" i="4"/>
  <c r="N407" i="4"/>
  <c r="AE407" i="4" s="1"/>
  <c r="N385" i="3"/>
  <c r="O385" i="3" s="1"/>
  <c r="P385" i="3" s="1"/>
  <c r="R385" i="3" s="1"/>
  <c r="Z385" i="3"/>
  <c r="U386" i="3"/>
  <c r="V386" i="3" s="1"/>
  <c r="S406" i="3" l="1"/>
  <c r="O405" i="4"/>
  <c r="P404" i="4"/>
  <c r="R404" i="4" s="1"/>
  <c r="AD407" i="4"/>
  <c r="AC407" i="4"/>
  <c r="U409" i="4"/>
  <c r="V409" i="4" s="1"/>
  <c r="S410" i="4"/>
  <c r="Z408" i="4"/>
  <c r="N408" i="4"/>
  <c r="AE408" i="4" s="1"/>
  <c r="N386" i="3"/>
  <c r="O386" i="3" s="1"/>
  <c r="P386" i="3" s="1"/>
  <c r="R386" i="3" s="1"/>
  <c r="Z386" i="3"/>
  <c r="U387" i="3"/>
  <c r="V387" i="3" s="1"/>
  <c r="S407" i="3" l="1"/>
  <c r="O406" i="4"/>
  <c r="P405" i="4"/>
  <c r="R405" i="4" s="1"/>
  <c r="AC408" i="4"/>
  <c r="AD408" i="4"/>
  <c r="Z409" i="4"/>
  <c r="N409" i="4"/>
  <c r="AE409" i="4" s="1"/>
  <c r="U410" i="4"/>
  <c r="V410" i="4" s="1"/>
  <c r="S411" i="4"/>
  <c r="N387" i="3"/>
  <c r="O387" i="3" s="1"/>
  <c r="P387" i="3" s="1"/>
  <c r="R387" i="3" s="1"/>
  <c r="Z387" i="3"/>
  <c r="U388" i="3"/>
  <c r="V388" i="3" s="1"/>
  <c r="S408" i="3" l="1"/>
  <c r="P406" i="4"/>
  <c r="R406" i="4" s="1"/>
  <c r="O407" i="4"/>
  <c r="AC409" i="4"/>
  <c r="AD409" i="4"/>
  <c r="U411" i="4"/>
  <c r="V411" i="4" s="1"/>
  <c r="S412" i="4"/>
  <c r="Z410" i="4"/>
  <c r="N410" i="4"/>
  <c r="AE410" i="4" s="1"/>
  <c r="N388" i="3"/>
  <c r="O388" i="3" s="1"/>
  <c r="P388" i="3" s="1"/>
  <c r="R388" i="3" s="1"/>
  <c r="S409" i="3" s="1"/>
  <c r="Z388" i="3"/>
  <c r="U389" i="3"/>
  <c r="V389" i="3" s="1"/>
  <c r="O408" i="4" l="1"/>
  <c r="P407" i="4"/>
  <c r="R407" i="4" s="1"/>
  <c r="AD410" i="4"/>
  <c r="AC410" i="4"/>
  <c r="U412" i="4"/>
  <c r="V412" i="4" s="1"/>
  <c r="S413" i="4"/>
  <c r="Z411" i="4"/>
  <c r="N411" i="4"/>
  <c r="AE411" i="4" s="1"/>
  <c r="N389" i="3"/>
  <c r="O389" i="3" s="1"/>
  <c r="P389" i="3" s="1"/>
  <c r="R389" i="3" s="1"/>
  <c r="S410" i="3" s="1"/>
  <c r="Z389" i="3"/>
  <c r="U390" i="3"/>
  <c r="V390" i="3" s="1"/>
  <c r="P408" i="4" l="1"/>
  <c r="R408" i="4" s="1"/>
  <c r="O409" i="4"/>
  <c r="AC411" i="4"/>
  <c r="AD411" i="4"/>
  <c r="Z412" i="4"/>
  <c r="N412" i="4"/>
  <c r="AE412" i="4" s="1"/>
  <c r="U413" i="4"/>
  <c r="V413" i="4" s="1"/>
  <c r="S414" i="4"/>
  <c r="N390" i="3"/>
  <c r="O390" i="3" s="1"/>
  <c r="Z390" i="3"/>
  <c r="U391" i="3"/>
  <c r="V391" i="3" s="1"/>
  <c r="P409" i="4" l="1"/>
  <c r="R409" i="4" s="1"/>
  <c r="O410" i="4"/>
  <c r="AC412" i="4"/>
  <c r="AD412" i="4"/>
  <c r="U414" i="4"/>
  <c r="V414" i="4" s="1"/>
  <c r="S415" i="4"/>
  <c r="Z413" i="4"/>
  <c r="N413" i="4"/>
  <c r="AE413" i="4" s="1"/>
  <c r="P390" i="3"/>
  <c r="R390" i="3" s="1"/>
  <c r="S411" i="3" s="1"/>
  <c r="N391" i="3"/>
  <c r="O391" i="3" s="1"/>
  <c r="P391" i="3" s="1"/>
  <c r="R391" i="3" s="1"/>
  <c r="Z391" i="3"/>
  <c r="U392" i="3"/>
  <c r="V392" i="3" s="1"/>
  <c r="P410" i="4" l="1"/>
  <c r="R410" i="4" s="1"/>
  <c r="O411" i="4"/>
  <c r="AD413" i="4"/>
  <c r="AC413" i="4"/>
  <c r="U415" i="4"/>
  <c r="V415" i="4" s="1"/>
  <c r="S416" i="4"/>
  <c r="Z414" i="4"/>
  <c r="N414" i="4"/>
  <c r="AE414" i="4" s="1"/>
  <c r="S412" i="3"/>
  <c r="N392" i="3"/>
  <c r="O392" i="3" s="1"/>
  <c r="P392" i="3" s="1"/>
  <c r="R392" i="3" s="1"/>
  <c r="Z392" i="3"/>
  <c r="U393" i="3"/>
  <c r="V393" i="3" s="1"/>
  <c r="O412" i="4" l="1"/>
  <c r="P411" i="4"/>
  <c r="R411" i="4" s="1"/>
  <c r="AC414" i="4"/>
  <c r="AD414" i="4"/>
  <c r="Z415" i="4"/>
  <c r="N415" i="4"/>
  <c r="AE415" i="4" s="1"/>
  <c r="U416" i="4"/>
  <c r="V416" i="4" s="1"/>
  <c r="S417" i="4"/>
  <c r="S413" i="3"/>
  <c r="N393" i="3"/>
  <c r="O393" i="3" s="1"/>
  <c r="P393" i="3" s="1"/>
  <c r="R393" i="3" s="1"/>
  <c r="Z393" i="3"/>
  <c r="U394" i="3"/>
  <c r="V394" i="3" s="1"/>
  <c r="P412" i="4" l="1"/>
  <c r="R412" i="4" s="1"/>
  <c r="O413" i="4"/>
  <c r="AC415" i="4"/>
  <c r="AD415" i="4"/>
  <c r="U417" i="4"/>
  <c r="V417" i="4" s="1"/>
  <c r="S418" i="4"/>
  <c r="Z416" i="4"/>
  <c r="N416" i="4"/>
  <c r="AE416" i="4" s="1"/>
  <c r="S414" i="3"/>
  <c r="N394" i="3"/>
  <c r="O394" i="3" s="1"/>
  <c r="Z394" i="3"/>
  <c r="U395" i="3"/>
  <c r="V395" i="3" s="1"/>
  <c r="P413" i="4" l="1"/>
  <c r="R413" i="4" s="1"/>
  <c r="O414" i="4"/>
  <c r="AD416" i="4"/>
  <c r="AC416" i="4"/>
  <c r="U418" i="4"/>
  <c r="V418" i="4" s="1"/>
  <c r="S419" i="4"/>
  <c r="Z417" i="4"/>
  <c r="N417" i="4"/>
  <c r="AE417" i="4" s="1"/>
  <c r="P394" i="3"/>
  <c r="R394" i="3" s="1"/>
  <c r="S415" i="3" s="1"/>
  <c r="N395" i="3"/>
  <c r="O395" i="3" s="1"/>
  <c r="P395" i="3" s="1"/>
  <c r="R395" i="3" s="1"/>
  <c r="Z395" i="3"/>
  <c r="U396" i="3"/>
  <c r="V396" i="3" s="1"/>
  <c r="P414" i="4" l="1"/>
  <c r="R414" i="4" s="1"/>
  <c r="O415" i="4"/>
  <c r="AC417" i="4"/>
  <c r="AD417" i="4"/>
  <c r="S416" i="3"/>
  <c r="Z418" i="4"/>
  <c r="N418" i="4"/>
  <c r="AE418" i="4" s="1"/>
  <c r="U419" i="4"/>
  <c r="V419" i="4" s="1"/>
  <c r="S420" i="4"/>
  <c r="N396" i="3"/>
  <c r="O396" i="3" s="1"/>
  <c r="P396" i="3" s="1"/>
  <c r="R396" i="3" s="1"/>
  <c r="Z396" i="3"/>
  <c r="U397" i="3"/>
  <c r="V397" i="3" s="1"/>
  <c r="P415" i="4" l="1"/>
  <c r="R415" i="4" s="1"/>
  <c r="O416" i="4"/>
  <c r="AC418" i="4"/>
  <c r="AD418" i="4"/>
  <c r="S417" i="3"/>
  <c r="U420" i="4"/>
  <c r="V420" i="4" s="1"/>
  <c r="S421" i="4"/>
  <c r="Z419" i="4"/>
  <c r="N419" i="4"/>
  <c r="AE419" i="4" s="1"/>
  <c r="N397" i="3"/>
  <c r="O397" i="3" s="1"/>
  <c r="P397" i="3" s="1"/>
  <c r="R397" i="3" s="1"/>
  <c r="Z397" i="3"/>
  <c r="U398" i="3"/>
  <c r="V398" i="3" s="1"/>
  <c r="O417" i="4" l="1"/>
  <c r="P416" i="4"/>
  <c r="R416" i="4" s="1"/>
  <c r="AD419" i="4"/>
  <c r="AC419" i="4"/>
  <c r="S418" i="3"/>
  <c r="U421" i="4"/>
  <c r="V421" i="4" s="1"/>
  <c r="S422" i="4"/>
  <c r="Z420" i="4"/>
  <c r="N420" i="4"/>
  <c r="AE420" i="4" s="1"/>
  <c r="N398" i="3"/>
  <c r="O398" i="3" s="1"/>
  <c r="P398" i="3" s="1"/>
  <c r="R398" i="3" s="1"/>
  <c r="Z398" i="3"/>
  <c r="U399" i="3"/>
  <c r="V399" i="3" s="1"/>
  <c r="O418" i="4" l="1"/>
  <c r="P417" i="4"/>
  <c r="R417" i="4" s="1"/>
  <c r="AC420" i="4"/>
  <c r="AD420" i="4"/>
  <c r="S419" i="3"/>
  <c r="Z421" i="4"/>
  <c r="N421" i="4"/>
  <c r="AE421" i="4" s="1"/>
  <c r="U422" i="4"/>
  <c r="V422" i="4" s="1"/>
  <c r="S423" i="4"/>
  <c r="N399" i="3"/>
  <c r="O399" i="3" s="1"/>
  <c r="P399" i="3" s="1"/>
  <c r="R399" i="3" s="1"/>
  <c r="Z399" i="3"/>
  <c r="U400" i="3"/>
  <c r="V400" i="3" s="1"/>
  <c r="P418" i="4" l="1"/>
  <c r="R418" i="4" s="1"/>
  <c r="O419" i="4"/>
  <c r="S420" i="3"/>
  <c r="AC421" i="4"/>
  <c r="AD421" i="4"/>
  <c r="U423" i="4"/>
  <c r="V423" i="4" s="1"/>
  <c r="S424" i="4"/>
  <c r="Z422" i="4"/>
  <c r="N422" i="4"/>
  <c r="AE422" i="4" s="1"/>
  <c r="N400" i="3"/>
  <c r="O400" i="3" s="1"/>
  <c r="P400" i="3" s="1"/>
  <c r="R400" i="3" s="1"/>
  <c r="Z400" i="3"/>
  <c r="U401" i="3"/>
  <c r="V401" i="3" s="1"/>
  <c r="P419" i="4" l="1"/>
  <c r="R419" i="4" s="1"/>
  <c r="O420" i="4"/>
  <c r="AD422" i="4"/>
  <c r="S421" i="3"/>
  <c r="AC422" i="4"/>
  <c r="U424" i="4"/>
  <c r="V424" i="4" s="1"/>
  <c r="S425" i="4"/>
  <c r="Z423" i="4"/>
  <c r="N423" i="4"/>
  <c r="AE423" i="4" s="1"/>
  <c r="N401" i="3"/>
  <c r="O401" i="3" s="1"/>
  <c r="P401" i="3" s="1"/>
  <c r="R401" i="3" s="1"/>
  <c r="Z401" i="3"/>
  <c r="U402" i="3"/>
  <c r="V402" i="3" s="1"/>
  <c r="O421" i="4" l="1"/>
  <c r="P420" i="4"/>
  <c r="R420" i="4" s="1"/>
  <c r="S422" i="3"/>
  <c r="AC423" i="4"/>
  <c r="AD423" i="4"/>
  <c r="Z424" i="4"/>
  <c r="N424" i="4"/>
  <c r="AE424" i="4" s="1"/>
  <c r="U425" i="4"/>
  <c r="V425" i="4" s="1"/>
  <c r="S426" i="4"/>
  <c r="N402" i="3"/>
  <c r="O402" i="3" s="1"/>
  <c r="P402" i="3" s="1"/>
  <c r="R402" i="3" s="1"/>
  <c r="Z402" i="3"/>
  <c r="U403" i="3"/>
  <c r="V403" i="3" s="1"/>
  <c r="S423" i="3" l="1"/>
  <c r="P421" i="4"/>
  <c r="R421" i="4" s="1"/>
  <c r="O422" i="4"/>
  <c r="AC424" i="4"/>
  <c r="AD424" i="4"/>
  <c r="U426" i="4"/>
  <c r="V426" i="4" s="1"/>
  <c r="S427" i="4"/>
  <c r="Z425" i="4"/>
  <c r="N425" i="4"/>
  <c r="AE425" i="4" s="1"/>
  <c r="N403" i="3"/>
  <c r="O403" i="3" s="1"/>
  <c r="P403" i="3" s="1"/>
  <c r="R403" i="3" s="1"/>
  <c r="Z403" i="3"/>
  <c r="U404" i="3"/>
  <c r="V404" i="3" s="1"/>
  <c r="S424" i="3" l="1"/>
  <c r="P422" i="4"/>
  <c r="R422" i="4" s="1"/>
  <c r="O423" i="4"/>
  <c r="AD425" i="4"/>
  <c r="AC425" i="4"/>
  <c r="U427" i="4"/>
  <c r="V427" i="4" s="1"/>
  <c r="S428" i="4"/>
  <c r="Z426" i="4"/>
  <c r="N426" i="4"/>
  <c r="AE426" i="4" s="1"/>
  <c r="N404" i="3"/>
  <c r="O404" i="3" s="1"/>
  <c r="Z404" i="3"/>
  <c r="U405" i="3"/>
  <c r="V405" i="3" s="1"/>
  <c r="O424" i="4" l="1"/>
  <c r="P423" i="4"/>
  <c r="R423" i="4" s="1"/>
  <c r="AC426" i="4"/>
  <c r="AD426" i="4"/>
  <c r="Z427" i="4"/>
  <c r="N427" i="4"/>
  <c r="AE427" i="4" s="1"/>
  <c r="U428" i="4"/>
  <c r="V428" i="4" s="1"/>
  <c r="S429" i="4"/>
  <c r="P404" i="3"/>
  <c r="R404" i="3" s="1"/>
  <c r="S425" i="3" s="1"/>
  <c r="N405" i="3"/>
  <c r="O405" i="3" s="1"/>
  <c r="P405" i="3" s="1"/>
  <c r="R405" i="3" s="1"/>
  <c r="Z405" i="3"/>
  <c r="U406" i="3"/>
  <c r="V406" i="3" s="1"/>
  <c r="P424" i="4" l="1"/>
  <c r="R424" i="4" s="1"/>
  <c r="O425" i="4"/>
  <c r="AC427" i="4"/>
  <c r="AD427" i="4"/>
  <c r="U429" i="4"/>
  <c r="V429" i="4" s="1"/>
  <c r="S430" i="4"/>
  <c r="Z428" i="4"/>
  <c r="N428" i="4"/>
  <c r="AE428" i="4" s="1"/>
  <c r="S426" i="3"/>
  <c r="N406" i="3"/>
  <c r="O406" i="3" s="1"/>
  <c r="P406" i="3" s="1"/>
  <c r="R406" i="3" s="1"/>
  <c r="Z406" i="3"/>
  <c r="U407" i="3"/>
  <c r="V407" i="3" s="1"/>
  <c r="O426" i="4" l="1"/>
  <c r="P425" i="4"/>
  <c r="R425" i="4" s="1"/>
  <c r="AD428" i="4"/>
  <c r="AC428" i="4"/>
  <c r="U430" i="4"/>
  <c r="V430" i="4" s="1"/>
  <c r="S431" i="4"/>
  <c r="Z429" i="4"/>
  <c r="N429" i="4"/>
  <c r="AE429" i="4" s="1"/>
  <c r="S427" i="3"/>
  <c r="N407" i="3"/>
  <c r="O407" i="3" s="1"/>
  <c r="P407" i="3" s="1"/>
  <c r="R407" i="3" s="1"/>
  <c r="Z407" i="3"/>
  <c r="U408" i="3"/>
  <c r="V408" i="3" s="1"/>
  <c r="P426" i="4" l="1"/>
  <c r="R426" i="4" s="1"/>
  <c r="O427" i="4"/>
  <c r="AC429" i="4"/>
  <c r="AD429" i="4"/>
  <c r="Z430" i="4"/>
  <c r="N430" i="4"/>
  <c r="AE430" i="4" s="1"/>
  <c r="U431" i="4"/>
  <c r="V431" i="4" s="1"/>
  <c r="S432" i="4"/>
  <c r="S428" i="3"/>
  <c r="N408" i="3"/>
  <c r="O408" i="3" s="1"/>
  <c r="P408" i="3" s="1"/>
  <c r="R408" i="3" s="1"/>
  <c r="Z408" i="3"/>
  <c r="U409" i="3"/>
  <c r="V409" i="3" s="1"/>
  <c r="P427" i="4" l="1"/>
  <c r="R427" i="4" s="1"/>
  <c r="O428" i="4"/>
  <c r="AC430" i="4"/>
  <c r="AD430" i="4"/>
  <c r="U432" i="4"/>
  <c r="V432" i="4" s="1"/>
  <c r="S433" i="4"/>
  <c r="Z431" i="4"/>
  <c r="N431" i="4"/>
  <c r="AE431" i="4" s="1"/>
  <c r="S429" i="3"/>
  <c r="N409" i="3"/>
  <c r="O409" i="3" s="1"/>
  <c r="P409" i="3" s="1"/>
  <c r="R409" i="3" s="1"/>
  <c r="Z409" i="3"/>
  <c r="U410" i="3"/>
  <c r="V410" i="3" s="1"/>
  <c r="O429" i="4" l="1"/>
  <c r="P428" i="4"/>
  <c r="R428" i="4" s="1"/>
  <c r="AD431" i="4"/>
  <c r="AC431" i="4"/>
  <c r="U433" i="4"/>
  <c r="V433" i="4" s="1"/>
  <c r="S434" i="4"/>
  <c r="Z432" i="4"/>
  <c r="N432" i="4"/>
  <c r="AE432" i="4" s="1"/>
  <c r="S430" i="3"/>
  <c r="N410" i="3"/>
  <c r="O410" i="3" s="1"/>
  <c r="P410" i="3" s="1"/>
  <c r="R410" i="3" s="1"/>
  <c r="Z410" i="3"/>
  <c r="U411" i="3"/>
  <c r="V411" i="3" s="1"/>
  <c r="P429" i="4" l="1"/>
  <c r="R429" i="4" s="1"/>
  <c r="O430" i="4"/>
  <c r="AC432" i="4"/>
  <c r="AD432" i="4"/>
  <c r="Z433" i="4"/>
  <c r="N433" i="4"/>
  <c r="AE433" i="4" s="1"/>
  <c r="U434" i="4"/>
  <c r="V434" i="4" s="1"/>
  <c r="S435" i="4"/>
  <c r="S431" i="3"/>
  <c r="N411" i="3"/>
  <c r="O411" i="3" s="1"/>
  <c r="P411" i="3" s="1"/>
  <c r="R411" i="3" s="1"/>
  <c r="Z411" i="3"/>
  <c r="U412" i="3"/>
  <c r="V412" i="3" s="1"/>
  <c r="P430" i="4" l="1"/>
  <c r="R430" i="4" s="1"/>
  <c r="O431" i="4"/>
  <c r="AC433" i="4"/>
  <c r="AD433" i="4"/>
  <c r="U435" i="4"/>
  <c r="V435" i="4" s="1"/>
  <c r="S436" i="4"/>
  <c r="Z434" i="4"/>
  <c r="N434" i="4"/>
  <c r="AE434" i="4" s="1"/>
  <c r="S432" i="3"/>
  <c r="N412" i="3"/>
  <c r="O412" i="3" s="1"/>
  <c r="Z412" i="3"/>
  <c r="U413" i="3"/>
  <c r="V413" i="3" s="1"/>
  <c r="O432" i="4" l="1"/>
  <c r="P431" i="4"/>
  <c r="R431" i="4" s="1"/>
  <c r="AD434" i="4"/>
  <c r="AC434" i="4"/>
  <c r="U436" i="4"/>
  <c r="V436" i="4" s="1"/>
  <c r="S437" i="4"/>
  <c r="Z435" i="4"/>
  <c r="N435" i="4"/>
  <c r="AE435" i="4" s="1"/>
  <c r="P412" i="3"/>
  <c r="R412" i="3" s="1"/>
  <c r="S433" i="3" s="1"/>
  <c r="N413" i="3"/>
  <c r="O413" i="3" s="1"/>
  <c r="P413" i="3" s="1"/>
  <c r="R413" i="3" s="1"/>
  <c r="Z413" i="3"/>
  <c r="U414" i="3"/>
  <c r="V414" i="3" s="1"/>
  <c r="P432" i="4" l="1"/>
  <c r="R432" i="4" s="1"/>
  <c r="O433" i="4"/>
  <c r="AC435" i="4"/>
  <c r="AD435" i="4"/>
  <c r="S434" i="3"/>
  <c r="Z436" i="4"/>
  <c r="N436" i="4"/>
  <c r="AE436" i="4" s="1"/>
  <c r="U437" i="4"/>
  <c r="V437" i="4" s="1"/>
  <c r="S438" i="4"/>
  <c r="N414" i="3"/>
  <c r="O414" i="3" s="1"/>
  <c r="Z414" i="3"/>
  <c r="U415" i="3"/>
  <c r="V415" i="3" s="1"/>
  <c r="P433" i="4" l="1"/>
  <c r="R433" i="4" s="1"/>
  <c r="O434" i="4"/>
  <c r="AC436" i="4"/>
  <c r="AD436" i="4"/>
  <c r="U438" i="4"/>
  <c r="V438" i="4" s="1"/>
  <c r="S439" i="4"/>
  <c r="Z437" i="4"/>
  <c r="N437" i="4"/>
  <c r="AE437" i="4" s="1"/>
  <c r="P414" i="3"/>
  <c r="R414" i="3" s="1"/>
  <c r="S435" i="3" s="1"/>
  <c r="N415" i="3"/>
  <c r="O415" i="3" s="1"/>
  <c r="P415" i="3" s="1"/>
  <c r="R415" i="3" s="1"/>
  <c r="Z415" i="3"/>
  <c r="U416" i="3"/>
  <c r="V416" i="3" s="1"/>
  <c r="O435" i="4" l="1"/>
  <c r="P434" i="4"/>
  <c r="R434" i="4" s="1"/>
  <c r="AD437" i="4"/>
  <c r="AC437" i="4"/>
  <c r="U439" i="4"/>
  <c r="V439" i="4" s="1"/>
  <c r="S440" i="4"/>
  <c r="Z438" i="4"/>
  <c r="N438" i="4"/>
  <c r="AE438" i="4" s="1"/>
  <c r="S436" i="3"/>
  <c r="N416" i="3"/>
  <c r="O416" i="3" s="1"/>
  <c r="P416" i="3" s="1"/>
  <c r="R416" i="3" s="1"/>
  <c r="Z416" i="3"/>
  <c r="U417" i="3"/>
  <c r="V417" i="3" s="1"/>
  <c r="O436" i="4" l="1"/>
  <c r="P435" i="4"/>
  <c r="R435" i="4" s="1"/>
  <c r="AC438" i="4"/>
  <c r="AD438" i="4"/>
  <c r="Z439" i="4"/>
  <c r="N439" i="4"/>
  <c r="AE439" i="4" s="1"/>
  <c r="U440" i="4"/>
  <c r="V440" i="4" s="1"/>
  <c r="S441" i="4"/>
  <c r="S437" i="3"/>
  <c r="N417" i="3"/>
  <c r="O417" i="3" s="1"/>
  <c r="P417" i="3" s="1"/>
  <c r="R417" i="3" s="1"/>
  <c r="Z417" i="3"/>
  <c r="U418" i="3"/>
  <c r="V418" i="3" s="1"/>
  <c r="P436" i="4" l="1"/>
  <c r="R436" i="4" s="1"/>
  <c r="O437" i="4"/>
  <c r="AC439" i="4"/>
  <c r="AD439" i="4"/>
  <c r="U441" i="4"/>
  <c r="V441" i="4" s="1"/>
  <c r="S442" i="4"/>
  <c r="Z440" i="4"/>
  <c r="N440" i="4"/>
  <c r="AE440" i="4" s="1"/>
  <c r="S438" i="3"/>
  <c r="N418" i="3"/>
  <c r="O418" i="3" s="1"/>
  <c r="P418" i="3" s="1"/>
  <c r="R418" i="3" s="1"/>
  <c r="Z418" i="3"/>
  <c r="U419" i="3"/>
  <c r="V419" i="3" s="1"/>
  <c r="O438" i="4" l="1"/>
  <c r="P437" i="4"/>
  <c r="R437" i="4" s="1"/>
  <c r="AD440" i="4"/>
  <c r="AC440" i="4"/>
  <c r="U442" i="4"/>
  <c r="V442" i="4" s="1"/>
  <c r="S443" i="4"/>
  <c r="Z441" i="4"/>
  <c r="N441" i="4"/>
  <c r="AE441" i="4" s="1"/>
  <c r="S439" i="3"/>
  <c r="N419" i="3"/>
  <c r="O419" i="3" s="1"/>
  <c r="P419" i="3" s="1"/>
  <c r="R419" i="3" s="1"/>
  <c r="Z419" i="3"/>
  <c r="U420" i="3"/>
  <c r="V420" i="3" s="1"/>
  <c r="P438" i="4" l="1"/>
  <c r="R438" i="4" s="1"/>
  <c r="O439" i="4"/>
  <c r="AC441" i="4"/>
  <c r="AD441" i="4"/>
  <c r="Z442" i="4"/>
  <c r="N442" i="4"/>
  <c r="AE442" i="4" s="1"/>
  <c r="U443" i="4"/>
  <c r="V443" i="4" s="1"/>
  <c r="S444" i="4"/>
  <c r="S440" i="3"/>
  <c r="N420" i="3"/>
  <c r="O420" i="3" s="1"/>
  <c r="P420" i="3" s="1"/>
  <c r="R420" i="3" s="1"/>
  <c r="Z420" i="3"/>
  <c r="U421" i="3"/>
  <c r="V421" i="3" s="1"/>
  <c r="P439" i="4" l="1"/>
  <c r="R439" i="4" s="1"/>
  <c r="O440" i="4"/>
  <c r="AC442" i="4"/>
  <c r="AD442" i="4"/>
  <c r="U444" i="4"/>
  <c r="V444" i="4" s="1"/>
  <c r="S445" i="4"/>
  <c r="Z443" i="4"/>
  <c r="N443" i="4"/>
  <c r="AE443" i="4" s="1"/>
  <c r="S441" i="3"/>
  <c r="N421" i="3"/>
  <c r="O421" i="3" s="1"/>
  <c r="P421" i="3" s="1"/>
  <c r="R421" i="3" s="1"/>
  <c r="Z421" i="3"/>
  <c r="U422" i="3"/>
  <c r="V422" i="3" s="1"/>
  <c r="P440" i="4" l="1"/>
  <c r="R440" i="4" s="1"/>
  <c r="O441" i="4"/>
  <c r="AD443" i="4"/>
  <c r="AC443" i="4"/>
  <c r="U445" i="4"/>
  <c r="V445" i="4" s="1"/>
  <c r="S446" i="4"/>
  <c r="Z444" i="4"/>
  <c r="N444" i="4"/>
  <c r="AE444" i="4" s="1"/>
  <c r="S442" i="3"/>
  <c r="N422" i="3"/>
  <c r="O422" i="3" s="1"/>
  <c r="P422" i="3" s="1"/>
  <c r="R422" i="3" s="1"/>
  <c r="Z422" i="3"/>
  <c r="U423" i="3"/>
  <c r="V423" i="3" s="1"/>
  <c r="O442" i="4" l="1"/>
  <c r="P441" i="4"/>
  <c r="R441" i="4" s="1"/>
  <c r="AC444" i="4"/>
  <c r="AD444" i="4"/>
  <c r="Z445" i="4"/>
  <c r="N445" i="4"/>
  <c r="AE445" i="4" s="1"/>
  <c r="U446" i="4"/>
  <c r="V446" i="4" s="1"/>
  <c r="S447" i="4"/>
  <c r="S443" i="3"/>
  <c r="N423" i="3"/>
  <c r="O423" i="3" s="1"/>
  <c r="P423" i="3" s="1"/>
  <c r="R423" i="3" s="1"/>
  <c r="Z423" i="3"/>
  <c r="U424" i="3"/>
  <c r="V424" i="3" s="1"/>
  <c r="P442" i="4" l="1"/>
  <c r="R442" i="4" s="1"/>
  <c r="O443" i="4"/>
  <c r="AC445" i="4"/>
  <c r="AD445" i="4"/>
  <c r="U447" i="4"/>
  <c r="V447" i="4" s="1"/>
  <c r="S448" i="4"/>
  <c r="Z446" i="4"/>
  <c r="N446" i="4"/>
  <c r="AE446" i="4" s="1"/>
  <c r="S444" i="3"/>
  <c r="N424" i="3"/>
  <c r="O424" i="3" s="1"/>
  <c r="P424" i="3" s="1"/>
  <c r="R424" i="3" s="1"/>
  <c r="Z424" i="3"/>
  <c r="U425" i="3"/>
  <c r="V425" i="3" s="1"/>
  <c r="O444" i="4" l="1"/>
  <c r="P443" i="4"/>
  <c r="R443" i="4" s="1"/>
  <c r="AD446" i="4"/>
  <c r="AC446" i="4"/>
  <c r="U448" i="4"/>
  <c r="V448" i="4" s="1"/>
  <c r="S449" i="4"/>
  <c r="Z447" i="4"/>
  <c r="N447" i="4"/>
  <c r="AE447" i="4" s="1"/>
  <c r="S445" i="3"/>
  <c r="N425" i="3"/>
  <c r="O425" i="3" s="1"/>
  <c r="P425" i="3" s="1"/>
  <c r="R425" i="3" s="1"/>
  <c r="Z425" i="3"/>
  <c r="U426" i="3"/>
  <c r="V426" i="3" s="1"/>
  <c r="P444" i="4" l="1"/>
  <c r="R444" i="4" s="1"/>
  <c r="O445" i="4"/>
  <c r="AC447" i="4"/>
  <c r="AD447" i="4"/>
  <c r="Z448" i="4"/>
  <c r="N448" i="4"/>
  <c r="AE448" i="4" s="1"/>
  <c r="U449" i="4"/>
  <c r="V449" i="4" s="1"/>
  <c r="S450" i="4"/>
  <c r="S446" i="3"/>
  <c r="N426" i="3"/>
  <c r="O426" i="3" s="1"/>
  <c r="P426" i="3" s="1"/>
  <c r="R426" i="3" s="1"/>
  <c r="Z426" i="3"/>
  <c r="U427" i="3"/>
  <c r="V427" i="3" s="1"/>
  <c r="P445" i="4" l="1"/>
  <c r="R445" i="4" s="1"/>
  <c r="O446" i="4"/>
  <c r="AC448" i="4"/>
  <c r="AD448" i="4"/>
  <c r="U450" i="4"/>
  <c r="V450" i="4" s="1"/>
  <c r="S451" i="4"/>
  <c r="Z449" i="4"/>
  <c r="N449" i="4"/>
  <c r="AE449" i="4" s="1"/>
  <c r="S447" i="3"/>
  <c r="N427" i="3"/>
  <c r="O427" i="3" s="1"/>
  <c r="P427" i="3" s="1"/>
  <c r="R427" i="3" s="1"/>
  <c r="Z427" i="3"/>
  <c r="U428" i="3"/>
  <c r="V428" i="3" s="1"/>
  <c r="O447" i="4" l="1"/>
  <c r="P446" i="4"/>
  <c r="R446" i="4" s="1"/>
  <c r="AD449" i="4"/>
  <c r="AC449" i="4"/>
  <c r="U451" i="4"/>
  <c r="V451" i="4" s="1"/>
  <c r="S452" i="4"/>
  <c r="Z450" i="4"/>
  <c r="N450" i="4"/>
  <c r="AE450" i="4" s="1"/>
  <c r="S448" i="3"/>
  <c r="N428" i="3"/>
  <c r="O428" i="3" s="1"/>
  <c r="P428" i="3" s="1"/>
  <c r="R428" i="3" s="1"/>
  <c r="Z428" i="3"/>
  <c r="U429" i="3"/>
  <c r="V429" i="3" s="1"/>
  <c r="P447" i="4" l="1"/>
  <c r="R447" i="4" s="1"/>
  <c r="O448" i="4"/>
  <c r="AC450" i="4"/>
  <c r="AD450" i="4"/>
  <c r="Z451" i="4"/>
  <c r="N451" i="4"/>
  <c r="AE451" i="4" s="1"/>
  <c r="U452" i="4"/>
  <c r="V452" i="4" s="1"/>
  <c r="S453" i="4"/>
  <c r="S449" i="3"/>
  <c r="N429" i="3"/>
  <c r="O429" i="3" s="1"/>
  <c r="P429" i="3" s="1"/>
  <c r="R429" i="3" s="1"/>
  <c r="Z429" i="3"/>
  <c r="U430" i="3"/>
  <c r="V430" i="3" s="1"/>
  <c r="P448" i="4" l="1"/>
  <c r="R448" i="4" s="1"/>
  <c r="O449" i="4"/>
  <c r="AC451" i="4"/>
  <c r="AD451" i="4"/>
  <c r="U453" i="4"/>
  <c r="V453" i="4" s="1"/>
  <c r="S454" i="4"/>
  <c r="Z452" i="4"/>
  <c r="N452" i="4"/>
  <c r="AE452" i="4" s="1"/>
  <c r="S450" i="3"/>
  <c r="N430" i="3"/>
  <c r="O430" i="3" s="1"/>
  <c r="Z430" i="3"/>
  <c r="U431" i="3"/>
  <c r="V431" i="3" s="1"/>
  <c r="O450" i="4" l="1"/>
  <c r="P449" i="4"/>
  <c r="R449" i="4" s="1"/>
  <c r="AD452" i="4"/>
  <c r="AC452" i="4"/>
  <c r="U454" i="4"/>
  <c r="V454" i="4" s="1"/>
  <c r="S455" i="4"/>
  <c r="Z453" i="4"/>
  <c r="N453" i="4"/>
  <c r="AE453" i="4" s="1"/>
  <c r="P430" i="3"/>
  <c r="R430" i="3" s="1"/>
  <c r="S451" i="3" s="1"/>
  <c r="N431" i="3"/>
  <c r="O431" i="3" s="1"/>
  <c r="P431" i="3" s="1"/>
  <c r="R431" i="3" s="1"/>
  <c r="Z431" i="3"/>
  <c r="U432" i="3"/>
  <c r="V432" i="3" s="1"/>
  <c r="O451" i="4" l="1"/>
  <c r="P450" i="4"/>
  <c r="R450" i="4" s="1"/>
  <c r="AC453" i="4"/>
  <c r="AD453" i="4"/>
  <c r="S452" i="3"/>
  <c r="Z454" i="4"/>
  <c r="N454" i="4"/>
  <c r="AE454" i="4" s="1"/>
  <c r="U455" i="4"/>
  <c r="V455" i="4" s="1"/>
  <c r="S456" i="4"/>
  <c r="N432" i="3"/>
  <c r="O432" i="3" s="1"/>
  <c r="P432" i="3" s="1"/>
  <c r="R432" i="3" s="1"/>
  <c r="Z432" i="3"/>
  <c r="U433" i="3"/>
  <c r="V433" i="3" s="1"/>
  <c r="P451" i="4" l="1"/>
  <c r="R451" i="4" s="1"/>
  <c r="O452" i="4"/>
  <c r="AC454" i="4"/>
  <c r="AD454" i="4"/>
  <c r="S453" i="3"/>
  <c r="U456" i="4"/>
  <c r="V456" i="4" s="1"/>
  <c r="S457" i="4"/>
  <c r="Z455" i="4"/>
  <c r="N455" i="4"/>
  <c r="AE455" i="4" s="1"/>
  <c r="N433" i="3"/>
  <c r="O433" i="3" s="1"/>
  <c r="P433" i="3" s="1"/>
  <c r="R433" i="3" s="1"/>
  <c r="Z433" i="3"/>
  <c r="U434" i="3"/>
  <c r="V434" i="3" s="1"/>
  <c r="O453" i="4" l="1"/>
  <c r="P452" i="4"/>
  <c r="R452" i="4" s="1"/>
  <c r="S454" i="3"/>
  <c r="AD455" i="4"/>
  <c r="AC455" i="4"/>
  <c r="U457" i="4"/>
  <c r="V457" i="4" s="1"/>
  <c r="S458" i="4"/>
  <c r="Z456" i="4"/>
  <c r="N456" i="4"/>
  <c r="AE456" i="4" s="1"/>
  <c r="N434" i="3"/>
  <c r="O434" i="3" s="1"/>
  <c r="Z434" i="3"/>
  <c r="U435" i="3"/>
  <c r="V435" i="3" s="1"/>
  <c r="P453" i="4" l="1"/>
  <c r="R453" i="4" s="1"/>
  <c r="O454" i="4"/>
  <c r="AC456" i="4"/>
  <c r="AD456" i="4"/>
  <c r="Z457" i="4"/>
  <c r="N457" i="4"/>
  <c r="AE457" i="4" s="1"/>
  <c r="U458" i="4"/>
  <c r="V458" i="4" s="1"/>
  <c r="S459" i="4"/>
  <c r="P434" i="3"/>
  <c r="R434" i="3" s="1"/>
  <c r="S455" i="3" s="1"/>
  <c r="N435" i="3"/>
  <c r="O435" i="3" s="1"/>
  <c r="P435" i="3" s="1"/>
  <c r="R435" i="3" s="1"/>
  <c r="Z435" i="3"/>
  <c r="U436" i="3"/>
  <c r="V436" i="3" s="1"/>
  <c r="P454" i="4" l="1"/>
  <c r="R454" i="4" s="1"/>
  <c r="O455" i="4"/>
  <c r="AC457" i="4"/>
  <c r="AD457" i="4"/>
  <c r="U459" i="4"/>
  <c r="V459" i="4" s="1"/>
  <c r="S460" i="4"/>
  <c r="Z458" i="4"/>
  <c r="N458" i="4"/>
  <c r="AE458" i="4" s="1"/>
  <c r="S456" i="3"/>
  <c r="N436" i="3"/>
  <c r="O436" i="3" s="1"/>
  <c r="P436" i="3" s="1"/>
  <c r="R436" i="3" s="1"/>
  <c r="Z436" i="3"/>
  <c r="U437" i="3"/>
  <c r="V437" i="3" s="1"/>
  <c r="O456" i="4" l="1"/>
  <c r="P455" i="4"/>
  <c r="R455" i="4" s="1"/>
  <c r="AD458" i="4"/>
  <c r="AC458" i="4"/>
  <c r="U460" i="4"/>
  <c r="V460" i="4" s="1"/>
  <c r="S461" i="4"/>
  <c r="Z459" i="4"/>
  <c r="N459" i="4"/>
  <c r="AE459" i="4" s="1"/>
  <c r="S457" i="3"/>
  <c r="N437" i="3"/>
  <c r="O437" i="3" s="1"/>
  <c r="P437" i="3" s="1"/>
  <c r="R437" i="3" s="1"/>
  <c r="Z437" i="3"/>
  <c r="U438" i="3"/>
  <c r="V438" i="3" s="1"/>
  <c r="P456" i="4" l="1"/>
  <c r="R456" i="4" s="1"/>
  <c r="O457" i="4"/>
  <c r="AC459" i="4"/>
  <c r="AD459" i="4"/>
  <c r="Z460" i="4"/>
  <c r="N460" i="4"/>
  <c r="AE460" i="4" s="1"/>
  <c r="U461" i="4"/>
  <c r="V461" i="4" s="1"/>
  <c r="S462" i="4"/>
  <c r="S458" i="3"/>
  <c r="N438" i="3"/>
  <c r="O438" i="3" s="1"/>
  <c r="P438" i="3" s="1"/>
  <c r="R438" i="3" s="1"/>
  <c r="Z438" i="3"/>
  <c r="U439" i="3"/>
  <c r="V439" i="3" s="1"/>
  <c r="P457" i="4" l="1"/>
  <c r="R457" i="4" s="1"/>
  <c r="O458" i="4"/>
  <c r="AC460" i="4"/>
  <c r="AD460" i="4"/>
  <c r="U462" i="4"/>
  <c r="V462" i="4" s="1"/>
  <c r="S463" i="4"/>
  <c r="Z461" i="4"/>
  <c r="N461" i="4"/>
  <c r="AE461" i="4" s="1"/>
  <c r="S459" i="3"/>
  <c r="N439" i="3"/>
  <c r="O439" i="3" s="1"/>
  <c r="P439" i="3" s="1"/>
  <c r="R439" i="3" s="1"/>
  <c r="Z439" i="3"/>
  <c r="U440" i="3"/>
  <c r="V440" i="3" s="1"/>
  <c r="O459" i="4" l="1"/>
  <c r="P458" i="4"/>
  <c r="R458" i="4" s="1"/>
  <c r="AD461" i="4"/>
  <c r="AC461" i="4"/>
  <c r="U463" i="4"/>
  <c r="V463" i="4" s="1"/>
  <c r="S464" i="4"/>
  <c r="Z462" i="4"/>
  <c r="N462" i="4"/>
  <c r="AE462" i="4" s="1"/>
  <c r="S460" i="3"/>
  <c r="N440" i="3"/>
  <c r="O440" i="3" s="1"/>
  <c r="Z440" i="3"/>
  <c r="U441" i="3"/>
  <c r="V441" i="3" s="1"/>
  <c r="P459" i="4" l="1"/>
  <c r="R459" i="4" s="1"/>
  <c r="O460" i="4"/>
  <c r="AC462" i="4"/>
  <c r="AD462" i="4"/>
  <c r="Z463" i="4"/>
  <c r="N463" i="4"/>
  <c r="AE463" i="4" s="1"/>
  <c r="U464" i="4"/>
  <c r="V464" i="4" s="1"/>
  <c r="S465" i="4"/>
  <c r="P440" i="3"/>
  <c r="R440" i="3" s="1"/>
  <c r="S461" i="3" s="1"/>
  <c r="N441" i="3"/>
  <c r="O441" i="3" s="1"/>
  <c r="P441" i="3" s="1"/>
  <c r="R441" i="3" s="1"/>
  <c r="Z441" i="3"/>
  <c r="U442" i="3"/>
  <c r="V442" i="3" s="1"/>
  <c r="P460" i="4" l="1"/>
  <c r="R460" i="4" s="1"/>
  <c r="O461" i="4"/>
  <c r="AC463" i="4"/>
  <c r="AD463" i="4"/>
  <c r="S462" i="3"/>
  <c r="U465" i="4"/>
  <c r="V465" i="4" s="1"/>
  <c r="S466" i="4"/>
  <c r="Z464" i="4"/>
  <c r="N464" i="4"/>
  <c r="AE464" i="4" s="1"/>
  <c r="N442" i="3"/>
  <c r="O442" i="3" s="1"/>
  <c r="P442" i="3" s="1"/>
  <c r="R442" i="3" s="1"/>
  <c r="Z442" i="3"/>
  <c r="U443" i="3"/>
  <c r="V443" i="3" s="1"/>
  <c r="O462" i="4" l="1"/>
  <c r="P461" i="4"/>
  <c r="R461" i="4" s="1"/>
  <c r="AD464" i="4"/>
  <c r="S463" i="3"/>
  <c r="AC464" i="4"/>
  <c r="U466" i="4"/>
  <c r="V466" i="4" s="1"/>
  <c r="S467" i="4"/>
  <c r="Z465" i="4"/>
  <c r="N465" i="4"/>
  <c r="AE465" i="4" s="1"/>
  <c r="N443" i="3"/>
  <c r="O443" i="3" s="1"/>
  <c r="P443" i="3" s="1"/>
  <c r="R443" i="3" s="1"/>
  <c r="Z443" i="3"/>
  <c r="U444" i="3"/>
  <c r="V444" i="3" s="1"/>
  <c r="P462" i="4" l="1"/>
  <c r="R462" i="4" s="1"/>
  <c r="O463" i="4"/>
  <c r="S464" i="3"/>
  <c r="AC465" i="4"/>
  <c r="AD465" i="4"/>
  <c r="Z466" i="4"/>
  <c r="N466" i="4"/>
  <c r="AE466" i="4" s="1"/>
  <c r="U467" i="4"/>
  <c r="V467" i="4" s="1"/>
  <c r="S468" i="4"/>
  <c r="N444" i="3"/>
  <c r="O444" i="3" s="1"/>
  <c r="Z444" i="3"/>
  <c r="U445" i="3"/>
  <c r="V445" i="3" s="1"/>
  <c r="P463" i="4" l="1"/>
  <c r="R463" i="4" s="1"/>
  <c r="O464" i="4"/>
  <c r="AC466" i="4"/>
  <c r="AD466" i="4"/>
  <c r="U468" i="4"/>
  <c r="V468" i="4" s="1"/>
  <c r="S469" i="4"/>
  <c r="Z467" i="4"/>
  <c r="N467" i="4"/>
  <c r="AE467" i="4" s="1"/>
  <c r="P444" i="3"/>
  <c r="R444" i="3" s="1"/>
  <c r="S465" i="3" s="1"/>
  <c r="N445" i="3"/>
  <c r="O445" i="3" s="1"/>
  <c r="P445" i="3" s="1"/>
  <c r="R445" i="3" s="1"/>
  <c r="Z445" i="3"/>
  <c r="U446" i="3"/>
  <c r="V446" i="3" s="1"/>
  <c r="P464" i="4" l="1"/>
  <c r="R464" i="4" s="1"/>
  <c r="O465" i="4"/>
  <c r="AD467" i="4"/>
  <c r="AC467" i="4"/>
  <c r="U469" i="4"/>
  <c r="V469" i="4" s="1"/>
  <c r="S470" i="4"/>
  <c r="Z468" i="4"/>
  <c r="N468" i="4"/>
  <c r="AE468" i="4" s="1"/>
  <c r="S466" i="3"/>
  <c r="N446" i="3"/>
  <c r="O446" i="3" s="1"/>
  <c r="P446" i="3" s="1"/>
  <c r="R446" i="3" s="1"/>
  <c r="Z446" i="3"/>
  <c r="U447" i="3"/>
  <c r="V447" i="3" s="1"/>
  <c r="O466" i="4" l="1"/>
  <c r="P465" i="4"/>
  <c r="R465" i="4" s="1"/>
  <c r="AC468" i="4"/>
  <c r="AD468" i="4"/>
  <c r="Z469" i="4"/>
  <c r="N469" i="4"/>
  <c r="AE469" i="4" s="1"/>
  <c r="U470" i="4"/>
  <c r="V470" i="4" s="1"/>
  <c r="S471" i="4"/>
  <c r="S467" i="3"/>
  <c r="N447" i="3"/>
  <c r="O447" i="3" s="1"/>
  <c r="P447" i="3" s="1"/>
  <c r="R447" i="3" s="1"/>
  <c r="Z447" i="3"/>
  <c r="U448" i="3"/>
  <c r="V448" i="3" s="1"/>
  <c r="P466" i="4" l="1"/>
  <c r="R466" i="4" s="1"/>
  <c r="O467" i="4"/>
  <c r="AC469" i="4"/>
  <c r="AD469" i="4"/>
  <c r="U471" i="4"/>
  <c r="V471" i="4" s="1"/>
  <c r="S472" i="4"/>
  <c r="Z470" i="4"/>
  <c r="N470" i="4"/>
  <c r="AE470" i="4" s="1"/>
  <c r="S468" i="3"/>
  <c r="N448" i="3"/>
  <c r="O448" i="3" s="1"/>
  <c r="P448" i="3" s="1"/>
  <c r="R448" i="3" s="1"/>
  <c r="Z448" i="3"/>
  <c r="U449" i="3"/>
  <c r="V449" i="3" s="1"/>
  <c r="O468" i="4" l="1"/>
  <c r="P467" i="4"/>
  <c r="R467" i="4" s="1"/>
  <c r="AD470" i="4"/>
  <c r="AC470" i="4"/>
  <c r="U472" i="4"/>
  <c r="V472" i="4" s="1"/>
  <c r="S473" i="4"/>
  <c r="Z471" i="4"/>
  <c r="N471" i="4"/>
  <c r="AE471" i="4" s="1"/>
  <c r="S469" i="3"/>
  <c r="N449" i="3"/>
  <c r="O449" i="3" s="1"/>
  <c r="P449" i="3" s="1"/>
  <c r="R449" i="3" s="1"/>
  <c r="Z449" i="3"/>
  <c r="U450" i="3"/>
  <c r="V450" i="3" s="1"/>
  <c r="P468" i="4" l="1"/>
  <c r="R468" i="4" s="1"/>
  <c r="O469" i="4"/>
  <c r="AC471" i="4"/>
  <c r="AD471" i="4"/>
  <c r="Z472" i="4"/>
  <c r="N472" i="4"/>
  <c r="AE472" i="4" s="1"/>
  <c r="U473" i="4"/>
  <c r="V473" i="4" s="1"/>
  <c r="S474" i="4"/>
  <c r="S470" i="3"/>
  <c r="N450" i="3"/>
  <c r="O450" i="3" s="1"/>
  <c r="P450" i="3" s="1"/>
  <c r="R450" i="3" s="1"/>
  <c r="Z450" i="3"/>
  <c r="U451" i="3"/>
  <c r="V451" i="3" s="1"/>
  <c r="P469" i="4" l="1"/>
  <c r="R469" i="4" s="1"/>
  <c r="O470" i="4"/>
  <c r="AC472" i="4"/>
  <c r="AD472" i="4"/>
  <c r="U474" i="4"/>
  <c r="V474" i="4" s="1"/>
  <c r="S475" i="4"/>
  <c r="Z473" i="4"/>
  <c r="N473" i="4"/>
  <c r="AE473" i="4" s="1"/>
  <c r="S471" i="3"/>
  <c r="N451" i="3"/>
  <c r="O451" i="3" s="1"/>
  <c r="P451" i="3" s="1"/>
  <c r="R451" i="3" s="1"/>
  <c r="Z451" i="3"/>
  <c r="U452" i="3"/>
  <c r="V452" i="3" s="1"/>
  <c r="P470" i="4" l="1"/>
  <c r="R470" i="4" s="1"/>
  <c r="O471" i="4"/>
  <c r="AD473" i="4"/>
  <c r="AC473" i="4"/>
  <c r="U475" i="4"/>
  <c r="V475" i="4" s="1"/>
  <c r="S476" i="4"/>
  <c r="Z474" i="4"/>
  <c r="N474" i="4"/>
  <c r="AE474" i="4" s="1"/>
  <c r="S472" i="3"/>
  <c r="N452" i="3"/>
  <c r="O452" i="3" s="1"/>
  <c r="P452" i="3" s="1"/>
  <c r="R452" i="3" s="1"/>
  <c r="Z452" i="3"/>
  <c r="U453" i="3"/>
  <c r="V453" i="3" s="1"/>
  <c r="O472" i="4" l="1"/>
  <c r="P471" i="4"/>
  <c r="R471" i="4" s="1"/>
  <c r="AC474" i="4"/>
  <c r="AD474" i="4"/>
  <c r="Z475" i="4"/>
  <c r="N475" i="4"/>
  <c r="AE475" i="4" s="1"/>
  <c r="U476" i="4"/>
  <c r="V476" i="4" s="1"/>
  <c r="S477" i="4"/>
  <c r="S473" i="3"/>
  <c r="N453" i="3"/>
  <c r="O453" i="3" s="1"/>
  <c r="P453" i="3" s="1"/>
  <c r="R453" i="3" s="1"/>
  <c r="Z453" i="3"/>
  <c r="U454" i="3"/>
  <c r="V454" i="3" s="1"/>
  <c r="P472" i="4" l="1"/>
  <c r="R472" i="4" s="1"/>
  <c r="O473" i="4"/>
  <c r="AC475" i="4"/>
  <c r="AD475" i="4"/>
  <c r="U477" i="4"/>
  <c r="V477" i="4" s="1"/>
  <c r="S478" i="4"/>
  <c r="Z476" i="4"/>
  <c r="N476" i="4"/>
  <c r="AE476" i="4" s="1"/>
  <c r="S474" i="3"/>
  <c r="N454" i="3"/>
  <c r="O454" i="3" s="1"/>
  <c r="P454" i="3" s="1"/>
  <c r="R454" i="3" s="1"/>
  <c r="Z454" i="3"/>
  <c r="U455" i="3"/>
  <c r="V455" i="3" s="1"/>
  <c r="P473" i="4" l="1"/>
  <c r="R473" i="4" s="1"/>
  <c r="O474" i="4"/>
  <c r="AD476" i="4"/>
  <c r="AC476" i="4"/>
  <c r="U478" i="4"/>
  <c r="V478" i="4" s="1"/>
  <c r="S479" i="4"/>
  <c r="Z477" i="4"/>
  <c r="N477" i="4"/>
  <c r="AE477" i="4" s="1"/>
  <c r="S475" i="3"/>
  <c r="N455" i="3"/>
  <c r="O455" i="3" s="1"/>
  <c r="P455" i="3" s="1"/>
  <c r="R455" i="3" s="1"/>
  <c r="Z455" i="3"/>
  <c r="U456" i="3"/>
  <c r="V456" i="3" s="1"/>
  <c r="O475" i="4" l="1"/>
  <c r="P474" i="4"/>
  <c r="R474" i="4" s="1"/>
  <c r="AC477" i="4"/>
  <c r="AD477" i="4"/>
  <c r="Z478" i="4"/>
  <c r="N478" i="4"/>
  <c r="AE478" i="4" s="1"/>
  <c r="U479" i="4"/>
  <c r="V479" i="4" s="1"/>
  <c r="S480" i="4"/>
  <c r="S476" i="3"/>
  <c r="N456" i="3"/>
  <c r="O456" i="3" s="1"/>
  <c r="P456" i="3" s="1"/>
  <c r="R456" i="3" s="1"/>
  <c r="Z456" i="3"/>
  <c r="U457" i="3"/>
  <c r="V457" i="3" s="1"/>
  <c r="P475" i="4" l="1"/>
  <c r="R475" i="4" s="1"/>
  <c r="O476" i="4"/>
  <c r="AC478" i="4"/>
  <c r="AD478" i="4"/>
  <c r="U480" i="4"/>
  <c r="V480" i="4" s="1"/>
  <c r="S481" i="4"/>
  <c r="Z479" i="4"/>
  <c r="N479" i="4"/>
  <c r="AE479" i="4" s="1"/>
  <c r="S477" i="3"/>
  <c r="N457" i="3"/>
  <c r="O457" i="3" s="1"/>
  <c r="P457" i="3" s="1"/>
  <c r="R457" i="3" s="1"/>
  <c r="Z457" i="3"/>
  <c r="U458" i="3"/>
  <c r="V458" i="3" s="1"/>
  <c r="O477" i="4" l="1"/>
  <c r="P476" i="4"/>
  <c r="R476" i="4" s="1"/>
  <c r="AD479" i="4"/>
  <c r="AC479" i="4"/>
  <c r="U481" i="4"/>
  <c r="V481" i="4" s="1"/>
  <c r="S482" i="4"/>
  <c r="Z480" i="4"/>
  <c r="N480" i="4"/>
  <c r="AE480" i="4" s="1"/>
  <c r="S478" i="3"/>
  <c r="N458" i="3"/>
  <c r="O458" i="3" s="1"/>
  <c r="Z458" i="3"/>
  <c r="U459" i="3"/>
  <c r="V459" i="3" s="1"/>
  <c r="P477" i="4" l="1"/>
  <c r="R477" i="4" s="1"/>
  <c r="O478" i="4"/>
  <c r="AC480" i="4"/>
  <c r="AD480" i="4"/>
  <c r="Z481" i="4"/>
  <c r="N481" i="4"/>
  <c r="AE481" i="4" s="1"/>
  <c r="U482" i="4"/>
  <c r="V482" i="4" s="1"/>
  <c r="S483" i="4"/>
  <c r="P458" i="3"/>
  <c r="R458" i="3" s="1"/>
  <c r="S479" i="3" s="1"/>
  <c r="N459" i="3"/>
  <c r="O459" i="3" s="1"/>
  <c r="P459" i="3" s="1"/>
  <c r="R459" i="3" s="1"/>
  <c r="Z459" i="3"/>
  <c r="U460" i="3"/>
  <c r="V460" i="3" s="1"/>
  <c r="P478" i="4" l="1"/>
  <c r="R478" i="4" s="1"/>
  <c r="O479" i="4"/>
  <c r="AC481" i="4"/>
  <c r="AD481" i="4"/>
  <c r="S480" i="3"/>
  <c r="U483" i="4"/>
  <c r="V483" i="4" s="1"/>
  <c r="S484" i="4"/>
  <c r="Z482" i="4"/>
  <c r="N482" i="4"/>
  <c r="AE482" i="4" s="1"/>
  <c r="N460" i="3"/>
  <c r="O460" i="3" s="1"/>
  <c r="P460" i="3" s="1"/>
  <c r="R460" i="3" s="1"/>
  <c r="Z460" i="3"/>
  <c r="U461" i="3"/>
  <c r="V461" i="3" s="1"/>
  <c r="O480" i="4" l="1"/>
  <c r="P479" i="4"/>
  <c r="R479" i="4" s="1"/>
  <c r="AD482" i="4"/>
  <c r="AC482" i="4"/>
  <c r="S481" i="3"/>
  <c r="U484" i="4"/>
  <c r="V484" i="4" s="1"/>
  <c r="S485" i="4"/>
  <c r="Z483" i="4"/>
  <c r="N483" i="4"/>
  <c r="AE483" i="4" s="1"/>
  <c r="N461" i="3"/>
  <c r="O461" i="3" s="1"/>
  <c r="P461" i="3" s="1"/>
  <c r="R461" i="3" s="1"/>
  <c r="Z461" i="3"/>
  <c r="U462" i="3"/>
  <c r="V462" i="3" s="1"/>
  <c r="P480" i="4" l="1"/>
  <c r="R480" i="4" s="1"/>
  <c r="O481" i="4"/>
  <c r="S482" i="3"/>
  <c r="AC483" i="4"/>
  <c r="AD483" i="4"/>
  <c r="Z484" i="4"/>
  <c r="N484" i="4"/>
  <c r="AE484" i="4" s="1"/>
  <c r="U485" i="4"/>
  <c r="V485" i="4" s="1"/>
  <c r="S486" i="4"/>
  <c r="N462" i="3"/>
  <c r="O462" i="3" s="1"/>
  <c r="P462" i="3" s="1"/>
  <c r="R462" i="3" s="1"/>
  <c r="Z462" i="3"/>
  <c r="U463" i="3"/>
  <c r="V463" i="3" s="1"/>
  <c r="S483" i="3" l="1"/>
  <c r="P481" i="4"/>
  <c r="R481" i="4" s="1"/>
  <c r="O482" i="4"/>
  <c r="AC484" i="4"/>
  <c r="AD484" i="4"/>
  <c r="U486" i="4"/>
  <c r="V486" i="4" s="1"/>
  <c r="S487" i="4"/>
  <c r="Z485" i="4"/>
  <c r="N485" i="4"/>
  <c r="AE485" i="4" s="1"/>
  <c r="N463" i="3"/>
  <c r="O463" i="3" s="1"/>
  <c r="P463" i="3" s="1"/>
  <c r="R463" i="3" s="1"/>
  <c r="Z463" i="3"/>
  <c r="U464" i="3"/>
  <c r="V464" i="3" s="1"/>
  <c r="S484" i="3" l="1"/>
  <c r="P482" i="4"/>
  <c r="R482" i="4" s="1"/>
  <c r="O483" i="4"/>
  <c r="AD485" i="4"/>
  <c r="AC485" i="4"/>
  <c r="U487" i="4"/>
  <c r="V487" i="4" s="1"/>
  <c r="S488" i="4"/>
  <c r="Z486" i="4"/>
  <c r="N486" i="4"/>
  <c r="AE486" i="4" s="1"/>
  <c r="N464" i="3"/>
  <c r="O464" i="3" s="1"/>
  <c r="Z464" i="3"/>
  <c r="U465" i="3"/>
  <c r="V465" i="3" s="1"/>
  <c r="P483" i="4" l="1"/>
  <c r="R483" i="4" s="1"/>
  <c r="O484" i="4"/>
  <c r="AC486" i="4"/>
  <c r="AD486" i="4"/>
  <c r="Z487" i="4"/>
  <c r="N487" i="4"/>
  <c r="AE487" i="4" s="1"/>
  <c r="U488" i="4"/>
  <c r="V488" i="4" s="1"/>
  <c r="S489" i="4"/>
  <c r="P464" i="3"/>
  <c r="R464" i="3" s="1"/>
  <c r="S485" i="3" s="1"/>
  <c r="N465" i="3"/>
  <c r="O465" i="3" s="1"/>
  <c r="P465" i="3" s="1"/>
  <c r="R465" i="3" s="1"/>
  <c r="Z465" i="3"/>
  <c r="U466" i="3"/>
  <c r="V466" i="3" s="1"/>
  <c r="P484" i="4" l="1"/>
  <c r="R484" i="4" s="1"/>
  <c r="O485" i="4"/>
  <c r="AC487" i="4"/>
  <c r="AD487" i="4"/>
  <c r="U489" i="4"/>
  <c r="V489" i="4" s="1"/>
  <c r="S490" i="4"/>
  <c r="Z488" i="4"/>
  <c r="N488" i="4"/>
  <c r="AE488" i="4" s="1"/>
  <c r="S486" i="3"/>
  <c r="N466" i="3"/>
  <c r="O466" i="3" s="1"/>
  <c r="Z466" i="3"/>
  <c r="U467" i="3"/>
  <c r="V467" i="3" s="1"/>
  <c r="O486" i="4" l="1"/>
  <c r="P485" i="4"/>
  <c r="R485" i="4" s="1"/>
  <c r="AD488" i="4"/>
  <c r="AC488" i="4"/>
  <c r="U490" i="4"/>
  <c r="V490" i="4" s="1"/>
  <c r="S491" i="4"/>
  <c r="Z489" i="4"/>
  <c r="N489" i="4"/>
  <c r="AE489" i="4" s="1"/>
  <c r="P466" i="3"/>
  <c r="R466" i="3" s="1"/>
  <c r="S487" i="3" s="1"/>
  <c r="N467" i="3"/>
  <c r="O467" i="3" s="1"/>
  <c r="P467" i="3" s="1"/>
  <c r="R467" i="3" s="1"/>
  <c r="Z467" i="3"/>
  <c r="U468" i="3"/>
  <c r="V468" i="3" s="1"/>
  <c r="O487" i="4" l="1"/>
  <c r="P486" i="4"/>
  <c r="R486" i="4" s="1"/>
  <c r="AC489" i="4"/>
  <c r="AD489" i="4"/>
  <c r="S488" i="3"/>
  <c r="Z490" i="4"/>
  <c r="N490" i="4"/>
  <c r="AE490" i="4" s="1"/>
  <c r="U491" i="4"/>
  <c r="V491" i="4" s="1"/>
  <c r="S492" i="4"/>
  <c r="N468" i="3"/>
  <c r="O468" i="3" s="1"/>
  <c r="P468" i="3" s="1"/>
  <c r="R468" i="3" s="1"/>
  <c r="Z468" i="3"/>
  <c r="U469" i="3"/>
  <c r="V469" i="3" s="1"/>
  <c r="P487" i="4" l="1"/>
  <c r="R487" i="4" s="1"/>
  <c r="O488" i="4"/>
  <c r="S489" i="3"/>
  <c r="AC490" i="4"/>
  <c r="AD490" i="4"/>
  <c r="U492" i="4"/>
  <c r="V492" i="4" s="1"/>
  <c r="S493" i="4"/>
  <c r="Z491" i="4"/>
  <c r="N491" i="4"/>
  <c r="AE491" i="4" s="1"/>
  <c r="N469" i="3"/>
  <c r="O469" i="3" s="1"/>
  <c r="P469" i="3" s="1"/>
  <c r="R469" i="3" s="1"/>
  <c r="Z469" i="3"/>
  <c r="U470" i="3"/>
  <c r="V470" i="3" s="1"/>
  <c r="O489" i="4" l="1"/>
  <c r="P488" i="4"/>
  <c r="R488" i="4" s="1"/>
  <c r="AD491" i="4"/>
  <c r="S490" i="3"/>
  <c r="AC491" i="4"/>
  <c r="U493" i="4"/>
  <c r="V493" i="4" s="1"/>
  <c r="S494" i="4"/>
  <c r="Z492" i="4"/>
  <c r="N492" i="4"/>
  <c r="AE492" i="4" s="1"/>
  <c r="N470" i="3"/>
  <c r="O470" i="3" s="1"/>
  <c r="Z470" i="3"/>
  <c r="U471" i="3"/>
  <c r="V471" i="3" s="1"/>
  <c r="O490" i="4" l="1"/>
  <c r="P489" i="4"/>
  <c r="R489" i="4" s="1"/>
  <c r="AC492" i="4"/>
  <c r="AD492" i="4"/>
  <c r="Z493" i="4"/>
  <c r="N493" i="4"/>
  <c r="AE493" i="4" s="1"/>
  <c r="U494" i="4"/>
  <c r="V494" i="4" s="1"/>
  <c r="S495" i="4"/>
  <c r="P470" i="3"/>
  <c r="R470" i="3" s="1"/>
  <c r="S491" i="3" s="1"/>
  <c r="N471" i="3"/>
  <c r="O471" i="3" s="1"/>
  <c r="P471" i="3" s="1"/>
  <c r="R471" i="3" s="1"/>
  <c r="Z471" i="3"/>
  <c r="U472" i="3"/>
  <c r="V472" i="3" s="1"/>
  <c r="P490" i="4" l="1"/>
  <c r="R490" i="4" s="1"/>
  <c r="O491" i="4"/>
  <c r="AC493" i="4"/>
  <c r="AD493" i="4"/>
  <c r="U495" i="4"/>
  <c r="V495" i="4" s="1"/>
  <c r="S496" i="4"/>
  <c r="Z494" i="4"/>
  <c r="N494" i="4"/>
  <c r="AE494" i="4" s="1"/>
  <c r="S492" i="3"/>
  <c r="N472" i="3"/>
  <c r="O472" i="3" s="1"/>
  <c r="P472" i="3" s="1"/>
  <c r="R472" i="3" s="1"/>
  <c r="Z472" i="3"/>
  <c r="U473" i="3"/>
  <c r="V473" i="3" s="1"/>
  <c r="P491" i="4" l="1"/>
  <c r="R491" i="4" s="1"/>
  <c r="O492" i="4"/>
  <c r="AD494" i="4"/>
  <c r="AC494" i="4"/>
  <c r="U496" i="4"/>
  <c r="V496" i="4" s="1"/>
  <c r="S497" i="4"/>
  <c r="Z495" i="4"/>
  <c r="N495" i="4"/>
  <c r="AE495" i="4" s="1"/>
  <c r="S493" i="3"/>
  <c r="N473" i="3"/>
  <c r="O473" i="3" s="1"/>
  <c r="P473" i="3" s="1"/>
  <c r="R473" i="3" s="1"/>
  <c r="Z473" i="3"/>
  <c r="U474" i="3"/>
  <c r="V474" i="3" s="1"/>
  <c r="O493" i="4" l="1"/>
  <c r="P492" i="4"/>
  <c r="R492" i="4" s="1"/>
  <c r="AC495" i="4"/>
  <c r="AD495" i="4"/>
  <c r="Z496" i="4"/>
  <c r="N496" i="4"/>
  <c r="AE496" i="4" s="1"/>
  <c r="U497" i="4"/>
  <c r="V497" i="4" s="1"/>
  <c r="S498" i="4"/>
  <c r="S494" i="3"/>
  <c r="N474" i="3"/>
  <c r="O474" i="3" s="1"/>
  <c r="P474" i="3" s="1"/>
  <c r="R474" i="3" s="1"/>
  <c r="Z474" i="3"/>
  <c r="U475" i="3"/>
  <c r="V475" i="3" s="1"/>
  <c r="P493" i="4" l="1"/>
  <c r="R493" i="4" s="1"/>
  <c r="O494" i="4"/>
  <c r="AC496" i="4"/>
  <c r="AD496" i="4"/>
  <c r="U498" i="4"/>
  <c r="V498" i="4" s="1"/>
  <c r="S499" i="4"/>
  <c r="Z497" i="4"/>
  <c r="N497" i="4"/>
  <c r="AE497" i="4" s="1"/>
  <c r="S495" i="3"/>
  <c r="N475" i="3"/>
  <c r="O475" i="3" s="1"/>
  <c r="P475" i="3" s="1"/>
  <c r="R475" i="3" s="1"/>
  <c r="Z475" i="3"/>
  <c r="U476" i="3"/>
  <c r="V476" i="3" s="1"/>
  <c r="O495" i="4" l="1"/>
  <c r="P494" i="4"/>
  <c r="R494" i="4" s="1"/>
  <c r="AD497" i="4"/>
  <c r="AC497" i="4"/>
  <c r="U499" i="4"/>
  <c r="V499" i="4" s="1"/>
  <c r="S500" i="4"/>
  <c r="Z498" i="4"/>
  <c r="N498" i="4"/>
  <c r="AE498" i="4" s="1"/>
  <c r="S496" i="3"/>
  <c r="N476" i="3"/>
  <c r="O476" i="3" s="1"/>
  <c r="Z476" i="3"/>
  <c r="U477" i="3"/>
  <c r="V477" i="3" s="1"/>
  <c r="O496" i="4" l="1"/>
  <c r="P495" i="4"/>
  <c r="R495" i="4" s="1"/>
  <c r="AC498" i="4"/>
  <c r="AD498" i="4"/>
  <c r="Z499" i="4"/>
  <c r="N499" i="4"/>
  <c r="AE499" i="4" s="1"/>
  <c r="U500" i="4"/>
  <c r="V500" i="4" s="1"/>
  <c r="S501" i="4"/>
  <c r="P476" i="3"/>
  <c r="R476" i="3" s="1"/>
  <c r="S497" i="3" s="1"/>
  <c r="N477" i="3"/>
  <c r="O477" i="3" s="1"/>
  <c r="P477" i="3" s="1"/>
  <c r="R477" i="3" s="1"/>
  <c r="Z477" i="3"/>
  <c r="U478" i="3"/>
  <c r="V478" i="3" s="1"/>
  <c r="P496" i="4" l="1"/>
  <c r="R496" i="4" s="1"/>
  <c r="O497" i="4"/>
  <c r="AC499" i="4"/>
  <c r="AD499" i="4"/>
  <c r="S498" i="3"/>
  <c r="U501" i="4"/>
  <c r="V501" i="4" s="1"/>
  <c r="S502" i="4"/>
  <c r="Z500" i="4"/>
  <c r="N500" i="4"/>
  <c r="AE500" i="4" s="1"/>
  <c r="N478" i="3"/>
  <c r="O478" i="3" s="1"/>
  <c r="P478" i="3" s="1"/>
  <c r="R478" i="3" s="1"/>
  <c r="Z478" i="3"/>
  <c r="U479" i="3"/>
  <c r="V479" i="3" s="1"/>
  <c r="O498" i="4" l="1"/>
  <c r="P497" i="4"/>
  <c r="R497" i="4" s="1"/>
  <c r="S499" i="3"/>
  <c r="AD500" i="4"/>
  <c r="AC500" i="4"/>
  <c r="U502" i="4"/>
  <c r="V502" i="4" s="1"/>
  <c r="S503" i="4"/>
  <c r="Z501" i="4"/>
  <c r="N501" i="4"/>
  <c r="AE501" i="4" s="1"/>
  <c r="N479" i="3"/>
  <c r="O479" i="3" s="1"/>
  <c r="P479" i="3" s="1"/>
  <c r="R479" i="3" s="1"/>
  <c r="Z479" i="3"/>
  <c r="U480" i="3"/>
  <c r="V480" i="3" s="1"/>
  <c r="S500" i="3" l="1"/>
  <c r="P498" i="4"/>
  <c r="R498" i="4" s="1"/>
  <c r="O499" i="4"/>
  <c r="AC501" i="4"/>
  <c r="AD501" i="4"/>
  <c r="Z502" i="4"/>
  <c r="N502" i="4"/>
  <c r="AE502" i="4" s="1"/>
  <c r="U503" i="4"/>
  <c r="V503" i="4" s="1"/>
  <c r="S504" i="4"/>
  <c r="N480" i="3"/>
  <c r="O480" i="3" s="1"/>
  <c r="Z480" i="3"/>
  <c r="U481" i="3"/>
  <c r="V481" i="3" s="1"/>
  <c r="P499" i="4" l="1"/>
  <c r="R499" i="4" s="1"/>
  <c r="O500" i="4"/>
  <c r="AC502" i="4"/>
  <c r="AD502" i="4"/>
  <c r="U504" i="4"/>
  <c r="V504" i="4" s="1"/>
  <c r="S505" i="4"/>
  <c r="Z503" i="4"/>
  <c r="N503" i="4"/>
  <c r="AE503" i="4" s="1"/>
  <c r="P480" i="3"/>
  <c r="R480" i="3" s="1"/>
  <c r="S501" i="3" s="1"/>
  <c r="N481" i="3"/>
  <c r="O481" i="3" s="1"/>
  <c r="P481" i="3" s="1"/>
  <c r="R481" i="3" s="1"/>
  <c r="Z481" i="3"/>
  <c r="U482" i="3"/>
  <c r="V482" i="3" s="1"/>
  <c r="P500" i="4" l="1"/>
  <c r="R500" i="4" s="1"/>
  <c r="O501" i="4"/>
  <c r="AD503" i="4"/>
  <c r="AC503" i="4"/>
  <c r="U505" i="4"/>
  <c r="V505" i="4" s="1"/>
  <c r="S506" i="4"/>
  <c r="Z504" i="4"/>
  <c r="N504" i="4"/>
  <c r="AE504" i="4" s="1"/>
  <c r="S502" i="3"/>
  <c r="N482" i="3"/>
  <c r="O482" i="3" s="1"/>
  <c r="P482" i="3" s="1"/>
  <c r="R482" i="3" s="1"/>
  <c r="Z482" i="3"/>
  <c r="U483" i="3"/>
  <c r="V483" i="3" s="1"/>
  <c r="P501" i="4" l="1"/>
  <c r="R501" i="4" s="1"/>
  <c r="O502" i="4"/>
  <c r="AC504" i="4"/>
  <c r="AD504" i="4"/>
  <c r="Z505" i="4"/>
  <c r="N505" i="4"/>
  <c r="AE505" i="4" s="1"/>
  <c r="U506" i="4"/>
  <c r="V506" i="4" s="1"/>
  <c r="S507" i="4"/>
  <c r="S503" i="3"/>
  <c r="N483" i="3"/>
  <c r="O483" i="3" s="1"/>
  <c r="P483" i="3" s="1"/>
  <c r="R483" i="3" s="1"/>
  <c r="Z483" i="3"/>
  <c r="U484" i="3"/>
  <c r="V484" i="3" s="1"/>
  <c r="P502" i="4" l="1"/>
  <c r="R502" i="4" s="1"/>
  <c r="O503" i="4"/>
  <c r="AC505" i="4"/>
  <c r="AD505" i="4"/>
  <c r="U507" i="4"/>
  <c r="V507" i="4" s="1"/>
  <c r="S508" i="4"/>
  <c r="Z506" i="4"/>
  <c r="N506" i="4"/>
  <c r="AE506" i="4" s="1"/>
  <c r="S504" i="3"/>
  <c r="N484" i="3"/>
  <c r="O484" i="3" s="1"/>
  <c r="P484" i="3" s="1"/>
  <c r="R484" i="3" s="1"/>
  <c r="Z484" i="3"/>
  <c r="U485" i="3"/>
  <c r="V485" i="3" s="1"/>
  <c r="P503" i="4" l="1"/>
  <c r="R503" i="4" s="1"/>
  <c r="O504" i="4"/>
  <c r="AD506" i="4"/>
  <c r="AC506" i="4"/>
  <c r="U508" i="4"/>
  <c r="V508" i="4" s="1"/>
  <c r="S509" i="4"/>
  <c r="Z507" i="4"/>
  <c r="N507" i="4"/>
  <c r="AE507" i="4" s="1"/>
  <c r="S505" i="3"/>
  <c r="N485" i="3"/>
  <c r="O485" i="3" s="1"/>
  <c r="P485" i="3" s="1"/>
  <c r="R485" i="3" s="1"/>
  <c r="Z485" i="3"/>
  <c r="U486" i="3"/>
  <c r="V486" i="3" s="1"/>
  <c r="P504" i="4" l="1"/>
  <c r="R504" i="4" s="1"/>
  <c r="O505" i="4"/>
  <c r="AC507" i="4"/>
  <c r="AD507" i="4"/>
  <c r="Z508" i="4"/>
  <c r="N508" i="4"/>
  <c r="AE508" i="4" s="1"/>
  <c r="U509" i="4"/>
  <c r="V509" i="4" s="1"/>
  <c r="S510" i="4"/>
  <c r="S506" i="3"/>
  <c r="N486" i="3"/>
  <c r="O486" i="3" s="1"/>
  <c r="P486" i="3" s="1"/>
  <c r="R486" i="3" s="1"/>
  <c r="Z486" i="3"/>
  <c r="U487" i="3"/>
  <c r="V487" i="3" s="1"/>
  <c r="P505" i="4" l="1"/>
  <c r="R505" i="4" s="1"/>
  <c r="O506" i="4"/>
  <c r="AC508" i="4"/>
  <c r="AD508" i="4"/>
  <c r="U510" i="4"/>
  <c r="V510" i="4" s="1"/>
  <c r="S511" i="4"/>
  <c r="Z509" i="4"/>
  <c r="N509" i="4"/>
  <c r="AE509" i="4" s="1"/>
  <c r="S507" i="3"/>
  <c r="N487" i="3"/>
  <c r="O487" i="3" s="1"/>
  <c r="P487" i="3" s="1"/>
  <c r="R487" i="3" s="1"/>
  <c r="Z487" i="3"/>
  <c r="U488" i="3"/>
  <c r="V488" i="3" s="1"/>
  <c r="O507" i="4" l="1"/>
  <c r="P506" i="4"/>
  <c r="R506" i="4" s="1"/>
  <c r="AD509" i="4"/>
  <c r="AC509" i="4"/>
  <c r="U511" i="4"/>
  <c r="V511" i="4" s="1"/>
  <c r="S512" i="4"/>
  <c r="S508" i="3"/>
  <c r="Z510" i="4"/>
  <c r="N510" i="4"/>
  <c r="AE510" i="4" s="1"/>
  <c r="N488" i="3"/>
  <c r="O488" i="3" s="1"/>
  <c r="P488" i="3" s="1"/>
  <c r="R488" i="3" s="1"/>
  <c r="Z488" i="3"/>
  <c r="U489" i="3"/>
  <c r="V489" i="3" s="1"/>
  <c r="P507" i="4" l="1"/>
  <c r="R507" i="4" s="1"/>
  <c r="O508" i="4"/>
  <c r="AC510" i="4"/>
  <c r="AD510" i="4"/>
  <c r="S509" i="3"/>
  <c r="Z511" i="4"/>
  <c r="N511" i="4"/>
  <c r="AE511" i="4" s="1"/>
  <c r="U512" i="4"/>
  <c r="V512" i="4" s="1"/>
  <c r="S513" i="4"/>
  <c r="N489" i="3"/>
  <c r="O489" i="3" s="1"/>
  <c r="P489" i="3" s="1"/>
  <c r="R489" i="3" s="1"/>
  <c r="Z489" i="3"/>
  <c r="U490" i="3"/>
  <c r="V490" i="3" s="1"/>
  <c r="P508" i="4" l="1"/>
  <c r="R508" i="4" s="1"/>
  <c r="O509" i="4"/>
  <c r="S510" i="3"/>
  <c r="AC511" i="4"/>
  <c r="AD511" i="4"/>
  <c r="U513" i="4"/>
  <c r="V513" i="4" s="1"/>
  <c r="S514" i="4"/>
  <c r="Z512" i="4"/>
  <c r="N512" i="4"/>
  <c r="AE512" i="4" s="1"/>
  <c r="N490" i="3"/>
  <c r="O490" i="3" s="1"/>
  <c r="P490" i="3" s="1"/>
  <c r="R490" i="3" s="1"/>
  <c r="Z490" i="3"/>
  <c r="U491" i="3"/>
  <c r="V491" i="3" s="1"/>
  <c r="S511" i="3" l="1"/>
  <c r="P509" i="4"/>
  <c r="R509" i="4" s="1"/>
  <c r="O510" i="4"/>
  <c r="AD512" i="4"/>
  <c r="AC512" i="4"/>
  <c r="U514" i="4"/>
  <c r="V514" i="4" s="1"/>
  <c r="S515" i="4"/>
  <c r="Z513" i="4"/>
  <c r="N513" i="4"/>
  <c r="AE513" i="4" s="1"/>
  <c r="N491" i="3"/>
  <c r="O491" i="3" s="1"/>
  <c r="P491" i="3" s="1"/>
  <c r="R491" i="3" s="1"/>
  <c r="Z491" i="3"/>
  <c r="U492" i="3"/>
  <c r="V492" i="3" s="1"/>
  <c r="S512" i="3" l="1"/>
  <c r="U512" i="3" s="1"/>
  <c r="P510" i="4"/>
  <c r="R510" i="4" s="1"/>
  <c r="O511" i="4"/>
  <c r="AC513" i="4"/>
  <c r="AD513" i="4"/>
  <c r="Z514" i="4"/>
  <c r="N514" i="4"/>
  <c r="AE514" i="4" s="1"/>
  <c r="U515" i="4"/>
  <c r="V515" i="4" s="1"/>
  <c r="S516" i="4"/>
  <c r="N492" i="3"/>
  <c r="O492" i="3" s="1"/>
  <c r="P492" i="3" s="1"/>
  <c r="R492" i="3" s="1"/>
  <c r="S513" i="3" s="1"/>
  <c r="Z492" i="3"/>
  <c r="U493" i="3"/>
  <c r="V493" i="3" s="1"/>
  <c r="P511" i="4" l="1"/>
  <c r="R511" i="4" s="1"/>
  <c r="O512" i="4"/>
  <c r="AC514" i="4"/>
  <c r="AD514" i="4"/>
  <c r="U516" i="4"/>
  <c r="V516" i="4" s="1"/>
  <c r="S517" i="4"/>
  <c r="Z515" i="4"/>
  <c r="N515" i="4"/>
  <c r="AE515" i="4" s="1"/>
  <c r="N493" i="3"/>
  <c r="O493" i="3" s="1"/>
  <c r="P493" i="3" s="1"/>
  <c r="R493" i="3" s="1"/>
  <c r="S514" i="3" s="1"/>
  <c r="Z493" i="3"/>
  <c r="U494" i="3"/>
  <c r="V494" i="3" s="1"/>
  <c r="P512" i="4" l="1"/>
  <c r="R512" i="4" s="1"/>
  <c r="O513" i="4"/>
  <c r="AD515" i="4"/>
  <c r="AC515" i="4"/>
  <c r="U517" i="4"/>
  <c r="V517" i="4" s="1"/>
  <c r="S518" i="4"/>
  <c r="Z516" i="4"/>
  <c r="N516" i="4"/>
  <c r="AE516" i="4" s="1"/>
  <c r="N494" i="3"/>
  <c r="O494" i="3" s="1"/>
  <c r="P494" i="3" s="1"/>
  <c r="R494" i="3" s="1"/>
  <c r="S515" i="3" s="1"/>
  <c r="Z494" i="3"/>
  <c r="U495" i="3"/>
  <c r="V495" i="3" s="1"/>
  <c r="P513" i="4" l="1"/>
  <c r="R513" i="4" s="1"/>
  <c r="O514" i="4"/>
  <c r="AC516" i="4"/>
  <c r="AD516" i="4"/>
  <c r="Z517" i="4"/>
  <c r="N517" i="4"/>
  <c r="AE517" i="4" s="1"/>
  <c r="U518" i="4"/>
  <c r="V518" i="4" s="1"/>
  <c r="S519" i="4"/>
  <c r="N495" i="3"/>
  <c r="O495" i="3" s="1"/>
  <c r="P495" i="3" s="1"/>
  <c r="R495" i="3" s="1"/>
  <c r="S516" i="3" s="1"/>
  <c r="Z495" i="3"/>
  <c r="U496" i="3"/>
  <c r="V496" i="3" s="1"/>
  <c r="P514" i="4" l="1"/>
  <c r="R514" i="4" s="1"/>
  <c r="O515" i="4"/>
  <c r="AC517" i="4"/>
  <c r="AD517" i="4"/>
  <c r="U519" i="4"/>
  <c r="V519" i="4" s="1"/>
  <c r="S520" i="4"/>
  <c r="Z518" i="4"/>
  <c r="N518" i="4"/>
  <c r="AE518" i="4" s="1"/>
  <c r="N496" i="3"/>
  <c r="O496" i="3" s="1"/>
  <c r="P496" i="3" s="1"/>
  <c r="R496" i="3" s="1"/>
  <c r="S517" i="3" s="1"/>
  <c r="Z496" i="3"/>
  <c r="U497" i="3"/>
  <c r="V497" i="3" s="1"/>
  <c r="P515" i="4" l="1"/>
  <c r="R515" i="4" s="1"/>
  <c r="O516" i="4"/>
  <c r="AD518" i="4"/>
  <c r="AC518" i="4"/>
  <c r="U520" i="4"/>
  <c r="V520" i="4" s="1"/>
  <c r="S521" i="4"/>
  <c r="Z519" i="4"/>
  <c r="N519" i="4"/>
  <c r="AE519" i="4" s="1"/>
  <c r="N497" i="3"/>
  <c r="O497" i="3" s="1"/>
  <c r="P497" i="3" s="1"/>
  <c r="R497" i="3" s="1"/>
  <c r="S518" i="3" s="1"/>
  <c r="Z497" i="3"/>
  <c r="U498" i="3"/>
  <c r="V498" i="3" s="1"/>
  <c r="P516" i="4" l="1"/>
  <c r="R516" i="4" s="1"/>
  <c r="O517" i="4"/>
  <c r="AC519" i="4"/>
  <c r="AD519" i="4"/>
  <c r="Z520" i="4"/>
  <c r="N520" i="4"/>
  <c r="AE520" i="4" s="1"/>
  <c r="U521" i="4"/>
  <c r="V521" i="4" s="1"/>
  <c r="S522" i="4"/>
  <c r="N498" i="3"/>
  <c r="O498" i="3" s="1"/>
  <c r="P498" i="3" s="1"/>
  <c r="R498" i="3" s="1"/>
  <c r="S519" i="3" s="1"/>
  <c r="Z498" i="3"/>
  <c r="U499" i="3"/>
  <c r="V499" i="3" s="1"/>
  <c r="P517" i="4" l="1"/>
  <c r="R517" i="4" s="1"/>
  <c r="O518" i="4"/>
  <c r="AC520" i="4"/>
  <c r="AD520" i="4"/>
  <c r="U522" i="4"/>
  <c r="V522" i="4" s="1"/>
  <c r="S523" i="4"/>
  <c r="Z521" i="4"/>
  <c r="N521" i="4"/>
  <c r="AE521" i="4" s="1"/>
  <c r="N499" i="3"/>
  <c r="O499" i="3" s="1"/>
  <c r="P499" i="3" s="1"/>
  <c r="R499" i="3" s="1"/>
  <c r="S520" i="3" s="1"/>
  <c r="Z499" i="3"/>
  <c r="U500" i="3"/>
  <c r="V500" i="3" s="1"/>
  <c r="P518" i="4" l="1"/>
  <c r="R518" i="4" s="1"/>
  <c r="O519" i="4"/>
  <c r="AD521" i="4"/>
  <c r="AC521" i="4"/>
  <c r="U523" i="4"/>
  <c r="V523" i="4" s="1"/>
  <c r="S524" i="4"/>
  <c r="Z522" i="4"/>
  <c r="N522" i="4"/>
  <c r="AE522" i="4" s="1"/>
  <c r="N500" i="3"/>
  <c r="O500" i="3" s="1"/>
  <c r="Z500" i="3"/>
  <c r="U501" i="3"/>
  <c r="V501" i="3" s="1"/>
  <c r="P519" i="4" l="1"/>
  <c r="R519" i="4" s="1"/>
  <c r="O520" i="4"/>
  <c r="AC522" i="4"/>
  <c r="AD522" i="4"/>
  <c r="Z523" i="4"/>
  <c r="N523" i="4"/>
  <c r="AE523" i="4" s="1"/>
  <c r="U524" i="4"/>
  <c r="V524" i="4" s="1"/>
  <c r="S525" i="4"/>
  <c r="P500" i="3"/>
  <c r="R500" i="3" s="1"/>
  <c r="S521" i="3" s="1"/>
  <c r="N501" i="3"/>
  <c r="O501" i="3" s="1"/>
  <c r="P501" i="3" s="1"/>
  <c r="R501" i="3" s="1"/>
  <c r="Z501" i="3"/>
  <c r="U502" i="3"/>
  <c r="V502" i="3" s="1"/>
  <c r="P520" i="4" l="1"/>
  <c r="R520" i="4" s="1"/>
  <c r="O521" i="4"/>
  <c r="AC523" i="4"/>
  <c r="AD523" i="4"/>
  <c r="S522" i="3"/>
  <c r="U525" i="4"/>
  <c r="V525" i="4" s="1"/>
  <c r="S526" i="4"/>
  <c r="Z524" i="4"/>
  <c r="N524" i="4"/>
  <c r="AE524" i="4" s="1"/>
  <c r="N502" i="3"/>
  <c r="O502" i="3" s="1"/>
  <c r="P502" i="3" s="1"/>
  <c r="R502" i="3" s="1"/>
  <c r="Z502" i="3"/>
  <c r="U503" i="3"/>
  <c r="V503" i="3" s="1"/>
  <c r="P521" i="4" l="1"/>
  <c r="R521" i="4" s="1"/>
  <c r="O522" i="4"/>
  <c r="AD524" i="4"/>
  <c r="AC524" i="4"/>
  <c r="S523" i="3"/>
  <c r="U526" i="4"/>
  <c r="V526" i="4" s="1"/>
  <c r="S527" i="4"/>
  <c r="Z525" i="4"/>
  <c r="N525" i="4"/>
  <c r="AE525" i="4" s="1"/>
  <c r="N503" i="3"/>
  <c r="O503" i="3" s="1"/>
  <c r="P503" i="3" s="1"/>
  <c r="R503" i="3" s="1"/>
  <c r="Z503" i="3"/>
  <c r="U504" i="3"/>
  <c r="V504" i="3" s="1"/>
  <c r="P522" i="4" l="1"/>
  <c r="R522" i="4" s="1"/>
  <c r="O523" i="4"/>
  <c r="AC525" i="4"/>
  <c r="AD525" i="4"/>
  <c r="S524" i="3"/>
  <c r="U527" i="4"/>
  <c r="V527" i="4" s="1"/>
  <c r="S528" i="4"/>
  <c r="Z526" i="4"/>
  <c r="N526" i="4"/>
  <c r="AE526" i="4" s="1"/>
  <c r="N504" i="3"/>
  <c r="O504" i="3" s="1"/>
  <c r="P504" i="3" s="1"/>
  <c r="R504" i="3" s="1"/>
  <c r="Z504" i="3"/>
  <c r="U505" i="3"/>
  <c r="V505" i="3" s="1"/>
  <c r="P523" i="4" l="1"/>
  <c r="R523" i="4" s="1"/>
  <c r="O524" i="4"/>
  <c r="S525" i="3"/>
  <c r="AC526" i="4"/>
  <c r="AD526" i="4"/>
  <c r="U528" i="4"/>
  <c r="V528" i="4" s="1"/>
  <c r="S529" i="4"/>
  <c r="Z527" i="4"/>
  <c r="N527" i="4"/>
  <c r="AE527" i="4" s="1"/>
  <c r="N505" i="3"/>
  <c r="O505" i="3" s="1"/>
  <c r="P505" i="3" s="1"/>
  <c r="R505" i="3" s="1"/>
  <c r="Z505" i="3"/>
  <c r="U506" i="3"/>
  <c r="V506" i="3" s="1"/>
  <c r="S526" i="3" l="1"/>
  <c r="P524" i="4"/>
  <c r="R524" i="4" s="1"/>
  <c r="O525" i="4"/>
  <c r="AD527" i="4"/>
  <c r="AC527" i="4"/>
  <c r="U529" i="4"/>
  <c r="V529" i="4" s="1"/>
  <c r="S530" i="4"/>
  <c r="Z528" i="4"/>
  <c r="N528" i="4"/>
  <c r="AE528" i="4" s="1"/>
  <c r="N506" i="3"/>
  <c r="O506" i="3" s="1"/>
  <c r="P506" i="3" s="1"/>
  <c r="R506" i="3" s="1"/>
  <c r="Z506" i="3"/>
  <c r="U507" i="3"/>
  <c r="V507" i="3" s="1"/>
  <c r="S527" i="3" l="1"/>
  <c r="P525" i="4"/>
  <c r="R525" i="4" s="1"/>
  <c r="O526" i="4"/>
  <c r="AC528" i="4"/>
  <c r="AD528" i="4"/>
  <c r="Z529" i="4"/>
  <c r="N529" i="4"/>
  <c r="AE529" i="4" s="1"/>
  <c r="U530" i="4"/>
  <c r="V530" i="4" s="1"/>
  <c r="S531" i="4"/>
  <c r="N507" i="3"/>
  <c r="O507" i="3" s="1"/>
  <c r="P507" i="3" s="1"/>
  <c r="R507" i="3" s="1"/>
  <c r="S528" i="3" s="1"/>
  <c r="Z507" i="3"/>
  <c r="U508" i="3"/>
  <c r="V508" i="3" s="1"/>
  <c r="P526" i="4" l="1"/>
  <c r="R526" i="4" s="1"/>
  <c r="O527" i="4"/>
  <c r="AC529" i="4"/>
  <c r="AD529" i="4"/>
  <c r="U531" i="4"/>
  <c r="V531" i="4" s="1"/>
  <c r="S532" i="4"/>
  <c r="Z530" i="4"/>
  <c r="N530" i="4"/>
  <c r="AE530" i="4" s="1"/>
  <c r="N508" i="3"/>
  <c r="O508" i="3" s="1"/>
  <c r="P508" i="3" s="1"/>
  <c r="R508" i="3" s="1"/>
  <c r="S529" i="3" s="1"/>
  <c r="Z508" i="3"/>
  <c r="U509" i="3"/>
  <c r="V509" i="3" s="1"/>
  <c r="P527" i="4" l="1"/>
  <c r="R527" i="4" s="1"/>
  <c r="O528" i="4"/>
  <c r="AD530" i="4"/>
  <c r="AC530" i="4"/>
  <c r="U532" i="4"/>
  <c r="V532" i="4" s="1"/>
  <c r="S533" i="4"/>
  <c r="Z531" i="4"/>
  <c r="N531" i="4"/>
  <c r="AE531" i="4" s="1"/>
  <c r="N509" i="3"/>
  <c r="O509" i="3" s="1"/>
  <c r="P509" i="3" s="1"/>
  <c r="R509" i="3" s="1"/>
  <c r="S530" i="3" s="1"/>
  <c r="Z509" i="3"/>
  <c r="U510" i="3"/>
  <c r="V510" i="3" s="1"/>
  <c r="P528" i="4" l="1"/>
  <c r="R528" i="4" s="1"/>
  <c r="O529" i="4"/>
  <c r="AC531" i="4"/>
  <c r="AD531" i="4"/>
  <c r="Z532" i="4"/>
  <c r="N532" i="4"/>
  <c r="AE532" i="4" s="1"/>
  <c r="U533" i="4"/>
  <c r="V533" i="4" s="1"/>
  <c r="S534" i="4"/>
  <c r="N510" i="3"/>
  <c r="O510" i="3" s="1"/>
  <c r="Z510" i="3"/>
  <c r="U511" i="3"/>
  <c r="V511" i="3" s="1"/>
  <c r="P529" i="4" l="1"/>
  <c r="R529" i="4" s="1"/>
  <c r="O530" i="4"/>
  <c r="AC532" i="4"/>
  <c r="AD532" i="4"/>
  <c r="U534" i="4"/>
  <c r="V534" i="4" s="1"/>
  <c r="S535" i="4"/>
  <c r="Z533" i="4"/>
  <c r="N533" i="4"/>
  <c r="AE533" i="4" s="1"/>
  <c r="P510" i="3"/>
  <c r="R510" i="3" s="1"/>
  <c r="S531" i="3" s="1"/>
  <c r="N511" i="3"/>
  <c r="O511" i="3" s="1"/>
  <c r="P511" i="3" s="1"/>
  <c r="R511" i="3" s="1"/>
  <c r="Z511" i="3"/>
  <c r="V512" i="3"/>
  <c r="P530" i="4" l="1"/>
  <c r="R530" i="4" s="1"/>
  <c r="O531" i="4"/>
  <c r="AD533" i="4"/>
  <c r="AC533" i="4"/>
  <c r="U535" i="4"/>
  <c r="V535" i="4" s="1"/>
  <c r="S536" i="4"/>
  <c r="S532" i="3"/>
  <c r="Z534" i="4"/>
  <c r="N534" i="4"/>
  <c r="AE534" i="4" s="1"/>
  <c r="N512" i="3"/>
  <c r="O512" i="3" s="1"/>
  <c r="P512" i="3" s="1"/>
  <c r="R512" i="3" s="1"/>
  <c r="Z512" i="3"/>
  <c r="U513" i="3"/>
  <c r="V513" i="3" s="1"/>
  <c r="P531" i="4" l="1"/>
  <c r="R531" i="4" s="1"/>
  <c r="O532" i="4"/>
  <c r="AC534" i="4"/>
  <c r="AD534" i="4"/>
  <c r="S533" i="3"/>
  <c r="Z535" i="4"/>
  <c r="N535" i="4"/>
  <c r="AE535" i="4" s="1"/>
  <c r="U536" i="4"/>
  <c r="V536" i="4" s="1"/>
  <c r="S537" i="4"/>
  <c r="N513" i="3"/>
  <c r="O513" i="3" s="1"/>
  <c r="P513" i="3" s="1"/>
  <c r="R513" i="3" s="1"/>
  <c r="Z513" i="3"/>
  <c r="U514" i="3"/>
  <c r="V514" i="3" s="1"/>
  <c r="P532" i="4" l="1"/>
  <c r="R532" i="4" s="1"/>
  <c r="O533" i="4"/>
  <c r="AC535" i="4"/>
  <c r="AD535" i="4"/>
  <c r="S534" i="3"/>
  <c r="U537" i="4"/>
  <c r="V537" i="4" s="1"/>
  <c r="S538" i="4"/>
  <c r="Z536" i="4"/>
  <c r="N536" i="4"/>
  <c r="AE536" i="4" s="1"/>
  <c r="N514" i="3"/>
  <c r="O514" i="3" s="1"/>
  <c r="P514" i="3" s="1"/>
  <c r="R514" i="3" s="1"/>
  <c r="Z514" i="3"/>
  <c r="U515" i="3"/>
  <c r="V515" i="3" s="1"/>
  <c r="P533" i="4" l="1"/>
  <c r="R533" i="4" s="1"/>
  <c r="O534" i="4"/>
  <c r="AD536" i="4"/>
  <c r="S535" i="3"/>
  <c r="AC536" i="4"/>
  <c r="U538" i="4"/>
  <c r="V538" i="4" s="1"/>
  <c r="S539" i="4"/>
  <c r="Z537" i="4"/>
  <c r="N537" i="4"/>
  <c r="AE537" i="4" s="1"/>
  <c r="N515" i="3"/>
  <c r="O515" i="3" s="1"/>
  <c r="P515" i="3" s="1"/>
  <c r="R515" i="3" s="1"/>
  <c r="Z515" i="3"/>
  <c r="U516" i="3"/>
  <c r="V516" i="3" s="1"/>
  <c r="P534" i="4" l="1"/>
  <c r="R534" i="4" s="1"/>
  <c r="O535" i="4"/>
  <c r="S536" i="3"/>
  <c r="AC537" i="4"/>
  <c r="AD537" i="4"/>
  <c r="Z538" i="4"/>
  <c r="N538" i="4"/>
  <c r="AE538" i="4" s="1"/>
  <c r="U539" i="4"/>
  <c r="V539" i="4" s="1"/>
  <c r="S540" i="4"/>
  <c r="N516" i="3"/>
  <c r="O516" i="3" s="1"/>
  <c r="P516" i="3" s="1"/>
  <c r="R516" i="3" s="1"/>
  <c r="Z516" i="3"/>
  <c r="U517" i="3"/>
  <c r="V517" i="3" s="1"/>
  <c r="S537" i="3" l="1"/>
  <c r="P535" i="4"/>
  <c r="R535" i="4" s="1"/>
  <c r="O536" i="4"/>
  <c r="AC538" i="4"/>
  <c r="AD538" i="4"/>
  <c r="U540" i="4"/>
  <c r="V540" i="4" s="1"/>
  <c r="S541" i="4"/>
  <c r="Z539" i="4"/>
  <c r="N539" i="4"/>
  <c r="AE539" i="4" s="1"/>
  <c r="N517" i="3"/>
  <c r="O517" i="3" s="1"/>
  <c r="P517" i="3" s="1"/>
  <c r="R517" i="3" s="1"/>
  <c r="S538" i="3" s="1"/>
  <c r="Z517" i="3"/>
  <c r="U518" i="3"/>
  <c r="V518" i="3" s="1"/>
  <c r="P536" i="4" l="1"/>
  <c r="R536" i="4" s="1"/>
  <c r="O537" i="4"/>
  <c r="AD539" i="4"/>
  <c r="AC539" i="4"/>
  <c r="U541" i="4"/>
  <c r="V541" i="4" s="1"/>
  <c r="S542" i="4"/>
  <c r="Z540" i="4"/>
  <c r="N540" i="4"/>
  <c r="AE540" i="4" s="1"/>
  <c r="N518" i="3"/>
  <c r="O518" i="3" s="1"/>
  <c r="P518" i="3" s="1"/>
  <c r="R518" i="3" s="1"/>
  <c r="S539" i="3" s="1"/>
  <c r="Z518" i="3"/>
  <c r="U519" i="3"/>
  <c r="V519" i="3" s="1"/>
  <c r="P537" i="4" l="1"/>
  <c r="R537" i="4" s="1"/>
  <c r="O538" i="4"/>
  <c r="AC540" i="4"/>
  <c r="AD540" i="4"/>
  <c r="Z541" i="4"/>
  <c r="N541" i="4"/>
  <c r="AE541" i="4" s="1"/>
  <c r="U542" i="4"/>
  <c r="V542" i="4" s="1"/>
  <c r="S543" i="4"/>
  <c r="N519" i="3"/>
  <c r="O519" i="3" s="1"/>
  <c r="P519" i="3" s="1"/>
  <c r="R519" i="3" s="1"/>
  <c r="S540" i="3" s="1"/>
  <c r="Z519" i="3"/>
  <c r="U520" i="3"/>
  <c r="V520" i="3" s="1"/>
  <c r="P538" i="4" l="1"/>
  <c r="R538" i="4" s="1"/>
  <c r="O539" i="4"/>
  <c r="AC541" i="4"/>
  <c r="AD541" i="4"/>
  <c r="U543" i="4"/>
  <c r="V543" i="4" s="1"/>
  <c r="S544" i="4"/>
  <c r="Z542" i="4"/>
  <c r="N542" i="4"/>
  <c r="AE542" i="4" s="1"/>
  <c r="N520" i="3"/>
  <c r="O520" i="3" s="1"/>
  <c r="P520" i="3" s="1"/>
  <c r="R520" i="3" s="1"/>
  <c r="S541" i="3" s="1"/>
  <c r="Z520" i="3"/>
  <c r="U521" i="3"/>
  <c r="V521" i="3" s="1"/>
  <c r="P539" i="4" l="1"/>
  <c r="R539" i="4" s="1"/>
  <c r="O540" i="4"/>
  <c r="AD542" i="4"/>
  <c r="AC542" i="4"/>
  <c r="U544" i="4"/>
  <c r="V544" i="4" s="1"/>
  <c r="S545" i="4"/>
  <c r="Z543" i="4"/>
  <c r="N543" i="4"/>
  <c r="AE543" i="4" s="1"/>
  <c r="N521" i="3"/>
  <c r="O521" i="3" s="1"/>
  <c r="P521" i="3" s="1"/>
  <c r="R521" i="3" s="1"/>
  <c r="S542" i="3" s="1"/>
  <c r="Z521" i="3"/>
  <c r="U522" i="3"/>
  <c r="V522" i="3" s="1"/>
  <c r="P540" i="4" l="1"/>
  <c r="R540" i="4" s="1"/>
  <c r="O541" i="4"/>
  <c r="AC543" i="4"/>
  <c r="AD543" i="4"/>
  <c r="Z544" i="4"/>
  <c r="N544" i="4"/>
  <c r="AE544" i="4" s="1"/>
  <c r="U545" i="4"/>
  <c r="V545" i="4" s="1"/>
  <c r="S546" i="4"/>
  <c r="N522" i="3"/>
  <c r="O522" i="3" s="1"/>
  <c r="P522" i="3" s="1"/>
  <c r="R522" i="3" s="1"/>
  <c r="S543" i="3" s="1"/>
  <c r="Z522" i="3"/>
  <c r="U523" i="3"/>
  <c r="V523" i="3" s="1"/>
  <c r="P541" i="4" l="1"/>
  <c r="R541" i="4" s="1"/>
  <c r="O542" i="4"/>
  <c r="AC544" i="4"/>
  <c r="AD544" i="4"/>
  <c r="U546" i="4"/>
  <c r="V546" i="4" s="1"/>
  <c r="S547" i="4"/>
  <c r="Z545" i="4"/>
  <c r="N545" i="4"/>
  <c r="AE545" i="4" s="1"/>
  <c r="N523" i="3"/>
  <c r="O523" i="3" s="1"/>
  <c r="P523" i="3" s="1"/>
  <c r="R523" i="3" s="1"/>
  <c r="S544" i="3" s="1"/>
  <c r="Z523" i="3"/>
  <c r="U524" i="3"/>
  <c r="V524" i="3" s="1"/>
  <c r="P542" i="4" l="1"/>
  <c r="R542" i="4" s="1"/>
  <c r="O543" i="4"/>
  <c r="AD545" i="4"/>
  <c r="AC545" i="4"/>
  <c r="U547" i="4"/>
  <c r="V547" i="4" s="1"/>
  <c r="S548" i="4"/>
  <c r="Z546" i="4"/>
  <c r="N546" i="4"/>
  <c r="AE546" i="4" s="1"/>
  <c r="N524" i="3"/>
  <c r="O524" i="3" s="1"/>
  <c r="P524" i="3" s="1"/>
  <c r="R524" i="3" s="1"/>
  <c r="S545" i="3" s="1"/>
  <c r="Z524" i="3"/>
  <c r="U525" i="3"/>
  <c r="V525" i="3" s="1"/>
  <c r="P543" i="4" l="1"/>
  <c r="R543" i="4" s="1"/>
  <c r="O544" i="4"/>
  <c r="AC546" i="4"/>
  <c r="AD546" i="4"/>
  <c r="Z547" i="4"/>
  <c r="N547" i="4"/>
  <c r="AE547" i="4" s="1"/>
  <c r="U548" i="4"/>
  <c r="V548" i="4" s="1"/>
  <c r="S549" i="4"/>
  <c r="N525" i="3"/>
  <c r="O525" i="3" s="1"/>
  <c r="P525" i="3" s="1"/>
  <c r="R525" i="3" s="1"/>
  <c r="S546" i="3" s="1"/>
  <c r="Z525" i="3"/>
  <c r="U526" i="3"/>
  <c r="V526" i="3" s="1"/>
  <c r="P544" i="4" l="1"/>
  <c r="R544" i="4" s="1"/>
  <c r="O545" i="4"/>
  <c r="AC547" i="4"/>
  <c r="AD547" i="4"/>
  <c r="U549" i="4"/>
  <c r="V549" i="4" s="1"/>
  <c r="S550" i="4"/>
  <c r="Z548" i="4"/>
  <c r="N548" i="4"/>
  <c r="AE548" i="4" s="1"/>
  <c r="N526" i="3"/>
  <c r="O526" i="3" s="1"/>
  <c r="P526" i="3" s="1"/>
  <c r="R526" i="3" s="1"/>
  <c r="S547" i="3" s="1"/>
  <c r="Z526" i="3"/>
  <c r="U527" i="3"/>
  <c r="V527" i="3" s="1"/>
  <c r="P545" i="4" l="1"/>
  <c r="R545" i="4" s="1"/>
  <c r="O546" i="4"/>
  <c r="AD548" i="4"/>
  <c r="AC548" i="4"/>
  <c r="U550" i="4"/>
  <c r="V550" i="4" s="1"/>
  <c r="S551" i="4"/>
  <c r="Z549" i="4"/>
  <c r="N549" i="4"/>
  <c r="AE549" i="4" s="1"/>
  <c r="N527" i="3"/>
  <c r="O527" i="3" s="1"/>
  <c r="P527" i="3" s="1"/>
  <c r="R527" i="3" s="1"/>
  <c r="S548" i="3" s="1"/>
  <c r="Z527" i="3"/>
  <c r="U528" i="3"/>
  <c r="V528" i="3" s="1"/>
  <c r="P546" i="4" l="1"/>
  <c r="R546" i="4" s="1"/>
  <c r="O547" i="4"/>
  <c r="AC549" i="4"/>
  <c r="AD549" i="4"/>
  <c r="Z550" i="4"/>
  <c r="N550" i="4"/>
  <c r="AE550" i="4" s="1"/>
  <c r="U551" i="4"/>
  <c r="V551" i="4" s="1"/>
  <c r="S552" i="4"/>
  <c r="N528" i="3"/>
  <c r="O528" i="3" s="1"/>
  <c r="P528" i="3" s="1"/>
  <c r="R528" i="3" s="1"/>
  <c r="S549" i="3" s="1"/>
  <c r="Z528" i="3"/>
  <c r="U529" i="3"/>
  <c r="V529" i="3" s="1"/>
  <c r="P547" i="4" l="1"/>
  <c r="R547" i="4" s="1"/>
  <c r="O548" i="4"/>
  <c r="AC550" i="4"/>
  <c r="AD550" i="4"/>
  <c r="U552" i="4"/>
  <c r="V552" i="4" s="1"/>
  <c r="S553" i="4"/>
  <c r="Z551" i="4"/>
  <c r="N551" i="4"/>
  <c r="AE551" i="4" s="1"/>
  <c r="N529" i="3"/>
  <c r="O529" i="3" s="1"/>
  <c r="P529" i="3" s="1"/>
  <c r="R529" i="3" s="1"/>
  <c r="S550" i="3" s="1"/>
  <c r="Z529" i="3"/>
  <c r="U530" i="3"/>
  <c r="V530" i="3" s="1"/>
  <c r="P548" i="4" l="1"/>
  <c r="R548" i="4" s="1"/>
  <c r="O549" i="4"/>
  <c r="AD551" i="4"/>
  <c r="AC551" i="4"/>
  <c r="U553" i="4"/>
  <c r="V553" i="4" s="1"/>
  <c r="S554" i="4"/>
  <c r="Z552" i="4"/>
  <c r="N552" i="4"/>
  <c r="AE552" i="4" s="1"/>
  <c r="N530" i="3"/>
  <c r="O530" i="3" s="1"/>
  <c r="P530" i="3" s="1"/>
  <c r="R530" i="3" s="1"/>
  <c r="S551" i="3" s="1"/>
  <c r="Z530" i="3"/>
  <c r="U531" i="3"/>
  <c r="V531" i="3" s="1"/>
  <c r="P549" i="4" l="1"/>
  <c r="R549" i="4" s="1"/>
  <c r="O550" i="4"/>
  <c r="AC552" i="4"/>
  <c r="AD552" i="4"/>
  <c r="Z553" i="4"/>
  <c r="N553" i="4"/>
  <c r="AE553" i="4" s="1"/>
  <c r="U554" i="4"/>
  <c r="V554" i="4" s="1"/>
  <c r="S555" i="4"/>
  <c r="N531" i="3"/>
  <c r="O531" i="3" s="1"/>
  <c r="P531" i="3" s="1"/>
  <c r="R531" i="3" s="1"/>
  <c r="S552" i="3" s="1"/>
  <c r="Z531" i="3"/>
  <c r="U532" i="3"/>
  <c r="V532" i="3" s="1"/>
  <c r="P550" i="4" l="1"/>
  <c r="R550" i="4" s="1"/>
  <c r="O551" i="4"/>
  <c r="AC553" i="4"/>
  <c r="AD553" i="4"/>
  <c r="U555" i="4"/>
  <c r="V555" i="4" s="1"/>
  <c r="S556" i="4"/>
  <c r="Z554" i="4"/>
  <c r="N554" i="4"/>
  <c r="AE554" i="4" s="1"/>
  <c r="N532" i="3"/>
  <c r="O532" i="3" s="1"/>
  <c r="P532" i="3" s="1"/>
  <c r="R532" i="3" s="1"/>
  <c r="S553" i="3" s="1"/>
  <c r="Z532" i="3"/>
  <c r="U533" i="3"/>
  <c r="V533" i="3" s="1"/>
  <c r="P551" i="4" l="1"/>
  <c r="R551" i="4" s="1"/>
  <c r="O552" i="4"/>
  <c r="AD554" i="4"/>
  <c r="AC554" i="4"/>
  <c r="U556" i="4"/>
  <c r="V556" i="4" s="1"/>
  <c r="S557" i="4"/>
  <c r="Z555" i="4"/>
  <c r="N555" i="4"/>
  <c r="AE555" i="4" s="1"/>
  <c r="N533" i="3"/>
  <c r="O533" i="3" s="1"/>
  <c r="P533" i="3" s="1"/>
  <c r="R533" i="3" s="1"/>
  <c r="S554" i="3" s="1"/>
  <c r="Z533" i="3"/>
  <c r="U534" i="3"/>
  <c r="V534" i="3" s="1"/>
  <c r="P552" i="4" l="1"/>
  <c r="R552" i="4" s="1"/>
  <c r="O553" i="4"/>
  <c r="AC555" i="4"/>
  <c r="AD555" i="4"/>
  <c r="Z556" i="4"/>
  <c r="N556" i="4"/>
  <c r="AE556" i="4" s="1"/>
  <c r="U557" i="4"/>
  <c r="V557" i="4" s="1"/>
  <c r="S558" i="4"/>
  <c r="N534" i="3"/>
  <c r="O534" i="3" s="1"/>
  <c r="P534" i="3" s="1"/>
  <c r="R534" i="3" s="1"/>
  <c r="S555" i="3" s="1"/>
  <c r="Z534" i="3"/>
  <c r="U535" i="3"/>
  <c r="V535" i="3" s="1"/>
  <c r="P553" i="4" l="1"/>
  <c r="R553" i="4" s="1"/>
  <c r="O554" i="4"/>
  <c r="AC556" i="4"/>
  <c r="AD556" i="4"/>
  <c r="U558" i="4"/>
  <c r="V558" i="4" s="1"/>
  <c r="S559" i="4"/>
  <c r="Z557" i="4"/>
  <c r="N557" i="4"/>
  <c r="AE557" i="4" s="1"/>
  <c r="N535" i="3"/>
  <c r="O535" i="3" s="1"/>
  <c r="P535" i="3" s="1"/>
  <c r="R535" i="3" s="1"/>
  <c r="S556" i="3" s="1"/>
  <c r="Z535" i="3"/>
  <c r="U536" i="3"/>
  <c r="V536" i="3" s="1"/>
  <c r="P554" i="4" l="1"/>
  <c r="R554" i="4" s="1"/>
  <c r="O555" i="4"/>
  <c r="AD557" i="4"/>
  <c r="AC557" i="4"/>
  <c r="U559" i="4"/>
  <c r="V559" i="4" s="1"/>
  <c r="S560" i="4"/>
  <c r="Z558" i="4"/>
  <c r="N558" i="4"/>
  <c r="AE558" i="4" s="1"/>
  <c r="N536" i="3"/>
  <c r="O536" i="3" s="1"/>
  <c r="P536" i="3" s="1"/>
  <c r="R536" i="3" s="1"/>
  <c r="S557" i="3" s="1"/>
  <c r="Z536" i="3"/>
  <c r="U537" i="3"/>
  <c r="V537" i="3" s="1"/>
  <c r="P555" i="4" l="1"/>
  <c r="R555" i="4" s="1"/>
  <c r="O556" i="4"/>
  <c r="AC558" i="4"/>
  <c r="AD558" i="4"/>
  <c r="Z559" i="4"/>
  <c r="N559" i="4"/>
  <c r="AE559" i="4" s="1"/>
  <c r="U560" i="4"/>
  <c r="V560" i="4" s="1"/>
  <c r="S561" i="4"/>
  <c r="N537" i="3"/>
  <c r="O537" i="3" s="1"/>
  <c r="P537" i="3" s="1"/>
  <c r="R537" i="3" s="1"/>
  <c r="S558" i="3" s="1"/>
  <c r="Z537" i="3"/>
  <c r="U538" i="3"/>
  <c r="V538" i="3" s="1"/>
  <c r="P556" i="4" l="1"/>
  <c r="R556" i="4" s="1"/>
  <c r="O557" i="4"/>
  <c r="AC559" i="4"/>
  <c r="AD559" i="4"/>
  <c r="U561" i="4"/>
  <c r="V561" i="4" s="1"/>
  <c r="S562" i="4"/>
  <c r="Z560" i="4"/>
  <c r="N560" i="4"/>
  <c r="AE560" i="4" s="1"/>
  <c r="N538" i="3"/>
  <c r="O538" i="3" s="1"/>
  <c r="P538" i="3" s="1"/>
  <c r="R538" i="3" s="1"/>
  <c r="S559" i="3" s="1"/>
  <c r="Z538" i="3"/>
  <c r="U539" i="3"/>
  <c r="V539" i="3" s="1"/>
  <c r="P557" i="4" l="1"/>
  <c r="R557" i="4" s="1"/>
  <c r="O558" i="4"/>
  <c r="AD560" i="4"/>
  <c r="AC560" i="4"/>
  <c r="U562" i="4"/>
  <c r="V562" i="4" s="1"/>
  <c r="S563" i="4"/>
  <c r="Z561" i="4"/>
  <c r="N561" i="4"/>
  <c r="AE561" i="4" s="1"/>
  <c r="N539" i="3"/>
  <c r="O539" i="3" s="1"/>
  <c r="P539" i="3" s="1"/>
  <c r="R539" i="3" s="1"/>
  <c r="S560" i="3" s="1"/>
  <c r="Z539" i="3"/>
  <c r="U540" i="3"/>
  <c r="V540" i="3" s="1"/>
  <c r="P558" i="4" l="1"/>
  <c r="R558" i="4" s="1"/>
  <c r="O559" i="4"/>
  <c r="AC561" i="4"/>
  <c r="AD561" i="4"/>
  <c r="Z562" i="4"/>
  <c r="N562" i="4"/>
  <c r="AE562" i="4" s="1"/>
  <c r="U563" i="4"/>
  <c r="V563" i="4" s="1"/>
  <c r="S564" i="4"/>
  <c r="N540" i="3"/>
  <c r="O540" i="3" s="1"/>
  <c r="P540" i="3" s="1"/>
  <c r="R540" i="3" s="1"/>
  <c r="S561" i="3" s="1"/>
  <c r="Z540" i="3"/>
  <c r="U541" i="3"/>
  <c r="V541" i="3" s="1"/>
  <c r="P559" i="4" l="1"/>
  <c r="R559" i="4" s="1"/>
  <c r="O560" i="4"/>
  <c r="AC562" i="4"/>
  <c r="AD562" i="4"/>
  <c r="U564" i="4"/>
  <c r="V564" i="4" s="1"/>
  <c r="S565" i="4"/>
  <c r="Z563" i="4"/>
  <c r="N563" i="4"/>
  <c r="AE563" i="4" s="1"/>
  <c r="N541" i="3"/>
  <c r="O541" i="3" s="1"/>
  <c r="P541" i="3" s="1"/>
  <c r="R541" i="3" s="1"/>
  <c r="S562" i="3" s="1"/>
  <c r="Z541" i="3"/>
  <c r="U542" i="3"/>
  <c r="V542" i="3" s="1"/>
  <c r="P560" i="4" l="1"/>
  <c r="R560" i="4" s="1"/>
  <c r="O561" i="4"/>
  <c r="AD563" i="4"/>
  <c r="AC563" i="4"/>
  <c r="U565" i="4"/>
  <c r="V565" i="4" s="1"/>
  <c r="S566" i="4"/>
  <c r="Z564" i="4"/>
  <c r="N564" i="4"/>
  <c r="AE564" i="4" s="1"/>
  <c r="N542" i="3"/>
  <c r="O542" i="3" s="1"/>
  <c r="P542" i="3" s="1"/>
  <c r="R542" i="3" s="1"/>
  <c r="S563" i="3" s="1"/>
  <c r="Z542" i="3"/>
  <c r="U543" i="3"/>
  <c r="V543" i="3" s="1"/>
  <c r="P561" i="4" l="1"/>
  <c r="R561" i="4" s="1"/>
  <c r="O562" i="4"/>
  <c r="AC564" i="4"/>
  <c r="AD564" i="4"/>
  <c r="Z565" i="4"/>
  <c r="N565" i="4"/>
  <c r="AE565" i="4" s="1"/>
  <c r="U566" i="4"/>
  <c r="V566" i="4" s="1"/>
  <c r="S567" i="4"/>
  <c r="N543" i="3"/>
  <c r="O543" i="3" s="1"/>
  <c r="P543" i="3" s="1"/>
  <c r="R543" i="3" s="1"/>
  <c r="S564" i="3" s="1"/>
  <c r="Z543" i="3"/>
  <c r="U544" i="3"/>
  <c r="V544" i="3" s="1"/>
  <c r="P562" i="4" l="1"/>
  <c r="R562" i="4" s="1"/>
  <c r="O563" i="4"/>
  <c r="AC565" i="4"/>
  <c r="AD565" i="4"/>
  <c r="U567" i="4"/>
  <c r="V567" i="4" s="1"/>
  <c r="S568" i="4"/>
  <c r="Z566" i="4"/>
  <c r="N566" i="4"/>
  <c r="AE566" i="4" s="1"/>
  <c r="N544" i="3"/>
  <c r="O544" i="3" s="1"/>
  <c r="P544" i="3" s="1"/>
  <c r="R544" i="3" s="1"/>
  <c r="S565" i="3" s="1"/>
  <c r="Z544" i="3"/>
  <c r="U545" i="3"/>
  <c r="V545" i="3" s="1"/>
  <c r="P563" i="4" l="1"/>
  <c r="R563" i="4" s="1"/>
  <c r="O564" i="4"/>
  <c r="AD566" i="4"/>
  <c r="AC566" i="4"/>
  <c r="U568" i="4"/>
  <c r="V568" i="4" s="1"/>
  <c r="S569" i="4"/>
  <c r="Z567" i="4"/>
  <c r="N567" i="4"/>
  <c r="AE567" i="4" s="1"/>
  <c r="N545" i="3"/>
  <c r="O545" i="3" s="1"/>
  <c r="P545" i="3" s="1"/>
  <c r="R545" i="3" s="1"/>
  <c r="S566" i="3" s="1"/>
  <c r="Z545" i="3"/>
  <c r="U546" i="3"/>
  <c r="V546" i="3" s="1"/>
  <c r="P564" i="4" l="1"/>
  <c r="R564" i="4" s="1"/>
  <c r="O565" i="4"/>
  <c r="AC567" i="4"/>
  <c r="AD567" i="4"/>
  <c r="Z568" i="4"/>
  <c r="N568" i="4"/>
  <c r="AE568" i="4" s="1"/>
  <c r="U569" i="4"/>
  <c r="V569" i="4" s="1"/>
  <c r="S570" i="4"/>
  <c r="N546" i="3"/>
  <c r="O546" i="3" s="1"/>
  <c r="P546" i="3" s="1"/>
  <c r="R546" i="3" s="1"/>
  <c r="S567" i="3" s="1"/>
  <c r="Z546" i="3"/>
  <c r="U547" i="3"/>
  <c r="V547" i="3" s="1"/>
  <c r="P565" i="4" l="1"/>
  <c r="R565" i="4" s="1"/>
  <c r="O566" i="4"/>
  <c r="AC568" i="4"/>
  <c r="AD568" i="4"/>
  <c r="U570" i="4"/>
  <c r="V570" i="4" s="1"/>
  <c r="S571" i="4"/>
  <c r="Z569" i="4"/>
  <c r="N569" i="4"/>
  <c r="AE569" i="4" s="1"/>
  <c r="N547" i="3"/>
  <c r="O547" i="3" s="1"/>
  <c r="P547" i="3" s="1"/>
  <c r="R547" i="3" s="1"/>
  <c r="S568" i="3" s="1"/>
  <c r="Z547" i="3"/>
  <c r="U548" i="3"/>
  <c r="V548" i="3" s="1"/>
  <c r="P566" i="4" l="1"/>
  <c r="R566" i="4" s="1"/>
  <c r="O567" i="4"/>
  <c r="AD569" i="4"/>
  <c r="AC569" i="4"/>
  <c r="U571" i="4"/>
  <c r="V571" i="4" s="1"/>
  <c r="S572" i="4"/>
  <c r="Z570" i="4"/>
  <c r="N570" i="4"/>
  <c r="AE570" i="4" s="1"/>
  <c r="N548" i="3"/>
  <c r="O548" i="3" s="1"/>
  <c r="P548" i="3" s="1"/>
  <c r="R548" i="3" s="1"/>
  <c r="S569" i="3" s="1"/>
  <c r="Z548" i="3"/>
  <c r="U549" i="3"/>
  <c r="V549" i="3" s="1"/>
  <c r="O568" i="4" l="1"/>
  <c r="P567" i="4"/>
  <c r="R567" i="4" s="1"/>
  <c r="AC570" i="4"/>
  <c r="AD570" i="4"/>
  <c r="Z571" i="4"/>
  <c r="N571" i="4"/>
  <c r="AE571" i="4" s="1"/>
  <c r="U572" i="4"/>
  <c r="V572" i="4" s="1"/>
  <c r="S573" i="4"/>
  <c r="N549" i="3"/>
  <c r="O549" i="3" s="1"/>
  <c r="P549" i="3" s="1"/>
  <c r="R549" i="3" s="1"/>
  <c r="S570" i="3" s="1"/>
  <c r="Z549" i="3"/>
  <c r="U550" i="3"/>
  <c r="V550" i="3" s="1"/>
  <c r="P568" i="4" l="1"/>
  <c r="R568" i="4" s="1"/>
  <c r="O569" i="4"/>
  <c r="AC571" i="4"/>
  <c r="AD571" i="4"/>
  <c r="U573" i="4"/>
  <c r="V573" i="4" s="1"/>
  <c r="S574" i="4"/>
  <c r="Z572" i="4"/>
  <c r="N572" i="4"/>
  <c r="AE572" i="4" s="1"/>
  <c r="N550" i="3"/>
  <c r="O550" i="3" s="1"/>
  <c r="P550" i="3" s="1"/>
  <c r="R550" i="3" s="1"/>
  <c r="S571" i="3" s="1"/>
  <c r="Z550" i="3"/>
  <c r="U551" i="3"/>
  <c r="V551" i="3" s="1"/>
  <c r="P569" i="4" l="1"/>
  <c r="R569" i="4" s="1"/>
  <c r="O570" i="4"/>
  <c r="AD572" i="4"/>
  <c r="AC572" i="4"/>
  <c r="U574" i="4"/>
  <c r="V574" i="4" s="1"/>
  <c r="S575" i="4"/>
  <c r="Z573" i="4"/>
  <c r="N573" i="4"/>
  <c r="AE573" i="4" s="1"/>
  <c r="N551" i="3"/>
  <c r="O551" i="3" s="1"/>
  <c r="P551" i="3" s="1"/>
  <c r="R551" i="3" s="1"/>
  <c r="S572" i="3" s="1"/>
  <c r="Z551" i="3"/>
  <c r="U552" i="3"/>
  <c r="V552" i="3" s="1"/>
  <c r="P570" i="4" l="1"/>
  <c r="R570" i="4" s="1"/>
  <c r="O571" i="4"/>
  <c r="AC573" i="4"/>
  <c r="AD573" i="4"/>
  <c r="Z574" i="4"/>
  <c r="N574" i="4"/>
  <c r="AE574" i="4" s="1"/>
  <c r="U575" i="4"/>
  <c r="V575" i="4" s="1"/>
  <c r="S576" i="4"/>
  <c r="N552" i="3"/>
  <c r="O552" i="3" s="1"/>
  <c r="P552" i="3" s="1"/>
  <c r="R552" i="3" s="1"/>
  <c r="S573" i="3" s="1"/>
  <c r="Z552" i="3"/>
  <c r="U553" i="3"/>
  <c r="V553" i="3" s="1"/>
  <c r="P571" i="4" l="1"/>
  <c r="R571" i="4" s="1"/>
  <c r="O572" i="4"/>
  <c r="AC574" i="4"/>
  <c r="AD574" i="4"/>
  <c r="U576" i="4"/>
  <c r="V576" i="4" s="1"/>
  <c r="S577" i="4"/>
  <c r="Z575" i="4"/>
  <c r="N575" i="4"/>
  <c r="AE575" i="4" s="1"/>
  <c r="N553" i="3"/>
  <c r="O553" i="3" s="1"/>
  <c r="P553" i="3" s="1"/>
  <c r="R553" i="3" s="1"/>
  <c r="S574" i="3" s="1"/>
  <c r="Z553" i="3"/>
  <c r="U554" i="3"/>
  <c r="V554" i="3" s="1"/>
  <c r="P572" i="4" l="1"/>
  <c r="R572" i="4" s="1"/>
  <c r="O573" i="4"/>
  <c r="AD575" i="4"/>
  <c r="AC575" i="4"/>
  <c r="U577" i="4"/>
  <c r="V577" i="4" s="1"/>
  <c r="S578" i="4"/>
  <c r="Z576" i="4"/>
  <c r="N576" i="4"/>
  <c r="AE576" i="4" s="1"/>
  <c r="N554" i="3"/>
  <c r="O554" i="3" s="1"/>
  <c r="P554" i="3" s="1"/>
  <c r="R554" i="3" s="1"/>
  <c r="S575" i="3" s="1"/>
  <c r="Z554" i="3"/>
  <c r="U555" i="3"/>
  <c r="V555" i="3" s="1"/>
  <c r="P573" i="4" l="1"/>
  <c r="R573" i="4" s="1"/>
  <c r="O574" i="4"/>
  <c r="AC576" i="4"/>
  <c r="AD576" i="4"/>
  <c r="Z577" i="4"/>
  <c r="N577" i="4"/>
  <c r="AE577" i="4" s="1"/>
  <c r="U578" i="4"/>
  <c r="V578" i="4" s="1"/>
  <c r="S579" i="4"/>
  <c r="N555" i="3"/>
  <c r="O555" i="3" s="1"/>
  <c r="P555" i="3" s="1"/>
  <c r="R555" i="3" s="1"/>
  <c r="S576" i="3" s="1"/>
  <c r="Z555" i="3"/>
  <c r="U556" i="3"/>
  <c r="V556" i="3" s="1"/>
  <c r="P574" i="4" l="1"/>
  <c r="R574" i="4" s="1"/>
  <c r="O575" i="4"/>
  <c r="AC577" i="4"/>
  <c r="AD577" i="4"/>
  <c r="U579" i="4"/>
  <c r="V579" i="4" s="1"/>
  <c r="S580" i="4"/>
  <c r="Z578" i="4"/>
  <c r="N578" i="4"/>
  <c r="AE578" i="4" s="1"/>
  <c r="N556" i="3"/>
  <c r="O556" i="3" s="1"/>
  <c r="P556" i="3" s="1"/>
  <c r="R556" i="3" s="1"/>
  <c r="S577" i="3" s="1"/>
  <c r="Z556" i="3"/>
  <c r="U557" i="3"/>
  <c r="V557" i="3" s="1"/>
  <c r="P575" i="4" l="1"/>
  <c r="R575" i="4" s="1"/>
  <c r="O576" i="4"/>
  <c r="AD578" i="4"/>
  <c r="AC578" i="4"/>
  <c r="U580" i="4"/>
  <c r="V580" i="4" s="1"/>
  <c r="S581" i="4"/>
  <c r="Z579" i="4"/>
  <c r="N579" i="4"/>
  <c r="AE579" i="4" s="1"/>
  <c r="N557" i="3"/>
  <c r="O557" i="3" s="1"/>
  <c r="P557" i="3" s="1"/>
  <c r="R557" i="3" s="1"/>
  <c r="S578" i="3" s="1"/>
  <c r="Z557" i="3"/>
  <c r="U558" i="3"/>
  <c r="V558" i="3" s="1"/>
  <c r="P576" i="4" l="1"/>
  <c r="R576" i="4" s="1"/>
  <c r="O577" i="4"/>
  <c r="AC579" i="4"/>
  <c r="AD579" i="4"/>
  <c r="Z580" i="4"/>
  <c r="N580" i="4"/>
  <c r="AE580" i="4" s="1"/>
  <c r="U581" i="4"/>
  <c r="V581" i="4" s="1"/>
  <c r="S582" i="4"/>
  <c r="N558" i="3"/>
  <c r="O558" i="3" s="1"/>
  <c r="P558" i="3" s="1"/>
  <c r="R558" i="3" s="1"/>
  <c r="S579" i="3" s="1"/>
  <c r="Z558" i="3"/>
  <c r="U559" i="3"/>
  <c r="V559" i="3" s="1"/>
  <c r="P577" i="4" l="1"/>
  <c r="R577" i="4" s="1"/>
  <c r="O578" i="4"/>
  <c r="AC580" i="4"/>
  <c r="AD580" i="4"/>
  <c r="U582" i="4"/>
  <c r="V582" i="4" s="1"/>
  <c r="S583" i="4"/>
  <c r="N581" i="4"/>
  <c r="AE581" i="4" s="1"/>
  <c r="Z581" i="4"/>
  <c r="N559" i="3"/>
  <c r="O559" i="3" s="1"/>
  <c r="P559" i="3" s="1"/>
  <c r="R559" i="3" s="1"/>
  <c r="S580" i="3" s="1"/>
  <c r="Z559" i="3"/>
  <c r="U560" i="3"/>
  <c r="V560" i="3" s="1"/>
  <c r="P578" i="4" l="1"/>
  <c r="R578" i="4" s="1"/>
  <c r="O579" i="4"/>
  <c r="AD581" i="4"/>
  <c r="AC581" i="4"/>
  <c r="U583" i="4"/>
  <c r="V583" i="4" s="1"/>
  <c r="S584" i="4"/>
  <c r="N582" i="4"/>
  <c r="AE582" i="4" s="1"/>
  <c r="Z582" i="4"/>
  <c r="N560" i="3"/>
  <c r="O560" i="3" s="1"/>
  <c r="P560" i="3" s="1"/>
  <c r="R560" i="3" s="1"/>
  <c r="S581" i="3" s="1"/>
  <c r="Z560" i="3"/>
  <c r="U561" i="3"/>
  <c r="V561" i="3" s="1"/>
  <c r="O580" i="4" l="1"/>
  <c r="P579" i="4"/>
  <c r="R579" i="4" s="1"/>
  <c r="AC582" i="4"/>
  <c r="AD582" i="4"/>
  <c r="N583" i="4"/>
  <c r="AE583" i="4" s="1"/>
  <c r="Z583" i="4"/>
  <c r="U584" i="4"/>
  <c r="V584" i="4" s="1"/>
  <c r="S585" i="4"/>
  <c r="N561" i="3"/>
  <c r="O561" i="3" s="1"/>
  <c r="P561" i="3" s="1"/>
  <c r="R561" i="3" s="1"/>
  <c r="S582" i="3" s="1"/>
  <c r="Z561" i="3"/>
  <c r="U562" i="3"/>
  <c r="V562" i="3" s="1"/>
  <c r="P580" i="4" l="1"/>
  <c r="R580" i="4" s="1"/>
  <c r="O581" i="4"/>
  <c r="AC583" i="4"/>
  <c r="AD583" i="4"/>
  <c r="U585" i="4"/>
  <c r="V585" i="4" s="1"/>
  <c r="S586" i="4"/>
  <c r="N584" i="4"/>
  <c r="AE584" i="4" s="1"/>
  <c r="Z584" i="4"/>
  <c r="N562" i="3"/>
  <c r="O562" i="3" s="1"/>
  <c r="P562" i="3" s="1"/>
  <c r="R562" i="3" s="1"/>
  <c r="S583" i="3" s="1"/>
  <c r="Z562" i="3"/>
  <c r="U563" i="3"/>
  <c r="V563" i="3" s="1"/>
  <c r="P581" i="4" l="1"/>
  <c r="R581" i="4" s="1"/>
  <c r="O582" i="4"/>
  <c r="AD584" i="4"/>
  <c r="AC584" i="4"/>
  <c r="U586" i="4"/>
  <c r="V586" i="4" s="1"/>
  <c r="S587" i="4"/>
  <c r="N585" i="4"/>
  <c r="AE585" i="4" s="1"/>
  <c r="Z585" i="4"/>
  <c r="N563" i="3"/>
  <c r="O563" i="3" s="1"/>
  <c r="P563" i="3" s="1"/>
  <c r="R563" i="3" s="1"/>
  <c r="S584" i="3" s="1"/>
  <c r="Z563" i="3"/>
  <c r="U564" i="3"/>
  <c r="V564" i="3" s="1"/>
  <c r="O583" i="4" l="1"/>
  <c r="P582" i="4"/>
  <c r="R582" i="4" s="1"/>
  <c r="AC585" i="4"/>
  <c r="AD585" i="4"/>
  <c r="N586" i="4"/>
  <c r="AE586" i="4" s="1"/>
  <c r="Z586" i="4"/>
  <c r="U587" i="4"/>
  <c r="V587" i="4" s="1"/>
  <c r="S588" i="4"/>
  <c r="N564" i="3"/>
  <c r="O564" i="3" s="1"/>
  <c r="P564" i="3" s="1"/>
  <c r="R564" i="3" s="1"/>
  <c r="S585" i="3" s="1"/>
  <c r="Z564" i="3"/>
  <c r="U565" i="3"/>
  <c r="V565" i="3" s="1"/>
  <c r="P583" i="4" l="1"/>
  <c r="R583" i="4" s="1"/>
  <c r="O584" i="4"/>
  <c r="AC586" i="4"/>
  <c r="AD586" i="4"/>
  <c r="U588" i="4"/>
  <c r="V588" i="4" s="1"/>
  <c r="S589" i="4"/>
  <c r="N587" i="4"/>
  <c r="AE587" i="4" s="1"/>
  <c r="Z587" i="4"/>
  <c r="N565" i="3"/>
  <c r="O565" i="3" s="1"/>
  <c r="P565" i="3" s="1"/>
  <c r="R565" i="3" s="1"/>
  <c r="S586" i="3" s="1"/>
  <c r="Z565" i="3"/>
  <c r="U566" i="3"/>
  <c r="V566" i="3" s="1"/>
  <c r="P584" i="4" l="1"/>
  <c r="R584" i="4" s="1"/>
  <c r="O585" i="4"/>
  <c r="AD587" i="4"/>
  <c r="AC587" i="4"/>
  <c r="U589" i="4"/>
  <c r="V589" i="4" s="1"/>
  <c r="S590" i="4"/>
  <c r="N588" i="4"/>
  <c r="AE588" i="4" s="1"/>
  <c r="Z588" i="4"/>
  <c r="N566" i="3"/>
  <c r="O566" i="3" s="1"/>
  <c r="P566" i="3" s="1"/>
  <c r="R566" i="3" s="1"/>
  <c r="S587" i="3" s="1"/>
  <c r="Z566" i="3"/>
  <c r="U567" i="3"/>
  <c r="V567" i="3" s="1"/>
  <c r="P585" i="4" l="1"/>
  <c r="R585" i="4" s="1"/>
  <c r="O586" i="4"/>
  <c r="AC588" i="4"/>
  <c r="AD588" i="4"/>
  <c r="N589" i="4"/>
  <c r="AE589" i="4" s="1"/>
  <c r="Z589" i="4"/>
  <c r="U590" i="4"/>
  <c r="V590" i="4" s="1"/>
  <c r="S591" i="4"/>
  <c r="N567" i="3"/>
  <c r="O567" i="3" s="1"/>
  <c r="P567" i="3" s="1"/>
  <c r="R567" i="3" s="1"/>
  <c r="S588" i="3" s="1"/>
  <c r="Z567" i="3"/>
  <c r="U568" i="3"/>
  <c r="V568" i="3" s="1"/>
  <c r="P586" i="4" l="1"/>
  <c r="R586" i="4" s="1"/>
  <c r="O587" i="4"/>
  <c r="AC589" i="4"/>
  <c r="AD589" i="4"/>
  <c r="U591" i="4"/>
  <c r="V591" i="4" s="1"/>
  <c r="S592" i="4"/>
  <c r="N590" i="4"/>
  <c r="AE590" i="4" s="1"/>
  <c r="Z590" i="4"/>
  <c r="N568" i="3"/>
  <c r="O568" i="3" s="1"/>
  <c r="P568" i="3" s="1"/>
  <c r="R568" i="3" s="1"/>
  <c r="S589" i="3" s="1"/>
  <c r="Z568" i="3"/>
  <c r="U569" i="3"/>
  <c r="V569" i="3" s="1"/>
  <c r="P587" i="4" l="1"/>
  <c r="R587" i="4" s="1"/>
  <c r="O588" i="4"/>
  <c r="AD590" i="4"/>
  <c r="AC590" i="4"/>
  <c r="U592" i="4"/>
  <c r="V592" i="4" s="1"/>
  <c r="S593" i="4"/>
  <c r="N591" i="4"/>
  <c r="AE591" i="4" s="1"/>
  <c r="Z591" i="4"/>
  <c r="N569" i="3"/>
  <c r="O569" i="3" s="1"/>
  <c r="P569" i="3" s="1"/>
  <c r="R569" i="3" s="1"/>
  <c r="S590" i="3" s="1"/>
  <c r="Z569" i="3"/>
  <c r="U570" i="3"/>
  <c r="V570" i="3" s="1"/>
  <c r="P588" i="4" l="1"/>
  <c r="R588" i="4" s="1"/>
  <c r="O589" i="4"/>
  <c r="AC591" i="4"/>
  <c r="AD591" i="4"/>
  <c r="N592" i="4"/>
  <c r="AE592" i="4" s="1"/>
  <c r="Z592" i="4"/>
  <c r="U593" i="4"/>
  <c r="V593" i="4" s="1"/>
  <c r="S594" i="4"/>
  <c r="N570" i="3"/>
  <c r="O570" i="3" s="1"/>
  <c r="P570" i="3" s="1"/>
  <c r="R570" i="3" s="1"/>
  <c r="S591" i="3" s="1"/>
  <c r="Z570" i="3"/>
  <c r="U571" i="3"/>
  <c r="V571" i="3" s="1"/>
  <c r="P589" i="4" l="1"/>
  <c r="R589" i="4" s="1"/>
  <c r="O590" i="4"/>
  <c r="AC592" i="4"/>
  <c r="AD592" i="4"/>
  <c r="U594" i="4"/>
  <c r="V594" i="4" s="1"/>
  <c r="S595" i="4"/>
  <c r="N593" i="4"/>
  <c r="AE593" i="4" s="1"/>
  <c r="Z593" i="4"/>
  <c r="N571" i="3"/>
  <c r="O571" i="3" s="1"/>
  <c r="P571" i="3" s="1"/>
  <c r="R571" i="3" s="1"/>
  <c r="S592" i="3" s="1"/>
  <c r="Z571" i="3"/>
  <c r="U572" i="3"/>
  <c r="V572" i="3" s="1"/>
  <c r="P590" i="4" l="1"/>
  <c r="R590" i="4" s="1"/>
  <c r="O591" i="4"/>
  <c r="AD593" i="4"/>
  <c r="AC593" i="4"/>
  <c r="U595" i="4"/>
  <c r="V595" i="4" s="1"/>
  <c r="S596" i="4"/>
  <c r="N594" i="4"/>
  <c r="AE594" i="4" s="1"/>
  <c r="Z594" i="4"/>
  <c r="N572" i="3"/>
  <c r="O572" i="3" s="1"/>
  <c r="P572" i="3" s="1"/>
  <c r="R572" i="3" s="1"/>
  <c r="S593" i="3" s="1"/>
  <c r="Z572" i="3"/>
  <c r="U573" i="3"/>
  <c r="V573" i="3" s="1"/>
  <c r="P591" i="4" l="1"/>
  <c r="R591" i="4" s="1"/>
  <c r="O592" i="4"/>
  <c r="AC594" i="4"/>
  <c r="AD594" i="4"/>
  <c r="N595" i="4"/>
  <c r="AE595" i="4" s="1"/>
  <c r="Z595" i="4"/>
  <c r="U596" i="4"/>
  <c r="V596" i="4" s="1"/>
  <c r="S597" i="4"/>
  <c r="N573" i="3"/>
  <c r="O573" i="3" s="1"/>
  <c r="P573" i="3" s="1"/>
  <c r="R573" i="3" s="1"/>
  <c r="S594" i="3" s="1"/>
  <c r="Z573" i="3"/>
  <c r="U574" i="3"/>
  <c r="V574" i="3" s="1"/>
  <c r="P592" i="4" l="1"/>
  <c r="R592" i="4" s="1"/>
  <c r="O593" i="4"/>
  <c r="AC595" i="4"/>
  <c r="AD595" i="4"/>
  <c r="U597" i="4"/>
  <c r="V597" i="4" s="1"/>
  <c r="S598" i="4"/>
  <c r="N596" i="4"/>
  <c r="AE596" i="4" s="1"/>
  <c r="Z596" i="4"/>
  <c r="N574" i="3"/>
  <c r="O574" i="3" s="1"/>
  <c r="P574" i="3" s="1"/>
  <c r="R574" i="3" s="1"/>
  <c r="S595" i="3" s="1"/>
  <c r="Z574" i="3"/>
  <c r="U575" i="3"/>
  <c r="V575" i="3" s="1"/>
  <c r="P593" i="4" l="1"/>
  <c r="R593" i="4" s="1"/>
  <c r="O594" i="4"/>
  <c r="AD596" i="4"/>
  <c r="AC596" i="4"/>
  <c r="U598" i="4"/>
  <c r="V598" i="4" s="1"/>
  <c r="S599" i="4"/>
  <c r="N597" i="4"/>
  <c r="AE597" i="4" s="1"/>
  <c r="Z597" i="4"/>
  <c r="N575" i="3"/>
  <c r="O575" i="3" s="1"/>
  <c r="P575" i="3" s="1"/>
  <c r="R575" i="3" s="1"/>
  <c r="S596" i="3" s="1"/>
  <c r="Z575" i="3"/>
  <c r="U576" i="3"/>
  <c r="V576" i="3" s="1"/>
  <c r="P594" i="4" l="1"/>
  <c r="R594" i="4" s="1"/>
  <c r="O595" i="4"/>
  <c r="AC597" i="4"/>
  <c r="AD597" i="4"/>
  <c r="N598" i="4"/>
  <c r="AE598" i="4" s="1"/>
  <c r="Z598" i="4"/>
  <c r="U599" i="4"/>
  <c r="V599" i="4" s="1"/>
  <c r="S600" i="4"/>
  <c r="N576" i="3"/>
  <c r="O576" i="3" s="1"/>
  <c r="Z576" i="3"/>
  <c r="U577" i="3"/>
  <c r="V577" i="3" s="1"/>
  <c r="P595" i="4" l="1"/>
  <c r="R595" i="4" s="1"/>
  <c r="O596" i="4"/>
  <c r="AC598" i="4"/>
  <c r="AD598" i="4"/>
  <c r="U600" i="4"/>
  <c r="V600" i="4" s="1"/>
  <c r="S601" i="4"/>
  <c r="N599" i="4"/>
  <c r="AE599" i="4" s="1"/>
  <c r="Z599" i="4"/>
  <c r="P576" i="3"/>
  <c r="R576" i="3" s="1"/>
  <c r="S597" i="3" s="1"/>
  <c r="N577" i="3"/>
  <c r="O577" i="3" s="1"/>
  <c r="P577" i="3" s="1"/>
  <c r="R577" i="3" s="1"/>
  <c r="Z577" i="3"/>
  <c r="U578" i="3"/>
  <c r="V578" i="3" s="1"/>
  <c r="P596" i="4" l="1"/>
  <c r="R596" i="4" s="1"/>
  <c r="O597" i="4"/>
  <c r="AD599" i="4"/>
  <c r="AC599" i="4"/>
  <c r="U601" i="4"/>
  <c r="V601" i="4" s="1"/>
  <c r="S602" i="4"/>
  <c r="N600" i="4"/>
  <c r="AE600" i="4" s="1"/>
  <c r="Z600" i="4"/>
  <c r="S598" i="3"/>
  <c r="N578" i="3"/>
  <c r="O578" i="3" s="1"/>
  <c r="P578" i="3" s="1"/>
  <c r="R578" i="3" s="1"/>
  <c r="Z578" i="3"/>
  <c r="U579" i="3"/>
  <c r="V579" i="3" s="1"/>
  <c r="P597" i="4" l="1"/>
  <c r="R597" i="4" s="1"/>
  <c r="O598" i="4"/>
  <c r="AC600" i="4"/>
  <c r="AD600" i="4"/>
  <c r="Z601" i="4"/>
  <c r="N601" i="4"/>
  <c r="AE601" i="4" s="1"/>
  <c r="U602" i="4"/>
  <c r="V602" i="4" s="1"/>
  <c r="S603" i="4"/>
  <c r="S599" i="3"/>
  <c r="N579" i="3"/>
  <c r="O579" i="3" s="1"/>
  <c r="P579" i="3" s="1"/>
  <c r="R579" i="3" s="1"/>
  <c r="Z579" i="3"/>
  <c r="U580" i="3"/>
  <c r="V580" i="3" s="1"/>
  <c r="P598" i="4" l="1"/>
  <c r="R598" i="4" s="1"/>
  <c r="O599" i="4"/>
  <c r="AC601" i="4"/>
  <c r="AD601" i="4"/>
  <c r="U603" i="4"/>
  <c r="V603" i="4" s="1"/>
  <c r="S604" i="4"/>
  <c r="Z602" i="4"/>
  <c r="N602" i="4"/>
  <c r="AE602" i="4" s="1"/>
  <c r="S600" i="3"/>
  <c r="N580" i="3"/>
  <c r="O580" i="3" s="1"/>
  <c r="P580" i="3" s="1"/>
  <c r="R580" i="3" s="1"/>
  <c r="Z580" i="3"/>
  <c r="U581" i="3"/>
  <c r="V581" i="3" s="1"/>
  <c r="P599" i="4" l="1"/>
  <c r="R599" i="4" s="1"/>
  <c r="O600" i="4"/>
  <c r="AD602" i="4"/>
  <c r="AC602" i="4"/>
  <c r="U604" i="4"/>
  <c r="V604" i="4" s="1"/>
  <c r="S605" i="4"/>
  <c r="Z603" i="4"/>
  <c r="N603" i="4"/>
  <c r="AE603" i="4" s="1"/>
  <c r="S601" i="3"/>
  <c r="N581" i="3"/>
  <c r="O581" i="3" s="1"/>
  <c r="P581" i="3" s="1"/>
  <c r="R581" i="3" s="1"/>
  <c r="Z581" i="3"/>
  <c r="U582" i="3"/>
  <c r="V582" i="3" s="1"/>
  <c r="P600" i="4" l="1"/>
  <c r="R600" i="4" s="1"/>
  <c r="O601" i="4"/>
  <c r="AC603" i="4"/>
  <c r="AD603" i="4"/>
  <c r="Z604" i="4"/>
  <c r="N604" i="4"/>
  <c r="AE604" i="4" s="1"/>
  <c r="U605" i="4"/>
  <c r="V605" i="4" s="1"/>
  <c r="S606" i="4"/>
  <c r="S602" i="3"/>
  <c r="N582" i="3"/>
  <c r="O582" i="3" s="1"/>
  <c r="P582" i="3" s="1"/>
  <c r="R582" i="3" s="1"/>
  <c r="Z582" i="3"/>
  <c r="U583" i="3"/>
  <c r="V583" i="3" s="1"/>
  <c r="P601" i="4" l="1"/>
  <c r="R601" i="4" s="1"/>
  <c r="O602" i="4"/>
  <c r="AC604" i="4"/>
  <c r="AD604" i="4"/>
  <c r="U606" i="4"/>
  <c r="V606" i="4" s="1"/>
  <c r="S607" i="4"/>
  <c r="Z605" i="4"/>
  <c r="N605" i="4"/>
  <c r="AE605" i="4" s="1"/>
  <c r="S603" i="3"/>
  <c r="N583" i="3"/>
  <c r="O583" i="3" s="1"/>
  <c r="P583" i="3" s="1"/>
  <c r="R583" i="3" s="1"/>
  <c r="Z583" i="3"/>
  <c r="U584" i="3"/>
  <c r="V584" i="3" s="1"/>
  <c r="O603" i="4" l="1"/>
  <c r="P602" i="4"/>
  <c r="R602" i="4" s="1"/>
  <c r="AD605" i="4"/>
  <c r="AC605" i="4"/>
  <c r="U607" i="4"/>
  <c r="V607" i="4" s="1"/>
  <c r="S608" i="4"/>
  <c r="Z606" i="4"/>
  <c r="N606" i="4"/>
  <c r="AE606" i="4" s="1"/>
  <c r="S604" i="3"/>
  <c r="N584" i="3"/>
  <c r="O584" i="3" s="1"/>
  <c r="Z584" i="3"/>
  <c r="U585" i="3"/>
  <c r="V585" i="3" s="1"/>
  <c r="O604" i="4" l="1"/>
  <c r="P603" i="4"/>
  <c r="R603" i="4" s="1"/>
  <c r="AC606" i="4"/>
  <c r="AD606" i="4"/>
  <c r="Z607" i="4"/>
  <c r="N607" i="4"/>
  <c r="AE607" i="4" s="1"/>
  <c r="U608" i="4"/>
  <c r="V608" i="4" s="1"/>
  <c r="S609" i="4"/>
  <c r="P584" i="3"/>
  <c r="R584" i="3" s="1"/>
  <c r="S605" i="3" s="1"/>
  <c r="N585" i="3"/>
  <c r="O585" i="3" s="1"/>
  <c r="P585" i="3" s="1"/>
  <c r="R585" i="3" s="1"/>
  <c r="Z585" i="3"/>
  <c r="U586" i="3"/>
  <c r="V586" i="3" s="1"/>
  <c r="P604" i="4" l="1"/>
  <c r="R604" i="4" s="1"/>
  <c r="O605" i="4"/>
  <c r="AC607" i="4"/>
  <c r="AD607" i="4"/>
  <c r="S606" i="3"/>
  <c r="U609" i="4"/>
  <c r="V609" i="4" s="1"/>
  <c r="S610" i="4"/>
  <c r="Z608" i="4"/>
  <c r="N608" i="4"/>
  <c r="AE608" i="4" s="1"/>
  <c r="N586" i="3"/>
  <c r="O586" i="3" s="1"/>
  <c r="P586" i="3" s="1"/>
  <c r="R586" i="3" s="1"/>
  <c r="Z586" i="3"/>
  <c r="U587" i="3"/>
  <c r="V587" i="3" s="1"/>
  <c r="P605" i="4" l="1"/>
  <c r="R605" i="4" s="1"/>
  <c r="O606" i="4"/>
  <c r="AD608" i="4"/>
  <c r="S607" i="3"/>
  <c r="AC608" i="4"/>
  <c r="U610" i="4"/>
  <c r="V610" i="4" s="1"/>
  <c r="S611" i="4"/>
  <c r="Z609" i="4"/>
  <c r="N609" i="4"/>
  <c r="AE609" i="4" s="1"/>
  <c r="N587" i="3"/>
  <c r="O587" i="3" s="1"/>
  <c r="P587" i="3" s="1"/>
  <c r="R587" i="3" s="1"/>
  <c r="Z587" i="3"/>
  <c r="U588" i="3"/>
  <c r="V588" i="3" s="1"/>
  <c r="S608" i="3" l="1"/>
  <c r="O607" i="4"/>
  <c r="P606" i="4"/>
  <c r="R606" i="4" s="1"/>
  <c r="AC609" i="4"/>
  <c r="AD609" i="4"/>
  <c r="U611" i="4"/>
  <c r="V611" i="4" s="1"/>
  <c r="S612" i="4"/>
  <c r="Z610" i="4"/>
  <c r="N610" i="4"/>
  <c r="AE610" i="4" s="1"/>
  <c r="N588" i="3"/>
  <c r="O588" i="3" s="1"/>
  <c r="P588" i="3" s="1"/>
  <c r="R588" i="3" s="1"/>
  <c r="Z588" i="3"/>
  <c r="U589" i="3"/>
  <c r="V589" i="3" s="1"/>
  <c r="S609" i="3" l="1"/>
  <c r="P607" i="4"/>
  <c r="R607" i="4" s="1"/>
  <c r="O608" i="4"/>
  <c r="AC610" i="4"/>
  <c r="AD610" i="4"/>
  <c r="U612" i="4"/>
  <c r="V612" i="4" s="1"/>
  <c r="S613" i="4"/>
  <c r="Z611" i="4"/>
  <c r="N611" i="4"/>
  <c r="AE611" i="4" s="1"/>
  <c r="N589" i="3"/>
  <c r="O589" i="3" s="1"/>
  <c r="P589" i="3" s="1"/>
  <c r="R589" i="3" s="1"/>
  <c r="S610" i="3" s="1"/>
  <c r="Z589" i="3"/>
  <c r="U590" i="3"/>
  <c r="V590" i="3" s="1"/>
  <c r="O609" i="4" l="1"/>
  <c r="P608" i="4"/>
  <c r="R608" i="4" s="1"/>
  <c r="AD611" i="4"/>
  <c r="AC611" i="4"/>
  <c r="U613" i="4"/>
  <c r="V613" i="4" s="1"/>
  <c r="S614" i="4"/>
  <c r="Z612" i="4"/>
  <c r="N612" i="4"/>
  <c r="AE612" i="4" s="1"/>
  <c r="N590" i="3"/>
  <c r="O590" i="3" s="1"/>
  <c r="P590" i="3" s="1"/>
  <c r="R590" i="3" s="1"/>
  <c r="S611" i="3" s="1"/>
  <c r="Z590" i="3"/>
  <c r="U591" i="3"/>
  <c r="V591" i="3" s="1"/>
  <c r="P609" i="4" l="1"/>
  <c r="R609" i="4" s="1"/>
  <c r="O610" i="4"/>
  <c r="AC612" i="4"/>
  <c r="AD612" i="4"/>
  <c r="Z613" i="4"/>
  <c r="N613" i="4"/>
  <c r="AE613" i="4" s="1"/>
  <c r="U614" i="4"/>
  <c r="V614" i="4" s="1"/>
  <c r="S615" i="4"/>
  <c r="N591" i="3"/>
  <c r="O591" i="3" s="1"/>
  <c r="P591" i="3" s="1"/>
  <c r="R591" i="3" s="1"/>
  <c r="S612" i="3" s="1"/>
  <c r="Z591" i="3"/>
  <c r="U592" i="3"/>
  <c r="V592" i="3" s="1"/>
  <c r="P610" i="4" l="1"/>
  <c r="R610" i="4" s="1"/>
  <c r="O611" i="4"/>
  <c r="AC613" i="4"/>
  <c r="AD613" i="4"/>
  <c r="Z614" i="4"/>
  <c r="N614" i="4"/>
  <c r="AE614" i="4" s="1"/>
  <c r="U615" i="4"/>
  <c r="V615" i="4" s="1"/>
  <c r="S616" i="4"/>
  <c r="N592" i="3"/>
  <c r="O592" i="3" s="1"/>
  <c r="P592" i="3" s="1"/>
  <c r="R592" i="3" s="1"/>
  <c r="S613" i="3" s="1"/>
  <c r="Z592" i="3"/>
  <c r="U593" i="3"/>
  <c r="V593" i="3" s="1"/>
  <c r="O612" i="4" l="1"/>
  <c r="P611" i="4"/>
  <c r="R611" i="4" s="1"/>
  <c r="AD614" i="4"/>
  <c r="AC614" i="4"/>
  <c r="U616" i="4"/>
  <c r="V616" i="4" s="1"/>
  <c r="S617" i="4"/>
  <c r="Z615" i="4"/>
  <c r="N615" i="4"/>
  <c r="AE615" i="4" s="1"/>
  <c r="N593" i="3"/>
  <c r="O593" i="3" s="1"/>
  <c r="P593" i="3" s="1"/>
  <c r="R593" i="3" s="1"/>
  <c r="S614" i="3" s="1"/>
  <c r="Z593" i="3"/>
  <c r="U594" i="3"/>
  <c r="V594" i="3" s="1"/>
  <c r="O613" i="4" l="1"/>
  <c r="P612" i="4"/>
  <c r="R612" i="4" s="1"/>
  <c r="AC615" i="4"/>
  <c r="AD615" i="4"/>
  <c r="U617" i="4"/>
  <c r="V617" i="4" s="1"/>
  <c r="S618" i="4"/>
  <c r="Z616" i="4"/>
  <c r="N616" i="4"/>
  <c r="AE616" i="4" s="1"/>
  <c r="N594" i="3"/>
  <c r="O594" i="3" s="1"/>
  <c r="P594" i="3" s="1"/>
  <c r="R594" i="3" s="1"/>
  <c r="S615" i="3" s="1"/>
  <c r="Z594" i="3"/>
  <c r="U595" i="3"/>
  <c r="V595" i="3" s="1"/>
  <c r="P613" i="4" l="1"/>
  <c r="R613" i="4" s="1"/>
  <c r="O614" i="4"/>
  <c r="AC616" i="4"/>
  <c r="AD616" i="4"/>
  <c r="U618" i="4"/>
  <c r="V618" i="4" s="1"/>
  <c r="S619" i="4"/>
  <c r="Z617" i="4"/>
  <c r="N617" i="4"/>
  <c r="AE617" i="4" s="1"/>
  <c r="N595" i="3"/>
  <c r="O595" i="3" s="1"/>
  <c r="P595" i="3" s="1"/>
  <c r="R595" i="3" s="1"/>
  <c r="S616" i="3" s="1"/>
  <c r="Z595" i="3"/>
  <c r="U596" i="3"/>
  <c r="V596" i="3" s="1"/>
  <c r="P614" i="4" l="1"/>
  <c r="R614" i="4" s="1"/>
  <c r="O615" i="4"/>
  <c r="AD617" i="4"/>
  <c r="AC617" i="4"/>
  <c r="U619" i="4"/>
  <c r="V619" i="4" s="1"/>
  <c r="S620" i="4"/>
  <c r="Z618" i="4"/>
  <c r="N618" i="4"/>
  <c r="AE618" i="4" s="1"/>
  <c r="N596" i="3"/>
  <c r="O596" i="3" s="1"/>
  <c r="P596" i="3" s="1"/>
  <c r="R596" i="3" s="1"/>
  <c r="S617" i="3" s="1"/>
  <c r="Z596" i="3"/>
  <c r="U597" i="3"/>
  <c r="V597" i="3" s="1"/>
  <c r="P615" i="4" l="1"/>
  <c r="R615" i="4" s="1"/>
  <c r="O616" i="4"/>
  <c r="AC618" i="4"/>
  <c r="AD618" i="4"/>
  <c r="Z619" i="4"/>
  <c r="N619" i="4"/>
  <c r="AE619" i="4" s="1"/>
  <c r="U620" i="4"/>
  <c r="V620" i="4" s="1"/>
  <c r="S621" i="4"/>
  <c r="N597" i="3"/>
  <c r="O597" i="3" s="1"/>
  <c r="P597" i="3" s="1"/>
  <c r="R597" i="3" s="1"/>
  <c r="S618" i="3" s="1"/>
  <c r="Z597" i="3"/>
  <c r="U598" i="3"/>
  <c r="V598" i="3" s="1"/>
  <c r="P616" i="4" l="1"/>
  <c r="R616" i="4" s="1"/>
  <c r="O617" i="4"/>
  <c r="AC619" i="4"/>
  <c r="AD619" i="4"/>
  <c r="U621" i="4"/>
  <c r="V621" i="4" s="1"/>
  <c r="S622" i="4"/>
  <c r="Z620" i="4"/>
  <c r="N620" i="4"/>
  <c r="AE620" i="4" s="1"/>
  <c r="N598" i="3"/>
  <c r="O598" i="3" s="1"/>
  <c r="P598" i="3" s="1"/>
  <c r="R598" i="3" s="1"/>
  <c r="S619" i="3" s="1"/>
  <c r="Z598" i="3"/>
  <c r="U599" i="3"/>
  <c r="V599" i="3" s="1"/>
  <c r="P617" i="4" l="1"/>
  <c r="R617" i="4" s="1"/>
  <c r="O618" i="4"/>
  <c r="AD620" i="4"/>
  <c r="AC620" i="4"/>
  <c r="U622" i="4"/>
  <c r="V622" i="4" s="1"/>
  <c r="S623" i="4"/>
  <c r="Z621" i="4"/>
  <c r="N621" i="4"/>
  <c r="AE621" i="4" s="1"/>
  <c r="N599" i="3"/>
  <c r="O599" i="3" s="1"/>
  <c r="P599" i="3" s="1"/>
  <c r="R599" i="3" s="1"/>
  <c r="S620" i="3" s="1"/>
  <c r="Z599" i="3"/>
  <c r="U600" i="3"/>
  <c r="V600" i="3" s="1"/>
  <c r="O619" i="4" l="1"/>
  <c r="P618" i="4"/>
  <c r="R618" i="4" s="1"/>
  <c r="AC621" i="4"/>
  <c r="AD621" i="4"/>
  <c r="Z622" i="4"/>
  <c r="N622" i="4"/>
  <c r="AE622" i="4" s="1"/>
  <c r="U623" i="4"/>
  <c r="V623" i="4" s="1"/>
  <c r="S624" i="4"/>
  <c r="N600" i="3"/>
  <c r="O600" i="3" s="1"/>
  <c r="P600" i="3" s="1"/>
  <c r="R600" i="3" s="1"/>
  <c r="S621" i="3" s="1"/>
  <c r="Z600" i="3"/>
  <c r="U601" i="3"/>
  <c r="V601" i="3" s="1"/>
  <c r="P619" i="4" l="1"/>
  <c r="R619" i="4" s="1"/>
  <c r="O620" i="4"/>
  <c r="AC622" i="4"/>
  <c r="AD622" i="4"/>
  <c r="U624" i="4"/>
  <c r="V624" i="4" s="1"/>
  <c r="S625" i="4"/>
  <c r="Z623" i="4"/>
  <c r="N623" i="4"/>
  <c r="AE623" i="4" s="1"/>
  <c r="N601" i="3"/>
  <c r="O601" i="3" s="1"/>
  <c r="P601" i="3" s="1"/>
  <c r="R601" i="3" s="1"/>
  <c r="S622" i="3" s="1"/>
  <c r="Z601" i="3"/>
  <c r="U602" i="3"/>
  <c r="V602" i="3" s="1"/>
  <c r="O621" i="4" l="1"/>
  <c r="P620" i="4"/>
  <c r="R620" i="4" s="1"/>
  <c r="AD623" i="4"/>
  <c r="AC623" i="4"/>
  <c r="U625" i="4"/>
  <c r="V625" i="4" s="1"/>
  <c r="S626" i="4"/>
  <c r="Z624" i="4"/>
  <c r="N624" i="4"/>
  <c r="AE624" i="4" s="1"/>
  <c r="N602" i="3"/>
  <c r="O602" i="3" s="1"/>
  <c r="Z602" i="3"/>
  <c r="U603" i="3"/>
  <c r="V603" i="3" s="1"/>
  <c r="P621" i="4" l="1"/>
  <c r="R621" i="4" s="1"/>
  <c r="O622" i="4"/>
  <c r="AC624" i="4"/>
  <c r="AD624" i="4"/>
  <c r="Z625" i="4"/>
  <c r="N625" i="4"/>
  <c r="AE625" i="4" s="1"/>
  <c r="U626" i="4"/>
  <c r="V626" i="4" s="1"/>
  <c r="S627" i="4"/>
  <c r="P602" i="3"/>
  <c r="R602" i="3" s="1"/>
  <c r="S623" i="3" s="1"/>
  <c r="N603" i="3"/>
  <c r="O603" i="3" s="1"/>
  <c r="P603" i="3" s="1"/>
  <c r="R603" i="3" s="1"/>
  <c r="Z603" i="3"/>
  <c r="U604" i="3"/>
  <c r="V604" i="3" s="1"/>
  <c r="N604" i="3" s="1"/>
  <c r="P622" i="4" l="1"/>
  <c r="R622" i="4" s="1"/>
  <c r="O623" i="4"/>
  <c r="AC625" i="4"/>
  <c r="AD625" i="4"/>
  <c r="Z626" i="4"/>
  <c r="N626" i="4"/>
  <c r="AE626" i="4" s="1"/>
  <c r="U627" i="4"/>
  <c r="V627" i="4" s="1"/>
  <c r="S628" i="4"/>
  <c r="S624" i="3"/>
  <c r="O604" i="3"/>
  <c r="P604" i="3" s="1"/>
  <c r="R604" i="3" s="1"/>
  <c r="Z604" i="3"/>
  <c r="U605" i="3"/>
  <c r="V605" i="3" s="1"/>
  <c r="O624" i="4" l="1"/>
  <c r="P623" i="4"/>
  <c r="R623" i="4" s="1"/>
  <c r="AD626" i="4"/>
  <c r="AC626" i="4"/>
  <c r="Z627" i="4"/>
  <c r="N627" i="4"/>
  <c r="AE627" i="4" s="1"/>
  <c r="U628" i="4"/>
  <c r="V628" i="4" s="1"/>
  <c r="S629" i="4"/>
  <c r="S625" i="3"/>
  <c r="N605" i="3"/>
  <c r="O605" i="3" s="1"/>
  <c r="P605" i="3" s="1"/>
  <c r="R605" i="3" s="1"/>
  <c r="Z605" i="3"/>
  <c r="U606" i="3"/>
  <c r="V606" i="3" s="1"/>
  <c r="O625" i="4" l="1"/>
  <c r="P624" i="4"/>
  <c r="R624" i="4" s="1"/>
  <c r="AC627" i="4"/>
  <c r="AD627" i="4"/>
  <c r="Z628" i="4"/>
  <c r="N628" i="4"/>
  <c r="AE628" i="4" s="1"/>
  <c r="U629" i="4"/>
  <c r="V629" i="4" s="1"/>
  <c r="S630" i="4"/>
  <c r="S626" i="3"/>
  <c r="N606" i="3"/>
  <c r="O606" i="3" s="1"/>
  <c r="P606" i="3" s="1"/>
  <c r="R606" i="3" s="1"/>
  <c r="Z606" i="3"/>
  <c r="U607" i="3"/>
  <c r="V607" i="3" s="1"/>
  <c r="P625" i="4" l="1"/>
  <c r="R625" i="4" s="1"/>
  <c r="O626" i="4"/>
  <c r="AC628" i="4"/>
  <c r="AD628" i="4"/>
  <c r="U630" i="4"/>
  <c r="V630" i="4" s="1"/>
  <c r="S631" i="4"/>
  <c r="Z629" i="4"/>
  <c r="N629" i="4"/>
  <c r="AE629" i="4" s="1"/>
  <c r="S627" i="3"/>
  <c r="N607" i="3"/>
  <c r="O607" i="3" s="1"/>
  <c r="P607" i="3" s="1"/>
  <c r="R607" i="3" s="1"/>
  <c r="Z607" i="3"/>
  <c r="U608" i="3"/>
  <c r="V608" i="3" s="1"/>
  <c r="P626" i="4" l="1"/>
  <c r="R626" i="4" s="1"/>
  <c r="O627" i="4"/>
  <c r="AD629" i="4"/>
  <c r="AC629" i="4"/>
  <c r="U631" i="4"/>
  <c r="V631" i="4" s="1"/>
  <c r="S632" i="4"/>
  <c r="Z630" i="4"/>
  <c r="N630" i="4"/>
  <c r="AE630" i="4" s="1"/>
  <c r="S628" i="3"/>
  <c r="N608" i="3"/>
  <c r="O608" i="3" s="1"/>
  <c r="P608" i="3" s="1"/>
  <c r="R608" i="3" s="1"/>
  <c r="Z608" i="3"/>
  <c r="U609" i="3"/>
  <c r="V609" i="3" s="1"/>
  <c r="O628" i="4" l="1"/>
  <c r="P627" i="4"/>
  <c r="R627" i="4" s="1"/>
  <c r="AC630" i="4"/>
  <c r="AD630" i="4"/>
  <c r="Z631" i="4"/>
  <c r="N631" i="4"/>
  <c r="AE631" i="4" s="1"/>
  <c r="U632" i="4"/>
  <c r="V632" i="4" s="1"/>
  <c r="S633" i="4"/>
  <c r="S629" i="3"/>
  <c r="N609" i="3"/>
  <c r="O609" i="3" s="1"/>
  <c r="P609" i="3" s="1"/>
  <c r="R609" i="3" s="1"/>
  <c r="Z609" i="3"/>
  <c r="U610" i="3"/>
  <c r="V610" i="3" s="1"/>
  <c r="P628" i="4" l="1"/>
  <c r="R628" i="4" s="1"/>
  <c r="O629" i="4"/>
  <c r="AC631" i="4"/>
  <c r="AD631" i="4"/>
  <c r="U633" i="4"/>
  <c r="V633" i="4" s="1"/>
  <c r="S634" i="4"/>
  <c r="Z632" i="4"/>
  <c r="N632" i="4"/>
  <c r="AE632" i="4" s="1"/>
  <c r="S630" i="3"/>
  <c r="N610" i="3"/>
  <c r="O610" i="3" s="1"/>
  <c r="P610" i="3" s="1"/>
  <c r="R610" i="3" s="1"/>
  <c r="Z610" i="3"/>
  <c r="U611" i="3"/>
  <c r="V611" i="3" s="1"/>
  <c r="P629" i="4" l="1"/>
  <c r="R629" i="4" s="1"/>
  <c r="O630" i="4"/>
  <c r="AD632" i="4"/>
  <c r="AC632" i="4"/>
  <c r="U634" i="4"/>
  <c r="V634" i="4" s="1"/>
  <c r="S635" i="4"/>
  <c r="Z633" i="4"/>
  <c r="N633" i="4"/>
  <c r="AE633" i="4" s="1"/>
  <c r="S631" i="3"/>
  <c r="N611" i="3"/>
  <c r="O611" i="3" s="1"/>
  <c r="P611" i="3" s="1"/>
  <c r="R611" i="3" s="1"/>
  <c r="Z611" i="3"/>
  <c r="U612" i="3"/>
  <c r="V612" i="3" s="1"/>
  <c r="P630" i="4" l="1"/>
  <c r="R630" i="4" s="1"/>
  <c r="O631" i="4"/>
  <c r="AC633" i="4"/>
  <c r="AD633" i="4"/>
  <c r="Z634" i="4"/>
  <c r="N634" i="4"/>
  <c r="AE634" i="4" s="1"/>
  <c r="U635" i="4"/>
  <c r="V635" i="4" s="1"/>
  <c r="S636" i="4"/>
  <c r="S632" i="3"/>
  <c r="N612" i="3"/>
  <c r="O612" i="3" s="1"/>
  <c r="P612" i="3" s="1"/>
  <c r="R612" i="3" s="1"/>
  <c r="Z612" i="3"/>
  <c r="U613" i="3"/>
  <c r="V613" i="3" s="1"/>
  <c r="P631" i="4" l="1"/>
  <c r="R631" i="4" s="1"/>
  <c r="O632" i="4"/>
  <c r="AC634" i="4"/>
  <c r="AD634" i="4"/>
  <c r="U636" i="4"/>
  <c r="V636" i="4" s="1"/>
  <c r="S637" i="4"/>
  <c r="Z635" i="4"/>
  <c r="N635" i="4"/>
  <c r="AE635" i="4" s="1"/>
  <c r="S633" i="3"/>
  <c r="N613" i="3"/>
  <c r="O613" i="3" s="1"/>
  <c r="P613" i="3" s="1"/>
  <c r="R613" i="3" s="1"/>
  <c r="Z613" i="3"/>
  <c r="U614" i="3"/>
  <c r="V614" i="3" s="1"/>
  <c r="P632" i="4" l="1"/>
  <c r="R632" i="4" s="1"/>
  <c r="O633" i="4"/>
  <c r="AD635" i="4"/>
  <c r="AC635" i="4"/>
  <c r="U637" i="4"/>
  <c r="V637" i="4" s="1"/>
  <c r="S638" i="4"/>
  <c r="Z636" i="4"/>
  <c r="N636" i="4"/>
  <c r="AE636" i="4" s="1"/>
  <c r="S634" i="3"/>
  <c r="N614" i="3"/>
  <c r="O614" i="3" s="1"/>
  <c r="P614" i="3" s="1"/>
  <c r="R614" i="3" s="1"/>
  <c r="Z614" i="3"/>
  <c r="U615" i="3"/>
  <c r="V615" i="3" s="1"/>
  <c r="O634" i="4" l="1"/>
  <c r="P633" i="4"/>
  <c r="R633" i="4" s="1"/>
  <c r="AC636" i="4"/>
  <c r="AD636" i="4"/>
  <c r="Z637" i="4"/>
  <c r="N637" i="4"/>
  <c r="AE637" i="4" s="1"/>
  <c r="U638" i="4"/>
  <c r="V638" i="4" s="1"/>
  <c r="S639" i="4"/>
  <c r="S635" i="3"/>
  <c r="N615" i="3"/>
  <c r="O615" i="3" s="1"/>
  <c r="P615" i="3" s="1"/>
  <c r="R615" i="3" s="1"/>
  <c r="Z615" i="3"/>
  <c r="U616" i="3"/>
  <c r="V616" i="3" s="1"/>
  <c r="P634" i="4" l="1"/>
  <c r="R634" i="4" s="1"/>
  <c r="O635" i="4"/>
  <c r="AC637" i="4"/>
  <c r="AD637" i="4"/>
  <c r="U639" i="4"/>
  <c r="V639" i="4" s="1"/>
  <c r="S640" i="4"/>
  <c r="Z638" i="4"/>
  <c r="N638" i="4"/>
  <c r="AE638" i="4" s="1"/>
  <c r="S636" i="3"/>
  <c r="N616" i="3"/>
  <c r="O616" i="3" s="1"/>
  <c r="P616" i="3" s="1"/>
  <c r="R616" i="3" s="1"/>
  <c r="Z616" i="3"/>
  <c r="U617" i="3"/>
  <c r="V617" i="3" s="1"/>
  <c r="P635" i="4" l="1"/>
  <c r="R635" i="4" s="1"/>
  <c r="O636" i="4"/>
  <c r="AD638" i="4"/>
  <c r="AC638" i="4"/>
  <c r="U640" i="4"/>
  <c r="V640" i="4" s="1"/>
  <c r="S641" i="4"/>
  <c r="Z639" i="4"/>
  <c r="N639" i="4"/>
  <c r="AE639" i="4" s="1"/>
  <c r="S637" i="3"/>
  <c r="N617" i="3"/>
  <c r="O617" i="3" s="1"/>
  <c r="P617" i="3" s="1"/>
  <c r="R617" i="3" s="1"/>
  <c r="Z617" i="3"/>
  <c r="U618" i="3"/>
  <c r="V618" i="3" s="1"/>
  <c r="P636" i="4" l="1"/>
  <c r="R636" i="4" s="1"/>
  <c r="O637" i="4"/>
  <c r="AC639" i="4"/>
  <c r="AD639" i="4"/>
  <c r="Z640" i="4"/>
  <c r="N640" i="4"/>
  <c r="AE640" i="4" s="1"/>
  <c r="U641" i="4"/>
  <c r="V641" i="4" s="1"/>
  <c r="S642" i="4"/>
  <c r="S638" i="3"/>
  <c r="N618" i="3"/>
  <c r="O618" i="3" s="1"/>
  <c r="P618" i="3" s="1"/>
  <c r="R618" i="3" s="1"/>
  <c r="Z618" i="3"/>
  <c r="U619" i="3"/>
  <c r="V619" i="3" s="1"/>
  <c r="P637" i="4" l="1"/>
  <c r="R637" i="4" s="1"/>
  <c r="O638" i="4"/>
  <c r="AC640" i="4"/>
  <c r="AD640" i="4"/>
  <c r="U642" i="4"/>
  <c r="V642" i="4" s="1"/>
  <c r="S643" i="4"/>
  <c r="Z641" i="4"/>
  <c r="N641" i="4"/>
  <c r="AE641" i="4" s="1"/>
  <c r="S639" i="3"/>
  <c r="N619" i="3"/>
  <c r="O619" i="3" s="1"/>
  <c r="P619" i="3" s="1"/>
  <c r="R619" i="3" s="1"/>
  <c r="Z619" i="3"/>
  <c r="U620" i="3"/>
  <c r="V620" i="3" s="1"/>
  <c r="P638" i="4" l="1"/>
  <c r="R638" i="4" s="1"/>
  <c r="O639" i="4"/>
  <c r="AD641" i="4"/>
  <c r="AC641" i="4"/>
  <c r="U643" i="4"/>
  <c r="V643" i="4" s="1"/>
  <c r="S644" i="4"/>
  <c r="Z642" i="4"/>
  <c r="N642" i="4"/>
  <c r="AE642" i="4" s="1"/>
  <c r="S640" i="3"/>
  <c r="N620" i="3"/>
  <c r="O620" i="3" s="1"/>
  <c r="P620" i="3" s="1"/>
  <c r="R620" i="3" s="1"/>
  <c r="Z620" i="3"/>
  <c r="U621" i="3"/>
  <c r="V621" i="3" s="1"/>
  <c r="P639" i="4" l="1"/>
  <c r="R639" i="4" s="1"/>
  <c r="O640" i="4"/>
  <c r="AC642" i="4"/>
  <c r="AD642" i="4"/>
  <c r="Z643" i="4"/>
  <c r="N643" i="4"/>
  <c r="AE643" i="4" s="1"/>
  <c r="U644" i="4"/>
  <c r="V644" i="4" s="1"/>
  <c r="S645" i="4"/>
  <c r="S641" i="3"/>
  <c r="N621" i="3"/>
  <c r="O621" i="3" s="1"/>
  <c r="P621" i="3" s="1"/>
  <c r="R621" i="3" s="1"/>
  <c r="Z621" i="3"/>
  <c r="U622" i="3"/>
  <c r="V622" i="3" s="1"/>
  <c r="P640" i="4" l="1"/>
  <c r="R640" i="4" s="1"/>
  <c r="O641" i="4"/>
  <c r="AC643" i="4"/>
  <c r="AD643" i="4"/>
  <c r="U645" i="4"/>
  <c r="V645" i="4" s="1"/>
  <c r="S646" i="4"/>
  <c r="Z644" i="4"/>
  <c r="N644" i="4"/>
  <c r="AE644" i="4" s="1"/>
  <c r="S642" i="3"/>
  <c r="N622" i="3"/>
  <c r="O622" i="3" s="1"/>
  <c r="P622" i="3" s="1"/>
  <c r="R622" i="3" s="1"/>
  <c r="Z622" i="3"/>
  <c r="U623" i="3"/>
  <c r="V623" i="3" s="1"/>
  <c r="P641" i="4" l="1"/>
  <c r="R641" i="4" s="1"/>
  <c r="O642" i="4"/>
  <c r="AD644" i="4"/>
  <c r="AC644" i="4"/>
  <c r="U646" i="4"/>
  <c r="V646" i="4" s="1"/>
  <c r="S647" i="4"/>
  <c r="Z645" i="4"/>
  <c r="N645" i="4"/>
  <c r="AE645" i="4" s="1"/>
  <c r="S643" i="3"/>
  <c r="N623" i="3"/>
  <c r="O623" i="3" s="1"/>
  <c r="P623" i="3" s="1"/>
  <c r="R623" i="3" s="1"/>
  <c r="Z623" i="3"/>
  <c r="U624" i="3"/>
  <c r="V624" i="3" s="1"/>
  <c r="P642" i="4" l="1"/>
  <c r="R642" i="4" s="1"/>
  <c r="O643" i="4"/>
  <c r="AC645" i="4"/>
  <c r="AD645" i="4"/>
  <c r="Z646" i="4"/>
  <c r="N646" i="4"/>
  <c r="AE646" i="4" s="1"/>
  <c r="U647" i="4"/>
  <c r="V647" i="4" s="1"/>
  <c r="S648" i="4"/>
  <c r="S644" i="3"/>
  <c r="N624" i="3"/>
  <c r="O624" i="3" s="1"/>
  <c r="P624" i="3" s="1"/>
  <c r="R624" i="3" s="1"/>
  <c r="Z624" i="3"/>
  <c r="U625" i="3"/>
  <c r="V625" i="3" s="1"/>
  <c r="P643" i="4" l="1"/>
  <c r="R643" i="4" s="1"/>
  <c r="O644" i="4"/>
  <c r="AC646" i="4"/>
  <c r="AD646" i="4"/>
  <c r="U648" i="4"/>
  <c r="V648" i="4" s="1"/>
  <c r="S649" i="4"/>
  <c r="Z647" i="4"/>
  <c r="N647" i="4"/>
  <c r="AE647" i="4" s="1"/>
  <c r="S645" i="3"/>
  <c r="N625" i="3"/>
  <c r="O625" i="3" s="1"/>
  <c r="P625" i="3" s="1"/>
  <c r="R625" i="3" s="1"/>
  <c r="Z625" i="3"/>
  <c r="U626" i="3"/>
  <c r="V626" i="3" s="1"/>
  <c r="P644" i="4" l="1"/>
  <c r="R644" i="4" s="1"/>
  <c r="O645" i="4"/>
  <c r="AD647" i="4"/>
  <c r="AC647" i="4"/>
  <c r="U649" i="4"/>
  <c r="V649" i="4" s="1"/>
  <c r="S650" i="4"/>
  <c r="Z648" i="4"/>
  <c r="N648" i="4"/>
  <c r="AE648" i="4" s="1"/>
  <c r="S646" i="3"/>
  <c r="N626" i="3"/>
  <c r="O626" i="3" s="1"/>
  <c r="P626" i="3" s="1"/>
  <c r="R626" i="3" s="1"/>
  <c r="Z626" i="3"/>
  <c r="U627" i="3"/>
  <c r="V627" i="3" s="1"/>
  <c r="P645" i="4" l="1"/>
  <c r="R645" i="4" s="1"/>
  <c r="O646" i="4"/>
  <c r="AC648" i="4"/>
  <c r="AD648" i="4"/>
  <c r="Z649" i="4"/>
  <c r="N649" i="4"/>
  <c r="AE649" i="4" s="1"/>
  <c r="U650" i="4"/>
  <c r="V650" i="4" s="1"/>
  <c r="S651" i="4"/>
  <c r="S647" i="3"/>
  <c r="N627" i="3"/>
  <c r="O627" i="3" s="1"/>
  <c r="P627" i="3" s="1"/>
  <c r="R627" i="3" s="1"/>
  <c r="Z627" i="3"/>
  <c r="U628" i="3"/>
  <c r="V628" i="3" s="1"/>
  <c r="P646" i="4" l="1"/>
  <c r="R646" i="4" s="1"/>
  <c r="O647" i="4"/>
  <c r="AC649" i="4"/>
  <c r="AD649" i="4"/>
  <c r="U651" i="4"/>
  <c r="V651" i="4" s="1"/>
  <c r="S652" i="4"/>
  <c r="Z650" i="4"/>
  <c r="N650" i="4"/>
  <c r="AE650" i="4" s="1"/>
  <c r="S648" i="3"/>
  <c r="N628" i="3"/>
  <c r="O628" i="3" s="1"/>
  <c r="P628" i="3" s="1"/>
  <c r="R628" i="3" s="1"/>
  <c r="Z628" i="3"/>
  <c r="U629" i="3"/>
  <c r="V629" i="3" s="1"/>
  <c r="O648" i="4" l="1"/>
  <c r="P647" i="4"/>
  <c r="R647" i="4" s="1"/>
  <c r="AD650" i="4"/>
  <c r="AC650" i="4"/>
  <c r="U652" i="4"/>
  <c r="V652" i="4" s="1"/>
  <c r="S653" i="4"/>
  <c r="Z651" i="4"/>
  <c r="N651" i="4"/>
  <c r="AE651" i="4" s="1"/>
  <c r="S649" i="3"/>
  <c r="N629" i="3"/>
  <c r="O629" i="3" s="1"/>
  <c r="P629" i="3" s="1"/>
  <c r="R629" i="3" s="1"/>
  <c r="Z629" i="3"/>
  <c r="U630" i="3"/>
  <c r="V630" i="3" s="1"/>
  <c r="P648" i="4" l="1"/>
  <c r="R648" i="4" s="1"/>
  <c r="O649" i="4"/>
  <c r="AC651" i="4"/>
  <c r="AD651" i="4"/>
  <c r="Z652" i="4"/>
  <c r="N652" i="4"/>
  <c r="AE652" i="4" s="1"/>
  <c r="U653" i="4"/>
  <c r="V653" i="4" s="1"/>
  <c r="S654" i="4"/>
  <c r="S650" i="3"/>
  <c r="N630" i="3"/>
  <c r="O630" i="3" s="1"/>
  <c r="P630" i="3" s="1"/>
  <c r="R630" i="3" s="1"/>
  <c r="Z630" i="3"/>
  <c r="U631" i="3"/>
  <c r="V631" i="3" s="1"/>
  <c r="P649" i="4" l="1"/>
  <c r="R649" i="4" s="1"/>
  <c r="O650" i="4"/>
  <c r="AC652" i="4"/>
  <c r="AD652" i="4"/>
  <c r="U654" i="4"/>
  <c r="V654" i="4" s="1"/>
  <c r="S655" i="4"/>
  <c r="Z653" i="4"/>
  <c r="N653" i="4"/>
  <c r="AE653" i="4" s="1"/>
  <c r="S651" i="3"/>
  <c r="N631" i="3"/>
  <c r="O631" i="3" s="1"/>
  <c r="P631" i="3" s="1"/>
  <c r="R631" i="3" s="1"/>
  <c r="Z631" i="3"/>
  <c r="U632" i="3"/>
  <c r="V632" i="3" s="1"/>
  <c r="P650" i="4" l="1"/>
  <c r="R650" i="4" s="1"/>
  <c r="O651" i="4"/>
  <c r="AD653" i="4"/>
  <c r="AC653" i="4"/>
  <c r="U655" i="4"/>
  <c r="V655" i="4" s="1"/>
  <c r="S656" i="4"/>
  <c r="Z654" i="4"/>
  <c r="N654" i="4"/>
  <c r="AE654" i="4" s="1"/>
  <c r="S652" i="3"/>
  <c r="N632" i="3"/>
  <c r="O632" i="3" s="1"/>
  <c r="P632" i="3" s="1"/>
  <c r="R632" i="3" s="1"/>
  <c r="Z632" i="3"/>
  <c r="U633" i="3"/>
  <c r="V633" i="3" s="1"/>
  <c r="O652" i="4" l="1"/>
  <c r="P651" i="4"/>
  <c r="R651" i="4" s="1"/>
  <c r="AC654" i="4"/>
  <c r="AD654" i="4"/>
  <c r="Z655" i="4"/>
  <c r="N655" i="4"/>
  <c r="AE655" i="4" s="1"/>
  <c r="U656" i="4"/>
  <c r="V656" i="4" s="1"/>
  <c r="S657" i="4"/>
  <c r="S653" i="3"/>
  <c r="N633" i="3"/>
  <c r="O633" i="3" s="1"/>
  <c r="Z633" i="3"/>
  <c r="U634" i="3"/>
  <c r="V634" i="3" s="1"/>
  <c r="P652" i="4" l="1"/>
  <c r="R652" i="4" s="1"/>
  <c r="O653" i="4"/>
  <c r="AC655" i="4"/>
  <c r="AD655" i="4"/>
  <c r="U657" i="4"/>
  <c r="V657" i="4" s="1"/>
  <c r="S658" i="4"/>
  <c r="Z656" i="4"/>
  <c r="N656" i="4"/>
  <c r="AE656" i="4" s="1"/>
  <c r="P633" i="3"/>
  <c r="R633" i="3" s="1"/>
  <c r="S654" i="3" s="1"/>
  <c r="N634" i="3"/>
  <c r="O634" i="3" s="1"/>
  <c r="P634" i="3" s="1"/>
  <c r="R634" i="3" s="1"/>
  <c r="Z634" i="3"/>
  <c r="U635" i="3"/>
  <c r="V635" i="3" s="1"/>
  <c r="P653" i="4" l="1"/>
  <c r="R653" i="4" s="1"/>
  <c r="O654" i="4"/>
  <c r="AD656" i="4"/>
  <c r="AC656" i="4"/>
  <c r="U658" i="4"/>
  <c r="V658" i="4" s="1"/>
  <c r="S659" i="4"/>
  <c r="S655" i="3"/>
  <c r="Z657" i="4"/>
  <c r="N657" i="4"/>
  <c r="AE657" i="4" s="1"/>
  <c r="N635" i="3"/>
  <c r="O635" i="3" s="1"/>
  <c r="P635" i="3" s="1"/>
  <c r="R635" i="3" s="1"/>
  <c r="Z635" i="3"/>
  <c r="U636" i="3"/>
  <c r="V636" i="3" s="1"/>
  <c r="P654" i="4" l="1"/>
  <c r="R654" i="4" s="1"/>
  <c r="O655" i="4"/>
  <c r="S656" i="3"/>
  <c r="AC657" i="4"/>
  <c r="AD657" i="4"/>
  <c r="Z658" i="4"/>
  <c r="N658" i="4"/>
  <c r="AE658" i="4" s="1"/>
  <c r="U659" i="4"/>
  <c r="V659" i="4" s="1"/>
  <c r="S660" i="4"/>
  <c r="N636" i="3"/>
  <c r="O636" i="3" s="1"/>
  <c r="P636" i="3" s="1"/>
  <c r="R636" i="3" s="1"/>
  <c r="Z636" i="3"/>
  <c r="U637" i="3"/>
  <c r="V637" i="3" s="1"/>
  <c r="P655" i="4" l="1"/>
  <c r="R655" i="4" s="1"/>
  <c r="O656" i="4"/>
  <c r="S657" i="3"/>
  <c r="AC658" i="4"/>
  <c r="AD658" i="4"/>
  <c r="U660" i="4"/>
  <c r="V660" i="4" s="1"/>
  <c r="S661" i="4"/>
  <c r="Z659" i="4"/>
  <c r="N659" i="4"/>
  <c r="AE659" i="4" s="1"/>
  <c r="N637" i="3"/>
  <c r="O637" i="3" s="1"/>
  <c r="P637" i="3" s="1"/>
  <c r="R637" i="3" s="1"/>
  <c r="Z637" i="3"/>
  <c r="U638" i="3"/>
  <c r="V638" i="3" s="1"/>
  <c r="S658" i="3" l="1"/>
  <c r="O657" i="4"/>
  <c r="P656" i="4"/>
  <c r="R656" i="4" s="1"/>
  <c r="AD659" i="4"/>
  <c r="AC659" i="4"/>
  <c r="U661" i="4"/>
  <c r="V661" i="4" s="1"/>
  <c r="S662" i="4"/>
  <c r="Z660" i="4"/>
  <c r="N660" i="4"/>
  <c r="AE660" i="4" s="1"/>
  <c r="N638" i="3"/>
  <c r="O638" i="3" s="1"/>
  <c r="P638" i="3" s="1"/>
  <c r="R638" i="3" s="1"/>
  <c r="S659" i="3" s="1"/>
  <c r="Z638" i="3"/>
  <c r="U639" i="3"/>
  <c r="V639" i="3" s="1"/>
  <c r="O658" i="4" l="1"/>
  <c r="P657" i="4"/>
  <c r="R657" i="4" s="1"/>
  <c r="AC660" i="4"/>
  <c r="AD660" i="4"/>
  <c r="Z661" i="4"/>
  <c r="N661" i="4"/>
  <c r="AE661" i="4" s="1"/>
  <c r="U662" i="4"/>
  <c r="V662" i="4" s="1"/>
  <c r="S663" i="4"/>
  <c r="N639" i="3"/>
  <c r="O639" i="3" s="1"/>
  <c r="P639" i="3" s="1"/>
  <c r="R639" i="3" s="1"/>
  <c r="S660" i="3" s="1"/>
  <c r="Z639" i="3"/>
  <c r="U640" i="3"/>
  <c r="V640" i="3" s="1"/>
  <c r="P658" i="4" l="1"/>
  <c r="R658" i="4" s="1"/>
  <c r="O659" i="4"/>
  <c r="AC661" i="4"/>
  <c r="AD661" i="4"/>
  <c r="U663" i="4"/>
  <c r="V663" i="4" s="1"/>
  <c r="S664" i="4"/>
  <c r="Z662" i="4"/>
  <c r="N662" i="4"/>
  <c r="AE662" i="4" s="1"/>
  <c r="N640" i="3"/>
  <c r="O640" i="3" s="1"/>
  <c r="P640" i="3" s="1"/>
  <c r="R640" i="3" s="1"/>
  <c r="S661" i="3" s="1"/>
  <c r="Z640" i="3"/>
  <c r="U641" i="3"/>
  <c r="V641" i="3" s="1"/>
  <c r="P659" i="4" l="1"/>
  <c r="R659" i="4" s="1"/>
  <c r="O660" i="4"/>
  <c r="AD662" i="4"/>
  <c r="AC662" i="4"/>
  <c r="U664" i="4"/>
  <c r="V664" i="4" s="1"/>
  <c r="S665" i="4"/>
  <c r="Z663" i="4"/>
  <c r="N663" i="4"/>
  <c r="AE663" i="4" s="1"/>
  <c r="N641" i="3"/>
  <c r="O641" i="3" s="1"/>
  <c r="P641" i="3" s="1"/>
  <c r="R641" i="3" s="1"/>
  <c r="S662" i="3" s="1"/>
  <c r="Z641" i="3"/>
  <c r="U642" i="3"/>
  <c r="V642" i="3" s="1"/>
  <c r="P660" i="4" l="1"/>
  <c r="R660" i="4" s="1"/>
  <c r="O661" i="4"/>
  <c r="AC663" i="4"/>
  <c r="AD663" i="4"/>
  <c r="Z664" i="4"/>
  <c r="N664" i="4"/>
  <c r="AE664" i="4" s="1"/>
  <c r="U665" i="4"/>
  <c r="V665" i="4" s="1"/>
  <c r="S666" i="4"/>
  <c r="N642" i="3"/>
  <c r="O642" i="3" s="1"/>
  <c r="P642" i="3" s="1"/>
  <c r="R642" i="3" s="1"/>
  <c r="S663" i="3" s="1"/>
  <c r="Z642" i="3"/>
  <c r="U643" i="3"/>
  <c r="V643" i="3" s="1"/>
  <c r="P661" i="4" l="1"/>
  <c r="R661" i="4" s="1"/>
  <c r="O662" i="4"/>
  <c r="AC664" i="4"/>
  <c r="AD664" i="4"/>
  <c r="U666" i="4"/>
  <c r="V666" i="4" s="1"/>
  <c r="S667" i="4"/>
  <c r="Z665" i="4"/>
  <c r="N665" i="4"/>
  <c r="AE665" i="4" s="1"/>
  <c r="N643" i="3"/>
  <c r="O643" i="3" s="1"/>
  <c r="P643" i="3" s="1"/>
  <c r="R643" i="3" s="1"/>
  <c r="S664" i="3" s="1"/>
  <c r="Z643" i="3"/>
  <c r="U644" i="3"/>
  <c r="V644" i="3" s="1"/>
  <c r="P662" i="4" l="1"/>
  <c r="R662" i="4" s="1"/>
  <c r="O663" i="4"/>
  <c r="AD665" i="4"/>
  <c r="AC665" i="4"/>
  <c r="U667" i="4"/>
  <c r="V667" i="4" s="1"/>
  <c r="S668" i="4"/>
  <c r="Z666" i="4"/>
  <c r="N666" i="4"/>
  <c r="AE666" i="4" s="1"/>
  <c r="N644" i="3"/>
  <c r="O644" i="3" s="1"/>
  <c r="Z644" i="3"/>
  <c r="U645" i="3"/>
  <c r="V645" i="3" s="1"/>
  <c r="O664" i="4" l="1"/>
  <c r="P663" i="4"/>
  <c r="R663" i="4" s="1"/>
  <c r="AC666" i="4"/>
  <c r="AD666" i="4"/>
  <c r="Z667" i="4"/>
  <c r="N667" i="4"/>
  <c r="AE667" i="4" s="1"/>
  <c r="U668" i="4"/>
  <c r="V668" i="4" s="1"/>
  <c r="S669" i="4"/>
  <c r="P644" i="3"/>
  <c r="R644" i="3" s="1"/>
  <c r="S665" i="3" s="1"/>
  <c r="N645" i="3"/>
  <c r="O645" i="3" s="1"/>
  <c r="Z645" i="3"/>
  <c r="U646" i="3"/>
  <c r="V646" i="3" s="1"/>
  <c r="P664" i="4" l="1"/>
  <c r="R664" i="4" s="1"/>
  <c r="O665" i="4"/>
  <c r="AC667" i="4"/>
  <c r="AD667" i="4"/>
  <c r="U669" i="4"/>
  <c r="V669" i="4" s="1"/>
  <c r="S670" i="4"/>
  <c r="Z668" i="4"/>
  <c r="N668" i="4"/>
  <c r="AE668" i="4" s="1"/>
  <c r="P645" i="3"/>
  <c r="R645" i="3" s="1"/>
  <c r="S666" i="3" s="1"/>
  <c r="N646" i="3"/>
  <c r="O646" i="3" s="1"/>
  <c r="Z646" i="3"/>
  <c r="U647" i="3"/>
  <c r="V647" i="3" s="1"/>
  <c r="P665" i="4" l="1"/>
  <c r="R665" i="4" s="1"/>
  <c r="O666" i="4"/>
  <c r="AD668" i="4"/>
  <c r="AC668" i="4"/>
  <c r="U670" i="4"/>
  <c r="V670" i="4" s="1"/>
  <c r="S671" i="4"/>
  <c r="Z669" i="4"/>
  <c r="N669" i="4"/>
  <c r="AE669" i="4" s="1"/>
  <c r="P646" i="3"/>
  <c r="R646" i="3" s="1"/>
  <c r="S667" i="3" s="1"/>
  <c r="N647" i="3"/>
  <c r="O647" i="3" s="1"/>
  <c r="Z647" i="3"/>
  <c r="U648" i="3"/>
  <c r="V648" i="3" s="1"/>
  <c r="P666" i="4" l="1"/>
  <c r="R666" i="4" s="1"/>
  <c r="O667" i="4"/>
  <c r="AC669" i="4"/>
  <c r="AD669" i="4"/>
  <c r="Z670" i="4"/>
  <c r="N670" i="4"/>
  <c r="AE670" i="4" s="1"/>
  <c r="U671" i="4"/>
  <c r="V671" i="4" s="1"/>
  <c r="S672" i="4"/>
  <c r="P647" i="3"/>
  <c r="R647" i="3" s="1"/>
  <c r="S668" i="3" s="1"/>
  <c r="N648" i="3"/>
  <c r="O648" i="3" s="1"/>
  <c r="P648" i="3" s="1"/>
  <c r="R648" i="3" s="1"/>
  <c r="Z648" i="3"/>
  <c r="U649" i="3"/>
  <c r="V649" i="3" s="1"/>
  <c r="P667" i="4" l="1"/>
  <c r="R667" i="4" s="1"/>
  <c r="O668" i="4"/>
  <c r="AC670" i="4"/>
  <c r="AD670" i="4"/>
  <c r="S669" i="3"/>
  <c r="U672" i="4"/>
  <c r="V672" i="4" s="1"/>
  <c r="S673" i="4"/>
  <c r="Z671" i="4"/>
  <c r="N671" i="4"/>
  <c r="AE671" i="4" s="1"/>
  <c r="N649" i="3"/>
  <c r="O649" i="3" s="1"/>
  <c r="P649" i="3" s="1"/>
  <c r="R649" i="3" s="1"/>
  <c r="Z649" i="3"/>
  <c r="U650" i="3"/>
  <c r="V650" i="3" s="1"/>
  <c r="P668" i="4" l="1"/>
  <c r="R668" i="4" s="1"/>
  <c r="O669" i="4"/>
  <c r="AD671" i="4"/>
  <c r="S670" i="3"/>
  <c r="AC671" i="4"/>
  <c r="U673" i="4"/>
  <c r="V673" i="4" s="1"/>
  <c r="S674" i="4"/>
  <c r="Z672" i="4"/>
  <c r="N672" i="4"/>
  <c r="AE672" i="4" s="1"/>
  <c r="N650" i="3"/>
  <c r="O650" i="3" s="1"/>
  <c r="P650" i="3" s="1"/>
  <c r="R650" i="3" s="1"/>
  <c r="Z650" i="3"/>
  <c r="U651" i="3"/>
  <c r="V651" i="3" s="1"/>
  <c r="S671" i="3" l="1"/>
  <c r="O670" i="4"/>
  <c r="P669" i="4"/>
  <c r="R669" i="4" s="1"/>
  <c r="AC672" i="4"/>
  <c r="AD672" i="4"/>
  <c r="Z673" i="4"/>
  <c r="N673" i="4"/>
  <c r="AE673" i="4" s="1"/>
  <c r="U674" i="4"/>
  <c r="V674" i="4" s="1"/>
  <c r="S675" i="4"/>
  <c r="N651" i="3"/>
  <c r="O651" i="3" s="1"/>
  <c r="P651" i="3" s="1"/>
  <c r="R651" i="3" s="1"/>
  <c r="S672" i="3" s="1"/>
  <c r="Z651" i="3"/>
  <c r="U652" i="3"/>
  <c r="V652" i="3" s="1"/>
  <c r="P670" i="4" l="1"/>
  <c r="R670" i="4" s="1"/>
  <c r="O671" i="4"/>
  <c r="AC673" i="4"/>
  <c r="AD673" i="4"/>
  <c r="U675" i="4"/>
  <c r="V675" i="4" s="1"/>
  <c r="S676" i="4"/>
  <c r="Z674" i="4"/>
  <c r="N674" i="4"/>
  <c r="AE674" i="4" s="1"/>
  <c r="N652" i="3"/>
  <c r="O652" i="3" s="1"/>
  <c r="P652" i="3" s="1"/>
  <c r="R652" i="3" s="1"/>
  <c r="S673" i="3" s="1"/>
  <c r="Z652" i="3"/>
  <c r="U653" i="3"/>
  <c r="V653" i="3" s="1"/>
  <c r="P671" i="4" l="1"/>
  <c r="R671" i="4" s="1"/>
  <c r="O672" i="4"/>
  <c r="AD674" i="4"/>
  <c r="AC674" i="4"/>
  <c r="U676" i="4"/>
  <c r="V676" i="4" s="1"/>
  <c r="S677" i="4"/>
  <c r="Z675" i="4"/>
  <c r="N675" i="4"/>
  <c r="AE675" i="4" s="1"/>
  <c r="N653" i="3"/>
  <c r="O653" i="3" s="1"/>
  <c r="P653" i="3" s="1"/>
  <c r="R653" i="3" s="1"/>
  <c r="S674" i="3" s="1"/>
  <c r="Z653" i="3"/>
  <c r="U654" i="3"/>
  <c r="V654" i="3" s="1"/>
  <c r="P672" i="4" l="1"/>
  <c r="R672" i="4" s="1"/>
  <c r="O673" i="4"/>
  <c r="AC675" i="4"/>
  <c r="AD675" i="4"/>
  <c r="Z676" i="4"/>
  <c r="N676" i="4"/>
  <c r="AE676" i="4" s="1"/>
  <c r="U677" i="4"/>
  <c r="V677" i="4" s="1"/>
  <c r="S678" i="4"/>
  <c r="N654" i="3"/>
  <c r="O654" i="3" s="1"/>
  <c r="P654" i="3" s="1"/>
  <c r="R654" i="3" s="1"/>
  <c r="S675" i="3" s="1"/>
  <c r="Z654" i="3"/>
  <c r="U655" i="3"/>
  <c r="V655" i="3" s="1"/>
  <c r="P673" i="4" l="1"/>
  <c r="R673" i="4" s="1"/>
  <c r="O674" i="4"/>
  <c r="AC676" i="4"/>
  <c r="AD676" i="4"/>
  <c r="U678" i="4"/>
  <c r="V678" i="4" s="1"/>
  <c r="S679" i="4"/>
  <c r="Z677" i="4"/>
  <c r="N677" i="4"/>
  <c r="AE677" i="4" s="1"/>
  <c r="N655" i="3"/>
  <c r="O655" i="3" s="1"/>
  <c r="P655" i="3" s="1"/>
  <c r="R655" i="3" s="1"/>
  <c r="S676" i="3" s="1"/>
  <c r="Z655" i="3"/>
  <c r="U656" i="3"/>
  <c r="V656" i="3" s="1"/>
  <c r="O675" i="4" l="1"/>
  <c r="P674" i="4"/>
  <c r="R674" i="4" s="1"/>
  <c r="AD677" i="4"/>
  <c r="AC677" i="4"/>
  <c r="U679" i="4"/>
  <c r="V679" i="4" s="1"/>
  <c r="S680" i="4"/>
  <c r="Z678" i="4"/>
  <c r="N678" i="4"/>
  <c r="AE678" i="4" s="1"/>
  <c r="N656" i="3"/>
  <c r="O656" i="3" s="1"/>
  <c r="P656" i="3" s="1"/>
  <c r="R656" i="3" s="1"/>
  <c r="S677" i="3" s="1"/>
  <c r="Z656" i="3"/>
  <c r="U657" i="3"/>
  <c r="V657" i="3" s="1"/>
  <c r="P675" i="4" l="1"/>
  <c r="R675" i="4" s="1"/>
  <c r="O676" i="4"/>
  <c r="AC678" i="4"/>
  <c r="AD678" i="4"/>
  <c r="Z679" i="4"/>
  <c r="N679" i="4"/>
  <c r="AE679" i="4" s="1"/>
  <c r="U680" i="4"/>
  <c r="V680" i="4" s="1"/>
  <c r="S681" i="4"/>
  <c r="N657" i="3"/>
  <c r="O657" i="3" s="1"/>
  <c r="Z657" i="3"/>
  <c r="U658" i="3"/>
  <c r="V658" i="3" s="1"/>
  <c r="P676" i="4" l="1"/>
  <c r="R676" i="4" s="1"/>
  <c r="O677" i="4"/>
  <c r="AC679" i="4"/>
  <c r="AD679" i="4"/>
  <c r="U681" i="4"/>
  <c r="V681" i="4" s="1"/>
  <c r="S682" i="4"/>
  <c r="Z680" i="4"/>
  <c r="N680" i="4"/>
  <c r="AE680" i="4" s="1"/>
  <c r="P657" i="3"/>
  <c r="R657" i="3" s="1"/>
  <c r="S678" i="3" s="1"/>
  <c r="N658" i="3"/>
  <c r="O658" i="3" s="1"/>
  <c r="P658" i="3" s="1"/>
  <c r="R658" i="3" s="1"/>
  <c r="Z658" i="3"/>
  <c r="U659" i="3"/>
  <c r="V659" i="3" s="1"/>
  <c r="O678" i="4" l="1"/>
  <c r="P677" i="4"/>
  <c r="R677" i="4" s="1"/>
  <c r="AD680" i="4"/>
  <c r="AC680" i="4"/>
  <c r="U682" i="4"/>
  <c r="V682" i="4" s="1"/>
  <c r="S683" i="4"/>
  <c r="Z681" i="4"/>
  <c r="N681" i="4"/>
  <c r="AE681" i="4" s="1"/>
  <c r="S679" i="3"/>
  <c r="N659" i="3"/>
  <c r="O659" i="3" s="1"/>
  <c r="P659" i="3" s="1"/>
  <c r="R659" i="3" s="1"/>
  <c r="Z659" i="3"/>
  <c r="U660" i="3"/>
  <c r="V660" i="3" s="1"/>
  <c r="P678" i="4" l="1"/>
  <c r="R678" i="4" s="1"/>
  <c r="O679" i="4"/>
  <c r="AC681" i="4"/>
  <c r="AD681" i="4"/>
  <c r="Z682" i="4"/>
  <c r="N682" i="4"/>
  <c r="AE682" i="4" s="1"/>
  <c r="U683" i="4"/>
  <c r="V683" i="4" s="1"/>
  <c r="S684" i="4"/>
  <c r="S680" i="3"/>
  <c r="N660" i="3"/>
  <c r="O660" i="3" s="1"/>
  <c r="P660" i="3" s="1"/>
  <c r="R660" i="3" s="1"/>
  <c r="Z660" i="3"/>
  <c r="U661" i="3"/>
  <c r="V661" i="3" s="1"/>
  <c r="P679" i="4" l="1"/>
  <c r="R679" i="4" s="1"/>
  <c r="O680" i="4"/>
  <c r="AC682" i="4"/>
  <c r="AD682" i="4"/>
  <c r="U684" i="4"/>
  <c r="V684" i="4" s="1"/>
  <c r="S685" i="4"/>
  <c r="Z683" i="4"/>
  <c r="N683" i="4"/>
  <c r="AE683" i="4" s="1"/>
  <c r="S681" i="3"/>
  <c r="N661" i="3"/>
  <c r="O661" i="3" s="1"/>
  <c r="P661" i="3" s="1"/>
  <c r="R661" i="3" s="1"/>
  <c r="Z661" i="3"/>
  <c r="U662" i="3"/>
  <c r="V662" i="3" s="1"/>
  <c r="P680" i="4" l="1"/>
  <c r="R680" i="4" s="1"/>
  <c r="O681" i="4"/>
  <c r="AD683" i="4"/>
  <c r="AC683" i="4"/>
  <c r="U685" i="4"/>
  <c r="V685" i="4" s="1"/>
  <c r="S686" i="4"/>
  <c r="Z684" i="4"/>
  <c r="N684" i="4"/>
  <c r="AE684" i="4" s="1"/>
  <c r="S682" i="3"/>
  <c r="N662" i="3"/>
  <c r="O662" i="3" s="1"/>
  <c r="P662" i="3" s="1"/>
  <c r="R662" i="3" s="1"/>
  <c r="Z662" i="3"/>
  <c r="U663" i="3"/>
  <c r="V663" i="3" s="1"/>
  <c r="P681" i="4" l="1"/>
  <c r="R681" i="4" s="1"/>
  <c r="O682" i="4"/>
  <c r="AC684" i="4"/>
  <c r="AD684" i="4"/>
  <c r="Z685" i="4"/>
  <c r="N685" i="4"/>
  <c r="AE685" i="4" s="1"/>
  <c r="U686" i="4"/>
  <c r="V686" i="4" s="1"/>
  <c r="S687" i="4"/>
  <c r="S683" i="3"/>
  <c r="N663" i="3"/>
  <c r="O663" i="3" s="1"/>
  <c r="P663" i="3" s="1"/>
  <c r="R663" i="3" s="1"/>
  <c r="Z663" i="3"/>
  <c r="U664" i="3"/>
  <c r="V664" i="3" s="1"/>
  <c r="P682" i="4" l="1"/>
  <c r="R682" i="4" s="1"/>
  <c r="O683" i="4"/>
  <c r="AC685" i="4"/>
  <c r="AD685" i="4"/>
  <c r="U687" i="4"/>
  <c r="V687" i="4" s="1"/>
  <c r="S688" i="4"/>
  <c r="Z686" i="4"/>
  <c r="N686" i="4"/>
  <c r="AE686" i="4" s="1"/>
  <c r="S684" i="3"/>
  <c r="N664" i="3"/>
  <c r="O664" i="3" s="1"/>
  <c r="P664" i="3" s="1"/>
  <c r="R664" i="3" s="1"/>
  <c r="Z664" i="3"/>
  <c r="U665" i="3"/>
  <c r="V665" i="3" s="1"/>
  <c r="P683" i="4" l="1"/>
  <c r="R683" i="4" s="1"/>
  <c r="O684" i="4"/>
  <c r="AD686" i="4"/>
  <c r="AC686" i="4"/>
  <c r="U688" i="4"/>
  <c r="V688" i="4" s="1"/>
  <c r="S689" i="4"/>
  <c r="Z687" i="4"/>
  <c r="N687" i="4"/>
  <c r="AE687" i="4" s="1"/>
  <c r="S685" i="3"/>
  <c r="N665" i="3"/>
  <c r="O665" i="3" s="1"/>
  <c r="P665" i="3" s="1"/>
  <c r="R665" i="3" s="1"/>
  <c r="Z665" i="3"/>
  <c r="U666" i="3"/>
  <c r="V666" i="3" s="1"/>
  <c r="P684" i="4" l="1"/>
  <c r="R684" i="4" s="1"/>
  <c r="O685" i="4"/>
  <c r="AC687" i="4"/>
  <c r="AD687" i="4"/>
  <c r="Z688" i="4"/>
  <c r="N688" i="4"/>
  <c r="AE688" i="4" s="1"/>
  <c r="U689" i="4"/>
  <c r="V689" i="4" s="1"/>
  <c r="S690" i="4"/>
  <c r="S686" i="3"/>
  <c r="N666" i="3"/>
  <c r="O666" i="3" s="1"/>
  <c r="P666" i="3" s="1"/>
  <c r="R666" i="3" s="1"/>
  <c r="Z666" i="3"/>
  <c r="U667" i="3"/>
  <c r="V667" i="3" s="1"/>
  <c r="P685" i="4" l="1"/>
  <c r="R685" i="4" s="1"/>
  <c r="O686" i="4"/>
  <c r="AC688" i="4"/>
  <c r="AD688" i="4"/>
  <c r="U690" i="4"/>
  <c r="V690" i="4" s="1"/>
  <c r="S691" i="4"/>
  <c r="Z689" i="4"/>
  <c r="N689" i="4"/>
  <c r="AE689" i="4" s="1"/>
  <c r="S687" i="3"/>
  <c r="N667" i="3"/>
  <c r="O667" i="3" s="1"/>
  <c r="P667" i="3" s="1"/>
  <c r="R667" i="3" s="1"/>
  <c r="Z667" i="3"/>
  <c r="U668" i="3"/>
  <c r="V668" i="3" s="1"/>
  <c r="O687" i="4" l="1"/>
  <c r="P686" i="4"/>
  <c r="R686" i="4" s="1"/>
  <c r="AD689" i="4"/>
  <c r="AC689" i="4"/>
  <c r="U691" i="4"/>
  <c r="V691" i="4" s="1"/>
  <c r="S692" i="4"/>
  <c r="Z690" i="4"/>
  <c r="N690" i="4"/>
  <c r="AE690" i="4" s="1"/>
  <c r="S688" i="3"/>
  <c r="N668" i="3"/>
  <c r="O668" i="3" s="1"/>
  <c r="P668" i="3" s="1"/>
  <c r="R668" i="3" s="1"/>
  <c r="Z668" i="3"/>
  <c r="U669" i="3"/>
  <c r="V669" i="3" s="1"/>
  <c r="P687" i="4" l="1"/>
  <c r="R687" i="4" s="1"/>
  <c r="O688" i="4"/>
  <c r="AC690" i="4"/>
  <c r="AD690" i="4"/>
  <c r="Z691" i="4"/>
  <c r="N691" i="4"/>
  <c r="AE691" i="4" s="1"/>
  <c r="U692" i="4"/>
  <c r="V692" i="4" s="1"/>
  <c r="S693" i="4"/>
  <c r="S689" i="3"/>
  <c r="N669" i="3"/>
  <c r="O669" i="3" s="1"/>
  <c r="P669" i="3" s="1"/>
  <c r="R669" i="3" s="1"/>
  <c r="Z669" i="3"/>
  <c r="U670" i="3"/>
  <c r="V670" i="3" s="1"/>
  <c r="P688" i="4" l="1"/>
  <c r="R688" i="4" s="1"/>
  <c r="O689" i="4"/>
  <c r="AC691" i="4"/>
  <c r="AD691" i="4"/>
  <c r="U693" i="4"/>
  <c r="V693" i="4" s="1"/>
  <c r="S694" i="4"/>
  <c r="Z692" i="4"/>
  <c r="N692" i="4"/>
  <c r="AE692" i="4" s="1"/>
  <c r="S690" i="3"/>
  <c r="N670" i="3"/>
  <c r="O670" i="3" s="1"/>
  <c r="P670" i="3" s="1"/>
  <c r="R670" i="3" s="1"/>
  <c r="Z670" i="3"/>
  <c r="U671" i="3"/>
  <c r="V671" i="3" s="1"/>
  <c r="O690" i="4" l="1"/>
  <c r="P689" i="4"/>
  <c r="R689" i="4" s="1"/>
  <c r="AD692" i="4"/>
  <c r="AC692" i="4"/>
  <c r="U694" i="4"/>
  <c r="V694" i="4" s="1"/>
  <c r="S695" i="4"/>
  <c r="Z693" i="4"/>
  <c r="N693" i="4"/>
  <c r="AE693" i="4" s="1"/>
  <c r="S691" i="3"/>
  <c r="N671" i="3"/>
  <c r="O671" i="3" s="1"/>
  <c r="P671" i="3" s="1"/>
  <c r="R671" i="3" s="1"/>
  <c r="Z671" i="3"/>
  <c r="U672" i="3"/>
  <c r="V672" i="3" s="1"/>
  <c r="P690" i="4" l="1"/>
  <c r="R690" i="4" s="1"/>
  <c r="O691" i="4"/>
  <c r="AC693" i="4"/>
  <c r="AD693" i="4"/>
  <c r="Z694" i="4"/>
  <c r="N694" i="4"/>
  <c r="AE694" i="4" s="1"/>
  <c r="U695" i="4"/>
  <c r="V695" i="4" s="1"/>
  <c r="S696" i="4"/>
  <c r="S692" i="3"/>
  <c r="N672" i="3"/>
  <c r="O672" i="3" s="1"/>
  <c r="P672" i="3" s="1"/>
  <c r="R672" i="3" s="1"/>
  <c r="Z672" i="3"/>
  <c r="U673" i="3"/>
  <c r="V673" i="3" s="1"/>
  <c r="P691" i="4" l="1"/>
  <c r="R691" i="4" s="1"/>
  <c r="O692" i="4"/>
  <c r="AC694" i="4"/>
  <c r="AD694" i="4"/>
  <c r="U696" i="4"/>
  <c r="V696" i="4" s="1"/>
  <c r="S697" i="4"/>
  <c r="Z695" i="4"/>
  <c r="N695" i="4"/>
  <c r="AE695" i="4" s="1"/>
  <c r="S693" i="3"/>
  <c r="N673" i="3"/>
  <c r="O673" i="3" s="1"/>
  <c r="P673" i="3" s="1"/>
  <c r="R673" i="3" s="1"/>
  <c r="Z673" i="3"/>
  <c r="U674" i="3"/>
  <c r="V674" i="3" s="1"/>
  <c r="O693" i="4" l="1"/>
  <c r="P692" i="4"/>
  <c r="R692" i="4" s="1"/>
  <c r="AD695" i="4"/>
  <c r="AC695" i="4"/>
  <c r="U697" i="4"/>
  <c r="V697" i="4" s="1"/>
  <c r="S698" i="4"/>
  <c r="Z696" i="4"/>
  <c r="N696" i="4"/>
  <c r="AE696" i="4" s="1"/>
  <c r="S694" i="3"/>
  <c r="N674" i="3"/>
  <c r="O674" i="3" s="1"/>
  <c r="P674" i="3" s="1"/>
  <c r="R674" i="3" s="1"/>
  <c r="Z674" i="3"/>
  <c r="U675" i="3"/>
  <c r="V675" i="3" s="1"/>
  <c r="P693" i="4" l="1"/>
  <c r="R693" i="4" s="1"/>
  <c r="O694" i="4"/>
  <c r="AC696" i="4"/>
  <c r="AD696" i="4"/>
  <c r="Z697" i="4"/>
  <c r="N697" i="4"/>
  <c r="AE697" i="4" s="1"/>
  <c r="U698" i="4"/>
  <c r="V698" i="4" s="1"/>
  <c r="S699" i="4"/>
  <c r="S695" i="3"/>
  <c r="N675" i="3"/>
  <c r="O675" i="3" s="1"/>
  <c r="P675" i="3" s="1"/>
  <c r="R675" i="3" s="1"/>
  <c r="Z675" i="3"/>
  <c r="U676" i="3"/>
  <c r="V676" i="3" s="1"/>
  <c r="P694" i="4" l="1"/>
  <c r="R694" i="4" s="1"/>
  <c r="O695" i="4"/>
  <c r="AC697" i="4"/>
  <c r="AD697" i="4"/>
  <c r="U699" i="4"/>
  <c r="V699" i="4" s="1"/>
  <c r="S700" i="4"/>
  <c r="Z698" i="4"/>
  <c r="N698" i="4"/>
  <c r="AE698" i="4" s="1"/>
  <c r="S696" i="3"/>
  <c r="N676" i="3"/>
  <c r="O676" i="3" s="1"/>
  <c r="P676" i="3" s="1"/>
  <c r="R676" i="3" s="1"/>
  <c r="Z676" i="3"/>
  <c r="U677" i="3"/>
  <c r="V677" i="3" s="1"/>
  <c r="O696" i="4" l="1"/>
  <c r="P695" i="4"/>
  <c r="R695" i="4" s="1"/>
  <c r="AD698" i="4"/>
  <c r="AC698" i="4"/>
  <c r="U700" i="4"/>
  <c r="V700" i="4" s="1"/>
  <c r="S701" i="4"/>
  <c r="Z699" i="4"/>
  <c r="N699" i="4"/>
  <c r="AE699" i="4" s="1"/>
  <c r="S697" i="3"/>
  <c r="N677" i="3"/>
  <c r="O677" i="3" s="1"/>
  <c r="P677" i="3" s="1"/>
  <c r="R677" i="3" s="1"/>
  <c r="Z677" i="3"/>
  <c r="U678" i="3"/>
  <c r="V678" i="3" s="1"/>
  <c r="O697" i="4" l="1"/>
  <c r="P696" i="4"/>
  <c r="R696" i="4" s="1"/>
  <c r="AC699" i="4"/>
  <c r="AD699" i="4"/>
  <c r="Z700" i="4"/>
  <c r="N700" i="4"/>
  <c r="AE700" i="4" s="1"/>
  <c r="U701" i="4"/>
  <c r="V701" i="4" s="1"/>
  <c r="S702" i="4"/>
  <c r="S698" i="3"/>
  <c r="N678" i="3"/>
  <c r="O678" i="3" s="1"/>
  <c r="P678" i="3" s="1"/>
  <c r="R678" i="3" s="1"/>
  <c r="Z678" i="3"/>
  <c r="U679" i="3"/>
  <c r="V679" i="3" s="1"/>
  <c r="P697" i="4" l="1"/>
  <c r="R697" i="4" s="1"/>
  <c r="O698" i="4"/>
  <c r="AC700" i="4"/>
  <c r="AD700" i="4"/>
  <c r="U702" i="4"/>
  <c r="V702" i="4" s="1"/>
  <c r="S703" i="4"/>
  <c r="Z701" i="4"/>
  <c r="N701" i="4"/>
  <c r="AE701" i="4" s="1"/>
  <c r="S699" i="3"/>
  <c r="N679" i="3"/>
  <c r="O679" i="3" s="1"/>
  <c r="P679" i="3" s="1"/>
  <c r="R679" i="3" s="1"/>
  <c r="Z679" i="3"/>
  <c r="U680" i="3"/>
  <c r="V680" i="3" s="1"/>
  <c r="P698" i="4" l="1"/>
  <c r="R698" i="4" s="1"/>
  <c r="O699" i="4"/>
  <c r="AD701" i="4"/>
  <c r="AC701" i="4"/>
  <c r="U703" i="4"/>
  <c r="V703" i="4" s="1"/>
  <c r="S704" i="4"/>
  <c r="Z702" i="4"/>
  <c r="N702" i="4"/>
  <c r="AE702" i="4" s="1"/>
  <c r="S700" i="3"/>
  <c r="N680" i="3"/>
  <c r="O680" i="3" s="1"/>
  <c r="Z680" i="3"/>
  <c r="U681" i="3"/>
  <c r="V681" i="3" s="1"/>
  <c r="P699" i="4" l="1"/>
  <c r="R699" i="4" s="1"/>
  <c r="O700" i="4"/>
  <c r="AC702" i="4"/>
  <c r="AD702" i="4"/>
  <c r="Z703" i="4"/>
  <c r="N703" i="4"/>
  <c r="AE703" i="4" s="1"/>
  <c r="U704" i="4"/>
  <c r="V704" i="4" s="1"/>
  <c r="S705" i="4"/>
  <c r="P680" i="3"/>
  <c r="R680" i="3" s="1"/>
  <c r="S701" i="3" s="1"/>
  <c r="N681" i="3"/>
  <c r="O681" i="3" s="1"/>
  <c r="P681" i="3" s="1"/>
  <c r="R681" i="3" s="1"/>
  <c r="Z681" i="3"/>
  <c r="U682" i="3"/>
  <c r="V682" i="3" s="1"/>
  <c r="P700" i="4" l="1"/>
  <c r="R700" i="4" s="1"/>
  <c r="O701" i="4"/>
  <c r="AC703" i="4"/>
  <c r="AD703" i="4"/>
  <c r="S702" i="3"/>
  <c r="U705" i="4"/>
  <c r="V705" i="4" s="1"/>
  <c r="S706" i="4"/>
  <c r="Z704" i="4"/>
  <c r="N704" i="4"/>
  <c r="AE704" i="4" s="1"/>
  <c r="N682" i="3"/>
  <c r="O682" i="3" s="1"/>
  <c r="Z682" i="3"/>
  <c r="U683" i="3"/>
  <c r="V683" i="3" s="1"/>
  <c r="O702" i="4" l="1"/>
  <c r="P701" i="4"/>
  <c r="R701" i="4" s="1"/>
  <c r="AD704" i="4"/>
  <c r="AC704" i="4"/>
  <c r="U706" i="4"/>
  <c r="V706" i="4" s="1"/>
  <c r="S707" i="4"/>
  <c r="Z705" i="4"/>
  <c r="N705" i="4"/>
  <c r="AE705" i="4" s="1"/>
  <c r="P682" i="3"/>
  <c r="R682" i="3" s="1"/>
  <c r="S703" i="3" s="1"/>
  <c r="N683" i="3"/>
  <c r="O683" i="3" s="1"/>
  <c r="P683" i="3" s="1"/>
  <c r="R683" i="3" s="1"/>
  <c r="Z683" i="3"/>
  <c r="U684" i="3"/>
  <c r="V684" i="3" s="1"/>
  <c r="O703" i="4" l="1"/>
  <c r="P702" i="4"/>
  <c r="R702" i="4" s="1"/>
  <c r="AC705" i="4"/>
  <c r="AD705" i="4"/>
  <c r="Z706" i="4"/>
  <c r="N706" i="4"/>
  <c r="AE706" i="4" s="1"/>
  <c r="U707" i="4"/>
  <c r="V707" i="4" s="1"/>
  <c r="S708" i="4"/>
  <c r="S704" i="3"/>
  <c r="N684" i="3"/>
  <c r="O684" i="3" s="1"/>
  <c r="P684" i="3" s="1"/>
  <c r="R684" i="3" s="1"/>
  <c r="Z684" i="3"/>
  <c r="U685" i="3"/>
  <c r="V685" i="3" s="1"/>
  <c r="P703" i="4" l="1"/>
  <c r="R703" i="4" s="1"/>
  <c r="O704" i="4"/>
  <c r="AC706" i="4"/>
  <c r="AD706" i="4"/>
  <c r="U708" i="4"/>
  <c r="V708" i="4" s="1"/>
  <c r="S709" i="4"/>
  <c r="Z707" i="4"/>
  <c r="N707" i="4"/>
  <c r="AE707" i="4" s="1"/>
  <c r="S705" i="3"/>
  <c r="N685" i="3"/>
  <c r="O685" i="3" s="1"/>
  <c r="P685" i="3" s="1"/>
  <c r="R685" i="3" s="1"/>
  <c r="Z685" i="3"/>
  <c r="U686" i="3"/>
  <c r="V686" i="3" s="1"/>
  <c r="O705" i="4" l="1"/>
  <c r="P704" i="4"/>
  <c r="R704" i="4" s="1"/>
  <c r="AD707" i="4"/>
  <c r="AC707" i="4"/>
  <c r="U709" i="4"/>
  <c r="V709" i="4" s="1"/>
  <c r="S710" i="4"/>
  <c r="Z708" i="4"/>
  <c r="N708" i="4"/>
  <c r="AE708" i="4" s="1"/>
  <c r="S706" i="3"/>
  <c r="N686" i="3"/>
  <c r="O686" i="3" s="1"/>
  <c r="P686" i="3" s="1"/>
  <c r="R686" i="3" s="1"/>
  <c r="Z686" i="3"/>
  <c r="U687" i="3"/>
  <c r="V687" i="3" s="1"/>
  <c r="O706" i="4" l="1"/>
  <c r="P705" i="4"/>
  <c r="R705" i="4" s="1"/>
  <c r="AC708" i="4"/>
  <c r="AD708" i="4"/>
  <c r="Z709" i="4"/>
  <c r="N709" i="4"/>
  <c r="AE709" i="4" s="1"/>
  <c r="U710" i="4"/>
  <c r="V710" i="4" s="1"/>
  <c r="S711" i="4"/>
  <c r="S707" i="3"/>
  <c r="N687" i="3"/>
  <c r="O687" i="3" s="1"/>
  <c r="P687" i="3" s="1"/>
  <c r="R687" i="3" s="1"/>
  <c r="Z687" i="3"/>
  <c r="U688" i="3"/>
  <c r="V688" i="3" s="1"/>
  <c r="P706" i="4" l="1"/>
  <c r="R706" i="4" s="1"/>
  <c r="O707" i="4"/>
  <c r="AC709" i="4"/>
  <c r="AD709" i="4"/>
  <c r="U711" i="4"/>
  <c r="V711" i="4" s="1"/>
  <c r="S712" i="4"/>
  <c r="Z710" i="4"/>
  <c r="N710" i="4"/>
  <c r="AE710" i="4" s="1"/>
  <c r="S708" i="3"/>
  <c r="N688" i="3"/>
  <c r="O688" i="3" s="1"/>
  <c r="P688" i="3" s="1"/>
  <c r="R688" i="3" s="1"/>
  <c r="Z688" i="3"/>
  <c r="U689" i="3"/>
  <c r="V689" i="3" s="1"/>
  <c r="O708" i="4" l="1"/>
  <c r="P707" i="4"/>
  <c r="R707" i="4" s="1"/>
  <c r="AD710" i="4"/>
  <c r="AC710" i="4"/>
  <c r="U712" i="4"/>
  <c r="V712" i="4" s="1"/>
  <c r="S713" i="4"/>
  <c r="Z711" i="4"/>
  <c r="N711" i="4"/>
  <c r="AE711" i="4" s="1"/>
  <c r="S709" i="3"/>
  <c r="N689" i="3"/>
  <c r="O689" i="3" s="1"/>
  <c r="P689" i="3" s="1"/>
  <c r="R689" i="3" s="1"/>
  <c r="Z689" i="3"/>
  <c r="U690" i="3"/>
  <c r="V690" i="3" s="1"/>
  <c r="P708" i="4" l="1"/>
  <c r="R708" i="4" s="1"/>
  <c r="O709" i="4"/>
  <c r="AC711" i="4"/>
  <c r="AD711" i="4"/>
  <c r="Z712" i="4"/>
  <c r="N712" i="4"/>
  <c r="AE712" i="4" s="1"/>
  <c r="U713" i="4"/>
  <c r="V713" i="4" s="1"/>
  <c r="S714" i="4"/>
  <c r="S710" i="3"/>
  <c r="N690" i="3"/>
  <c r="O690" i="3" s="1"/>
  <c r="Z690" i="3"/>
  <c r="U691" i="3"/>
  <c r="V691" i="3" s="1"/>
  <c r="P709" i="4" l="1"/>
  <c r="R709" i="4" s="1"/>
  <c r="O710" i="4"/>
  <c r="AC712" i="4"/>
  <c r="AD712" i="4"/>
  <c r="U714" i="4"/>
  <c r="V714" i="4" s="1"/>
  <c r="S715" i="4"/>
  <c r="Z713" i="4"/>
  <c r="N713" i="4"/>
  <c r="AE713" i="4" s="1"/>
  <c r="P690" i="3"/>
  <c r="R690" i="3" s="1"/>
  <c r="S711" i="3" s="1"/>
  <c r="N691" i="3"/>
  <c r="O691" i="3" s="1"/>
  <c r="P691" i="3" s="1"/>
  <c r="R691" i="3" s="1"/>
  <c r="Z691" i="3"/>
  <c r="U692" i="3"/>
  <c r="V692" i="3" s="1"/>
  <c r="O711" i="4" l="1"/>
  <c r="P710" i="4"/>
  <c r="R710" i="4" s="1"/>
  <c r="AD713" i="4"/>
  <c r="AC713" i="4"/>
  <c r="S712" i="3"/>
  <c r="Z714" i="4"/>
  <c r="N714" i="4"/>
  <c r="AE714" i="4" s="1"/>
  <c r="U715" i="4"/>
  <c r="V715" i="4" s="1"/>
  <c r="S716" i="4"/>
  <c r="N692" i="3"/>
  <c r="O692" i="3" s="1"/>
  <c r="P692" i="3" s="1"/>
  <c r="R692" i="3" s="1"/>
  <c r="Z692" i="3"/>
  <c r="U693" i="3"/>
  <c r="V693" i="3" s="1"/>
  <c r="P711" i="4" l="1"/>
  <c r="R711" i="4" s="1"/>
  <c r="O712" i="4"/>
  <c r="AC714" i="4"/>
  <c r="AD714" i="4"/>
  <c r="S713" i="3"/>
  <c r="U716" i="4"/>
  <c r="V716" i="4" s="1"/>
  <c r="S717" i="4"/>
  <c r="Z715" i="4"/>
  <c r="N715" i="4"/>
  <c r="AE715" i="4" s="1"/>
  <c r="N693" i="3"/>
  <c r="O693" i="3" s="1"/>
  <c r="P693" i="3" s="1"/>
  <c r="R693" i="3" s="1"/>
  <c r="Z693" i="3"/>
  <c r="U694" i="3"/>
  <c r="V694" i="3" s="1"/>
  <c r="P712" i="4" l="1"/>
  <c r="R712" i="4" s="1"/>
  <c r="O713" i="4"/>
  <c r="S714" i="3"/>
  <c r="AC715" i="4"/>
  <c r="AD715" i="4"/>
  <c r="U717" i="4"/>
  <c r="V717" i="4" s="1"/>
  <c r="S718" i="4"/>
  <c r="Z716" i="4"/>
  <c r="N716" i="4"/>
  <c r="AE716" i="4" s="1"/>
  <c r="N694" i="3"/>
  <c r="O694" i="3" s="1"/>
  <c r="Z694" i="3"/>
  <c r="U695" i="3"/>
  <c r="V695" i="3" s="1"/>
  <c r="O714" i="4" l="1"/>
  <c r="P713" i="4"/>
  <c r="R713" i="4" s="1"/>
  <c r="AD716" i="4"/>
  <c r="AC716" i="4"/>
  <c r="U718" i="4"/>
  <c r="V718" i="4" s="1"/>
  <c r="S719" i="4"/>
  <c r="Z717" i="4"/>
  <c r="N717" i="4"/>
  <c r="AE717" i="4" s="1"/>
  <c r="P694" i="3"/>
  <c r="R694" i="3" s="1"/>
  <c r="S715" i="3" s="1"/>
  <c r="N695" i="3"/>
  <c r="O695" i="3" s="1"/>
  <c r="P695" i="3" s="1"/>
  <c r="R695" i="3" s="1"/>
  <c r="Z695" i="3"/>
  <c r="U696" i="3"/>
  <c r="V696" i="3" s="1"/>
  <c r="O715" i="4" l="1"/>
  <c r="P714" i="4"/>
  <c r="R714" i="4" s="1"/>
  <c r="AC717" i="4"/>
  <c r="AD717" i="4"/>
  <c r="Z718" i="4"/>
  <c r="N718" i="4"/>
  <c r="AE718" i="4" s="1"/>
  <c r="U719" i="4"/>
  <c r="V719" i="4" s="1"/>
  <c r="S720" i="4"/>
  <c r="S716" i="3"/>
  <c r="N696" i="3"/>
  <c r="O696" i="3" s="1"/>
  <c r="P696" i="3" s="1"/>
  <c r="R696" i="3" s="1"/>
  <c r="Z696" i="3"/>
  <c r="U697" i="3"/>
  <c r="V697" i="3" s="1"/>
  <c r="P715" i="4" l="1"/>
  <c r="R715" i="4" s="1"/>
  <c r="O716" i="4"/>
  <c r="AC718" i="4"/>
  <c r="AD718" i="4"/>
  <c r="U720" i="4"/>
  <c r="V720" i="4" s="1"/>
  <c r="S721" i="4"/>
  <c r="Z719" i="4"/>
  <c r="N719" i="4"/>
  <c r="AE719" i="4" s="1"/>
  <c r="S717" i="3"/>
  <c r="N697" i="3"/>
  <c r="O697" i="3" s="1"/>
  <c r="P697" i="3" s="1"/>
  <c r="R697" i="3" s="1"/>
  <c r="Z697" i="3"/>
  <c r="U698" i="3"/>
  <c r="V698" i="3" s="1"/>
  <c r="O717" i="4" l="1"/>
  <c r="P716" i="4"/>
  <c r="R716" i="4" s="1"/>
  <c r="AD719" i="4"/>
  <c r="AC719" i="4"/>
  <c r="U721" i="4"/>
  <c r="V721" i="4" s="1"/>
  <c r="S722" i="4"/>
  <c r="Z720" i="4"/>
  <c r="N720" i="4"/>
  <c r="AE720" i="4" s="1"/>
  <c r="S718" i="3"/>
  <c r="N698" i="3"/>
  <c r="O698" i="3" s="1"/>
  <c r="P698" i="3" s="1"/>
  <c r="R698" i="3" s="1"/>
  <c r="Z698" i="3"/>
  <c r="U699" i="3"/>
  <c r="V699" i="3" s="1"/>
  <c r="P717" i="4" l="1"/>
  <c r="R717" i="4" s="1"/>
  <c r="O718" i="4"/>
  <c r="AC720" i="4"/>
  <c r="AD720" i="4"/>
  <c r="Z721" i="4"/>
  <c r="N721" i="4"/>
  <c r="AE721" i="4" s="1"/>
  <c r="U722" i="4"/>
  <c r="V722" i="4" s="1"/>
  <c r="S723" i="4"/>
  <c r="S719" i="3"/>
  <c r="N699" i="3"/>
  <c r="O699" i="3" s="1"/>
  <c r="P699" i="3" s="1"/>
  <c r="R699" i="3" s="1"/>
  <c r="Z699" i="3"/>
  <c r="U700" i="3"/>
  <c r="V700" i="3" s="1"/>
  <c r="P718" i="4" l="1"/>
  <c r="R718" i="4" s="1"/>
  <c r="O719" i="4"/>
  <c r="AC721" i="4"/>
  <c r="AD721" i="4"/>
  <c r="U723" i="4"/>
  <c r="V723" i="4" s="1"/>
  <c r="S724" i="4"/>
  <c r="Z722" i="4"/>
  <c r="N722" i="4"/>
  <c r="AE722" i="4" s="1"/>
  <c r="S720" i="3"/>
  <c r="N700" i="3"/>
  <c r="O700" i="3" s="1"/>
  <c r="Z700" i="3"/>
  <c r="U701" i="3"/>
  <c r="V701" i="3" s="1"/>
  <c r="O720" i="4" l="1"/>
  <c r="P719" i="4"/>
  <c r="R719" i="4" s="1"/>
  <c r="AD722" i="4"/>
  <c r="AC722" i="4"/>
  <c r="U724" i="4"/>
  <c r="V724" i="4" s="1"/>
  <c r="S725" i="4"/>
  <c r="Z723" i="4"/>
  <c r="N723" i="4"/>
  <c r="AE723" i="4" s="1"/>
  <c r="P700" i="3"/>
  <c r="R700" i="3" s="1"/>
  <c r="S721" i="3" s="1"/>
  <c r="N701" i="3"/>
  <c r="O701" i="3" s="1"/>
  <c r="P701" i="3" s="1"/>
  <c r="R701" i="3" s="1"/>
  <c r="Z701" i="3"/>
  <c r="U702" i="3"/>
  <c r="V702" i="3" s="1"/>
  <c r="O721" i="4" l="1"/>
  <c r="P720" i="4"/>
  <c r="R720" i="4" s="1"/>
  <c r="AC723" i="4"/>
  <c r="AD723" i="4"/>
  <c r="S722" i="3"/>
  <c r="Z724" i="4"/>
  <c r="N724" i="4"/>
  <c r="AE724" i="4" s="1"/>
  <c r="U725" i="4"/>
  <c r="V725" i="4" s="1"/>
  <c r="S726" i="4"/>
  <c r="N702" i="3"/>
  <c r="O702" i="3" s="1"/>
  <c r="Z702" i="3"/>
  <c r="U703" i="3"/>
  <c r="V703" i="3" s="1"/>
  <c r="P721" i="4" l="1"/>
  <c r="R721" i="4" s="1"/>
  <c r="O722" i="4"/>
  <c r="AC724" i="4"/>
  <c r="AD724" i="4"/>
  <c r="U726" i="4"/>
  <c r="V726" i="4" s="1"/>
  <c r="S727" i="4"/>
  <c r="Z725" i="4"/>
  <c r="N725" i="4"/>
  <c r="AE725" i="4" s="1"/>
  <c r="P702" i="3"/>
  <c r="R702" i="3" s="1"/>
  <c r="S723" i="3" s="1"/>
  <c r="N703" i="3"/>
  <c r="O703" i="3" s="1"/>
  <c r="P703" i="3" s="1"/>
  <c r="R703" i="3" s="1"/>
  <c r="Z703" i="3"/>
  <c r="U704" i="3"/>
  <c r="V704" i="3" s="1"/>
  <c r="P722" i="4" l="1"/>
  <c r="R722" i="4" s="1"/>
  <c r="O723" i="4"/>
  <c r="AD725" i="4"/>
  <c r="AC725" i="4"/>
  <c r="U727" i="4"/>
  <c r="V727" i="4" s="1"/>
  <c r="S728" i="4"/>
  <c r="Z726" i="4"/>
  <c r="N726" i="4"/>
  <c r="AE726" i="4" s="1"/>
  <c r="S724" i="3"/>
  <c r="N704" i="3"/>
  <c r="O704" i="3" s="1"/>
  <c r="P704" i="3" s="1"/>
  <c r="R704" i="3" s="1"/>
  <c r="Z704" i="3"/>
  <c r="U705" i="3"/>
  <c r="V705" i="3" s="1"/>
  <c r="O724" i="4" l="1"/>
  <c r="P723" i="4"/>
  <c r="R723" i="4" s="1"/>
  <c r="AC726" i="4"/>
  <c r="AD726" i="4"/>
  <c r="Z727" i="4"/>
  <c r="N727" i="4"/>
  <c r="AE727" i="4" s="1"/>
  <c r="U728" i="4"/>
  <c r="V728" i="4" s="1"/>
  <c r="S729" i="4"/>
  <c r="S725" i="3"/>
  <c r="N705" i="3"/>
  <c r="O705" i="3" s="1"/>
  <c r="Z705" i="3"/>
  <c r="U706" i="3"/>
  <c r="V706" i="3" s="1"/>
  <c r="P724" i="4" l="1"/>
  <c r="R724" i="4" s="1"/>
  <c r="O725" i="4"/>
  <c r="AC727" i="4"/>
  <c r="AD727" i="4"/>
  <c r="U729" i="4"/>
  <c r="V729" i="4" s="1"/>
  <c r="S730" i="4"/>
  <c r="Z728" i="4"/>
  <c r="N728" i="4"/>
  <c r="AE728" i="4" s="1"/>
  <c r="P705" i="3"/>
  <c r="R705" i="3" s="1"/>
  <c r="S726" i="3" s="1"/>
  <c r="N706" i="3"/>
  <c r="O706" i="3" s="1"/>
  <c r="P706" i="3" s="1"/>
  <c r="R706" i="3" s="1"/>
  <c r="Z706" i="3"/>
  <c r="U707" i="3"/>
  <c r="V707" i="3" s="1"/>
  <c r="P725" i="4" l="1"/>
  <c r="R725" i="4" s="1"/>
  <c r="O726" i="4"/>
  <c r="AD728" i="4"/>
  <c r="AC728" i="4"/>
  <c r="S727" i="3"/>
  <c r="U730" i="4"/>
  <c r="V730" i="4" s="1"/>
  <c r="S731" i="4"/>
  <c r="Z729" i="4"/>
  <c r="N729" i="4"/>
  <c r="AE729" i="4" s="1"/>
  <c r="N707" i="3"/>
  <c r="O707" i="3" s="1"/>
  <c r="Z707" i="3"/>
  <c r="U708" i="3"/>
  <c r="V708" i="3" s="1"/>
  <c r="O727" i="4" l="1"/>
  <c r="P726" i="4"/>
  <c r="R726" i="4" s="1"/>
  <c r="AC729" i="4"/>
  <c r="AD729" i="4"/>
  <c r="Z730" i="4"/>
  <c r="N730" i="4"/>
  <c r="AE730" i="4" s="1"/>
  <c r="U731" i="4"/>
  <c r="V731" i="4" s="1"/>
  <c r="S732" i="4"/>
  <c r="P707" i="3"/>
  <c r="R707" i="3" s="1"/>
  <c r="S728" i="3" s="1"/>
  <c r="N708" i="3"/>
  <c r="O708" i="3" s="1"/>
  <c r="P708" i="3" s="1"/>
  <c r="R708" i="3" s="1"/>
  <c r="Z708" i="3"/>
  <c r="U709" i="3"/>
  <c r="V709" i="3" s="1"/>
  <c r="P727" i="4" l="1"/>
  <c r="R727" i="4" s="1"/>
  <c r="O728" i="4"/>
  <c r="AC730" i="4"/>
  <c r="AD730" i="4"/>
  <c r="U732" i="4"/>
  <c r="V732" i="4" s="1"/>
  <c r="S733" i="4"/>
  <c r="Z731" i="4"/>
  <c r="N731" i="4"/>
  <c r="AE731" i="4" s="1"/>
  <c r="S729" i="3"/>
  <c r="N709" i="3"/>
  <c r="O709" i="3" s="1"/>
  <c r="P709" i="3" s="1"/>
  <c r="R709" i="3" s="1"/>
  <c r="Z709" i="3"/>
  <c r="U710" i="3"/>
  <c r="V710" i="3" s="1"/>
  <c r="O729" i="4" l="1"/>
  <c r="P728" i="4"/>
  <c r="R728" i="4" s="1"/>
  <c r="AD731" i="4"/>
  <c r="AC731" i="4"/>
  <c r="U733" i="4"/>
  <c r="V733" i="4" s="1"/>
  <c r="S734" i="4"/>
  <c r="Z732" i="4"/>
  <c r="N732" i="4"/>
  <c r="AE732" i="4" s="1"/>
  <c r="S730" i="3"/>
  <c r="N710" i="3"/>
  <c r="O710" i="3" s="1"/>
  <c r="P710" i="3" s="1"/>
  <c r="R710" i="3" s="1"/>
  <c r="Z710" i="3"/>
  <c r="U711" i="3"/>
  <c r="V711" i="3" s="1"/>
  <c r="P729" i="4" l="1"/>
  <c r="R729" i="4" s="1"/>
  <c r="O730" i="4"/>
  <c r="AC732" i="4"/>
  <c r="AD732" i="4"/>
  <c r="Z733" i="4"/>
  <c r="N733" i="4"/>
  <c r="AE733" i="4" s="1"/>
  <c r="U734" i="4"/>
  <c r="V734" i="4" s="1"/>
  <c r="S735" i="4"/>
  <c r="S731" i="3"/>
  <c r="N711" i="3"/>
  <c r="O711" i="3" s="1"/>
  <c r="P711" i="3" s="1"/>
  <c r="R711" i="3" s="1"/>
  <c r="Z711" i="3"/>
  <c r="U712" i="3"/>
  <c r="V712" i="3" s="1"/>
  <c r="P730" i="4" l="1"/>
  <c r="R730" i="4" s="1"/>
  <c r="O731" i="4"/>
  <c r="AC733" i="4"/>
  <c r="AD733" i="4"/>
  <c r="U735" i="4"/>
  <c r="V735" i="4" s="1"/>
  <c r="S736" i="4"/>
  <c r="Z734" i="4"/>
  <c r="N734" i="4"/>
  <c r="AE734" i="4" s="1"/>
  <c r="S732" i="3"/>
  <c r="N712" i="3"/>
  <c r="O712" i="3" s="1"/>
  <c r="P712" i="3" s="1"/>
  <c r="R712" i="3" s="1"/>
  <c r="Z712" i="3"/>
  <c r="U713" i="3"/>
  <c r="V713" i="3" s="1"/>
  <c r="P731" i="4" l="1"/>
  <c r="R731" i="4" s="1"/>
  <c r="O732" i="4"/>
  <c r="AD734" i="4"/>
  <c r="AC734" i="4"/>
  <c r="U736" i="4"/>
  <c r="V736" i="4" s="1"/>
  <c r="S737" i="4"/>
  <c r="Z735" i="4"/>
  <c r="N735" i="4"/>
  <c r="AE735" i="4" s="1"/>
  <c r="S733" i="3"/>
  <c r="N713" i="3"/>
  <c r="O713" i="3" s="1"/>
  <c r="P713" i="3" s="1"/>
  <c r="R713" i="3" s="1"/>
  <c r="Z713" i="3"/>
  <c r="U714" i="3"/>
  <c r="V714" i="3" s="1"/>
  <c r="O733" i="4" l="1"/>
  <c r="P732" i="4"/>
  <c r="R732" i="4" s="1"/>
  <c r="AC735" i="4"/>
  <c r="AD735" i="4"/>
  <c r="Z736" i="4"/>
  <c r="N736" i="4"/>
  <c r="AE736" i="4" s="1"/>
  <c r="U737" i="4"/>
  <c r="V737" i="4" s="1"/>
  <c r="S738" i="4"/>
  <c r="S734" i="3"/>
  <c r="N714" i="3"/>
  <c r="O714" i="3" s="1"/>
  <c r="P714" i="3" s="1"/>
  <c r="R714" i="3" s="1"/>
  <c r="Z714" i="3"/>
  <c r="U715" i="3"/>
  <c r="V715" i="3" s="1"/>
  <c r="P733" i="4" l="1"/>
  <c r="R733" i="4" s="1"/>
  <c r="O734" i="4"/>
  <c r="AC736" i="4"/>
  <c r="AD736" i="4"/>
  <c r="U738" i="4"/>
  <c r="V738" i="4" s="1"/>
  <c r="S739" i="4"/>
  <c r="Z737" i="4"/>
  <c r="N737" i="4"/>
  <c r="AE737" i="4" s="1"/>
  <c r="S735" i="3"/>
  <c r="N715" i="3"/>
  <c r="O715" i="3" s="1"/>
  <c r="P715" i="3" s="1"/>
  <c r="R715" i="3" s="1"/>
  <c r="Z715" i="3"/>
  <c r="U716" i="3"/>
  <c r="V716" i="3" s="1"/>
  <c r="P734" i="4" l="1"/>
  <c r="R734" i="4" s="1"/>
  <c r="O735" i="4"/>
  <c r="AD737" i="4"/>
  <c r="AC737" i="4"/>
  <c r="U739" i="4"/>
  <c r="V739" i="4" s="1"/>
  <c r="S740" i="4"/>
  <c r="Z738" i="4"/>
  <c r="N738" i="4"/>
  <c r="AE738" i="4" s="1"/>
  <c r="S736" i="3"/>
  <c r="N716" i="3"/>
  <c r="O716" i="3" s="1"/>
  <c r="P716" i="3" s="1"/>
  <c r="R716" i="3" s="1"/>
  <c r="Z716" i="3"/>
  <c r="U717" i="3"/>
  <c r="V717" i="3" s="1"/>
  <c r="O736" i="4" l="1"/>
  <c r="P735" i="4"/>
  <c r="R735" i="4" s="1"/>
  <c r="AC738" i="4"/>
  <c r="AD738" i="4"/>
  <c r="U740" i="4"/>
  <c r="V740" i="4" s="1"/>
  <c r="S741" i="4"/>
  <c r="Z739" i="4"/>
  <c r="N739" i="4"/>
  <c r="AE739" i="4" s="1"/>
  <c r="S737" i="3"/>
  <c r="N717" i="3"/>
  <c r="O717" i="3" s="1"/>
  <c r="P717" i="3" s="1"/>
  <c r="R717" i="3" s="1"/>
  <c r="Z717" i="3"/>
  <c r="U718" i="3"/>
  <c r="V718" i="3" s="1"/>
  <c r="P736" i="4" l="1"/>
  <c r="R736" i="4" s="1"/>
  <c r="O737" i="4"/>
  <c r="AC739" i="4"/>
  <c r="AD739" i="4"/>
  <c r="U741" i="4"/>
  <c r="V741" i="4" s="1"/>
  <c r="S742" i="4"/>
  <c r="Z740" i="4"/>
  <c r="N740" i="4"/>
  <c r="AE740" i="4" s="1"/>
  <c r="S738" i="3"/>
  <c r="N718" i="3"/>
  <c r="O718" i="3" s="1"/>
  <c r="P718" i="3" s="1"/>
  <c r="R718" i="3" s="1"/>
  <c r="Z718" i="3"/>
  <c r="U719" i="3"/>
  <c r="V719" i="3" s="1"/>
  <c r="O738" i="4" l="1"/>
  <c r="P737" i="4"/>
  <c r="R737" i="4" s="1"/>
  <c r="AD740" i="4"/>
  <c r="AC740" i="4"/>
  <c r="U742" i="4"/>
  <c r="V742" i="4" s="1"/>
  <c r="S743" i="4"/>
  <c r="Z741" i="4"/>
  <c r="N741" i="4"/>
  <c r="AE741" i="4" s="1"/>
  <c r="S739" i="3"/>
  <c r="N719" i="3"/>
  <c r="O719" i="3" s="1"/>
  <c r="P719" i="3" s="1"/>
  <c r="R719" i="3" s="1"/>
  <c r="Z719" i="3"/>
  <c r="U720" i="3"/>
  <c r="V720" i="3" s="1"/>
  <c r="P738" i="4" l="1"/>
  <c r="R738" i="4" s="1"/>
  <c r="O739" i="4"/>
  <c r="AC741" i="4"/>
  <c r="AD741" i="4"/>
  <c r="Z742" i="4"/>
  <c r="N742" i="4"/>
  <c r="AE742" i="4" s="1"/>
  <c r="U743" i="4"/>
  <c r="V743" i="4" s="1"/>
  <c r="S744" i="4"/>
  <c r="S740" i="3"/>
  <c r="N720" i="3"/>
  <c r="O720" i="3" s="1"/>
  <c r="P720" i="3" s="1"/>
  <c r="R720" i="3" s="1"/>
  <c r="Z720" i="3"/>
  <c r="U721" i="3"/>
  <c r="V721" i="3" s="1"/>
  <c r="P739" i="4" l="1"/>
  <c r="R739" i="4" s="1"/>
  <c r="O740" i="4"/>
  <c r="AC742" i="4"/>
  <c r="AD742" i="4"/>
  <c r="U744" i="4"/>
  <c r="V744" i="4" s="1"/>
  <c r="S745" i="4"/>
  <c r="Z743" i="4"/>
  <c r="N743" i="4"/>
  <c r="AE743" i="4" s="1"/>
  <c r="S741" i="3"/>
  <c r="N721" i="3"/>
  <c r="O721" i="3" s="1"/>
  <c r="P721" i="3" s="1"/>
  <c r="R721" i="3" s="1"/>
  <c r="Z721" i="3"/>
  <c r="U722" i="3"/>
  <c r="V722" i="3" s="1"/>
  <c r="P740" i="4" l="1"/>
  <c r="R740" i="4" s="1"/>
  <c r="O741" i="4"/>
  <c r="AD743" i="4"/>
  <c r="AC743" i="4"/>
  <c r="U745" i="4"/>
  <c r="V745" i="4" s="1"/>
  <c r="S746" i="4"/>
  <c r="Z744" i="4"/>
  <c r="N744" i="4"/>
  <c r="AE744" i="4" s="1"/>
  <c r="S742" i="3"/>
  <c r="N722" i="3"/>
  <c r="O722" i="3" s="1"/>
  <c r="Z722" i="3"/>
  <c r="U723" i="3"/>
  <c r="V723" i="3" s="1"/>
  <c r="P741" i="4" l="1"/>
  <c r="R741" i="4" s="1"/>
  <c r="O742" i="4"/>
  <c r="AC744" i="4"/>
  <c r="AD744" i="4"/>
  <c r="U746" i="4"/>
  <c r="V746" i="4" s="1"/>
  <c r="S747" i="4"/>
  <c r="Z745" i="4"/>
  <c r="N745" i="4"/>
  <c r="AE745" i="4" s="1"/>
  <c r="P722" i="3"/>
  <c r="R722" i="3" s="1"/>
  <c r="S743" i="3" s="1"/>
  <c r="N723" i="3"/>
  <c r="O723" i="3" s="1"/>
  <c r="Z723" i="3"/>
  <c r="U724" i="3"/>
  <c r="V724" i="3" s="1"/>
  <c r="P742" i="4" l="1"/>
  <c r="R742" i="4" s="1"/>
  <c r="O743" i="4"/>
  <c r="AC745" i="4"/>
  <c r="AD745" i="4"/>
  <c r="U747" i="4"/>
  <c r="V747" i="4" s="1"/>
  <c r="S748" i="4"/>
  <c r="Z746" i="4"/>
  <c r="N746" i="4"/>
  <c r="AE746" i="4" s="1"/>
  <c r="P723" i="3"/>
  <c r="R723" i="3" s="1"/>
  <c r="S744" i="3" s="1"/>
  <c r="N724" i="3"/>
  <c r="O724" i="3" s="1"/>
  <c r="P724" i="3" s="1"/>
  <c r="R724" i="3" s="1"/>
  <c r="Z724" i="3"/>
  <c r="U725" i="3"/>
  <c r="V725" i="3" s="1"/>
  <c r="P743" i="4" l="1"/>
  <c r="R743" i="4" s="1"/>
  <c r="O744" i="4"/>
  <c r="AD746" i="4"/>
  <c r="AC746" i="4"/>
  <c r="S745" i="3"/>
  <c r="U748" i="4"/>
  <c r="V748" i="4" s="1"/>
  <c r="S749" i="4"/>
  <c r="Z747" i="4"/>
  <c r="N747" i="4"/>
  <c r="AE747" i="4" s="1"/>
  <c r="N725" i="3"/>
  <c r="O725" i="3" s="1"/>
  <c r="P725" i="3" s="1"/>
  <c r="R725" i="3" s="1"/>
  <c r="Z725" i="3"/>
  <c r="U726" i="3"/>
  <c r="V726" i="3" s="1"/>
  <c r="O745" i="4" l="1"/>
  <c r="P744" i="4"/>
  <c r="R744" i="4" s="1"/>
  <c r="AC747" i="4"/>
  <c r="AD747" i="4"/>
  <c r="S746" i="3"/>
  <c r="Z748" i="4"/>
  <c r="N748" i="4"/>
  <c r="AE748" i="4" s="1"/>
  <c r="U749" i="4"/>
  <c r="V749" i="4" s="1"/>
  <c r="S750" i="4"/>
  <c r="N726" i="3"/>
  <c r="O726" i="3" s="1"/>
  <c r="P726" i="3" s="1"/>
  <c r="R726" i="3" s="1"/>
  <c r="Z726" i="3"/>
  <c r="U727" i="3"/>
  <c r="V727" i="3" s="1"/>
  <c r="P745" i="4" l="1"/>
  <c r="R745" i="4" s="1"/>
  <c r="O746" i="4"/>
  <c r="S747" i="3"/>
  <c r="AC748" i="4"/>
  <c r="AD748" i="4"/>
  <c r="U750" i="4"/>
  <c r="V750" i="4" s="1"/>
  <c r="S751" i="4"/>
  <c r="Z749" i="4"/>
  <c r="N749" i="4"/>
  <c r="AE749" i="4" s="1"/>
  <c r="N727" i="3"/>
  <c r="O727" i="3" s="1"/>
  <c r="P727" i="3" s="1"/>
  <c r="R727" i="3" s="1"/>
  <c r="Z727" i="3"/>
  <c r="U728" i="3"/>
  <c r="V728" i="3" s="1"/>
  <c r="O747" i="4" l="1"/>
  <c r="P746" i="4"/>
  <c r="R746" i="4" s="1"/>
  <c r="AD749" i="4"/>
  <c r="S748" i="3"/>
  <c r="AC749" i="4"/>
  <c r="U751" i="4"/>
  <c r="V751" i="4" s="1"/>
  <c r="S752" i="4"/>
  <c r="Z750" i="4"/>
  <c r="N750" i="4"/>
  <c r="AE750" i="4" s="1"/>
  <c r="N728" i="3"/>
  <c r="O728" i="3" s="1"/>
  <c r="P728" i="3" s="1"/>
  <c r="R728" i="3" s="1"/>
  <c r="Z728" i="3"/>
  <c r="U729" i="3"/>
  <c r="V729" i="3" s="1"/>
  <c r="O748" i="4" l="1"/>
  <c r="P747" i="4"/>
  <c r="R747" i="4" s="1"/>
  <c r="S749" i="3"/>
  <c r="AC750" i="4"/>
  <c r="AD750" i="4"/>
  <c r="Z751" i="4"/>
  <c r="N751" i="4"/>
  <c r="AE751" i="4" s="1"/>
  <c r="U752" i="4"/>
  <c r="V752" i="4" s="1"/>
  <c r="S753" i="4"/>
  <c r="N729" i="3"/>
  <c r="O729" i="3" s="1"/>
  <c r="P729" i="3" s="1"/>
  <c r="R729" i="3" s="1"/>
  <c r="Z729" i="3"/>
  <c r="U730" i="3"/>
  <c r="V730" i="3" s="1"/>
  <c r="S750" i="3" l="1"/>
  <c r="P748" i="4"/>
  <c r="R748" i="4" s="1"/>
  <c r="O749" i="4"/>
  <c r="AC751" i="4"/>
  <c r="AD751" i="4"/>
  <c r="U753" i="4"/>
  <c r="V753" i="4" s="1"/>
  <c r="S754" i="4"/>
  <c r="Z752" i="4"/>
  <c r="N752" i="4"/>
  <c r="AE752" i="4" s="1"/>
  <c r="N730" i="3"/>
  <c r="O730" i="3" s="1"/>
  <c r="P730" i="3" s="1"/>
  <c r="R730" i="3" s="1"/>
  <c r="Z730" i="3"/>
  <c r="U731" i="3"/>
  <c r="V731" i="3" s="1"/>
  <c r="S751" i="3" l="1"/>
  <c r="P749" i="4"/>
  <c r="R749" i="4" s="1"/>
  <c r="O750" i="4"/>
  <c r="AD752" i="4"/>
  <c r="AC752" i="4"/>
  <c r="U754" i="4"/>
  <c r="V754" i="4" s="1"/>
  <c r="S755" i="4"/>
  <c r="Z753" i="4"/>
  <c r="N753" i="4"/>
  <c r="AE753" i="4" s="1"/>
  <c r="N731" i="3"/>
  <c r="O731" i="3" s="1"/>
  <c r="P731" i="3" s="1"/>
  <c r="R731" i="3" s="1"/>
  <c r="S752" i="3" s="1"/>
  <c r="Z731" i="3"/>
  <c r="U732" i="3"/>
  <c r="V732" i="3" s="1"/>
  <c r="P750" i="4" l="1"/>
  <c r="R750" i="4" s="1"/>
  <c r="O751" i="4"/>
  <c r="AC753" i="4"/>
  <c r="AD753" i="4"/>
  <c r="Z754" i="4"/>
  <c r="N754" i="4"/>
  <c r="AE754" i="4" s="1"/>
  <c r="U755" i="4"/>
  <c r="V755" i="4" s="1"/>
  <c r="S756" i="4"/>
  <c r="N732" i="3"/>
  <c r="O732" i="3" s="1"/>
  <c r="P732" i="3" s="1"/>
  <c r="R732" i="3" s="1"/>
  <c r="S753" i="3" s="1"/>
  <c r="Z732" i="3"/>
  <c r="U733" i="3"/>
  <c r="V733" i="3" s="1"/>
  <c r="P751" i="4" l="1"/>
  <c r="R751" i="4" s="1"/>
  <c r="O752" i="4"/>
  <c r="AC754" i="4"/>
  <c r="AD754" i="4"/>
  <c r="U756" i="4"/>
  <c r="V756" i="4" s="1"/>
  <c r="S757" i="4"/>
  <c r="Z755" i="4"/>
  <c r="N755" i="4"/>
  <c r="AE755" i="4" s="1"/>
  <c r="N733" i="3"/>
  <c r="O733" i="3" s="1"/>
  <c r="P733" i="3" s="1"/>
  <c r="R733" i="3" s="1"/>
  <c r="S754" i="3" s="1"/>
  <c r="Z733" i="3"/>
  <c r="U734" i="3"/>
  <c r="V734" i="3" s="1"/>
  <c r="O753" i="4" l="1"/>
  <c r="P752" i="4"/>
  <c r="R752" i="4" s="1"/>
  <c r="AD755" i="4"/>
  <c r="AC755" i="4"/>
  <c r="U757" i="4"/>
  <c r="V757" i="4" s="1"/>
  <c r="S758" i="4"/>
  <c r="Z756" i="4"/>
  <c r="N756" i="4"/>
  <c r="AE756" i="4" s="1"/>
  <c r="N734" i="3"/>
  <c r="O734" i="3" s="1"/>
  <c r="P734" i="3" s="1"/>
  <c r="R734" i="3" s="1"/>
  <c r="S755" i="3" s="1"/>
  <c r="Z734" i="3"/>
  <c r="U735" i="3"/>
  <c r="V735" i="3" s="1"/>
  <c r="O754" i="4" l="1"/>
  <c r="P753" i="4"/>
  <c r="R753" i="4" s="1"/>
  <c r="AC756" i="4"/>
  <c r="AD756" i="4"/>
  <c r="U758" i="4"/>
  <c r="V758" i="4" s="1"/>
  <c r="S759" i="4"/>
  <c r="Z757" i="4"/>
  <c r="N757" i="4"/>
  <c r="AE757" i="4" s="1"/>
  <c r="N735" i="3"/>
  <c r="O735" i="3" s="1"/>
  <c r="P735" i="3" s="1"/>
  <c r="R735" i="3" s="1"/>
  <c r="S756" i="3" s="1"/>
  <c r="Z735" i="3"/>
  <c r="U736" i="3"/>
  <c r="V736" i="3" s="1"/>
  <c r="P754" i="4" l="1"/>
  <c r="R754" i="4" s="1"/>
  <c r="O755" i="4"/>
  <c r="AC757" i="4"/>
  <c r="AD757" i="4"/>
  <c r="U759" i="4"/>
  <c r="V759" i="4" s="1"/>
  <c r="S760" i="4"/>
  <c r="Z758" i="4"/>
  <c r="N758" i="4"/>
  <c r="AE758" i="4" s="1"/>
  <c r="N736" i="3"/>
  <c r="O736" i="3" s="1"/>
  <c r="P736" i="3" s="1"/>
  <c r="R736" i="3" s="1"/>
  <c r="S757" i="3" s="1"/>
  <c r="Z736" i="3"/>
  <c r="U737" i="3"/>
  <c r="V737" i="3" s="1"/>
  <c r="P755" i="4" l="1"/>
  <c r="R755" i="4" s="1"/>
  <c r="O756" i="4"/>
  <c r="AD758" i="4"/>
  <c r="AC758" i="4"/>
  <c r="U760" i="4"/>
  <c r="V760" i="4" s="1"/>
  <c r="S761" i="4"/>
  <c r="N759" i="4"/>
  <c r="AE759" i="4" s="1"/>
  <c r="Z759" i="4"/>
  <c r="N737" i="3"/>
  <c r="O737" i="3" s="1"/>
  <c r="P737" i="3" s="1"/>
  <c r="R737" i="3" s="1"/>
  <c r="S758" i="3" s="1"/>
  <c r="Z737" i="3"/>
  <c r="U738" i="3"/>
  <c r="V738" i="3" s="1"/>
  <c r="P756" i="4" l="1"/>
  <c r="R756" i="4" s="1"/>
  <c r="O757" i="4"/>
  <c r="AC759" i="4"/>
  <c r="AD759" i="4"/>
  <c r="N760" i="4"/>
  <c r="AE760" i="4" s="1"/>
  <c r="Z760" i="4"/>
  <c r="U761" i="4"/>
  <c r="V761" i="4" s="1"/>
  <c r="S762" i="4"/>
  <c r="N738" i="3"/>
  <c r="O738" i="3" s="1"/>
  <c r="P738" i="3" s="1"/>
  <c r="R738" i="3" s="1"/>
  <c r="S759" i="3" s="1"/>
  <c r="Z738" i="3"/>
  <c r="U739" i="3"/>
  <c r="V739" i="3" s="1"/>
  <c r="P757" i="4" l="1"/>
  <c r="R757" i="4" s="1"/>
  <c r="O758" i="4"/>
  <c r="AC760" i="4"/>
  <c r="AD760" i="4"/>
  <c r="U762" i="4"/>
  <c r="V762" i="4" s="1"/>
  <c r="S763" i="4"/>
  <c r="N761" i="4"/>
  <c r="AE761" i="4" s="1"/>
  <c r="Z761" i="4"/>
  <c r="N739" i="3"/>
  <c r="O739" i="3" s="1"/>
  <c r="P739" i="3" s="1"/>
  <c r="R739" i="3" s="1"/>
  <c r="S760" i="3" s="1"/>
  <c r="Z739" i="3"/>
  <c r="U740" i="3"/>
  <c r="V740" i="3" s="1"/>
  <c r="P758" i="4" l="1"/>
  <c r="R758" i="4" s="1"/>
  <c r="O759" i="4"/>
  <c r="AD761" i="4"/>
  <c r="AC761" i="4"/>
  <c r="U763" i="4"/>
  <c r="V763" i="4" s="1"/>
  <c r="S764" i="4"/>
  <c r="N762" i="4"/>
  <c r="AE762" i="4" s="1"/>
  <c r="Z762" i="4"/>
  <c r="N740" i="3"/>
  <c r="O740" i="3" s="1"/>
  <c r="P740" i="3" s="1"/>
  <c r="R740" i="3" s="1"/>
  <c r="S761" i="3" s="1"/>
  <c r="Z740" i="3"/>
  <c r="U741" i="3"/>
  <c r="V741" i="3" s="1"/>
  <c r="P759" i="4" l="1"/>
  <c r="R759" i="4" s="1"/>
  <c r="O760" i="4"/>
  <c r="AC762" i="4"/>
  <c r="AD762" i="4"/>
  <c r="N763" i="4"/>
  <c r="AE763" i="4" s="1"/>
  <c r="Z763" i="4"/>
  <c r="U764" i="4"/>
  <c r="V764" i="4" s="1"/>
  <c r="S765" i="4"/>
  <c r="N741" i="3"/>
  <c r="O741" i="3" s="1"/>
  <c r="P741" i="3" s="1"/>
  <c r="R741" i="3" s="1"/>
  <c r="S762" i="3" s="1"/>
  <c r="Z741" i="3"/>
  <c r="U742" i="3"/>
  <c r="V742" i="3" s="1"/>
  <c r="P760" i="4" l="1"/>
  <c r="R760" i="4" s="1"/>
  <c r="O761" i="4"/>
  <c r="AC763" i="4"/>
  <c r="AD763" i="4"/>
  <c r="U765" i="4"/>
  <c r="V765" i="4" s="1"/>
  <c r="S766" i="4"/>
  <c r="N764" i="4"/>
  <c r="AE764" i="4" s="1"/>
  <c r="Z764" i="4"/>
  <c r="N742" i="3"/>
  <c r="O742" i="3" s="1"/>
  <c r="P742" i="3" s="1"/>
  <c r="R742" i="3" s="1"/>
  <c r="S763" i="3" s="1"/>
  <c r="Z742" i="3"/>
  <c r="U743" i="3"/>
  <c r="V743" i="3" s="1"/>
  <c r="P761" i="4" l="1"/>
  <c r="R761" i="4" s="1"/>
  <c r="O762" i="4"/>
  <c r="AD764" i="4"/>
  <c r="AC764" i="4"/>
  <c r="U766" i="4"/>
  <c r="V766" i="4" s="1"/>
  <c r="S767" i="4"/>
  <c r="N765" i="4"/>
  <c r="AE765" i="4" s="1"/>
  <c r="Z765" i="4"/>
  <c r="N743" i="3"/>
  <c r="O743" i="3" s="1"/>
  <c r="P743" i="3" s="1"/>
  <c r="R743" i="3" s="1"/>
  <c r="S764" i="3" s="1"/>
  <c r="Z743" i="3"/>
  <c r="U744" i="3"/>
  <c r="V744" i="3" s="1"/>
  <c r="P762" i="4" l="1"/>
  <c r="R762" i="4" s="1"/>
  <c r="O763" i="4"/>
  <c r="AC765" i="4"/>
  <c r="AD765" i="4"/>
  <c r="N766" i="4"/>
  <c r="AE766" i="4" s="1"/>
  <c r="Z766" i="4"/>
  <c r="U767" i="4"/>
  <c r="V767" i="4" s="1"/>
  <c r="S768" i="4"/>
  <c r="N744" i="3"/>
  <c r="O744" i="3" s="1"/>
  <c r="Z744" i="3"/>
  <c r="U745" i="3"/>
  <c r="V745" i="3" s="1"/>
  <c r="P763" i="4" l="1"/>
  <c r="R763" i="4" s="1"/>
  <c r="O764" i="4"/>
  <c r="AC766" i="4"/>
  <c r="AD766" i="4"/>
  <c r="U768" i="4"/>
  <c r="V768" i="4" s="1"/>
  <c r="S769" i="4"/>
  <c r="N767" i="4"/>
  <c r="AE767" i="4" s="1"/>
  <c r="Z767" i="4"/>
  <c r="P744" i="3"/>
  <c r="R744" i="3" s="1"/>
  <c r="S765" i="3" s="1"/>
  <c r="N745" i="3"/>
  <c r="O745" i="3" s="1"/>
  <c r="P745" i="3" s="1"/>
  <c r="R745" i="3" s="1"/>
  <c r="Z745" i="3"/>
  <c r="U746" i="3"/>
  <c r="V746" i="3" s="1"/>
  <c r="P764" i="4" l="1"/>
  <c r="R764" i="4" s="1"/>
  <c r="O765" i="4"/>
  <c r="AD767" i="4"/>
  <c r="AC767" i="4"/>
  <c r="U769" i="4"/>
  <c r="V769" i="4" s="1"/>
  <c r="S770" i="4"/>
  <c r="Z768" i="4"/>
  <c r="N768" i="4"/>
  <c r="AE768" i="4" s="1"/>
  <c r="S766" i="3"/>
  <c r="N746" i="3"/>
  <c r="O746" i="3" s="1"/>
  <c r="P746" i="3" s="1"/>
  <c r="R746" i="3" s="1"/>
  <c r="Z746" i="3"/>
  <c r="U747" i="3"/>
  <c r="V747" i="3" s="1"/>
  <c r="P765" i="4" l="1"/>
  <c r="R765" i="4" s="1"/>
  <c r="O766" i="4"/>
  <c r="AC768" i="4"/>
  <c r="AD768" i="4"/>
  <c r="Z769" i="4"/>
  <c r="N769" i="4"/>
  <c r="AE769" i="4" s="1"/>
  <c r="U770" i="4"/>
  <c r="V770" i="4" s="1"/>
  <c r="S771" i="4"/>
  <c r="S767" i="3"/>
  <c r="N747" i="3"/>
  <c r="O747" i="3" s="1"/>
  <c r="P747" i="3" s="1"/>
  <c r="R747" i="3" s="1"/>
  <c r="Z747" i="3"/>
  <c r="U748" i="3"/>
  <c r="V748" i="3" s="1"/>
  <c r="P766" i="4" l="1"/>
  <c r="R766" i="4" s="1"/>
  <c r="O767" i="4"/>
  <c r="AC769" i="4"/>
  <c r="AD769" i="4"/>
  <c r="U771" i="4"/>
  <c r="V771" i="4" s="1"/>
  <c r="S772" i="4"/>
  <c r="Z770" i="4"/>
  <c r="N770" i="4"/>
  <c r="AE770" i="4" s="1"/>
  <c r="S768" i="3"/>
  <c r="N748" i="3"/>
  <c r="O748" i="3" s="1"/>
  <c r="Z748" i="3"/>
  <c r="U749" i="3"/>
  <c r="V749" i="3" s="1"/>
  <c r="P767" i="4" l="1"/>
  <c r="R767" i="4" s="1"/>
  <c r="O768" i="4"/>
  <c r="AD770" i="4"/>
  <c r="AC770" i="4"/>
  <c r="U772" i="4"/>
  <c r="V772" i="4" s="1"/>
  <c r="S773" i="4"/>
  <c r="Z771" i="4"/>
  <c r="N771" i="4"/>
  <c r="AE771" i="4" s="1"/>
  <c r="P748" i="3"/>
  <c r="R748" i="3" s="1"/>
  <c r="S769" i="3" s="1"/>
  <c r="N749" i="3"/>
  <c r="O749" i="3" s="1"/>
  <c r="P749" i="3" s="1"/>
  <c r="R749" i="3" s="1"/>
  <c r="Z749" i="3"/>
  <c r="U750" i="3"/>
  <c r="V750" i="3" s="1"/>
  <c r="P768" i="4" l="1"/>
  <c r="R768" i="4" s="1"/>
  <c r="O769" i="4"/>
  <c r="AC771" i="4"/>
  <c r="AD771" i="4"/>
  <c r="S770" i="3"/>
  <c r="Z772" i="4"/>
  <c r="N772" i="4"/>
  <c r="AE772" i="4" s="1"/>
  <c r="U773" i="4"/>
  <c r="V773" i="4" s="1"/>
  <c r="S774" i="4"/>
  <c r="N750" i="3"/>
  <c r="O750" i="3" s="1"/>
  <c r="P750" i="3" s="1"/>
  <c r="R750" i="3" s="1"/>
  <c r="Z750" i="3"/>
  <c r="U751" i="3"/>
  <c r="V751" i="3" s="1"/>
  <c r="P769" i="4" l="1"/>
  <c r="R769" i="4" s="1"/>
  <c r="O770" i="4"/>
  <c r="AC772" i="4"/>
  <c r="AD772" i="4"/>
  <c r="S771" i="3"/>
  <c r="U774" i="4"/>
  <c r="V774" i="4" s="1"/>
  <c r="S775" i="4"/>
  <c r="Z773" i="4"/>
  <c r="N773" i="4"/>
  <c r="AE773" i="4" s="1"/>
  <c r="N751" i="3"/>
  <c r="O751" i="3" s="1"/>
  <c r="P751" i="3" s="1"/>
  <c r="R751" i="3" s="1"/>
  <c r="Z751" i="3"/>
  <c r="U752" i="3"/>
  <c r="V752" i="3" s="1"/>
  <c r="P770" i="4" l="1"/>
  <c r="R770" i="4" s="1"/>
  <c r="O771" i="4"/>
  <c r="AD773" i="4"/>
  <c r="S772" i="3"/>
  <c r="AC773" i="4"/>
  <c r="U775" i="4"/>
  <c r="V775" i="4" s="1"/>
  <c r="S776" i="4"/>
  <c r="Z774" i="4"/>
  <c r="N774" i="4"/>
  <c r="AE774" i="4" s="1"/>
  <c r="N752" i="3"/>
  <c r="O752" i="3" s="1"/>
  <c r="P752" i="3" s="1"/>
  <c r="R752" i="3" s="1"/>
  <c r="Z752" i="3"/>
  <c r="U753" i="3"/>
  <c r="V753" i="3" s="1"/>
  <c r="P771" i="4" l="1"/>
  <c r="R771" i="4" s="1"/>
  <c r="O772" i="4"/>
  <c r="S773" i="3"/>
  <c r="AC774" i="4"/>
  <c r="AD774" i="4"/>
  <c r="Z775" i="4"/>
  <c r="N775" i="4"/>
  <c r="AE775" i="4" s="1"/>
  <c r="U776" i="4"/>
  <c r="V776" i="4" s="1"/>
  <c r="S777" i="4"/>
  <c r="N753" i="3"/>
  <c r="O753" i="3" s="1"/>
  <c r="P753" i="3" s="1"/>
  <c r="R753" i="3" s="1"/>
  <c r="Z753" i="3"/>
  <c r="U754" i="3"/>
  <c r="V754" i="3" s="1"/>
  <c r="S774" i="3" l="1"/>
  <c r="P772" i="4"/>
  <c r="R772" i="4" s="1"/>
  <c r="O773" i="4"/>
  <c r="AC775" i="4"/>
  <c r="AD775" i="4"/>
  <c r="U777" i="4"/>
  <c r="V777" i="4" s="1"/>
  <c r="S778" i="4"/>
  <c r="Z776" i="4"/>
  <c r="N776" i="4"/>
  <c r="AE776" i="4" s="1"/>
  <c r="N754" i="3"/>
  <c r="O754" i="3" s="1"/>
  <c r="P754" i="3" s="1"/>
  <c r="R754" i="3" s="1"/>
  <c r="Z754" i="3"/>
  <c r="U755" i="3"/>
  <c r="V755" i="3" s="1"/>
  <c r="S775" i="3" l="1"/>
  <c r="P773" i="4"/>
  <c r="R773" i="4" s="1"/>
  <c r="O774" i="4"/>
  <c r="AD776" i="4"/>
  <c r="AC776" i="4"/>
  <c r="U778" i="4"/>
  <c r="V778" i="4" s="1"/>
  <c r="S779" i="4"/>
  <c r="Z777" i="4"/>
  <c r="N777" i="4"/>
  <c r="AE777" i="4" s="1"/>
  <c r="N755" i="3"/>
  <c r="O755" i="3" s="1"/>
  <c r="P755" i="3" s="1"/>
  <c r="R755" i="3" s="1"/>
  <c r="S776" i="3" s="1"/>
  <c r="Z755" i="3"/>
  <c r="U756" i="3"/>
  <c r="V756" i="3" s="1"/>
  <c r="P774" i="4" l="1"/>
  <c r="R774" i="4" s="1"/>
  <c r="O775" i="4"/>
  <c r="AC777" i="4"/>
  <c r="AD777" i="4"/>
  <c r="Z778" i="4"/>
  <c r="N778" i="4"/>
  <c r="AE778" i="4" s="1"/>
  <c r="U779" i="4"/>
  <c r="V779" i="4" s="1"/>
  <c r="S780" i="4"/>
  <c r="N756" i="3"/>
  <c r="O756" i="3" s="1"/>
  <c r="P756" i="3" s="1"/>
  <c r="R756" i="3" s="1"/>
  <c r="S777" i="3" s="1"/>
  <c r="Z756" i="3"/>
  <c r="U757" i="3"/>
  <c r="V757" i="3" s="1"/>
  <c r="N757" i="3" s="1"/>
  <c r="P775" i="4" l="1"/>
  <c r="R775" i="4" s="1"/>
  <c r="O776" i="4"/>
  <c r="AC778" i="4"/>
  <c r="AD778" i="4"/>
  <c r="U780" i="4"/>
  <c r="V780" i="4" s="1"/>
  <c r="S781" i="4"/>
  <c r="Z779" i="4"/>
  <c r="N779" i="4"/>
  <c r="AE779" i="4" s="1"/>
  <c r="O757" i="3"/>
  <c r="P757" i="3" s="1"/>
  <c r="R757" i="3" s="1"/>
  <c r="S778" i="3" s="1"/>
  <c r="Z757" i="3"/>
  <c r="U758" i="3"/>
  <c r="V758" i="3" s="1"/>
  <c r="P776" i="4" l="1"/>
  <c r="R776" i="4" s="1"/>
  <c r="O777" i="4"/>
  <c r="AD779" i="4"/>
  <c r="AC779" i="4"/>
  <c r="U781" i="4"/>
  <c r="V781" i="4" s="1"/>
  <c r="S782" i="4"/>
  <c r="Z780" i="4"/>
  <c r="N780" i="4"/>
  <c r="AE780" i="4" s="1"/>
  <c r="N758" i="3"/>
  <c r="O758" i="3" s="1"/>
  <c r="P758" i="3" s="1"/>
  <c r="R758" i="3" s="1"/>
  <c r="S779" i="3" s="1"/>
  <c r="Z758" i="3"/>
  <c r="U759" i="3"/>
  <c r="V759" i="3" s="1"/>
  <c r="P777" i="4" l="1"/>
  <c r="R777" i="4" s="1"/>
  <c r="O778" i="4"/>
  <c r="AC780" i="4"/>
  <c r="AD780" i="4"/>
  <c r="U782" i="4"/>
  <c r="V782" i="4" s="1"/>
  <c r="S783" i="4"/>
  <c r="Z781" i="4"/>
  <c r="N781" i="4"/>
  <c r="AE781" i="4" s="1"/>
  <c r="N759" i="3"/>
  <c r="O759" i="3" s="1"/>
  <c r="P759" i="3" s="1"/>
  <c r="R759" i="3" s="1"/>
  <c r="S780" i="3" s="1"/>
  <c r="Z759" i="3"/>
  <c r="U760" i="3"/>
  <c r="V760" i="3" s="1"/>
  <c r="P778" i="4" l="1"/>
  <c r="R778" i="4" s="1"/>
  <c r="O779" i="4"/>
  <c r="AC781" i="4"/>
  <c r="AD781" i="4"/>
  <c r="U783" i="4"/>
  <c r="V783" i="4" s="1"/>
  <c r="S784" i="4"/>
  <c r="Z782" i="4"/>
  <c r="N782" i="4"/>
  <c r="AE782" i="4" s="1"/>
  <c r="N760" i="3"/>
  <c r="O760" i="3" s="1"/>
  <c r="P760" i="3" s="1"/>
  <c r="R760" i="3" s="1"/>
  <c r="S781" i="3" s="1"/>
  <c r="Z760" i="3"/>
  <c r="U761" i="3"/>
  <c r="V761" i="3" s="1"/>
  <c r="P779" i="4" l="1"/>
  <c r="R779" i="4" s="1"/>
  <c r="O780" i="4"/>
  <c r="AD782" i="4"/>
  <c r="AC782" i="4"/>
  <c r="U784" i="4"/>
  <c r="V784" i="4" s="1"/>
  <c r="S785" i="4"/>
  <c r="Z783" i="4"/>
  <c r="N783" i="4"/>
  <c r="AE783" i="4" s="1"/>
  <c r="N761" i="3"/>
  <c r="O761" i="3" s="1"/>
  <c r="P761" i="3" s="1"/>
  <c r="R761" i="3" s="1"/>
  <c r="S782" i="3" s="1"/>
  <c r="Z761" i="3"/>
  <c r="U762" i="3"/>
  <c r="V762" i="3" s="1"/>
  <c r="O781" i="4" l="1"/>
  <c r="P780" i="4"/>
  <c r="R780" i="4" s="1"/>
  <c r="AC783" i="4"/>
  <c r="AD783" i="4"/>
  <c r="Z784" i="4"/>
  <c r="N784" i="4"/>
  <c r="AE784" i="4" s="1"/>
  <c r="U785" i="4"/>
  <c r="V785" i="4" s="1"/>
  <c r="S786" i="4"/>
  <c r="N762" i="3"/>
  <c r="O762" i="3" s="1"/>
  <c r="P762" i="3" s="1"/>
  <c r="R762" i="3" s="1"/>
  <c r="S783" i="3" s="1"/>
  <c r="Z762" i="3"/>
  <c r="U763" i="3"/>
  <c r="V763" i="3" s="1"/>
  <c r="P781" i="4" l="1"/>
  <c r="R781" i="4" s="1"/>
  <c r="O782" i="4"/>
  <c r="AC784" i="4"/>
  <c r="AD784" i="4"/>
  <c r="U786" i="4"/>
  <c r="V786" i="4" s="1"/>
  <c r="S787" i="4"/>
  <c r="Z785" i="4"/>
  <c r="N785" i="4"/>
  <c r="AE785" i="4" s="1"/>
  <c r="N763" i="3"/>
  <c r="O763" i="3" s="1"/>
  <c r="P763" i="3" s="1"/>
  <c r="R763" i="3" s="1"/>
  <c r="S784" i="3" s="1"/>
  <c r="Z763" i="3"/>
  <c r="U764" i="3"/>
  <c r="V764" i="3" s="1"/>
  <c r="P782" i="4" l="1"/>
  <c r="R782" i="4" s="1"/>
  <c r="O783" i="4"/>
  <c r="AD785" i="4"/>
  <c r="AC785" i="4"/>
  <c r="U787" i="4"/>
  <c r="V787" i="4" s="1"/>
  <c r="S788" i="4"/>
  <c r="Z786" i="4"/>
  <c r="N786" i="4"/>
  <c r="AE786" i="4" s="1"/>
  <c r="N764" i="3"/>
  <c r="O764" i="3" s="1"/>
  <c r="P764" i="3" s="1"/>
  <c r="R764" i="3" s="1"/>
  <c r="S785" i="3" s="1"/>
  <c r="Z764" i="3"/>
  <c r="U765" i="3"/>
  <c r="V765" i="3" s="1"/>
  <c r="P783" i="4" l="1"/>
  <c r="R783" i="4" s="1"/>
  <c r="O784" i="4"/>
  <c r="AC786" i="4"/>
  <c r="AD786" i="4"/>
  <c r="U788" i="4"/>
  <c r="V788" i="4" s="1"/>
  <c r="S789" i="4"/>
  <c r="Z787" i="4"/>
  <c r="N787" i="4"/>
  <c r="AE787" i="4" s="1"/>
  <c r="N765" i="3"/>
  <c r="O765" i="3" s="1"/>
  <c r="Z765" i="3"/>
  <c r="U766" i="3"/>
  <c r="V766" i="3" s="1"/>
  <c r="P784" i="4" l="1"/>
  <c r="R784" i="4" s="1"/>
  <c r="O785" i="4"/>
  <c r="AC787" i="4"/>
  <c r="AD787" i="4"/>
  <c r="U789" i="4"/>
  <c r="V789" i="4" s="1"/>
  <c r="S790" i="4"/>
  <c r="Z788" i="4"/>
  <c r="N788" i="4"/>
  <c r="AE788" i="4" s="1"/>
  <c r="P765" i="3"/>
  <c r="R765" i="3" s="1"/>
  <c r="S786" i="3" s="1"/>
  <c r="N766" i="3"/>
  <c r="O766" i="3" s="1"/>
  <c r="P766" i="3" s="1"/>
  <c r="R766" i="3" s="1"/>
  <c r="Z766" i="3"/>
  <c r="U767" i="3"/>
  <c r="V767" i="3" s="1"/>
  <c r="P785" i="4" l="1"/>
  <c r="R785" i="4" s="1"/>
  <c r="O786" i="4"/>
  <c r="AD788" i="4"/>
  <c r="AC788" i="4"/>
  <c r="U790" i="4"/>
  <c r="V790" i="4" s="1"/>
  <c r="S791" i="4"/>
  <c r="Z789" i="4"/>
  <c r="N789" i="4"/>
  <c r="AE789" i="4" s="1"/>
  <c r="S787" i="3"/>
  <c r="N767" i="3"/>
  <c r="O767" i="3" s="1"/>
  <c r="P767" i="3" s="1"/>
  <c r="R767" i="3" s="1"/>
  <c r="Z767" i="3"/>
  <c r="U768" i="3"/>
  <c r="V768" i="3" s="1"/>
  <c r="P786" i="4" l="1"/>
  <c r="R786" i="4" s="1"/>
  <c r="O787" i="4"/>
  <c r="AC789" i="4"/>
  <c r="AD789" i="4"/>
  <c r="Z790" i="4"/>
  <c r="N790" i="4"/>
  <c r="AE790" i="4" s="1"/>
  <c r="U791" i="4"/>
  <c r="V791" i="4" s="1"/>
  <c r="S792" i="4"/>
  <c r="S788" i="3"/>
  <c r="N768" i="3"/>
  <c r="O768" i="3" s="1"/>
  <c r="P768" i="3" s="1"/>
  <c r="R768" i="3" s="1"/>
  <c r="Z768" i="3"/>
  <c r="U769" i="3"/>
  <c r="V769" i="3" s="1"/>
  <c r="P787" i="4" l="1"/>
  <c r="R787" i="4" s="1"/>
  <c r="O788" i="4"/>
  <c r="AC790" i="4"/>
  <c r="AD790" i="4"/>
  <c r="U792" i="4"/>
  <c r="V792" i="4" s="1"/>
  <c r="S793" i="4"/>
  <c r="Z791" i="4"/>
  <c r="N791" i="4"/>
  <c r="AE791" i="4" s="1"/>
  <c r="S789" i="3"/>
  <c r="N769" i="3"/>
  <c r="O769" i="3" s="1"/>
  <c r="P769" i="3" s="1"/>
  <c r="R769" i="3" s="1"/>
  <c r="Z769" i="3"/>
  <c r="U770" i="3"/>
  <c r="V770" i="3" s="1"/>
  <c r="P788" i="4" l="1"/>
  <c r="R788" i="4" s="1"/>
  <c r="O789" i="4"/>
  <c r="AD791" i="4"/>
  <c r="AC791" i="4"/>
  <c r="U793" i="4"/>
  <c r="V793" i="4" s="1"/>
  <c r="S794" i="4"/>
  <c r="Z792" i="4"/>
  <c r="N792" i="4"/>
  <c r="AE792" i="4" s="1"/>
  <c r="S790" i="3"/>
  <c r="N770" i="3"/>
  <c r="O770" i="3" s="1"/>
  <c r="P770" i="3" s="1"/>
  <c r="R770" i="3" s="1"/>
  <c r="Z770" i="3"/>
  <c r="U771" i="3"/>
  <c r="V771" i="3" s="1"/>
  <c r="P789" i="4" l="1"/>
  <c r="R789" i="4" s="1"/>
  <c r="O790" i="4"/>
  <c r="AC792" i="4"/>
  <c r="AD792" i="4"/>
  <c r="Z793" i="4"/>
  <c r="N793" i="4"/>
  <c r="AE793" i="4" s="1"/>
  <c r="U794" i="4"/>
  <c r="V794" i="4" s="1"/>
  <c r="S795" i="4"/>
  <c r="S791" i="3"/>
  <c r="N771" i="3"/>
  <c r="O771" i="3" s="1"/>
  <c r="P771" i="3" s="1"/>
  <c r="R771" i="3" s="1"/>
  <c r="Z771" i="3"/>
  <c r="U772" i="3"/>
  <c r="V772" i="3" s="1"/>
  <c r="P790" i="4" l="1"/>
  <c r="R790" i="4" s="1"/>
  <c r="O791" i="4"/>
  <c r="AC793" i="4"/>
  <c r="AD793" i="4"/>
  <c r="U795" i="4"/>
  <c r="V795" i="4" s="1"/>
  <c r="S796" i="4"/>
  <c r="Z794" i="4"/>
  <c r="N794" i="4"/>
  <c r="AE794" i="4" s="1"/>
  <c r="S792" i="3"/>
  <c r="N772" i="3"/>
  <c r="O772" i="3" s="1"/>
  <c r="P772" i="3" s="1"/>
  <c r="R772" i="3" s="1"/>
  <c r="Z772" i="3"/>
  <c r="U773" i="3"/>
  <c r="V773" i="3" s="1"/>
  <c r="P791" i="4" l="1"/>
  <c r="R791" i="4" s="1"/>
  <c r="O792" i="4"/>
  <c r="AD794" i="4"/>
  <c r="AC794" i="4"/>
  <c r="U796" i="4"/>
  <c r="V796" i="4" s="1"/>
  <c r="S797" i="4"/>
  <c r="Z795" i="4"/>
  <c r="N795" i="4"/>
  <c r="AE795" i="4" s="1"/>
  <c r="S793" i="3"/>
  <c r="N773" i="3"/>
  <c r="O773" i="3" s="1"/>
  <c r="P773" i="3" s="1"/>
  <c r="R773" i="3" s="1"/>
  <c r="Z773" i="3"/>
  <c r="U774" i="3"/>
  <c r="V774" i="3" s="1"/>
  <c r="P792" i="4" l="1"/>
  <c r="R792" i="4" s="1"/>
  <c r="O793" i="4"/>
  <c r="AC795" i="4"/>
  <c r="AD795" i="4"/>
  <c r="Z796" i="4"/>
  <c r="N796" i="4"/>
  <c r="AE796" i="4" s="1"/>
  <c r="U797" i="4"/>
  <c r="V797" i="4" s="1"/>
  <c r="S798" i="4"/>
  <c r="S794" i="3"/>
  <c r="N774" i="3"/>
  <c r="O774" i="3" s="1"/>
  <c r="P774" i="3" s="1"/>
  <c r="R774" i="3" s="1"/>
  <c r="Z774" i="3"/>
  <c r="U775" i="3"/>
  <c r="V775" i="3" s="1"/>
  <c r="P793" i="4" l="1"/>
  <c r="R793" i="4" s="1"/>
  <c r="O794" i="4"/>
  <c r="AC796" i="4"/>
  <c r="AD796" i="4"/>
  <c r="U798" i="4"/>
  <c r="V798" i="4" s="1"/>
  <c r="S799" i="4"/>
  <c r="Z797" i="4"/>
  <c r="N797" i="4"/>
  <c r="AE797" i="4" s="1"/>
  <c r="S795" i="3"/>
  <c r="N775" i="3"/>
  <c r="O775" i="3" s="1"/>
  <c r="P775" i="3" s="1"/>
  <c r="R775" i="3" s="1"/>
  <c r="Z775" i="3"/>
  <c r="U776" i="3"/>
  <c r="V776" i="3" s="1"/>
  <c r="P794" i="4" l="1"/>
  <c r="R794" i="4" s="1"/>
  <c r="O795" i="4"/>
  <c r="AD797" i="4"/>
  <c r="AC797" i="4"/>
  <c r="U799" i="4"/>
  <c r="V799" i="4" s="1"/>
  <c r="S800" i="4"/>
  <c r="Z798" i="4"/>
  <c r="N798" i="4"/>
  <c r="AE798" i="4" s="1"/>
  <c r="S796" i="3"/>
  <c r="N776" i="3"/>
  <c r="O776" i="3" s="1"/>
  <c r="P776" i="3" s="1"/>
  <c r="R776" i="3" s="1"/>
  <c r="Z776" i="3"/>
  <c r="U777" i="3"/>
  <c r="V777" i="3" s="1"/>
  <c r="O796" i="4" l="1"/>
  <c r="P795" i="4"/>
  <c r="R795" i="4" s="1"/>
  <c r="AC798" i="4"/>
  <c r="AD798" i="4"/>
  <c r="Z799" i="4"/>
  <c r="N799" i="4"/>
  <c r="AE799" i="4" s="1"/>
  <c r="U800" i="4"/>
  <c r="V800" i="4" s="1"/>
  <c r="S801" i="4"/>
  <c r="S797" i="3"/>
  <c r="N777" i="3"/>
  <c r="O777" i="3" s="1"/>
  <c r="P777" i="3" s="1"/>
  <c r="R777" i="3" s="1"/>
  <c r="Z777" i="3"/>
  <c r="U778" i="3"/>
  <c r="V778" i="3" s="1"/>
  <c r="P796" i="4" l="1"/>
  <c r="R796" i="4" s="1"/>
  <c r="O797" i="4"/>
  <c r="AC799" i="4"/>
  <c r="AD799" i="4"/>
  <c r="U801" i="4"/>
  <c r="V801" i="4" s="1"/>
  <c r="S802" i="4"/>
  <c r="Z800" i="4"/>
  <c r="N800" i="4"/>
  <c r="AE800" i="4" s="1"/>
  <c r="S798" i="3"/>
  <c r="N778" i="3"/>
  <c r="O778" i="3" s="1"/>
  <c r="P778" i="3" s="1"/>
  <c r="R778" i="3" s="1"/>
  <c r="Z778" i="3"/>
  <c r="U779" i="3"/>
  <c r="V779" i="3" s="1"/>
  <c r="P797" i="4" l="1"/>
  <c r="R797" i="4" s="1"/>
  <c r="O798" i="4"/>
  <c r="AD800" i="4"/>
  <c r="AC800" i="4"/>
  <c r="U802" i="4"/>
  <c r="V802" i="4" s="1"/>
  <c r="S803" i="4"/>
  <c r="Z801" i="4"/>
  <c r="N801" i="4"/>
  <c r="AE801" i="4" s="1"/>
  <c r="S799" i="3"/>
  <c r="N779" i="3"/>
  <c r="O779" i="3" s="1"/>
  <c r="P779" i="3" s="1"/>
  <c r="R779" i="3" s="1"/>
  <c r="Z779" i="3"/>
  <c r="U780" i="3"/>
  <c r="V780" i="3" s="1"/>
  <c r="P798" i="4" l="1"/>
  <c r="R798" i="4" s="1"/>
  <c r="O799" i="4"/>
  <c r="AC801" i="4"/>
  <c r="AD801" i="4"/>
  <c r="Z802" i="4"/>
  <c r="N802" i="4"/>
  <c r="AE802" i="4" s="1"/>
  <c r="U803" i="4"/>
  <c r="V803" i="4" s="1"/>
  <c r="S804" i="4"/>
  <c r="S800" i="3"/>
  <c r="N780" i="3"/>
  <c r="O780" i="3" s="1"/>
  <c r="P780" i="3" s="1"/>
  <c r="R780" i="3" s="1"/>
  <c r="Z780" i="3"/>
  <c r="U781" i="3"/>
  <c r="V781" i="3" s="1"/>
  <c r="P799" i="4" l="1"/>
  <c r="R799" i="4" s="1"/>
  <c r="O800" i="4"/>
  <c r="AC802" i="4"/>
  <c r="AD802" i="4"/>
  <c r="U804" i="4"/>
  <c r="V804" i="4" s="1"/>
  <c r="S805" i="4"/>
  <c r="Z803" i="4"/>
  <c r="N803" i="4"/>
  <c r="AE803" i="4" s="1"/>
  <c r="S801" i="3"/>
  <c r="N781" i="3"/>
  <c r="O781" i="3" s="1"/>
  <c r="P781" i="3" s="1"/>
  <c r="R781" i="3" s="1"/>
  <c r="Z781" i="3"/>
  <c r="U782" i="3"/>
  <c r="V782" i="3" s="1"/>
  <c r="P800" i="4" l="1"/>
  <c r="R800" i="4" s="1"/>
  <c r="O801" i="4"/>
  <c r="AD803" i="4"/>
  <c r="AC803" i="4"/>
  <c r="U805" i="4"/>
  <c r="V805" i="4" s="1"/>
  <c r="S806" i="4"/>
  <c r="Z804" i="4"/>
  <c r="N804" i="4"/>
  <c r="AE804" i="4" s="1"/>
  <c r="S802" i="3"/>
  <c r="N782" i="3"/>
  <c r="O782" i="3" s="1"/>
  <c r="P782" i="3" s="1"/>
  <c r="R782" i="3" s="1"/>
  <c r="Z782" i="3"/>
  <c r="U783" i="3"/>
  <c r="V783" i="3" s="1"/>
  <c r="P801" i="4" l="1"/>
  <c r="R801" i="4" s="1"/>
  <c r="O802" i="4"/>
  <c r="AC804" i="4"/>
  <c r="AD804" i="4"/>
  <c r="Z805" i="4"/>
  <c r="N805" i="4"/>
  <c r="AE805" i="4" s="1"/>
  <c r="U806" i="4"/>
  <c r="V806" i="4" s="1"/>
  <c r="S807" i="4"/>
  <c r="S803" i="3"/>
  <c r="N783" i="3"/>
  <c r="O783" i="3" s="1"/>
  <c r="P783" i="3" s="1"/>
  <c r="R783" i="3" s="1"/>
  <c r="Z783" i="3"/>
  <c r="U784" i="3"/>
  <c r="V784" i="3" s="1"/>
  <c r="P802" i="4" l="1"/>
  <c r="R802" i="4" s="1"/>
  <c r="O803" i="4"/>
  <c r="AC805" i="4"/>
  <c r="AD805" i="4"/>
  <c r="U807" i="4"/>
  <c r="V807" i="4" s="1"/>
  <c r="S808" i="4"/>
  <c r="Z806" i="4"/>
  <c r="N806" i="4"/>
  <c r="AE806" i="4" s="1"/>
  <c r="S804" i="3"/>
  <c r="N784" i="3"/>
  <c r="O784" i="3" s="1"/>
  <c r="P784" i="3" s="1"/>
  <c r="R784" i="3" s="1"/>
  <c r="Z784" i="3"/>
  <c r="U785" i="3"/>
  <c r="V785" i="3" s="1"/>
  <c r="P803" i="4" l="1"/>
  <c r="R803" i="4" s="1"/>
  <c r="O804" i="4"/>
  <c r="AD806" i="4"/>
  <c r="AC806" i="4"/>
  <c r="U808" i="4"/>
  <c r="V808" i="4" s="1"/>
  <c r="S809" i="4"/>
  <c r="Z807" i="4"/>
  <c r="N807" i="4"/>
  <c r="AE807" i="4" s="1"/>
  <c r="S805" i="3"/>
  <c r="N785" i="3"/>
  <c r="O785" i="3" s="1"/>
  <c r="P785" i="3" s="1"/>
  <c r="R785" i="3" s="1"/>
  <c r="Z785" i="3"/>
  <c r="U786" i="3"/>
  <c r="V786" i="3" s="1"/>
  <c r="P804" i="4" l="1"/>
  <c r="R804" i="4" s="1"/>
  <c r="O805" i="4"/>
  <c r="AC807" i="4"/>
  <c r="AD807" i="4"/>
  <c r="Z808" i="4"/>
  <c r="N808" i="4"/>
  <c r="AE808" i="4" s="1"/>
  <c r="U809" i="4"/>
  <c r="V809" i="4" s="1"/>
  <c r="S810" i="4"/>
  <c r="S806" i="3"/>
  <c r="N786" i="3"/>
  <c r="O786" i="3" s="1"/>
  <c r="P786" i="3" s="1"/>
  <c r="R786" i="3" s="1"/>
  <c r="Z786" i="3"/>
  <c r="U787" i="3"/>
  <c r="V787" i="3" s="1"/>
  <c r="P805" i="4" l="1"/>
  <c r="R805" i="4" s="1"/>
  <c r="O806" i="4"/>
  <c r="AC808" i="4"/>
  <c r="AD808" i="4"/>
  <c r="U810" i="4"/>
  <c r="V810" i="4" s="1"/>
  <c r="S811" i="4"/>
  <c r="Z809" i="4"/>
  <c r="N809" i="4"/>
  <c r="AE809" i="4" s="1"/>
  <c r="S807" i="3"/>
  <c r="N787" i="3"/>
  <c r="O787" i="3" s="1"/>
  <c r="P787" i="3" s="1"/>
  <c r="R787" i="3" s="1"/>
  <c r="Z787" i="3"/>
  <c r="U788" i="3"/>
  <c r="V788" i="3" s="1"/>
  <c r="P806" i="4" l="1"/>
  <c r="R806" i="4" s="1"/>
  <c r="O807" i="4"/>
  <c r="AD809" i="4"/>
  <c r="AC809" i="4"/>
  <c r="U811" i="4"/>
  <c r="V811" i="4" s="1"/>
  <c r="S812" i="4"/>
  <c r="Z810" i="4"/>
  <c r="N810" i="4"/>
  <c r="AE810" i="4" s="1"/>
  <c r="S808" i="3"/>
  <c r="N788" i="3"/>
  <c r="O788" i="3" s="1"/>
  <c r="P788" i="3" s="1"/>
  <c r="R788" i="3" s="1"/>
  <c r="Z788" i="3"/>
  <c r="U789" i="3"/>
  <c r="V789" i="3" s="1"/>
  <c r="P807" i="4" l="1"/>
  <c r="R807" i="4" s="1"/>
  <c r="O808" i="4"/>
  <c r="AC810" i="4"/>
  <c r="AD810" i="4"/>
  <c r="Z811" i="4"/>
  <c r="N811" i="4"/>
  <c r="AE811" i="4" s="1"/>
  <c r="U812" i="4"/>
  <c r="V812" i="4" s="1"/>
  <c r="S813" i="4"/>
  <c r="S809" i="3"/>
  <c r="N789" i="3"/>
  <c r="O789" i="3" s="1"/>
  <c r="P789" i="3" s="1"/>
  <c r="R789" i="3" s="1"/>
  <c r="Z789" i="3"/>
  <c r="U790" i="3"/>
  <c r="V790" i="3" s="1"/>
  <c r="P808" i="4" l="1"/>
  <c r="R808" i="4" s="1"/>
  <c r="O809" i="4"/>
  <c r="AC811" i="4"/>
  <c r="AD811" i="4"/>
  <c r="U813" i="4"/>
  <c r="V813" i="4" s="1"/>
  <c r="S814" i="4"/>
  <c r="Z812" i="4"/>
  <c r="N812" i="4"/>
  <c r="AE812" i="4" s="1"/>
  <c r="S810" i="3"/>
  <c r="N790" i="3"/>
  <c r="O790" i="3" s="1"/>
  <c r="Z790" i="3"/>
  <c r="U791" i="3"/>
  <c r="V791" i="3" s="1"/>
  <c r="P809" i="4" l="1"/>
  <c r="R809" i="4" s="1"/>
  <c r="O810" i="4"/>
  <c r="AD812" i="4"/>
  <c r="AC812" i="4"/>
  <c r="U814" i="4"/>
  <c r="V814" i="4" s="1"/>
  <c r="S815" i="4"/>
  <c r="Z813" i="4"/>
  <c r="N813" i="4"/>
  <c r="AE813" i="4" s="1"/>
  <c r="P790" i="3"/>
  <c r="R790" i="3" s="1"/>
  <c r="S811" i="3" s="1"/>
  <c r="N791" i="3"/>
  <c r="O791" i="3" s="1"/>
  <c r="P791" i="3" s="1"/>
  <c r="R791" i="3" s="1"/>
  <c r="Z791" i="3"/>
  <c r="U792" i="3"/>
  <c r="V792" i="3" s="1"/>
  <c r="P810" i="4" l="1"/>
  <c r="R810" i="4" s="1"/>
  <c r="O811" i="4"/>
  <c r="AC813" i="4"/>
  <c r="AD813" i="4"/>
  <c r="S812" i="3"/>
  <c r="Z814" i="4"/>
  <c r="N814" i="4"/>
  <c r="AE814" i="4" s="1"/>
  <c r="U815" i="4"/>
  <c r="V815" i="4" s="1"/>
  <c r="S816" i="4"/>
  <c r="N792" i="3"/>
  <c r="O792" i="3" s="1"/>
  <c r="P792" i="3" s="1"/>
  <c r="R792" i="3" s="1"/>
  <c r="Z792" i="3"/>
  <c r="U793" i="3"/>
  <c r="V793" i="3" s="1"/>
  <c r="P811" i="4" l="1"/>
  <c r="R811" i="4" s="1"/>
  <c r="O812" i="4"/>
  <c r="AC814" i="4"/>
  <c r="AD814" i="4"/>
  <c r="S813" i="3"/>
  <c r="U816" i="4"/>
  <c r="V816" i="4" s="1"/>
  <c r="S817" i="4"/>
  <c r="Z815" i="4"/>
  <c r="N815" i="4"/>
  <c r="AE815" i="4" s="1"/>
  <c r="N793" i="3"/>
  <c r="O793" i="3" s="1"/>
  <c r="P793" i="3" s="1"/>
  <c r="R793" i="3" s="1"/>
  <c r="Z793" i="3"/>
  <c r="U794" i="3"/>
  <c r="V794" i="3" s="1"/>
  <c r="P812" i="4" l="1"/>
  <c r="R812" i="4" s="1"/>
  <c r="O813" i="4"/>
  <c r="AD815" i="4"/>
  <c r="AC815" i="4"/>
  <c r="S814" i="3"/>
  <c r="U817" i="4"/>
  <c r="V817" i="4" s="1"/>
  <c r="S818" i="4"/>
  <c r="Z816" i="4"/>
  <c r="N816" i="4"/>
  <c r="AE816" i="4" s="1"/>
  <c r="N794" i="3"/>
  <c r="O794" i="3" s="1"/>
  <c r="P794" i="3" s="1"/>
  <c r="R794" i="3" s="1"/>
  <c r="Z794" i="3"/>
  <c r="U795" i="3"/>
  <c r="V795" i="3" s="1"/>
  <c r="P813" i="4" l="1"/>
  <c r="R813" i="4" s="1"/>
  <c r="O814" i="4"/>
  <c r="AC816" i="4"/>
  <c r="AD816" i="4"/>
  <c r="S815" i="3"/>
  <c r="Z817" i="4"/>
  <c r="N817" i="4"/>
  <c r="AE817" i="4" s="1"/>
  <c r="U818" i="4"/>
  <c r="V818" i="4" s="1"/>
  <c r="S819" i="4"/>
  <c r="N795" i="3"/>
  <c r="O795" i="3" s="1"/>
  <c r="P795" i="3" s="1"/>
  <c r="R795" i="3" s="1"/>
  <c r="Z795" i="3"/>
  <c r="U796" i="3"/>
  <c r="V796" i="3" s="1"/>
  <c r="P814" i="4" l="1"/>
  <c r="R814" i="4" s="1"/>
  <c r="O815" i="4"/>
  <c r="S816" i="3"/>
  <c r="AC817" i="4"/>
  <c r="AD817" i="4"/>
  <c r="U819" i="4"/>
  <c r="V819" i="4" s="1"/>
  <c r="S820" i="4"/>
  <c r="Z818" i="4"/>
  <c r="N818" i="4"/>
  <c r="AE818" i="4" s="1"/>
  <c r="N796" i="3"/>
  <c r="O796" i="3" s="1"/>
  <c r="P796" i="3" s="1"/>
  <c r="R796" i="3" s="1"/>
  <c r="Z796" i="3"/>
  <c r="U797" i="3"/>
  <c r="V797" i="3" s="1"/>
  <c r="O816" i="4" l="1"/>
  <c r="P815" i="4"/>
  <c r="R815" i="4" s="1"/>
  <c r="S817" i="3"/>
  <c r="AD818" i="4"/>
  <c r="AC818" i="4"/>
  <c r="U820" i="4"/>
  <c r="V820" i="4" s="1"/>
  <c r="S821" i="4"/>
  <c r="Z819" i="4"/>
  <c r="N819" i="4"/>
  <c r="AE819" i="4" s="1"/>
  <c r="N797" i="3"/>
  <c r="O797" i="3" s="1"/>
  <c r="P797" i="3" s="1"/>
  <c r="R797" i="3" s="1"/>
  <c r="Z797" i="3"/>
  <c r="U798" i="3"/>
  <c r="V798" i="3" s="1"/>
  <c r="S818" i="3" l="1"/>
  <c r="O817" i="4"/>
  <c r="P816" i="4"/>
  <c r="R816" i="4" s="1"/>
  <c r="AC819" i="4"/>
  <c r="AD819" i="4"/>
  <c r="Z820" i="4"/>
  <c r="N820" i="4"/>
  <c r="AE820" i="4" s="1"/>
  <c r="U821" i="4"/>
  <c r="V821" i="4" s="1"/>
  <c r="S822" i="4"/>
  <c r="N798" i="3"/>
  <c r="O798" i="3" s="1"/>
  <c r="P798" i="3" s="1"/>
  <c r="R798" i="3" s="1"/>
  <c r="Z798" i="3"/>
  <c r="U799" i="3"/>
  <c r="V799" i="3" s="1"/>
  <c r="S819" i="3" l="1"/>
  <c r="P817" i="4"/>
  <c r="R817" i="4" s="1"/>
  <c r="O818" i="4"/>
  <c r="AC820" i="4"/>
  <c r="AD820" i="4"/>
  <c r="U822" i="4"/>
  <c r="V822" i="4" s="1"/>
  <c r="S823" i="4"/>
  <c r="Z821" i="4"/>
  <c r="N821" i="4"/>
  <c r="AE821" i="4" s="1"/>
  <c r="N799" i="3"/>
  <c r="O799" i="3" s="1"/>
  <c r="P799" i="3" s="1"/>
  <c r="R799" i="3" s="1"/>
  <c r="S820" i="3" s="1"/>
  <c r="Z799" i="3"/>
  <c r="U800" i="3"/>
  <c r="V800" i="3" s="1"/>
  <c r="P818" i="4" l="1"/>
  <c r="R818" i="4" s="1"/>
  <c r="O819" i="4"/>
  <c r="AD821" i="4"/>
  <c r="AC821" i="4"/>
  <c r="U823" i="4"/>
  <c r="V823" i="4" s="1"/>
  <c r="S824" i="4"/>
  <c r="Z822" i="4"/>
  <c r="N822" i="4"/>
  <c r="AE822" i="4" s="1"/>
  <c r="N800" i="3"/>
  <c r="O800" i="3" s="1"/>
  <c r="P800" i="3" s="1"/>
  <c r="R800" i="3" s="1"/>
  <c r="S821" i="3" s="1"/>
  <c r="Z800" i="3"/>
  <c r="U801" i="3"/>
  <c r="V801" i="3" s="1"/>
  <c r="P819" i="4" l="1"/>
  <c r="R819" i="4" s="1"/>
  <c r="O820" i="4"/>
  <c r="AC822" i="4"/>
  <c r="AD822" i="4"/>
  <c r="Z823" i="4"/>
  <c r="N823" i="4"/>
  <c r="AE823" i="4" s="1"/>
  <c r="U824" i="4"/>
  <c r="V824" i="4" s="1"/>
  <c r="S825" i="4"/>
  <c r="N801" i="3"/>
  <c r="O801" i="3" s="1"/>
  <c r="P801" i="3" s="1"/>
  <c r="R801" i="3" s="1"/>
  <c r="S822" i="3" s="1"/>
  <c r="Z801" i="3"/>
  <c r="U802" i="3"/>
  <c r="V802" i="3" s="1"/>
  <c r="P820" i="4" l="1"/>
  <c r="R820" i="4" s="1"/>
  <c r="O821" i="4"/>
  <c r="AC823" i="4"/>
  <c r="AD823" i="4"/>
  <c r="U825" i="4"/>
  <c r="V825" i="4" s="1"/>
  <c r="S826" i="4"/>
  <c r="Z824" i="4"/>
  <c r="N824" i="4"/>
  <c r="AE824" i="4" s="1"/>
  <c r="N802" i="3"/>
  <c r="O802" i="3" s="1"/>
  <c r="P802" i="3" s="1"/>
  <c r="R802" i="3" s="1"/>
  <c r="S823" i="3" s="1"/>
  <c r="Z802" i="3"/>
  <c r="U803" i="3"/>
  <c r="V803" i="3" s="1"/>
  <c r="P821" i="4" l="1"/>
  <c r="R821" i="4" s="1"/>
  <c r="O822" i="4"/>
  <c r="AD824" i="4"/>
  <c r="AC824" i="4"/>
  <c r="U826" i="4"/>
  <c r="V826" i="4" s="1"/>
  <c r="S827" i="4"/>
  <c r="Z825" i="4"/>
  <c r="N825" i="4"/>
  <c r="AE825" i="4" s="1"/>
  <c r="N803" i="3"/>
  <c r="O803" i="3" s="1"/>
  <c r="P803" i="3" s="1"/>
  <c r="R803" i="3" s="1"/>
  <c r="S824" i="3" s="1"/>
  <c r="Z803" i="3"/>
  <c r="U804" i="3"/>
  <c r="V804" i="3" s="1"/>
  <c r="P822" i="4" l="1"/>
  <c r="R822" i="4" s="1"/>
  <c r="O823" i="4"/>
  <c r="AC825" i="4"/>
  <c r="AD825" i="4"/>
  <c r="Z826" i="4"/>
  <c r="N826" i="4"/>
  <c r="AE826" i="4" s="1"/>
  <c r="U827" i="4"/>
  <c r="V827" i="4" s="1"/>
  <c r="S828" i="4"/>
  <c r="N804" i="3"/>
  <c r="O804" i="3" s="1"/>
  <c r="P804" i="3" s="1"/>
  <c r="R804" i="3" s="1"/>
  <c r="S825" i="3" s="1"/>
  <c r="Z804" i="3"/>
  <c r="U805" i="3"/>
  <c r="V805" i="3" s="1"/>
  <c r="P823" i="4" l="1"/>
  <c r="R823" i="4" s="1"/>
  <c r="O824" i="4"/>
  <c r="AC826" i="4"/>
  <c r="AD826" i="4"/>
  <c r="U828" i="4"/>
  <c r="V828" i="4" s="1"/>
  <c r="S829" i="4"/>
  <c r="Z827" i="4"/>
  <c r="N827" i="4"/>
  <c r="AE827" i="4" s="1"/>
  <c r="N805" i="3"/>
  <c r="O805" i="3" s="1"/>
  <c r="P805" i="3" s="1"/>
  <c r="R805" i="3" s="1"/>
  <c r="S826" i="3" s="1"/>
  <c r="Z805" i="3"/>
  <c r="U806" i="3"/>
  <c r="V806" i="3" s="1"/>
  <c r="P824" i="4" l="1"/>
  <c r="R824" i="4" s="1"/>
  <c r="O825" i="4"/>
  <c r="AD827" i="4"/>
  <c r="AC827" i="4"/>
  <c r="U829" i="4"/>
  <c r="V829" i="4" s="1"/>
  <c r="S830" i="4"/>
  <c r="Z828" i="4"/>
  <c r="N828" i="4"/>
  <c r="AE828" i="4" s="1"/>
  <c r="N806" i="3"/>
  <c r="O806" i="3" s="1"/>
  <c r="P806" i="3" s="1"/>
  <c r="R806" i="3" s="1"/>
  <c r="S827" i="3" s="1"/>
  <c r="Z806" i="3"/>
  <c r="U807" i="3"/>
  <c r="V807" i="3" s="1"/>
  <c r="P825" i="4" l="1"/>
  <c r="R825" i="4" s="1"/>
  <c r="O826" i="4"/>
  <c r="AC828" i="4"/>
  <c r="AD828" i="4"/>
  <c r="Z829" i="4"/>
  <c r="N829" i="4"/>
  <c r="AE829" i="4" s="1"/>
  <c r="U830" i="4"/>
  <c r="V830" i="4" s="1"/>
  <c r="S831" i="4"/>
  <c r="N807" i="3"/>
  <c r="O807" i="3" s="1"/>
  <c r="P807" i="3" s="1"/>
  <c r="R807" i="3" s="1"/>
  <c r="S828" i="3" s="1"/>
  <c r="Z807" i="3"/>
  <c r="U808" i="3"/>
  <c r="V808" i="3" s="1"/>
  <c r="P826" i="4" l="1"/>
  <c r="R826" i="4" s="1"/>
  <c r="O827" i="4"/>
  <c r="AC829" i="4"/>
  <c r="AD829" i="4"/>
  <c r="U831" i="4"/>
  <c r="V831" i="4" s="1"/>
  <c r="S832" i="4"/>
  <c r="Z830" i="4"/>
  <c r="N830" i="4"/>
  <c r="AE830" i="4" s="1"/>
  <c r="N808" i="3"/>
  <c r="O808" i="3" s="1"/>
  <c r="P808" i="3" s="1"/>
  <c r="R808" i="3" s="1"/>
  <c r="S829" i="3" s="1"/>
  <c r="Z808" i="3"/>
  <c r="U809" i="3"/>
  <c r="V809" i="3" s="1"/>
  <c r="P827" i="4" l="1"/>
  <c r="R827" i="4" s="1"/>
  <c r="O828" i="4"/>
  <c r="AD830" i="4"/>
  <c r="AC830" i="4"/>
  <c r="U832" i="4"/>
  <c r="V832" i="4" s="1"/>
  <c r="S833" i="4"/>
  <c r="Z831" i="4"/>
  <c r="N831" i="4"/>
  <c r="AE831" i="4" s="1"/>
  <c r="N809" i="3"/>
  <c r="O809" i="3" s="1"/>
  <c r="P809" i="3" s="1"/>
  <c r="R809" i="3" s="1"/>
  <c r="S830" i="3" s="1"/>
  <c r="Z809" i="3"/>
  <c r="U810" i="3"/>
  <c r="V810" i="3" s="1"/>
  <c r="P828" i="4" l="1"/>
  <c r="R828" i="4" s="1"/>
  <c r="O829" i="4"/>
  <c r="AC831" i="4"/>
  <c r="AD831" i="4"/>
  <c r="Z832" i="4"/>
  <c r="N832" i="4"/>
  <c r="AE832" i="4" s="1"/>
  <c r="U833" i="4"/>
  <c r="V833" i="4" s="1"/>
  <c r="S834" i="4"/>
  <c r="N810" i="3"/>
  <c r="O810" i="3" s="1"/>
  <c r="P810" i="3" s="1"/>
  <c r="R810" i="3" s="1"/>
  <c r="S831" i="3" s="1"/>
  <c r="Z810" i="3"/>
  <c r="U811" i="3"/>
  <c r="V811" i="3" s="1"/>
  <c r="P829" i="4" l="1"/>
  <c r="R829" i="4" s="1"/>
  <c r="O830" i="4"/>
  <c r="AC832" i="4"/>
  <c r="AD832" i="4"/>
  <c r="U834" i="4"/>
  <c r="V834" i="4" s="1"/>
  <c r="S835" i="4"/>
  <c r="Z833" i="4"/>
  <c r="N833" i="4"/>
  <c r="AE833" i="4" s="1"/>
  <c r="N811" i="3"/>
  <c r="O811" i="3" s="1"/>
  <c r="P811" i="3" s="1"/>
  <c r="R811" i="3" s="1"/>
  <c r="S832" i="3" s="1"/>
  <c r="Z811" i="3"/>
  <c r="U812" i="3"/>
  <c r="V812" i="3" s="1"/>
  <c r="P830" i="4" l="1"/>
  <c r="R830" i="4" s="1"/>
  <c r="O831" i="4"/>
  <c r="AD833" i="4"/>
  <c r="AC833" i="4"/>
  <c r="U835" i="4"/>
  <c r="V835" i="4" s="1"/>
  <c r="S836" i="4"/>
  <c r="Z834" i="4"/>
  <c r="N834" i="4"/>
  <c r="AE834" i="4" s="1"/>
  <c r="N812" i="3"/>
  <c r="O812" i="3" s="1"/>
  <c r="Z812" i="3"/>
  <c r="U813" i="3"/>
  <c r="V813" i="3" s="1"/>
  <c r="P831" i="4" l="1"/>
  <c r="R831" i="4" s="1"/>
  <c r="O832" i="4"/>
  <c r="AC834" i="4"/>
  <c r="AD834" i="4"/>
  <c r="Z835" i="4"/>
  <c r="N835" i="4"/>
  <c r="AE835" i="4" s="1"/>
  <c r="U836" i="4"/>
  <c r="V836" i="4" s="1"/>
  <c r="S837" i="4"/>
  <c r="P812" i="3"/>
  <c r="R812" i="3" s="1"/>
  <c r="S833" i="3" s="1"/>
  <c r="N813" i="3"/>
  <c r="O813" i="3" s="1"/>
  <c r="P813" i="3" s="1"/>
  <c r="R813" i="3" s="1"/>
  <c r="Z813" i="3"/>
  <c r="U814" i="3"/>
  <c r="V814" i="3" s="1"/>
  <c r="P832" i="4" l="1"/>
  <c r="R832" i="4" s="1"/>
  <c r="O833" i="4"/>
  <c r="AC835" i="4"/>
  <c r="AD835" i="4"/>
  <c r="U837" i="4"/>
  <c r="V837" i="4" s="1"/>
  <c r="S838" i="4"/>
  <c r="Z836" i="4"/>
  <c r="N836" i="4"/>
  <c r="AE836" i="4" s="1"/>
  <c r="S834" i="3"/>
  <c r="N814" i="3"/>
  <c r="O814" i="3" s="1"/>
  <c r="P814" i="3" s="1"/>
  <c r="R814" i="3" s="1"/>
  <c r="Z814" i="3"/>
  <c r="U815" i="3"/>
  <c r="V815" i="3" s="1"/>
  <c r="P833" i="4" l="1"/>
  <c r="R833" i="4" s="1"/>
  <c r="O834" i="4"/>
  <c r="AD836" i="4"/>
  <c r="AC836" i="4"/>
  <c r="U838" i="4"/>
  <c r="V838" i="4" s="1"/>
  <c r="S839" i="4"/>
  <c r="Z837" i="4"/>
  <c r="N837" i="4"/>
  <c r="AE837" i="4" s="1"/>
  <c r="S835" i="3"/>
  <c r="N815" i="3"/>
  <c r="O815" i="3" s="1"/>
  <c r="P815" i="3" s="1"/>
  <c r="R815" i="3" s="1"/>
  <c r="Z815" i="3"/>
  <c r="U816" i="3"/>
  <c r="V816" i="3" s="1"/>
  <c r="O835" i="4" l="1"/>
  <c r="P834" i="4"/>
  <c r="R834" i="4" s="1"/>
  <c r="AC837" i="4"/>
  <c r="AD837" i="4"/>
  <c r="Z838" i="4"/>
  <c r="N838" i="4"/>
  <c r="AE838" i="4" s="1"/>
  <c r="U839" i="4"/>
  <c r="V839" i="4" s="1"/>
  <c r="S840" i="4"/>
  <c r="S836" i="3"/>
  <c r="N816" i="3"/>
  <c r="O816" i="3" s="1"/>
  <c r="P816" i="3" s="1"/>
  <c r="R816" i="3" s="1"/>
  <c r="Z816" i="3"/>
  <c r="U817" i="3"/>
  <c r="V817" i="3" s="1"/>
  <c r="P835" i="4" l="1"/>
  <c r="R835" i="4" s="1"/>
  <c r="O836" i="4"/>
  <c r="AC838" i="4"/>
  <c r="AD838" i="4"/>
  <c r="U840" i="4"/>
  <c r="V840" i="4" s="1"/>
  <c r="S841" i="4"/>
  <c r="Z839" i="4"/>
  <c r="N839" i="4"/>
  <c r="AE839" i="4" s="1"/>
  <c r="S837" i="3"/>
  <c r="N817" i="3"/>
  <c r="O817" i="3" s="1"/>
  <c r="P817" i="3" s="1"/>
  <c r="R817" i="3" s="1"/>
  <c r="Z817" i="3"/>
  <c r="U818" i="3"/>
  <c r="V818" i="3" s="1"/>
  <c r="P836" i="4" l="1"/>
  <c r="R836" i="4" s="1"/>
  <c r="O837" i="4"/>
  <c r="AD839" i="4"/>
  <c r="AC839" i="4"/>
  <c r="U841" i="4"/>
  <c r="V841" i="4" s="1"/>
  <c r="S842" i="4"/>
  <c r="Z840" i="4"/>
  <c r="N840" i="4"/>
  <c r="AE840" i="4" s="1"/>
  <c r="S838" i="3"/>
  <c r="N818" i="3"/>
  <c r="O818" i="3" s="1"/>
  <c r="P818" i="3" s="1"/>
  <c r="R818" i="3" s="1"/>
  <c r="Z818" i="3"/>
  <c r="U819" i="3"/>
  <c r="V819" i="3" s="1"/>
  <c r="P837" i="4" l="1"/>
  <c r="R837" i="4" s="1"/>
  <c r="O838" i="4"/>
  <c r="AC840" i="4"/>
  <c r="AD840" i="4"/>
  <c r="Z841" i="4"/>
  <c r="N841" i="4"/>
  <c r="AE841" i="4" s="1"/>
  <c r="U842" i="4"/>
  <c r="V842" i="4" s="1"/>
  <c r="S843" i="4"/>
  <c r="S839" i="3"/>
  <c r="N819" i="3"/>
  <c r="O819" i="3" s="1"/>
  <c r="P819" i="3" s="1"/>
  <c r="R819" i="3" s="1"/>
  <c r="Z819" i="3"/>
  <c r="U820" i="3"/>
  <c r="V820" i="3" s="1"/>
  <c r="P838" i="4" l="1"/>
  <c r="R838" i="4" s="1"/>
  <c r="O839" i="4"/>
  <c r="AC841" i="4"/>
  <c r="AD841" i="4"/>
  <c r="U843" i="4"/>
  <c r="V843" i="4" s="1"/>
  <c r="S844" i="4"/>
  <c r="Z842" i="4"/>
  <c r="N842" i="4"/>
  <c r="AE842" i="4" s="1"/>
  <c r="S840" i="3"/>
  <c r="N820" i="3"/>
  <c r="O820" i="3" s="1"/>
  <c r="P820" i="3" s="1"/>
  <c r="R820" i="3" s="1"/>
  <c r="Z820" i="3"/>
  <c r="U821" i="3"/>
  <c r="V821" i="3" s="1"/>
  <c r="P839" i="4" l="1"/>
  <c r="R839" i="4" s="1"/>
  <c r="O840" i="4"/>
  <c r="AD842" i="4"/>
  <c r="AC842" i="4"/>
  <c r="U844" i="4"/>
  <c r="V844" i="4" s="1"/>
  <c r="S845" i="4"/>
  <c r="Z843" i="4"/>
  <c r="N843" i="4"/>
  <c r="AE843" i="4" s="1"/>
  <c r="S841" i="3"/>
  <c r="N821" i="3"/>
  <c r="O821" i="3" s="1"/>
  <c r="P821" i="3" s="1"/>
  <c r="R821" i="3" s="1"/>
  <c r="Z821" i="3"/>
  <c r="U822" i="3"/>
  <c r="V822" i="3" s="1"/>
  <c r="P840" i="4" l="1"/>
  <c r="R840" i="4" s="1"/>
  <c r="O841" i="4"/>
  <c r="AC843" i="4"/>
  <c r="AD843" i="4"/>
  <c r="Z844" i="4"/>
  <c r="N844" i="4"/>
  <c r="AE844" i="4" s="1"/>
  <c r="U845" i="4"/>
  <c r="V845" i="4" s="1"/>
  <c r="S846" i="4"/>
  <c r="S842" i="3"/>
  <c r="N822" i="3"/>
  <c r="O822" i="3" s="1"/>
  <c r="P822" i="3" s="1"/>
  <c r="R822" i="3" s="1"/>
  <c r="Z822" i="3"/>
  <c r="U823" i="3"/>
  <c r="V823" i="3" s="1"/>
  <c r="P841" i="4" l="1"/>
  <c r="R841" i="4" s="1"/>
  <c r="O842" i="4"/>
  <c r="AC844" i="4"/>
  <c r="AD844" i="4"/>
  <c r="U846" i="4"/>
  <c r="V846" i="4" s="1"/>
  <c r="S847" i="4"/>
  <c r="Z845" i="4"/>
  <c r="N845" i="4"/>
  <c r="AE845" i="4" s="1"/>
  <c r="S843" i="3"/>
  <c r="N823" i="3"/>
  <c r="O823" i="3" s="1"/>
  <c r="P823" i="3" s="1"/>
  <c r="R823" i="3" s="1"/>
  <c r="Z823" i="3"/>
  <c r="U824" i="3"/>
  <c r="V824" i="3" s="1"/>
  <c r="P842" i="4" l="1"/>
  <c r="R842" i="4" s="1"/>
  <c r="O843" i="4"/>
  <c r="AD845" i="4"/>
  <c r="AC845" i="4"/>
  <c r="U847" i="4"/>
  <c r="V847" i="4" s="1"/>
  <c r="S848" i="4"/>
  <c r="Z846" i="4"/>
  <c r="N846" i="4"/>
  <c r="AE846" i="4" s="1"/>
  <c r="S844" i="3"/>
  <c r="N824" i="3"/>
  <c r="O824" i="3" s="1"/>
  <c r="P824" i="3" s="1"/>
  <c r="R824" i="3" s="1"/>
  <c r="Z824" i="3"/>
  <c r="U825" i="3"/>
  <c r="V825" i="3" s="1"/>
  <c r="P843" i="4" l="1"/>
  <c r="R843" i="4" s="1"/>
  <c r="O844" i="4"/>
  <c r="AC846" i="4"/>
  <c r="AD846" i="4"/>
  <c r="Z847" i="4"/>
  <c r="N847" i="4"/>
  <c r="AE847" i="4" s="1"/>
  <c r="U848" i="4"/>
  <c r="V848" i="4" s="1"/>
  <c r="S849" i="4"/>
  <c r="S845" i="3"/>
  <c r="N825" i="3"/>
  <c r="O825" i="3" s="1"/>
  <c r="P825" i="3" s="1"/>
  <c r="R825" i="3" s="1"/>
  <c r="Z825" i="3"/>
  <c r="U826" i="3"/>
  <c r="V826" i="3" s="1"/>
  <c r="P844" i="4" l="1"/>
  <c r="R844" i="4" s="1"/>
  <c r="O845" i="4"/>
  <c r="AC847" i="4"/>
  <c r="AD847" i="4"/>
  <c r="U849" i="4"/>
  <c r="V849" i="4" s="1"/>
  <c r="S850" i="4"/>
  <c r="Z848" i="4"/>
  <c r="N848" i="4"/>
  <c r="AE848" i="4" s="1"/>
  <c r="S846" i="3"/>
  <c r="N826" i="3"/>
  <c r="O826" i="3" s="1"/>
  <c r="P826" i="3" s="1"/>
  <c r="R826" i="3" s="1"/>
  <c r="Z826" i="3"/>
  <c r="U827" i="3"/>
  <c r="V827" i="3" s="1"/>
  <c r="P845" i="4" l="1"/>
  <c r="R845" i="4" s="1"/>
  <c r="O846" i="4"/>
  <c r="AD848" i="4"/>
  <c r="AC848" i="4"/>
  <c r="U850" i="4"/>
  <c r="V850" i="4" s="1"/>
  <c r="S851" i="4"/>
  <c r="Z849" i="4"/>
  <c r="N849" i="4"/>
  <c r="AE849" i="4" s="1"/>
  <c r="S847" i="3"/>
  <c r="N827" i="3"/>
  <c r="O827" i="3" s="1"/>
  <c r="P827" i="3" s="1"/>
  <c r="R827" i="3" s="1"/>
  <c r="Z827" i="3"/>
  <c r="U828" i="3"/>
  <c r="V828" i="3" s="1"/>
  <c r="P846" i="4" l="1"/>
  <c r="R846" i="4" s="1"/>
  <c r="O847" i="4"/>
  <c r="AC849" i="4"/>
  <c r="AD849" i="4"/>
  <c r="Z850" i="4"/>
  <c r="N850" i="4"/>
  <c r="AE850" i="4" s="1"/>
  <c r="U851" i="4"/>
  <c r="V851" i="4" s="1"/>
  <c r="S852" i="4"/>
  <c r="S848" i="3"/>
  <c r="N828" i="3"/>
  <c r="O828" i="3" s="1"/>
  <c r="P828" i="3" s="1"/>
  <c r="R828" i="3" s="1"/>
  <c r="Z828" i="3"/>
  <c r="U829" i="3"/>
  <c r="V829" i="3" s="1"/>
  <c r="P847" i="4" l="1"/>
  <c r="R847" i="4" s="1"/>
  <c r="O848" i="4"/>
  <c r="AC850" i="4"/>
  <c r="AD850" i="4"/>
  <c r="U852" i="4"/>
  <c r="V852" i="4" s="1"/>
  <c r="S853" i="4"/>
  <c r="Z851" i="4"/>
  <c r="N851" i="4"/>
  <c r="AE851" i="4" s="1"/>
  <c r="S849" i="3"/>
  <c r="N829" i="3"/>
  <c r="O829" i="3" s="1"/>
  <c r="P829" i="3" s="1"/>
  <c r="R829" i="3" s="1"/>
  <c r="Z829" i="3"/>
  <c r="U830" i="3"/>
  <c r="V830" i="3" s="1"/>
  <c r="P848" i="4" l="1"/>
  <c r="R848" i="4" s="1"/>
  <c r="O849" i="4"/>
  <c r="AD851" i="4"/>
  <c r="AC851" i="4"/>
  <c r="U853" i="4"/>
  <c r="V853" i="4" s="1"/>
  <c r="S854" i="4"/>
  <c r="Z852" i="4"/>
  <c r="N852" i="4"/>
  <c r="AE852" i="4" s="1"/>
  <c r="S850" i="3"/>
  <c r="N830" i="3"/>
  <c r="O830" i="3" s="1"/>
  <c r="P830" i="3" s="1"/>
  <c r="R830" i="3" s="1"/>
  <c r="Z830" i="3"/>
  <c r="U831" i="3"/>
  <c r="V831" i="3" s="1"/>
  <c r="O850" i="4" l="1"/>
  <c r="P849" i="4"/>
  <c r="R849" i="4" s="1"/>
  <c r="AC852" i="4"/>
  <c r="AD852" i="4"/>
  <c r="Z853" i="4"/>
  <c r="N853" i="4"/>
  <c r="AE853" i="4" s="1"/>
  <c r="U854" i="4"/>
  <c r="V854" i="4" s="1"/>
  <c r="S855" i="4"/>
  <c r="S851" i="3"/>
  <c r="N831" i="3"/>
  <c r="O831" i="3" s="1"/>
  <c r="P831" i="3" s="1"/>
  <c r="R831" i="3" s="1"/>
  <c r="Z831" i="3"/>
  <c r="U832" i="3"/>
  <c r="V832" i="3" s="1"/>
  <c r="P850" i="4" l="1"/>
  <c r="R850" i="4" s="1"/>
  <c r="O851" i="4"/>
  <c r="AC853" i="4"/>
  <c r="AD853" i="4"/>
  <c r="U855" i="4"/>
  <c r="V855" i="4" s="1"/>
  <c r="S856" i="4"/>
  <c r="Z854" i="4"/>
  <c r="N854" i="4"/>
  <c r="AE854" i="4" s="1"/>
  <c r="S852" i="3"/>
  <c r="N832" i="3"/>
  <c r="O832" i="3" s="1"/>
  <c r="P832" i="3" s="1"/>
  <c r="R832" i="3" s="1"/>
  <c r="Z832" i="3"/>
  <c r="U833" i="3"/>
  <c r="V833" i="3" s="1"/>
  <c r="P851" i="4" l="1"/>
  <c r="R851" i="4" s="1"/>
  <c r="O852" i="4"/>
  <c r="AD854" i="4"/>
  <c r="AC854" i="4"/>
  <c r="U856" i="4"/>
  <c r="V856" i="4" s="1"/>
  <c r="S857" i="4"/>
  <c r="Z855" i="4"/>
  <c r="N855" i="4"/>
  <c r="AE855" i="4" s="1"/>
  <c r="S853" i="3"/>
  <c r="N833" i="3"/>
  <c r="O833" i="3" s="1"/>
  <c r="P833" i="3" s="1"/>
  <c r="R833" i="3" s="1"/>
  <c r="Z833" i="3"/>
  <c r="U834" i="3"/>
  <c r="V834" i="3" s="1"/>
  <c r="P852" i="4" l="1"/>
  <c r="R852" i="4" s="1"/>
  <c r="O853" i="4"/>
  <c r="AC855" i="4"/>
  <c r="AD855" i="4"/>
  <c r="Z856" i="4"/>
  <c r="N856" i="4"/>
  <c r="AE856" i="4" s="1"/>
  <c r="U857" i="4"/>
  <c r="V857" i="4" s="1"/>
  <c r="S858" i="4"/>
  <c r="S854" i="3"/>
  <c r="N834" i="3"/>
  <c r="O834" i="3" s="1"/>
  <c r="P834" i="3" s="1"/>
  <c r="R834" i="3" s="1"/>
  <c r="Z834" i="3"/>
  <c r="U835" i="3"/>
  <c r="V835" i="3" s="1"/>
  <c r="P853" i="4" l="1"/>
  <c r="R853" i="4" s="1"/>
  <c r="O854" i="4"/>
  <c r="AC856" i="4"/>
  <c r="AD856" i="4"/>
  <c r="U858" i="4"/>
  <c r="V858" i="4" s="1"/>
  <c r="S859" i="4"/>
  <c r="Z857" i="4"/>
  <c r="N857" i="4"/>
  <c r="AE857" i="4" s="1"/>
  <c r="S855" i="3"/>
  <c r="N835" i="3"/>
  <c r="O835" i="3" s="1"/>
  <c r="P835" i="3" s="1"/>
  <c r="R835" i="3" s="1"/>
  <c r="Z835" i="3"/>
  <c r="U836" i="3"/>
  <c r="V836" i="3" s="1"/>
  <c r="P854" i="4" l="1"/>
  <c r="R854" i="4" s="1"/>
  <c r="O855" i="4"/>
  <c r="AD857" i="4"/>
  <c r="AC857" i="4"/>
  <c r="U859" i="4"/>
  <c r="V859" i="4" s="1"/>
  <c r="S860" i="4"/>
  <c r="Z858" i="4"/>
  <c r="N858" i="4"/>
  <c r="AE858" i="4" s="1"/>
  <c r="S856" i="3"/>
  <c r="N836" i="3"/>
  <c r="O836" i="3" s="1"/>
  <c r="P836" i="3" s="1"/>
  <c r="R836" i="3" s="1"/>
  <c r="Z836" i="3"/>
  <c r="U837" i="3"/>
  <c r="V837" i="3" s="1"/>
  <c r="P855" i="4" l="1"/>
  <c r="R855" i="4" s="1"/>
  <c r="O856" i="4"/>
  <c r="AC858" i="4"/>
  <c r="AD858" i="4"/>
  <c r="Z859" i="4"/>
  <c r="N859" i="4"/>
  <c r="AE859" i="4" s="1"/>
  <c r="U860" i="4"/>
  <c r="V860" i="4" s="1"/>
  <c r="S861" i="4"/>
  <c r="S857" i="3"/>
  <c r="N837" i="3"/>
  <c r="O837" i="3" s="1"/>
  <c r="P837" i="3" s="1"/>
  <c r="R837" i="3" s="1"/>
  <c r="Z837" i="3"/>
  <c r="U838" i="3"/>
  <c r="V838" i="3" s="1"/>
  <c r="P856" i="4" l="1"/>
  <c r="R856" i="4" s="1"/>
  <c r="O857" i="4"/>
  <c r="AC859" i="4"/>
  <c r="AD859" i="4"/>
  <c r="U861" i="4"/>
  <c r="V861" i="4" s="1"/>
  <c r="S862" i="4"/>
  <c r="Z860" i="4"/>
  <c r="N860" i="4"/>
  <c r="AE860" i="4" s="1"/>
  <c r="S858" i="3"/>
  <c r="N838" i="3"/>
  <c r="O838" i="3" s="1"/>
  <c r="P838" i="3" s="1"/>
  <c r="R838" i="3" s="1"/>
  <c r="Z838" i="3"/>
  <c r="U839" i="3"/>
  <c r="V839" i="3" s="1"/>
  <c r="P857" i="4" l="1"/>
  <c r="R857" i="4" s="1"/>
  <c r="O858" i="4"/>
  <c r="AD860" i="4"/>
  <c r="AC860" i="4"/>
  <c r="U862" i="4"/>
  <c r="V862" i="4" s="1"/>
  <c r="S863" i="4"/>
  <c r="Z861" i="4"/>
  <c r="N861" i="4"/>
  <c r="AE861" i="4" s="1"/>
  <c r="S859" i="3"/>
  <c r="N839" i="3"/>
  <c r="O839" i="3" s="1"/>
  <c r="P839" i="3" s="1"/>
  <c r="R839" i="3" s="1"/>
  <c r="Z839" i="3"/>
  <c r="U840" i="3"/>
  <c r="V840" i="3" s="1"/>
  <c r="P858" i="4" l="1"/>
  <c r="R858" i="4" s="1"/>
  <c r="O859" i="4"/>
  <c r="AC861" i="4"/>
  <c r="AD861" i="4"/>
  <c r="Z862" i="4"/>
  <c r="N862" i="4"/>
  <c r="AE862" i="4" s="1"/>
  <c r="U863" i="4"/>
  <c r="V863" i="4" s="1"/>
  <c r="S864" i="4"/>
  <c r="S860" i="3"/>
  <c r="N840" i="3"/>
  <c r="O840" i="3" s="1"/>
  <c r="P840" i="3" s="1"/>
  <c r="R840" i="3" s="1"/>
  <c r="Z840" i="3"/>
  <c r="U841" i="3"/>
  <c r="V841" i="3" s="1"/>
  <c r="P859" i="4" l="1"/>
  <c r="R859" i="4" s="1"/>
  <c r="O860" i="4"/>
  <c r="AC862" i="4"/>
  <c r="AD862" i="4"/>
  <c r="U864" i="4"/>
  <c r="V864" i="4" s="1"/>
  <c r="S865" i="4"/>
  <c r="Z863" i="4"/>
  <c r="N863" i="4"/>
  <c r="AE863" i="4" s="1"/>
  <c r="S861" i="3"/>
  <c r="N841" i="3"/>
  <c r="O841" i="3" s="1"/>
  <c r="P841" i="3" s="1"/>
  <c r="R841" i="3" s="1"/>
  <c r="Z841" i="3"/>
  <c r="U842" i="3"/>
  <c r="V842" i="3" s="1"/>
  <c r="P860" i="4" l="1"/>
  <c r="R860" i="4" s="1"/>
  <c r="O861" i="4"/>
  <c r="AD863" i="4"/>
  <c r="AC863" i="4"/>
  <c r="U865" i="4"/>
  <c r="V865" i="4" s="1"/>
  <c r="S866" i="4"/>
  <c r="Z864" i="4"/>
  <c r="N864" i="4"/>
  <c r="AE864" i="4" s="1"/>
  <c r="S862" i="3"/>
  <c r="N842" i="3"/>
  <c r="O842" i="3" s="1"/>
  <c r="P842" i="3" s="1"/>
  <c r="R842" i="3" s="1"/>
  <c r="Z842" i="3"/>
  <c r="U843" i="3"/>
  <c r="V843" i="3" s="1"/>
  <c r="P861" i="4" l="1"/>
  <c r="R861" i="4" s="1"/>
  <c r="O862" i="4"/>
  <c r="AC864" i="4"/>
  <c r="AD864" i="4"/>
  <c r="Z865" i="4"/>
  <c r="N865" i="4"/>
  <c r="AE865" i="4" s="1"/>
  <c r="U866" i="4"/>
  <c r="V866" i="4" s="1"/>
  <c r="S867" i="4"/>
  <c r="S863" i="3"/>
  <c r="N843" i="3"/>
  <c r="O843" i="3" s="1"/>
  <c r="P843" i="3" s="1"/>
  <c r="R843" i="3" s="1"/>
  <c r="Z843" i="3"/>
  <c r="U844" i="3"/>
  <c r="V844" i="3" s="1"/>
  <c r="P862" i="4" l="1"/>
  <c r="R862" i="4" s="1"/>
  <c r="O863" i="4"/>
  <c r="AC865" i="4"/>
  <c r="AD865" i="4"/>
  <c r="U867" i="4"/>
  <c r="V867" i="4" s="1"/>
  <c r="S868" i="4"/>
  <c r="Z866" i="4"/>
  <c r="N866" i="4"/>
  <c r="AE866" i="4" s="1"/>
  <c r="S864" i="3"/>
  <c r="N844" i="3"/>
  <c r="O844" i="3" s="1"/>
  <c r="P844" i="3" s="1"/>
  <c r="R844" i="3" s="1"/>
  <c r="Z844" i="3"/>
  <c r="U845" i="3"/>
  <c r="V845" i="3" s="1"/>
  <c r="P863" i="4" l="1"/>
  <c r="R863" i="4" s="1"/>
  <c r="O864" i="4"/>
  <c r="AD866" i="4"/>
  <c r="AC866" i="4"/>
  <c r="U868" i="4"/>
  <c r="V868" i="4" s="1"/>
  <c r="S869" i="4"/>
  <c r="Z867" i="4"/>
  <c r="N867" i="4"/>
  <c r="AE867" i="4" s="1"/>
  <c r="S865" i="3"/>
  <c r="N845" i="3"/>
  <c r="O845" i="3" s="1"/>
  <c r="P845" i="3" s="1"/>
  <c r="R845" i="3" s="1"/>
  <c r="Z845" i="3"/>
  <c r="U846" i="3"/>
  <c r="V846" i="3" s="1"/>
  <c r="P864" i="4" l="1"/>
  <c r="R864" i="4" s="1"/>
  <c r="O865" i="4"/>
  <c r="AC867" i="4"/>
  <c r="AD867" i="4"/>
  <c r="Z868" i="4"/>
  <c r="N868" i="4"/>
  <c r="AE868" i="4" s="1"/>
  <c r="U869" i="4"/>
  <c r="V869" i="4" s="1"/>
  <c r="S870" i="4"/>
  <c r="S866" i="3"/>
  <c r="N846" i="3"/>
  <c r="O846" i="3" s="1"/>
  <c r="P846" i="3" s="1"/>
  <c r="R846" i="3" s="1"/>
  <c r="Z846" i="3"/>
  <c r="U847" i="3"/>
  <c r="V847" i="3" s="1"/>
  <c r="P865" i="4" l="1"/>
  <c r="R865" i="4" s="1"/>
  <c r="O866" i="4"/>
  <c r="AC868" i="4"/>
  <c r="AD868" i="4"/>
  <c r="U870" i="4"/>
  <c r="V870" i="4" s="1"/>
  <c r="S871" i="4"/>
  <c r="Z869" i="4"/>
  <c r="N869" i="4"/>
  <c r="AE869" i="4" s="1"/>
  <c r="S867" i="3"/>
  <c r="N847" i="3"/>
  <c r="O847" i="3" s="1"/>
  <c r="P847" i="3" s="1"/>
  <c r="R847" i="3" s="1"/>
  <c r="Z847" i="3"/>
  <c r="U848" i="3"/>
  <c r="V848" i="3" s="1"/>
  <c r="P866" i="4" l="1"/>
  <c r="R866" i="4" s="1"/>
  <c r="O867" i="4"/>
  <c r="AD869" i="4"/>
  <c r="AC869" i="4"/>
  <c r="U871" i="4"/>
  <c r="V871" i="4" s="1"/>
  <c r="S872" i="4"/>
  <c r="Z870" i="4"/>
  <c r="N870" i="4"/>
  <c r="AE870" i="4" s="1"/>
  <c r="S868" i="3"/>
  <c r="N848" i="3"/>
  <c r="O848" i="3" s="1"/>
  <c r="Z848" i="3"/>
  <c r="U849" i="3"/>
  <c r="V849" i="3" s="1"/>
  <c r="P867" i="4" l="1"/>
  <c r="R867" i="4" s="1"/>
  <c r="O868" i="4"/>
  <c r="AC870" i="4"/>
  <c r="AD870" i="4"/>
  <c r="Z871" i="4"/>
  <c r="N871" i="4"/>
  <c r="AE871" i="4" s="1"/>
  <c r="U872" i="4"/>
  <c r="V872" i="4" s="1"/>
  <c r="S873" i="4"/>
  <c r="P848" i="3"/>
  <c r="R848" i="3" s="1"/>
  <c r="S869" i="3" s="1"/>
  <c r="N849" i="3"/>
  <c r="O849" i="3" s="1"/>
  <c r="P849" i="3" s="1"/>
  <c r="R849" i="3" s="1"/>
  <c r="Z849" i="3"/>
  <c r="U850" i="3"/>
  <c r="V850" i="3" s="1"/>
  <c r="P868" i="4" l="1"/>
  <c r="R868" i="4" s="1"/>
  <c r="O869" i="4"/>
  <c r="AC871" i="4"/>
  <c r="AD871" i="4"/>
  <c r="S870" i="3"/>
  <c r="U873" i="4"/>
  <c r="V873" i="4" s="1"/>
  <c r="S874" i="4"/>
  <c r="Z872" i="4"/>
  <c r="N872" i="4"/>
  <c r="AE872" i="4" s="1"/>
  <c r="N850" i="3"/>
  <c r="O850" i="3" s="1"/>
  <c r="P850" i="3" s="1"/>
  <c r="R850" i="3" s="1"/>
  <c r="Z850" i="3"/>
  <c r="U851" i="3"/>
  <c r="V851" i="3" s="1"/>
  <c r="P869" i="4" l="1"/>
  <c r="R869" i="4" s="1"/>
  <c r="O870" i="4"/>
  <c r="S871" i="3"/>
  <c r="AD872" i="4"/>
  <c r="AC872" i="4"/>
  <c r="U874" i="4"/>
  <c r="V874" i="4" s="1"/>
  <c r="S875" i="4"/>
  <c r="Z873" i="4"/>
  <c r="N873" i="4"/>
  <c r="AE873" i="4" s="1"/>
  <c r="N851" i="3"/>
  <c r="O851" i="3" s="1"/>
  <c r="P851" i="3" s="1"/>
  <c r="R851" i="3" s="1"/>
  <c r="Z851" i="3"/>
  <c r="U852" i="3"/>
  <c r="V852" i="3" s="1"/>
  <c r="S872" i="3" l="1"/>
  <c r="P870" i="4"/>
  <c r="R870" i="4" s="1"/>
  <c r="O871" i="4"/>
  <c r="AC873" i="4"/>
  <c r="AD873" i="4"/>
  <c r="U875" i="4"/>
  <c r="V875" i="4" s="1"/>
  <c r="S876" i="4"/>
  <c r="Z874" i="4"/>
  <c r="N874" i="4"/>
  <c r="AE874" i="4" s="1"/>
  <c r="N852" i="3"/>
  <c r="O852" i="3" s="1"/>
  <c r="P852" i="3" s="1"/>
  <c r="R852" i="3" s="1"/>
  <c r="S873" i="3" s="1"/>
  <c r="Z852" i="3"/>
  <c r="U853" i="3"/>
  <c r="V853" i="3" s="1"/>
  <c r="P871" i="4" l="1"/>
  <c r="R871" i="4" s="1"/>
  <c r="O872" i="4"/>
  <c r="AC874" i="4"/>
  <c r="AD874" i="4"/>
  <c r="U876" i="4"/>
  <c r="V876" i="4" s="1"/>
  <c r="S877" i="4"/>
  <c r="Z875" i="4"/>
  <c r="N875" i="4"/>
  <c r="AE875" i="4" s="1"/>
  <c r="N853" i="3"/>
  <c r="O853" i="3" s="1"/>
  <c r="P853" i="3" s="1"/>
  <c r="R853" i="3" s="1"/>
  <c r="S874" i="3" s="1"/>
  <c r="Z853" i="3"/>
  <c r="U854" i="3"/>
  <c r="V854" i="3" s="1"/>
  <c r="P872" i="4" l="1"/>
  <c r="R872" i="4" s="1"/>
  <c r="O873" i="4"/>
  <c r="AD875" i="4"/>
  <c r="AC875" i="4"/>
  <c r="U877" i="4"/>
  <c r="V877" i="4" s="1"/>
  <c r="S878" i="4"/>
  <c r="Z876" i="4"/>
  <c r="N876" i="4"/>
  <c r="AE876" i="4" s="1"/>
  <c r="N854" i="3"/>
  <c r="O854" i="3" s="1"/>
  <c r="P854" i="3" s="1"/>
  <c r="R854" i="3" s="1"/>
  <c r="S875" i="3" s="1"/>
  <c r="Z854" i="3"/>
  <c r="U855" i="3"/>
  <c r="V855" i="3" s="1"/>
  <c r="P873" i="4" l="1"/>
  <c r="R873" i="4" s="1"/>
  <c r="O874" i="4"/>
  <c r="AC876" i="4"/>
  <c r="AD876" i="4"/>
  <c r="Z877" i="4"/>
  <c r="N877" i="4"/>
  <c r="AE877" i="4" s="1"/>
  <c r="U878" i="4"/>
  <c r="V878" i="4" s="1"/>
  <c r="S879" i="4"/>
  <c r="N855" i="3"/>
  <c r="O855" i="3" s="1"/>
  <c r="P855" i="3" s="1"/>
  <c r="R855" i="3" s="1"/>
  <c r="S876" i="3" s="1"/>
  <c r="Z855" i="3"/>
  <c r="U856" i="3"/>
  <c r="V856" i="3" s="1"/>
  <c r="P874" i="4" l="1"/>
  <c r="R874" i="4" s="1"/>
  <c r="O875" i="4"/>
  <c r="AC877" i="4"/>
  <c r="AD877" i="4"/>
  <c r="U879" i="4"/>
  <c r="V879" i="4" s="1"/>
  <c r="S880" i="4"/>
  <c r="Z878" i="4"/>
  <c r="N878" i="4"/>
  <c r="AE878" i="4" s="1"/>
  <c r="N856" i="3"/>
  <c r="O856" i="3" s="1"/>
  <c r="P856" i="3" s="1"/>
  <c r="R856" i="3" s="1"/>
  <c r="S877" i="3" s="1"/>
  <c r="Z856" i="3"/>
  <c r="U857" i="3"/>
  <c r="V857" i="3" s="1"/>
  <c r="P875" i="4" l="1"/>
  <c r="R875" i="4" s="1"/>
  <c r="O876" i="4"/>
  <c r="AD878" i="4"/>
  <c r="AC878" i="4"/>
  <c r="U880" i="4"/>
  <c r="V880" i="4" s="1"/>
  <c r="S881" i="4"/>
  <c r="Z879" i="4"/>
  <c r="N879" i="4"/>
  <c r="AE879" i="4" s="1"/>
  <c r="N857" i="3"/>
  <c r="O857" i="3" s="1"/>
  <c r="P857" i="3" s="1"/>
  <c r="R857" i="3" s="1"/>
  <c r="S878" i="3" s="1"/>
  <c r="Z857" i="3"/>
  <c r="U858" i="3"/>
  <c r="V858" i="3" s="1"/>
  <c r="P876" i="4" l="1"/>
  <c r="R876" i="4" s="1"/>
  <c r="O877" i="4"/>
  <c r="AC879" i="4"/>
  <c r="AD879" i="4"/>
  <c r="Z880" i="4"/>
  <c r="N880" i="4"/>
  <c r="AE880" i="4" s="1"/>
  <c r="U881" i="4"/>
  <c r="V881" i="4" s="1"/>
  <c r="S882" i="4"/>
  <c r="N858" i="3"/>
  <c r="O858" i="3" s="1"/>
  <c r="P858" i="3" s="1"/>
  <c r="R858" i="3" s="1"/>
  <c r="S879" i="3" s="1"/>
  <c r="Z858" i="3"/>
  <c r="U859" i="3"/>
  <c r="V859" i="3" s="1"/>
  <c r="P877" i="4" l="1"/>
  <c r="R877" i="4" s="1"/>
  <c r="O878" i="4"/>
  <c r="AC880" i="4"/>
  <c r="AD880" i="4"/>
  <c r="U882" i="4"/>
  <c r="V882" i="4" s="1"/>
  <c r="S883" i="4"/>
  <c r="Z881" i="4"/>
  <c r="N881" i="4"/>
  <c r="AE881" i="4" s="1"/>
  <c r="N859" i="3"/>
  <c r="O859" i="3" s="1"/>
  <c r="P859" i="3" s="1"/>
  <c r="R859" i="3" s="1"/>
  <c r="S880" i="3" s="1"/>
  <c r="Z859" i="3"/>
  <c r="U860" i="3"/>
  <c r="V860" i="3" s="1"/>
  <c r="P878" i="4" l="1"/>
  <c r="R878" i="4" s="1"/>
  <c r="O879" i="4"/>
  <c r="AD881" i="4"/>
  <c r="AC881" i="4"/>
  <c r="U883" i="4"/>
  <c r="V883" i="4" s="1"/>
  <c r="S884" i="4"/>
  <c r="Z882" i="4"/>
  <c r="N882" i="4"/>
  <c r="AE882" i="4" s="1"/>
  <c r="N860" i="3"/>
  <c r="O860" i="3" s="1"/>
  <c r="Z860" i="3"/>
  <c r="U861" i="3"/>
  <c r="V861" i="3" s="1"/>
  <c r="P879" i="4" l="1"/>
  <c r="R879" i="4" s="1"/>
  <c r="O880" i="4"/>
  <c r="AC882" i="4"/>
  <c r="AD882" i="4"/>
  <c r="Z883" i="4"/>
  <c r="N883" i="4"/>
  <c r="AE883" i="4" s="1"/>
  <c r="U884" i="4"/>
  <c r="V884" i="4" s="1"/>
  <c r="S885" i="4"/>
  <c r="P860" i="3"/>
  <c r="R860" i="3" s="1"/>
  <c r="S881" i="3" s="1"/>
  <c r="N861" i="3"/>
  <c r="O861" i="3" s="1"/>
  <c r="P861" i="3" s="1"/>
  <c r="R861" i="3" s="1"/>
  <c r="Z861" i="3"/>
  <c r="U862" i="3"/>
  <c r="V862" i="3" s="1"/>
  <c r="P880" i="4" l="1"/>
  <c r="R880" i="4" s="1"/>
  <c r="O881" i="4"/>
  <c r="AC883" i="4"/>
  <c r="AD883" i="4"/>
  <c r="S882" i="3"/>
  <c r="U885" i="4"/>
  <c r="V885" i="4" s="1"/>
  <c r="S886" i="4"/>
  <c r="Z884" i="4"/>
  <c r="N884" i="4"/>
  <c r="AE884" i="4" s="1"/>
  <c r="N862" i="3"/>
  <c r="O862" i="3" s="1"/>
  <c r="P862" i="3" s="1"/>
  <c r="R862" i="3" s="1"/>
  <c r="Z862" i="3"/>
  <c r="U863" i="3"/>
  <c r="V863" i="3" s="1"/>
  <c r="P881" i="4" l="1"/>
  <c r="R881" i="4" s="1"/>
  <c r="O882" i="4"/>
  <c r="AD884" i="4"/>
  <c r="S883" i="3"/>
  <c r="AC884" i="4"/>
  <c r="U886" i="4"/>
  <c r="V886" i="4" s="1"/>
  <c r="S887" i="4"/>
  <c r="Z885" i="4"/>
  <c r="N885" i="4"/>
  <c r="AE885" i="4" s="1"/>
  <c r="N863" i="3"/>
  <c r="O863" i="3" s="1"/>
  <c r="P863" i="3" s="1"/>
  <c r="R863" i="3" s="1"/>
  <c r="Z863" i="3"/>
  <c r="U864" i="3"/>
  <c r="V864" i="3" s="1"/>
  <c r="S884" i="3" l="1"/>
  <c r="P882" i="4"/>
  <c r="R882" i="4" s="1"/>
  <c r="O883" i="4"/>
  <c r="AC885" i="4"/>
  <c r="AD885" i="4"/>
  <c r="U887" i="4"/>
  <c r="V887" i="4" s="1"/>
  <c r="S888" i="4"/>
  <c r="Z886" i="4"/>
  <c r="N886" i="4"/>
  <c r="AE886" i="4" s="1"/>
  <c r="N864" i="3"/>
  <c r="O864" i="3" s="1"/>
  <c r="P864" i="3" s="1"/>
  <c r="R864" i="3" s="1"/>
  <c r="S885" i="3" s="1"/>
  <c r="Z864" i="3"/>
  <c r="U865" i="3"/>
  <c r="V865" i="3" s="1"/>
  <c r="P883" i="4" l="1"/>
  <c r="R883" i="4" s="1"/>
  <c r="O884" i="4"/>
  <c r="AC886" i="4"/>
  <c r="AD886" i="4"/>
  <c r="U888" i="4"/>
  <c r="V888" i="4" s="1"/>
  <c r="S889" i="4"/>
  <c r="Z887" i="4"/>
  <c r="N887" i="4"/>
  <c r="AE887" i="4" s="1"/>
  <c r="N865" i="3"/>
  <c r="O865" i="3" s="1"/>
  <c r="P865" i="3" s="1"/>
  <c r="R865" i="3" s="1"/>
  <c r="S886" i="3" s="1"/>
  <c r="Z865" i="3"/>
  <c r="U866" i="3"/>
  <c r="V866" i="3" s="1"/>
  <c r="P884" i="4" l="1"/>
  <c r="R884" i="4" s="1"/>
  <c r="O885" i="4"/>
  <c r="AD887" i="4"/>
  <c r="AC887" i="4"/>
  <c r="U889" i="4"/>
  <c r="V889" i="4" s="1"/>
  <c r="S890" i="4"/>
  <c r="Z888" i="4"/>
  <c r="N888" i="4"/>
  <c r="AE888" i="4" s="1"/>
  <c r="N866" i="3"/>
  <c r="O866" i="3" s="1"/>
  <c r="P866" i="3" s="1"/>
  <c r="R866" i="3" s="1"/>
  <c r="S887" i="3" s="1"/>
  <c r="Z866" i="3"/>
  <c r="U867" i="3"/>
  <c r="V867" i="3" s="1"/>
  <c r="P885" i="4" l="1"/>
  <c r="R885" i="4" s="1"/>
  <c r="O886" i="4"/>
  <c r="AC888" i="4"/>
  <c r="AD888" i="4"/>
  <c r="Z889" i="4"/>
  <c r="N889" i="4"/>
  <c r="AE889" i="4" s="1"/>
  <c r="U890" i="4"/>
  <c r="V890" i="4" s="1"/>
  <c r="S891" i="4"/>
  <c r="N867" i="3"/>
  <c r="O867" i="3" s="1"/>
  <c r="P867" i="3" s="1"/>
  <c r="R867" i="3" s="1"/>
  <c r="S888" i="3" s="1"/>
  <c r="Z867" i="3"/>
  <c r="U868" i="3"/>
  <c r="V868" i="3" s="1"/>
  <c r="P886" i="4" l="1"/>
  <c r="R886" i="4" s="1"/>
  <c r="O887" i="4"/>
  <c r="AC889" i="4"/>
  <c r="AD889" i="4"/>
  <c r="U891" i="4"/>
  <c r="V891" i="4" s="1"/>
  <c r="S892" i="4"/>
  <c r="Z890" i="4"/>
  <c r="N890" i="4"/>
  <c r="AE890" i="4" s="1"/>
  <c r="N868" i="3"/>
  <c r="O868" i="3" s="1"/>
  <c r="P868" i="3" s="1"/>
  <c r="R868" i="3" s="1"/>
  <c r="S889" i="3" s="1"/>
  <c r="Z868" i="3"/>
  <c r="U869" i="3"/>
  <c r="V869" i="3" s="1"/>
  <c r="P887" i="4" l="1"/>
  <c r="R887" i="4" s="1"/>
  <c r="O888" i="4"/>
  <c r="AD890" i="4"/>
  <c r="AC890" i="4"/>
  <c r="U892" i="4"/>
  <c r="V892" i="4" s="1"/>
  <c r="S893" i="4"/>
  <c r="Z891" i="4"/>
  <c r="N891" i="4"/>
  <c r="AE891" i="4" s="1"/>
  <c r="N869" i="3"/>
  <c r="O869" i="3" s="1"/>
  <c r="P869" i="3" s="1"/>
  <c r="R869" i="3" s="1"/>
  <c r="S890" i="3" s="1"/>
  <c r="Z869" i="3"/>
  <c r="U870" i="3"/>
  <c r="V870" i="3" s="1"/>
  <c r="P888" i="4" l="1"/>
  <c r="R888" i="4" s="1"/>
  <c r="O889" i="4"/>
  <c r="AC891" i="4"/>
  <c r="AD891" i="4"/>
  <c r="Z892" i="4"/>
  <c r="N892" i="4"/>
  <c r="AE892" i="4" s="1"/>
  <c r="U893" i="4"/>
  <c r="V893" i="4" s="1"/>
  <c r="S894" i="4"/>
  <c r="N870" i="3"/>
  <c r="O870" i="3" s="1"/>
  <c r="P870" i="3" s="1"/>
  <c r="R870" i="3" s="1"/>
  <c r="S891" i="3" s="1"/>
  <c r="Z870" i="3"/>
  <c r="U871" i="3"/>
  <c r="V871" i="3" s="1"/>
  <c r="P889" i="4" l="1"/>
  <c r="R889" i="4" s="1"/>
  <c r="O890" i="4"/>
  <c r="AC892" i="4"/>
  <c r="AD892" i="4"/>
  <c r="U894" i="4"/>
  <c r="V894" i="4" s="1"/>
  <c r="S895" i="4"/>
  <c r="Z893" i="4"/>
  <c r="N893" i="4"/>
  <c r="AE893" i="4" s="1"/>
  <c r="N871" i="3"/>
  <c r="O871" i="3" s="1"/>
  <c r="P871" i="3" s="1"/>
  <c r="R871" i="3" s="1"/>
  <c r="S892" i="3" s="1"/>
  <c r="Z871" i="3"/>
  <c r="U872" i="3"/>
  <c r="V872" i="3" s="1"/>
  <c r="P890" i="4" l="1"/>
  <c r="R890" i="4" s="1"/>
  <c r="O891" i="4"/>
  <c r="AD893" i="4"/>
  <c r="AC893" i="4"/>
  <c r="U895" i="4"/>
  <c r="V895" i="4" s="1"/>
  <c r="S896" i="4"/>
  <c r="Z894" i="4"/>
  <c r="N894" i="4"/>
  <c r="AE894" i="4" s="1"/>
  <c r="N872" i="3"/>
  <c r="O872" i="3" s="1"/>
  <c r="P872" i="3" s="1"/>
  <c r="R872" i="3" s="1"/>
  <c r="S893" i="3" s="1"/>
  <c r="Z872" i="3"/>
  <c r="U873" i="3"/>
  <c r="V873" i="3" s="1"/>
  <c r="P891" i="4" l="1"/>
  <c r="R891" i="4" s="1"/>
  <c r="O892" i="4"/>
  <c r="AC894" i="4"/>
  <c r="AD894" i="4"/>
  <c r="Z895" i="4"/>
  <c r="N895" i="4"/>
  <c r="AE895" i="4" s="1"/>
  <c r="U896" i="4"/>
  <c r="V896" i="4" s="1"/>
  <c r="S897" i="4"/>
  <c r="N873" i="3"/>
  <c r="O873" i="3" s="1"/>
  <c r="P873" i="3" s="1"/>
  <c r="R873" i="3" s="1"/>
  <c r="S894" i="3" s="1"/>
  <c r="Z873" i="3"/>
  <c r="U874" i="3"/>
  <c r="V874" i="3" s="1"/>
  <c r="P892" i="4" l="1"/>
  <c r="R892" i="4" s="1"/>
  <c r="O893" i="4"/>
  <c r="AC895" i="4"/>
  <c r="AD895" i="4"/>
  <c r="U897" i="4"/>
  <c r="V897" i="4" s="1"/>
  <c r="S898" i="4"/>
  <c r="Z896" i="4"/>
  <c r="N896" i="4"/>
  <c r="AE896" i="4" s="1"/>
  <c r="N874" i="3"/>
  <c r="O874" i="3" s="1"/>
  <c r="P874" i="3" s="1"/>
  <c r="R874" i="3" s="1"/>
  <c r="S895" i="3" s="1"/>
  <c r="Z874" i="3"/>
  <c r="U875" i="3"/>
  <c r="V875" i="3" s="1"/>
  <c r="P893" i="4" l="1"/>
  <c r="R893" i="4" s="1"/>
  <c r="O894" i="4"/>
  <c r="AD896" i="4"/>
  <c r="AC896" i="4"/>
  <c r="U898" i="4"/>
  <c r="V898" i="4" s="1"/>
  <c r="S899" i="4"/>
  <c r="Z897" i="4"/>
  <c r="N897" i="4"/>
  <c r="AE897" i="4" s="1"/>
  <c r="N875" i="3"/>
  <c r="O875" i="3" s="1"/>
  <c r="P875" i="3" s="1"/>
  <c r="R875" i="3" s="1"/>
  <c r="S896" i="3" s="1"/>
  <c r="Z875" i="3"/>
  <c r="U876" i="3"/>
  <c r="V876" i="3" s="1"/>
  <c r="P894" i="4" l="1"/>
  <c r="R894" i="4" s="1"/>
  <c r="O895" i="4"/>
  <c r="AC897" i="4"/>
  <c r="AD897" i="4"/>
  <c r="Z898" i="4"/>
  <c r="N898" i="4"/>
  <c r="AE898" i="4" s="1"/>
  <c r="U899" i="4"/>
  <c r="V899" i="4" s="1"/>
  <c r="S900" i="4"/>
  <c r="N876" i="3"/>
  <c r="O876" i="3" s="1"/>
  <c r="P876" i="3" s="1"/>
  <c r="R876" i="3" s="1"/>
  <c r="S897" i="3" s="1"/>
  <c r="Z876" i="3"/>
  <c r="U877" i="3"/>
  <c r="V877" i="3" s="1"/>
  <c r="P895" i="4" l="1"/>
  <c r="R895" i="4" s="1"/>
  <c r="O896" i="4"/>
  <c r="AC898" i="4"/>
  <c r="AD898" i="4"/>
  <c r="U900" i="4"/>
  <c r="V900" i="4" s="1"/>
  <c r="S901" i="4"/>
  <c r="Z899" i="4"/>
  <c r="N899" i="4"/>
  <c r="AE899" i="4" s="1"/>
  <c r="N877" i="3"/>
  <c r="O877" i="3" s="1"/>
  <c r="P877" i="3" s="1"/>
  <c r="R877" i="3" s="1"/>
  <c r="S898" i="3" s="1"/>
  <c r="Z877" i="3"/>
  <c r="U878" i="3"/>
  <c r="V878" i="3" s="1"/>
  <c r="P896" i="4" l="1"/>
  <c r="R896" i="4" s="1"/>
  <c r="O897" i="4"/>
  <c r="AD899" i="4"/>
  <c r="AC899" i="4"/>
  <c r="U901" i="4"/>
  <c r="V901" i="4" s="1"/>
  <c r="S902" i="4"/>
  <c r="Z900" i="4"/>
  <c r="N900" i="4"/>
  <c r="AE900" i="4" s="1"/>
  <c r="N878" i="3"/>
  <c r="O878" i="3" s="1"/>
  <c r="P878" i="3" s="1"/>
  <c r="R878" i="3" s="1"/>
  <c r="S899" i="3" s="1"/>
  <c r="Z878" i="3"/>
  <c r="U879" i="3"/>
  <c r="V879" i="3" s="1"/>
  <c r="P897" i="4" l="1"/>
  <c r="R897" i="4" s="1"/>
  <c r="O898" i="4"/>
  <c r="AC900" i="4"/>
  <c r="AD900" i="4"/>
  <c r="Z901" i="4"/>
  <c r="N901" i="4"/>
  <c r="AE901" i="4" s="1"/>
  <c r="U902" i="4"/>
  <c r="V902" i="4" s="1"/>
  <c r="S903" i="4"/>
  <c r="N879" i="3"/>
  <c r="O879" i="3" s="1"/>
  <c r="P879" i="3" s="1"/>
  <c r="R879" i="3" s="1"/>
  <c r="S900" i="3" s="1"/>
  <c r="Z879" i="3"/>
  <c r="U880" i="3"/>
  <c r="V880" i="3" s="1"/>
  <c r="P898" i="4" l="1"/>
  <c r="R898" i="4" s="1"/>
  <c r="O899" i="4"/>
  <c r="AC901" i="4"/>
  <c r="AD901" i="4"/>
  <c r="U903" i="4"/>
  <c r="V903" i="4" s="1"/>
  <c r="S904" i="4"/>
  <c r="Z902" i="4"/>
  <c r="N902" i="4"/>
  <c r="AE902" i="4" s="1"/>
  <c r="N880" i="3"/>
  <c r="O880" i="3" s="1"/>
  <c r="P880" i="3" s="1"/>
  <c r="R880" i="3" s="1"/>
  <c r="S901" i="3" s="1"/>
  <c r="Z880" i="3"/>
  <c r="U881" i="3"/>
  <c r="V881" i="3" s="1"/>
  <c r="P899" i="4" l="1"/>
  <c r="R899" i="4" s="1"/>
  <c r="O900" i="4"/>
  <c r="AD902" i="4"/>
  <c r="AC902" i="4"/>
  <c r="U904" i="4"/>
  <c r="V904" i="4" s="1"/>
  <c r="S905" i="4"/>
  <c r="Z903" i="4"/>
  <c r="N903" i="4"/>
  <c r="AE903" i="4" s="1"/>
  <c r="N881" i="3"/>
  <c r="O881" i="3" s="1"/>
  <c r="P881" i="3" s="1"/>
  <c r="R881" i="3" s="1"/>
  <c r="S902" i="3" s="1"/>
  <c r="Z881" i="3"/>
  <c r="U882" i="3"/>
  <c r="V882" i="3" s="1"/>
  <c r="P900" i="4" l="1"/>
  <c r="R900" i="4" s="1"/>
  <c r="O901" i="4"/>
  <c r="AC903" i="4"/>
  <c r="AD903" i="4"/>
  <c r="U905" i="4"/>
  <c r="V905" i="4" s="1"/>
  <c r="S906" i="4"/>
  <c r="Z904" i="4"/>
  <c r="N904" i="4"/>
  <c r="AE904" i="4" s="1"/>
  <c r="N882" i="3"/>
  <c r="O882" i="3" s="1"/>
  <c r="P882" i="3" s="1"/>
  <c r="R882" i="3" s="1"/>
  <c r="S903" i="3" s="1"/>
  <c r="Z882" i="3"/>
  <c r="U883" i="3"/>
  <c r="V883" i="3" s="1"/>
  <c r="P901" i="4" l="1"/>
  <c r="R901" i="4" s="1"/>
  <c r="O902" i="4"/>
  <c r="AC904" i="4"/>
  <c r="AD904" i="4"/>
  <c r="U906" i="4"/>
  <c r="V906" i="4" s="1"/>
  <c r="S907" i="4"/>
  <c r="Z905" i="4"/>
  <c r="N905" i="4"/>
  <c r="AE905" i="4" s="1"/>
  <c r="N883" i="3"/>
  <c r="O883" i="3" s="1"/>
  <c r="P883" i="3" s="1"/>
  <c r="R883" i="3" s="1"/>
  <c r="S904" i="3" s="1"/>
  <c r="Z883" i="3"/>
  <c r="U884" i="3"/>
  <c r="V884" i="3" s="1"/>
  <c r="P902" i="4" l="1"/>
  <c r="R902" i="4" s="1"/>
  <c r="O903" i="4"/>
  <c r="AD905" i="4"/>
  <c r="AC905" i="4"/>
  <c r="U907" i="4"/>
  <c r="V907" i="4" s="1"/>
  <c r="S908" i="4"/>
  <c r="Z906" i="4"/>
  <c r="N906" i="4"/>
  <c r="AE906" i="4" s="1"/>
  <c r="N884" i="3"/>
  <c r="O884" i="3" s="1"/>
  <c r="P884" i="3" s="1"/>
  <c r="R884" i="3" s="1"/>
  <c r="S905" i="3" s="1"/>
  <c r="Z884" i="3"/>
  <c r="U885" i="3"/>
  <c r="V885" i="3" s="1"/>
  <c r="P903" i="4" l="1"/>
  <c r="R903" i="4" s="1"/>
  <c r="O904" i="4"/>
  <c r="AC906" i="4"/>
  <c r="AD906" i="4"/>
  <c r="Z907" i="4"/>
  <c r="N907" i="4"/>
  <c r="AE907" i="4" s="1"/>
  <c r="U908" i="4"/>
  <c r="V908" i="4" s="1"/>
  <c r="S909" i="4"/>
  <c r="N885" i="3"/>
  <c r="O885" i="3" s="1"/>
  <c r="P885" i="3" s="1"/>
  <c r="R885" i="3" s="1"/>
  <c r="S906" i="3" s="1"/>
  <c r="Z885" i="3"/>
  <c r="U886" i="3"/>
  <c r="V886" i="3" s="1"/>
  <c r="P904" i="4" l="1"/>
  <c r="R904" i="4" s="1"/>
  <c r="O905" i="4"/>
  <c r="AC907" i="4"/>
  <c r="AD907" i="4"/>
  <c r="U909" i="4"/>
  <c r="V909" i="4" s="1"/>
  <c r="S910" i="4"/>
  <c r="N908" i="4"/>
  <c r="AE908" i="4" s="1"/>
  <c r="Z908" i="4"/>
  <c r="N886" i="3"/>
  <c r="O886" i="3" s="1"/>
  <c r="P886" i="3" s="1"/>
  <c r="R886" i="3" s="1"/>
  <c r="S907" i="3" s="1"/>
  <c r="Z886" i="3"/>
  <c r="U887" i="3"/>
  <c r="V887" i="3" s="1"/>
  <c r="O906" i="4" l="1"/>
  <c r="P905" i="4"/>
  <c r="R905" i="4" s="1"/>
  <c r="AD908" i="4"/>
  <c r="AC908" i="4"/>
  <c r="U910" i="4"/>
  <c r="V910" i="4" s="1"/>
  <c r="S911" i="4"/>
  <c r="Z909" i="4"/>
  <c r="N909" i="4"/>
  <c r="AE909" i="4" s="1"/>
  <c r="N887" i="3"/>
  <c r="O887" i="3" s="1"/>
  <c r="P887" i="3" s="1"/>
  <c r="R887" i="3" s="1"/>
  <c r="S908" i="3" s="1"/>
  <c r="Z887" i="3"/>
  <c r="U888" i="3"/>
  <c r="V888" i="3" s="1"/>
  <c r="O907" i="4" l="1"/>
  <c r="P906" i="4"/>
  <c r="R906" i="4" s="1"/>
  <c r="AC909" i="4"/>
  <c r="AD909" i="4"/>
  <c r="N910" i="4"/>
  <c r="AE910" i="4" s="1"/>
  <c r="Z910" i="4"/>
  <c r="U911" i="4"/>
  <c r="V911" i="4" s="1"/>
  <c r="S912" i="4"/>
  <c r="N888" i="3"/>
  <c r="O888" i="3" s="1"/>
  <c r="Z888" i="3"/>
  <c r="U889" i="3"/>
  <c r="V889" i="3" s="1"/>
  <c r="P907" i="4" l="1"/>
  <c r="R907" i="4" s="1"/>
  <c r="O908" i="4"/>
  <c r="AC910" i="4"/>
  <c r="AD910" i="4"/>
  <c r="U912" i="4"/>
  <c r="V912" i="4" s="1"/>
  <c r="S913" i="4"/>
  <c r="Z911" i="4"/>
  <c r="N911" i="4"/>
  <c r="AE911" i="4" s="1"/>
  <c r="P888" i="3"/>
  <c r="R888" i="3" s="1"/>
  <c r="S909" i="3" s="1"/>
  <c r="N889" i="3"/>
  <c r="O889" i="3" s="1"/>
  <c r="P889" i="3" s="1"/>
  <c r="R889" i="3" s="1"/>
  <c r="Z889" i="3"/>
  <c r="U890" i="3"/>
  <c r="V890" i="3" s="1"/>
  <c r="P908" i="4" l="1"/>
  <c r="R908" i="4" s="1"/>
  <c r="O909" i="4"/>
  <c r="AD911" i="4"/>
  <c r="AC911" i="4"/>
  <c r="U913" i="4"/>
  <c r="V913" i="4" s="1"/>
  <c r="S914" i="4"/>
  <c r="N912" i="4"/>
  <c r="AE912" i="4" s="1"/>
  <c r="Z912" i="4"/>
  <c r="S910" i="3"/>
  <c r="N890" i="3"/>
  <c r="O890" i="3" s="1"/>
  <c r="P890" i="3" s="1"/>
  <c r="R890" i="3" s="1"/>
  <c r="Z890" i="3"/>
  <c r="U891" i="3"/>
  <c r="V891" i="3" s="1"/>
  <c r="P909" i="4" l="1"/>
  <c r="R909" i="4" s="1"/>
  <c r="O910" i="4"/>
  <c r="AC912" i="4"/>
  <c r="AD912" i="4"/>
  <c r="Z913" i="4"/>
  <c r="N913" i="4"/>
  <c r="AE913" i="4" s="1"/>
  <c r="U914" i="4"/>
  <c r="V914" i="4" s="1"/>
  <c r="S915" i="4"/>
  <c r="S911" i="3"/>
  <c r="N891" i="3"/>
  <c r="O891" i="3" s="1"/>
  <c r="P891" i="3" s="1"/>
  <c r="R891" i="3" s="1"/>
  <c r="Z891" i="3"/>
  <c r="U892" i="3"/>
  <c r="V892" i="3" s="1"/>
  <c r="P910" i="4" l="1"/>
  <c r="R910" i="4" s="1"/>
  <c r="O911" i="4"/>
  <c r="AC913" i="4"/>
  <c r="AD913" i="4"/>
  <c r="U915" i="4"/>
  <c r="V915" i="4" s="1"/>
  <c r="S916" i="4"/>
  <c r="Z914" i="4"/>
  <c r="N914" i="4"/>
  <c r="AE914" i="4" s="1"/>
  <c r="S912" i="3"/>
  <c r="N892" i="3"/>
  <c r="O892" i="3" s="1"/>
  <c r="P892" i="3" s="1"/>
  <c r="R892" i="3" s="1"/>
  <c r="Z892" i="3"/>
  <c r="U893" i="3"/>
  <c r="V893" i="3" s="1"/>
  <c r="P911" i="4" l="1"/>
  <c r="R911" i="4" s="1"/>
  <c r="O912" i="4"/>
  <c r="AD914" i="4"/>
  <c r="AC914" i="4"/>
  <c r="U916" i="4"/>
  <c r="V916" i="4" s="1"/>
  <c r="S917" i="4"/>
  <c r="Z915" i="4"/>
  <c r="N915" i="4"/>
  <c r="AE915" i="4" s="1"/>
  <c r="S913" i="3"/>
  <c r="N893" i="3"/>
  <c r="O893" i="3" s="1"/>
  <c r="P893" i="3" s="1"/>
  <c r="R893" i="3" s="1"/>
  <c r="Z893" i="3"/>
  <c r="U894" i="3"/>
  <c r="V894" i="3" s="1"/>
  <c r="P912" i="4" l="1"/>
  <c r="R912" i="4" s="1"/>
  <c r="O913" i="4"/>
  <c r="AC915" i="4"/>
  <c r="AD915" i="4"/>
  <c r="N916" i="4"/>
  <c r="AE916" i="4" s="1"/>
  <c r="Z916" i="4"/>
  <c r="U917" i="4"/>
  <c r="V917" i="4" s="1"/>
  <c r="S918" i="4"/>
  <c r="S914" i="3"/>
  <c r="N894" i="3"/>
  <c r="O894" i="3" s="1"/>
  <c r="Z894" i="3"/>
  <c r="U895" i="3"/>
  <c r="V895" i="3" s="1"/>
  <c r="P913" i="4" l="1"/>
  <c r="R913" i="4" s="1"/>
  <c r="O914" i="4"/>
  <c r="AC916" i="4"/>
  <c r="AD916" i="4"/>
  <c r="U918" i="4"/>
  <c r="V918" i="4" s="1"/>
  <c r="S919" i="4"/>
  <c r="Z917" i="4"/>
  <c r="N917" i="4"/>
  <c r="AE917" i="4" s="1"/>
  <c r="P894" i="3"/>
  <c r="R894" i="3" s="1"/>
  <c r="S915" i="3" s="1"/>
  <c r="N895" i="3"/>
  <c r="O895" i="3" s="1"/>
  <c r="P895" i="3" s="1"/>
  <c r="R895" i="3" s="1"/>
  <c r="Z895" i="3"/>
  <c r="U896" i="3"/>
  <c r="V896" i="3" s="1"/>
  <c r="P914" i="4" l="1"/>
  <c r="R914" i="4" s="1"/>
  <c r="O915" i="4"/>
  <c r="AD917" i="4"/>
  <c r="AC917" i="4"/>
  <c r="S916" i="3"/>
  <c r="U919" i="4"/>
  <c r="V919" i="4" s="1"/>
  <c r="S920" i="4"/>
  <c r="Z918" i="4"/>
  <c r="N918" i="4"/>
  <c r="AE918" i="4" s="1"/>
  <c r="N896" i="3"/>
  <c r="O896" i="3" s="1"/>
  <c r="P896" i="3" s="1"/>
  <c r="R896" i="3" s="1"/>
  <c r="Z896" i="3"/>
  <c r="U897" i="3"/>
  <c r="V897" i="3" s="1"/>
  <c r="O916" i="4" l="1"/>
  <c r="P915" i="4"/>
  <c r="R915" i="4" s="1"/>
  <c r="AC918" i="4"/>
  <c r="AD918" i="4"/>
  <c r="S917" i="3"/>
  <c r="Z919" i="4"/>
  <c r="N919" i="4"/>
  <c r="AE919" i="4" s="1"/>
  <c r="U920" i="4"/>
  <c r="V920" i="4" s="1"/>
  <c r="S921" i="4"/>
  <c r="N897" i="3"/>
  <c r="O897" i="3" s="1"/>
  <c r="P897" i="3" s="1"/>
  <c r="R897" i="3" s="1"/>
  <c r="Z897" i="3"/>
  <c r="U898" i="3"/>
  <c r="V898" i="3" s="1"/>
  <c r="P916" i="4" l="1"/>
  <c r="R916" i="4" s="1"/>
  <c r="O917" i="4"/>
  <c r="AC919" i="4"/>
  <c r="AD919" i="4"/>
  <c r="S918" i="3"/>
  <c r="U921" i="4"/>
  <c r="V921" i="4" s="1"/>
  <c r="S922" i="4"/>
  <c r="Z920" i="4"/>
  <c r="N920" i="4"/>
  <c r="AE920" i="4" s="1"/>
  <c r="N898" i="3"/>
  <c r="O898" i="3" s="1"/>
  <c r="P898" i="3" s="1"/>
  <c r="R898" i="3" s="1"/>
  <c r="Z898" i="3"/>
  <c r="U899" i="3"/>
  <c r="V899" i="3" s="1"/>
  <c r="P917" i="4" l="1"/>
  <c r="R917" i="4" s="1"/>
  <c r="O918" i="4"/>
  <c r="AD920" i="4"/>
  <c r="S919" i="3"/>
  <c r="AC920" i="4"/>
  <c r="U922" i="4"/>
  <c r="V922" i="4" s="1"/>
  <c r="S923" i="4"/>
  <c r="Z921" i="4"/>
  <c r="N921" i="4"/>
  <c r="AE921" i="4" s="1"/>
  <c r="N899" i="3"/>
  <c r="O899" i="3" s="1"/>
  <c r="P899" i="3" s="1"/>
  <c r="R899" i="3" s="1"/>
  <c r="Z899" i="3"/>
  <c r="U900" i="3"/>
  <c r="V900" i="3" s="1"/>
  <c r="P918" i="4" l="1"/>
  <c r="R918" i="4" s="1"/>
  <c r="O919" i="4"/>
  <c r="S920" i="3"/>
  <c r="AC921" i="4"/>
  <c r="AD921" i="4"/>
  <c r="Z922" i="4"/>
  <c r="N922" i="4"/>
  <c r="AE922" i="4" s="1"/>
  <c r="U923" i="4"/>
  <c r="V923" i="4" s="1"/>
  <c r="S924" i="4"/>
  <c r="N900" i="3"/>
  <c r="O900" i="3" s="1"/>
  <c r="P900" i="3" s="1"/>
  <c r="R900" i="3" s="1"/>
  <c r="Z900" i="3"/>
  <c r="U901" i="3"/>
  <c r="V901" i="3" s="1"/>
  <c r="S921" i="3" l="1"/>
  <c r="P919" i="4"/>
  <c r="R919" i="4" s="1"/>
  <c r="O920" i="4"/>
  <c r="AC922" i="4"/>
  <c r="AD922" i="4"/>
  <c r="U924" i="4"/>
  <c r="V924" i="4" s="1"/>
  <c r="S925" i="4"/>
  <c r="Z923" i="4"/>
  <c r="N923" i="4"/>
  <c r="AE923" i="4" s="1"/>
  <c r="N901" i="3"/>
  <c r="O901" i="3" s="1"/>
  <c r="P901" i="3" s="1"/>
  <c r="R901" i="3" s="1"/>
  <c r="Z901" i="3"/>
  <c r="U902" i="3"/>
  <c r="V902" i="3" s="1"/>
  <c r="S922" i="3" l="1"/>
  <c r="P920" i="4"/>
  <c r="R920" i="4" s="1"/>
  <c r="O921" i="4"/>
  <c r="AD923" i="4"/>
  <c r="AC923" i="4"/>
  <c r="U925" i="4"/>
  <c r="V925" i="4" s="1"/>
  <c r="S926" i="4"/>
  <c r="Z924" i="4"/>
  <c r="N924" i="4"/>
  <c r="AE924" i="4" s="1"/>
  <c r="N902" i="3"/>
  <c r="O902" i="3" s="1"/>
  <c r="Z902" i="3"/>
  <c r="U903" i="3"/>
  <c r="V903" i="3" s="1"/>
  <c r="O922" i="4" l="1"/>
  <c r="P921" i="4"/>
  <c r="R921" i="4" s="1"/>
  <c r="AC924" i="4"/>
  <c r="AD924" i="4"/>
  <c r="Z925" i="4"/>
  <c r="N925" i="4"/>
  <c r="AE925" i="4" s="1"/>
  <c r="U926" i="4"/>
  <c r="V926" i="4" s="1"/>
  <c r="S927" i="4"/>
  <c r="P902" i="3"/>
  <c r="R902" i="3" s="1"/>
  <c r="S923" i="3" s="1"/>
  <c r="N903" i="3"/>
  <c r="O903" i="3" s="1"/>
  <c r="Z903" i="3"/>
  <c r="U904" i="3"/>
  <c r="V904" i="3" s="1"/>
  <c r="P922" i="4" l="1"/>
  <c r="R922" i="4" s="1"/>
  <c r="O923" i="4"/>
  <c r="AC925" i="4"/>
  <c r="AD925" i="4"/>
  <c r="Z926" i="4"/>
  <c r="N926" i="4"/>
  <c r="AE926" i="4" s="1"/>
  <c r="U927" i="4"/>
  <c r="V927" i="4" s="1"/>
  <c r="S928" i="4"/>
  <c r="P903" i="3"/>
  <c r="R903" i="3" s="1"/>
  <c r="S924" i="3" s="1"/>
  <c r="N904" i="3"/>
  <c r="O904" i="3" s="1"/>
  <c r="P904" i="3" s="1"/>
  <c r="R904" i="3" s="1"/>
  <c r="Z904" i="3"/>
  <c r="U905" i="3"/>
  <c r="V905" i="3" s="1"/>
  <c r="O924" i="4" l="1"/>
  <c r="P923" i="4"/>
  <c r="R923" i="4" s="1"/>
  <c r="AD926" i="4"/>
  <c r="AC926" i="4"/>
  <c r="U928" i="4"/>
  <c r="V928" i="4" s="1"/>
  <c r="S929" i="4"/>
  <c r="Z927" i="4"/>
  <c r="N927" i="4"/>
  <c r="AE927" i="4" s="1"/>
  <c r="S925" i="3"/>
  <c r="N905" i="3"/>
  <c r="O905" i="3" s="1"/>
  <c r="P905" i="3" s="1"/>
  <c r="R905" i="3" s="1"/>
  <c r="Z905" i="3"/>
  <c r="U906" i="3"/>
  <c r="V906" i="3" s="1"/>
  <c r="P924" i="4" l="1"/>
  <c r="R924" i="4" s="1"/>
  <c r="O925" i="4"/>
  <c r="AC927" i="4"/>
  <c r="AD927" i="4"/>
  <c r="S926" i="3"/>
  <c r="U929" i="4"/>
  <c r="V929" i="4" s="1"/>
  <c r="S930" i="4"/>
  <c r="Z928" i="4"/>
  <c r="N928" i="4"/>
  <c r="AE928" i="4" s="1"/>
  <c r="N906" i="3"/>
  <c r="O906" i="3" s="1"/>
  <c r="P906" i="3" s="1"/>
  <c r="R906" i="3" s="1"/>
  <c r="Z906" i="3"/>
  <c r="U907" i="3"/>
  <c r="V907" i="3" s="1"/>
  <c r="P925" i="4" l="1"/>
  <c r="R925" i="4" s="1"/>
  <c r="O926" i="4"/>
  <c r="AC928" i="4"/>
  <c r="AD928" i="4"/>
  <c r="S927" i="3"/>
  <c r="U930" i="4"/>
  <c r="V930" i="4" s="1"/>
  <c r="S931" i="4"/>
  <c r="Z929" i="4"/>
  <c r="N929" i="4"/>
  <c r="AE929" i="4" s="1"/>
  <c r="N907" i="3"/>
  <c r="O907" i="3" s="1"/>
  <c r="P907" i="3" s="1"/>
  <c r="R907" i="3" s="1"/>
  <c r="Z907" i="3"/>
  <c r="U908" i="3"/>
  <c r="V908" i="3" s="1"/>
  <c r="O927" i="4" l="1"/>
  <c r="P926" i="4"/>
  <c r="R926" i="4" s="1"/>
  <c r="AD929" i="4"/>
  <c r="S928" i="3"/>
  <c r="AC929" i="4"/>
  <c r="U931" i="4"/>
  <c r="V931" i="4" s="1"/>
  <c r="S932" i="4"/>
  <c r="Z930" i="4"/>
  <c r="N930" i="4"/>
  <c r="AE930" i="4" s="1"/>
  <c r="N908" i="3"/>
  <c r="O908" i="3" s="1"/>
  <c r="P908" i="3" s="1"/>
  <c r="R908" i="3" s="1"/>
  <c r="Z908" i="3"/>
  <c r="U909" i="3"/>
  <c r="V909" i="3" s="1"/>
  <c r="S929" i="3" l="1"/>
  <c r="P927" i="4"/>
  <c r="R927" i="4" s="1"/>
  <c r="O928" i="4"/>
  <c r="AC930" i="4"/>
  <c r="AD930" i="4"/>
  <c r="Z931" i="4"/>
  <c r="N931" i="4"/>
  <c r="AE931" i="4" s="1"/>
  <c r="U932" i="4"/>
  <c r="V932" i="4" s="1"/>
  <c r="S933" i="4"/>
  <c r="N909" i="3"/>
  <c r="O909" i="3" s="1"/>
  <c r="P909" i="3" s="1"/>
  <c r="R909" i="3" s="1"/>
  <c r="S930" i="3" s="1"/>
  <c r="Z909" i="3"/>
  <c r="U910" i="3"/>
  <c r="V910" i="3" s="1"/>
  <c r="P928" i="4" l="1"/>
  <c r="R928" i="4" s="1"/>
  <c r="O929" i="4"/>
  <c r="AC931" i="4"/>
  <c r="AD931" i="4"/>
  <c r="U933" i="4"/>
  <c r="V933" i="4" s="1"/>
  <c r="S934" i="4"/>
  <c r="Z932" i="4"/>
  <c r="N932" i="4"/>
  <c r="AE932" i="4" s="1"/>
  <c r="N910" i="3"/>
  <c r="O910" i="3" s="1"/>
  <c r="P910" i="3" s="1"/>
  <c r="R910" i="3" s="1"/>
  <c r="S931" i="3" s="1"/>
  <c r="Z910" i="3"/>
  <c r="U911" i="3"/>
  <c r="V911" i="3" s="1"/>
  <c r="P929" i="4" l="1"/>
  <c r="R929" i="4" s="1"/>
  <c r="O930" i="4"/>
  <c r="AD932" i="4"/>
  <c r="AC932" i="4"/>
  <c r="U934" i="4"/>
  <c r="V934" i="4" s="1"/>
  <c r="S935" i="4"/>
  <c r="Z933" i="4"/>
  <c r="N933" i="4"/>
  <c r="AE933" i="4" s="1"/>
  <c r="N911" i="3"/>
  <c r="O911" i="3" s="1"/>
  <c r="P911" i="3" s="1"/>
  <c r="R911" i="3" s="1"/>
  <c r="S932" i="3" s="1"/>
  <c r="Z911" i="3"/>
  <c r="U912" i="3"/>
  <c r="V912" i="3" s="1"/>
  <c r="P930" i="4" l="1"/>
  <c r="R930" i="4" s="1"/>
  <c r="O931" i="4"/>
  <c r="AC933" i="4"/>
  <c r="AD933" i="4"/>
  <c r="Z934" i="4"/>
  <c r="N934" i="4"/>
  <c r="AE934" i="4" s="1"/>
  <c r="U935" i="4"/>
  <c r="V935" i="4" s="1"/>
  <c r="S936" i="4"/>
  <c r="N912" i="3"/>
  <c r="O912" i="3" s="1"/>
  <c r="P912" i="3" s="1"/>
  <c r="R912" i="3" s="1"/>
  <c r="S933" i="3" s="1"/>
  <c r="Z912" i="3"/>
  <c r="U913" i="3"/>
  <c r="V913" i="3" s="1"/>
  <c r="P931" i="4" l="1"/>
  <c r="R931" i="4" s="1"/>
  <c r="O932" i="4"/>
  <c r="AC934" i="4"/>
  <c r="AD934" i="4"/>
  <c r="U936" i="4"/>
  <c r="V936" i="4" s="1"/>
  <c r="S937" i="4"/>
  <c r="Z935" i="4"/>
  <c r="N935" i="4"/>
  <c r="AE935" i="4" s="1"/>
  <c r="N913" i="3"/>
  <c r="O913" i="3" s="1"/>
  <c r="P913" i="3" s="1"/>
  <c r="R913" i="3" s="1"/>
  <c r="S934" i="3" s="1"/>
  <c r="Z913" i="3"/>
  <c r="U914" i="3"/>
  <c r="V914" i="3" s="1"/>
  <c r="P932" i="4" l="1"/>
  <c r="R932" i="4" s="1"/>
  <c r="O933" i="4"/>
  <c r="AD935" i="4"/>
  <c r="AC935" i="4"/>
  <c r="U937" i="4"/>
  <c r="V937" i="4" s="1"/>
  <c r="S938" i="4"/>
  <c r="Z936" i="4"/>
  <c r="N936" i="4"/>
  <c r="AE936" i="4" s="1"/>
  <c r="N914" i="3"/>
  <c r="O914" i="3" s="1"/>
  <c r="P914" i="3" s="1"/>
  <c r="R914" i="3" s="1"/>
  <c r="S935" i="3" s="1"/>
  <c r="Z914" i="3"/>
  <c r="U915" i="3"/>
  <c r="V915" i="3" s="1"/>
  <c r="O934" i="4" l="1"/>
  <c r="P933" i="4"/>
  <c r="R933" i="4" s="1"/>
  <c r="AC936" i="4"/>
  <c r="AD936" i="4"/>
  <c r="Z937" i="4"/>
  <c r="N937" i="4"/>
  <c r="AE937" i="4" s="1"/>
  <c r="U938" i="4"/>
  <c r="V938" i="4" s="1"/>
  <c r="S939" i="4"/>
  <c r="N915" i="3"/>
  <c r="O915" i="3" s="1"/>
  <c r="Z915" i="3"/>
  <c r="U916" i="3"/>
  <c r="V916" i="3" s="1"/>
  <c r="P934" i="4" l="1"/>
  <c r="R934" i="4" s="1"/>
  <c r="O935" i="4"/>
  <c r="AC937" i="4"/>
  <c r="AD937" i="4"/>
  <c r="U939" i="4"/>
  <c r="V939" i="4" s="1"/>
  <c r="S940" i="4"/>
  <c r="Z938" i="4"/>
  <c r="N938" i="4"/>
  <c r="AE938" i="4" s="1"/>
  <c r="P915" i="3"/>
  <c r="R915" i="3" s="1"/>
  <c r="S936" i="3" s="1"/>
  <c r="N916" i="3"/>
  <c r="O916" i="3" s="1"/>
  <c r="P916" i="3" s="1"/>
  <c r="R916" i="3" s="1"/>
  <c r="Z916" i="3"/>
  <c r="U917" i="3"/>
  <c r="V917" i="3" s="1"/>
  <c r="O936" i="4" l="1"/>
  <c r="P935" i="4"/>
  <c r="R935" i="4" s="1"/>
  <c r="AD938" i="4"/>
  <c r="AC938" i="4"/>
  <c r="U940" i="4"/>
  <c r="V940" i="4" s="1"/>
  <c r="S941" i="4"/>
  <c r="S937" i="3"/>
  <c r="Z939" i="4"/>
  <c r="N939" i="4"/>
  <c r="AE939" i="4" s="1"/>
  <c r="N917" i="3"/>
  <c r="O917" i="3" s="1"/>
  <c r="Z917" i="3"/>
  <c r="U918" i="3"/>
  <c r="V918" i="3" s="1"/>
  <c r="O937" i="4" l="1"/>
  <c r="P936" i="4"/>
  <c r="R936" i="4" s="1"/>
  <c r="AC939" i="4"/>
  <c r="AD939" i="4"/>
  <c r="Z940" i="4"/>
  <c r="N940" i="4"/>
  <c r="AE940" i="4" s="1"/>
  <c r="U941" i="4"/>
  <c r="V941" i="4" s="1"/>
  <c r="S942" i="4"/>
  <c r="P917" i="3"/>
  <c r="R917" i="3" s="1"/>
  <c r="S938" i="3" s="1"/>
  <c r="N918" i="3"/>
  <c r="O918" i="3" s="1"/>
  <c r="P918" i="3" s="1"/>
  <c r="R918" i="3" s="1"/>
  <c r="Z918" i="3"/>
  <c r="U919" i="3"/>
  <c r="V919" i="3" s="1"/>
  <c r="P937" i="4" l="1"/>
  <c r="R937" i="4" s="1"/>
  <c r="O938" i="4"/>
  <c r="AC940" i="4"/>
  <c r="AD940" i="4"/>
  <c r="S939" i="3"/>
  <c r="U942" i="4"/>
  <c r="V942" i="4" s="1"/>
  <c r="S943" i="4"/>
  <c r="Z941" i="4"/>
  <c r="N941" i="4"/>
  <c r="AE941" i="4" s="1"/>
  <c r="N919" i="3"/>
  <c r="O919" i="3" s="1"/>
  <c r="P919" i="3" s="1"/>
  <c r="R919" i="3" s="1"/>
  <c r="Z919" i="3"/>
  <c r="U920" i="3"/>
  <c r="V920" i="3" s="1"/>
  <c r="P938" i="4" l="1"/>
  <c r="R938" i="4" s="1"/>
  <c r="O939" i="4"/>
  <c r="AD941" i="4"/>
  <c r="S940" i="3"/>
  <c r="AC941" i="4"/>
  <c r="U943" i="4"/>
  <c r="V943" i="4" s="1"/>
  <c r="S944" i="4"/>
  <c r="Z942" i="4"/>
  <c r="N942" i="4"/>
  <c r="AE942" i="4" s="1"/>
  <c r="N920" i="3"/>
  <c r="O920" i="3" s="1"/>
  <c r="P920" i="3" s="1"/>
  <c r="R920" i="3" s="1"/>
  <c r="Z920" i="3"/>
  <c r="U921" i="3"/>
  <c r="V921" i="3" s="1"/>
  <c r="S941" i="3" l="1"/>
  <c r="P939" i="4"/>
  <c r="R939" i="4" s="1"/>
  <c r="O940" i="4"/>
  <c r="AC942" i="4"/>
  <c r="AD942" i="4"/>
  <c r="Z943" i="4"/>
  <c r="N943" i="4"/>
  <c r="AE943" i="4" s="1"/>
  <c r="U944" i="4"/>
  <c r="V944" i="4" s="1"/>
  <c r="S945" i="4"/>
  <c r="N921" i="3"/>
  <c r="O921" i="3" s="1"/>
  <c r="P921" i="3" s="1"/>
  <c r="R921" i="3" s="1"/>
  <c r="S942" i="3" s="1"/>
  <c r="Z921" i="3"/>
  <c r="U922" i="3"/>
  <c r="V922" i="3" s="1"/>
  <c r="P940" i="4" l="1"/>
  <c r="R940" i="4" s="1"/>
  <c r="O941" i="4"/>
  <c r="AC943" i="4"/>
  <c r="AD943" i="4"/>
  <c r="U945" i="4"/>
  <c r="V945" i="4" s="1"/>
  <c r="S946" i="4"/>
  <c r="Z944" i="4"/>
  <c r="N944" i="4"/>
  <c r="AE944" i="4" s="1"/>
  <c r="N922" i="3"/>
  <c r="O922" i="3" s="1"/>
  <c r="P922" i="3" s="1"/>
  <c r="R922" i="3" s="1"/>
  <c r="S943" i="3" s="1"/>
  <c r="Z922" i="3"/>
  <c r="U923" i="3"/>
  <c r="V923" i="3" s="1"/>
  <c r="O942" i="4" l="1"/>
  <c r="P941" i="4"/>
  <c r="R941" i="4" s="1"/>
  <c r="AD944" i="4"/>
  <c r="AC944" i="4"/>
  <c r="U946" i="4"/>
  <c r="V946" i="4" s="1"/>
  <c r="S947" i="4"/>
  <c r="Z945" i="4"/>
  <c r="N945" i="4"/>
  <c r="AE945" i="4" s="1"/>
  <c r="N923" i="3"/>
  <c r="O923" i="3" s="1"/>
  <c r="P923" i="3" s="1"/>
  <c r="R923" i="3" s="1"/>
  <c r="S944" i="3" s="1"/>
  <c r="Z923" i="3"/>
  <c r="U924" i="3"/>
  <c r="V924" i="3" s="1"/>
  <c r="O943" i="4" l="1"/>
  <c r="P942" i="4"/>
  <c r="R942" i="4" s="1"/>
  <c r="AC945" i="4"/>
  <c r="AD945" i="4"/>
  <c r="Z946" i="4"/>
  <c r="N946" i="4"/>
  <c r="AE946" i="4" s="1"/>
  <c r="U947" i="4"/>
  <c r="V947" i="4" s="1"/>
  <c r="S948" i="4"/>
  <c r="N924" i="3"/>
  <c r="O924" i="3" s="1"/>
  <c r="P924" i="3" s="1"/>
  <c r="R924" i="3" s="1"/>
  <c r="S945" i="3" s="1"/>
  <c r="Z924" i="3"/>
  <c r="U925" i="3"/>
  <c r="V925" i="3" s="1"/>
  <c r="P943" i="4" l="1"/>
  <c r="R943" i="4" s="1"/>
  <c r="O944" i="4"/>
  <c r="AC946" i="4"/>
  <c r="AD946" i="4"/>
  <c r="U948" i="4"/>
  <c r="V948" i="4" s="1"/>
  <c r="S949" i="4"/>
  <c r="Z947" i="4"/>
  <c r="N947" i="4"/>
  <c r="AE947" i="4" s="1"/>
  <c r="N925" i="3"/>
  <c r="O925" i="3" s="1"/>
  <c r="P925" i="3" s="1"/>
  <c r="R925" i="3" s="1"/>
  <c r="S946" i="3" s="1"/>
  <c r="Z925" i="3"/>
  <c r="U926" i="3"/>
  <c r="V926" i="3" s="1"/>
  <c r="P944" i="4" l="1"/>
  <c r="R944" i="4" s="1"/>
  <c r="O945" i="4"/>
  <c r="AD947" i="4"/>
  <c r="AC947" i="4"/>
  <c r="U949" i="4"/>
  <c r="V949" i="4" s="1"/>
  <c r="S950" i="4"/>
  <c r="Z948" i="4"/>
  <c r="N948" i="4"/>
  <c r="AE948" i="4" s="1"/>
  <c r="N926" i="3"/>
  <c r="O926" i="3" s="1"/>
  <c r="Z926" i="3"/>
  <c r="U927" i="3"/>
  <c r="V927" i="3" s="1"/>
  <c r="O946" i="4" l="1"/>
  <c r="P945" i="4"/>
  <c r="R945" i="4" s="1"/>
  <c r="AC948" i="4"/>
  <c r="AD948" i="4"/>
  <c r="Z949" i="4"/>
  <c r="N949" i="4"/>
  <c r="AE949" i="4" s="1"/>
  <c r="U950" i="4"/>
  <c r="V950" i="4" s="1"/>
  <c r="S951" i="4"/>
  <c r="P926" i="3"/>
  <c r="R926" i="3" s="1"/>
  <c r="S947" i="3" s="1"/>
  <c r="N927" i="3"/>
  <c r="O927" i="3" s="1"/>
  <c r="P927" i="3" s="1"/>
  <c r="R927" i="3" s="1"/>
  <c r="Z927" i="3"/>
  <c r="U928" i="3"/>
  <c r="V928" i="3" s="1"/>
  <c r="P946" i="4" l="1"/>
  <c r="R946" i="4" s="1"/>
  <c r="O947" i="4"/>
  <c r="AC949" i="4"/>
  <c r="AD949" i="4"/>
  <c r="S948" i="3"/>
  <c r="U951" i="4"/>
  <c r="V951" i="4" s="1"/>
  <c r="S952" i="4"/>
  <c r="Z950" i="4"/>
  <c r="N950" i="4"/>
  <c r="AE950" i="4" s="1"/>
  <c r="N928" i="3"/>
  <c r="O928" i="3" s="1"/>
  <c r="P928" i="3" s="1"/>
  <c r="R928" i="3" s="1"/>
  <c r="Z928" i="3"/>
  <c r="U929" i="3"/>
  <c r="V929" i="3" s="1"/>
  <c r="O948" i="4" l="1"/>
  <c r="P947" i="4"/>
  <c r="R947" i="4" s="1"/>
  <c r="AD950" i="4"/>
  <c r="S949" i="3"/>
  <c r="AC950" i="4"/>
  <c r="U952" i="4"/>
  <c r="V952" i="4" s="1"/>
  <c r="S953" i="4"/>
  <c r="Z951" i="4"/>
  <c r="N951" i="4"/>
  <c r="AE951" i="4" s="1"/>
  <c r="N929" i="3"/>
  <c r="O929" i="3" s="1"/>
  <c r="P929" i="3" s="1"/>
  <c r="R929" i="3" s="1"/>
  <c r="Z929" i="3"/>
  <c r="U930" i="3"/>
  <c r="V930" i="3" s="1"/>
  <c r="S950" i="3" l="1"/>
  <c r="P948" i="4"/>
  <c r="R948" i="4" s="1"/>
  <c r="O949" i="4"/>
  <c r="AC951" i="4"/>
  <c r="AD951" i="4"/>
  <c r="Z952" i="4"/>
  <c r="N952" i="4"/>
  <c r="AE952" i="4" s="1"/>
  <c r="U953" i="4"/>
  <c r="V953" i="4" s="1"/>
  <c r="S954" i="4"/>
  <c r="N930" i="3"/>
  <c r="O930" i="3" s="1"/>
  <c r="P930" i="3" s="1"/>
  <c r="R930" i="3" s="1"/>
  <c r="S951" i="3" s="1"/>
  <c r="Z930" i="3"/>
  <c r="U931" i="3"/>
  <c r="V931" i="3" s="1"/>
  <c r="P949" i="4" l="1"/>
  <c r="R949" i="4" s="1"/>
  <c r="O950" i="4"/>
  <c r="AC952" i="4"/>
  <c r="AD952" i="4"/>
  <c r="U954" i="4"/>
  <c r="V954" i="4" s="1"/>
  <c r="S955" i="4"/>
  <c r="Z953" i="4"/>
  <c r="N953" i="4"/>
  <c r="AE953" i="4" s="1"/>
  <c r="N931" i="3"/>
  <c r="O931" i="3" s="1"/>
  <c r="P931" i="3" s="1"/>
  <c r="R931" i="3" s="1"/>
  <c r="S952" i="3" s="1"/>
  <c r="Z931" i="3"/>
  <c r="U932" i="3"/>
  <c r="V932" i="3" s="1"/>
  <c r="P950" i="4" l="1"/>
  <c r="R950" i="4" s="1"/>
  <c r="O951" i="4"/>
  <c r="AD953" i="4"/>
  <c r="AC953" i="4"/>
  <c r="U955" i="4"/>
  <c r="V955" i="4" s="1"/>
  <c r="S956" i="4"/>
  <c r="Z954" i="4"/>
  <c r="N954" i="4"/>
  <c r="AE954" i="4" s="1"/>
  <c r="N932" i="3"/>
  <c r="O932" i="3" s="1"/>
  <c r="P932" i="3" s="1"/>
  <c r="R932" i="3" s="1"/>
  <c r="S953" i="3" s="1"/>
  <c r="Z932" i="3"/>
  <c r="U933" i="3"/>
  <c r="V933" i="3" s="1"/>
  <c r="P951" i="4" l="1"/>
  <c r="R951" i="4" s="1"/>
  <c r="O952" i="4"/>
  <c r="AC954" i="4"/>
  <c r="AD954" i="4"/>
  <c r="Z955" i="4"/>
  <c r="N955" i="4"/>
  <c r="AE955" i="4" s="1"/>
  <c r="U956" i="4"/>
  <c r="V956" i="4" s="1"/>
  <c r="S957" i="4"/>
  <c r="N933" i="3"/>
  <c r="O933" i="3" s="1"/>
  <c r="P933" i="3" s="1"/>
  <c r="R933" i="3" s="1"/>
  <c r="S954" i="3" s="1"/>
  <c r="Z933" i="3"/>
  <c r="U934" i="3"/>
  <c r="V934" i="3" s="1"/>
  <c r="P952" i="4" l="1"/>
  <c r="R952" i="4" s="1"/>
  <c r="O953" i="4"/>
  <c r="AC955" i="4"/>
  <c r="AD955" i="4"/>
  <c r="U957" i="4"/>
  <c r="V957" i="4" s="1"/>
  <c r="S958" i="4"/>
  <c r="Z956" i="4"/>
  <c r="N956" i="4"/>
  <c r="AE956" i="4" s="1"/>
  <c r="N934" i="3"/>
  <c r="O934" i="3" s="1"/>
  <c r="P934" i="3" s="1"/>
  <c r="R934" i="3" s="1"/>
  <c r="S955" i="3" s="1"/>
  <c r="Z934" i="3"/>
  <c r="U935" i="3"/>
  <c r="V935" i="3" s="1"/>
  <c r="O954" i="4" l="1"/>
  <c r="P953" i="4"/>
  <c r="R953" i="4" s="1"/>
  <c r="AD956" i="4"/>
  <c r="AC956" i="4"/>
  <c r="U958" i="4"/>
  <c r="V958" i="4" s="1"/>
  <c r="S959" i="4"/>
  <c r="Z957" i="4"/>
  <c r="N957" i="4"/>
  <c r="AE957" i="4" s="1"/>
  <c r="N935" i="3"/>
  <c r="O935" i="3" s="1"/>
  <c r="P935" i="3" s="1"/>
  <c r="R935" i="3" s="1"/>
  <c r="S956" i="3" s="1"/>
  <c r="Z935" i="3"/>
  <c r="U936" i="3"/>
  <c r="V936" i="3" s="1"/>
  <c r="P954" i="4" l="1"/>
  <c r="R954" i="4" s="1"/>
  <c r="O955" i="4"/>
  <c r="AC957" i="4"/>
  <c r="AD957" i="4"/>
  <c r="Z958" i="4"/>
  <c r="N958" i="4"/>
  <c r="AE958" i="4" s="1"/>
  <c r="U959" i="4"/>
  <c r="V959" i="4" s="1"/>
  <c r="S960" i="4"/>
  <c r="N936" i="3"/>
  <c r="O936" i="3" s="1"/>
  <c r="P936" i="3" s="1"/>
  <c r="R936" i="3" s="1"/>
  <c r="S957" i="3" s="1"/>
  <c r="Z936" i="3"/>
  <c r="U937" i="3"/>
  <c r="V937" i="3" s="1"/>
  <c r="P955" i="4" l="1"/>
  <c r="R955" i="4" s="1"/>
  <c r="O956" i="4"/>
  <c r="AC958" i="4"/>
  <c r="AD958" i="4"/>
  <c r="U960" i="4"/>
  <c r="V960" i="4" s="1"/>
  <c r="S961" i="4"/>
  <c r="Z959" i="4"/>
  <c r="N959" i="4"/>
  <c r="AE959" i="4" s="1"/>
  <c r="N937" i="3"/>
  <c r="O937" i="3" s="1"/>
  <c r="P937" i="3" s="1"/>
  <c r="R937" i="3" s="1"/>
  <c r="S958" i="3" s="1"/>
  <c r="Z937" i="3"/>
  <c r="U938" i="3"/>
  <c r="V938" i="3" s="1"/>
  <c r="P956" i="4" l="1"/>
  <c r="R956" i="4" s="1"/>
  <c r="O957" i="4"/>
  <c r="AD959" i="4"/>
  <c r="AC959" i="4"/>
  <c r="U961" i="4"/>
  <c r="V961" i="4" s="1"/>
  <c r="S962" i="4"/>
  <c r="Z960" i="4"/>
  <c r="N960" i="4"/>
  <c r="AE960" i="4" s="1"/>
  <c r="N938" i="3"/>
  <c r="O938" i="3" s="1"/>
  <c r="P938" i="3" s="1"/>
  <c r="R938" i="3" s="1"/>
  <c r="S959" i="3" s="1"/>
  <c r="Z938" i="3"/>
  <c r="U939" i="3"/>
  <c r="V939" i="3" s="1"/>
  <c r="O958" i="4" l="1"/>
  <c r="P957" i="4"/>
  <c r="R957" i="4" s="1"/>
  <c r="AC960" i="4"/>
  <c r="AD960" i="4"/>
  <c r="Z961" i="4"/>
  <c r="N961" i="4"/>
  <c r="AE961" i="4" s="1"/>
  <c r="U962" i="4"/>
  <c r="V962" i="4" s="1"/>
  <c r="S963" i="4"/>
  <c r="N939" i="3"/>
  <c r="O939" i="3" s="1"/>
  <c r="P939" i="3" s="1"/>
  <c r="R939" i="3" s="1"/>
  <c r="S960" i="3" s="1"/>
  <c r="Z939" i="3"/>
  <c r="U940" i="3"/>
  <c r="V940" i="3" s="1"/>
  <c r="P958" i="4" l="1"/>
  <c r="R958" i="4" s="1"/>
  <c r="O959" i="4"/>
  <c r="AC961" i="4"/>
  <c r="AD961" i="4"/>
  <c r="U963" i="4"/>
  <c r="V963" i="4" s="1"/>
  <c r="S964" i="4"/>
  <c r="Z962" i="4"/>
  <c r="N962" i="4"/>
  <c r="AE962" i="4" s="1"/>
  <c r="N940" i="3"/>
  <c r="O940" i="3" s="1"/>
  <c r="P940" i="3" s="1"/>
  <c r="R940" i="3" s="1"/>
  <c r="S961" i="3" s="1"/>
  <c r="Z940" i="3"/>
  <c r="U941" i="3"/>
  <c r="V941" i="3" s="1"/>
  <c r="O960" i="4" l="1"/>
  <c r="P959" i="4"/>
  <c r="R959" i="4" s="1"/>
  <c r="AD962" i="4"/>
  <c r="AC962" i="4"/>
  <c r="U964" i="4"/>
  <c r="V964" i="4" s="1"/>
  <c r="S965" i="4"/>
  <c r="Z963" i="4"/>
  <c r="N963" i="4"/>
  <c r="AE963" i="4" s="1"/>
  <c r="N941" i="3"/>
  <c r="O941" i="3" s="1"/>
  <c r="P941" i="3" s="1"/>
  <c r="R941" i="3" s="1"/>
  <c r="S962" i="3" s="1"/>
  <c r="Z941" i="3"/>
  <c r="U942" i="3"/>
  <c r="V942" i="3" s="1"/>
  <c r="O961" i="4" l="1"/>
  <c r="P960" i="4"/>
  <c r="R960" i="4" s="1"/>
  <c r="AC963" i="4"/>
  <c r="AD963" i="4"/>
  <c r="Z964" i="4"/>
  <c r="N964" i="4"/>
  <c r="AE964" i="4" s="1"/>
  <c r="U965" i="4"/>
  <c r="V965" i="4" s="1"/>
  <c r="S966" i="4"/>
  <c r="N942" i="3"/>
  <c r="O942" i="3" s="1"/>
  <c r="P942" i="3" s="1"/>
  <c r="R942" i="3" s="1"/>
  <c r="S963" i="3" s="1"/>
  <c r="Z942" i="3"/>
  <c r="U943" i="3"/>
  <c r="V943" i="3" s="1"/>
  <c r="P961" i="4" l="1"/>
  <c r="R961" i="4" s="1"/>
  <c r="O962" i="4"/>
  <c r="AC964" i="4"/>
  <c r="AD964" i="4"/>
  <c r="U966" i="4"/>
  <c r="V966" i="4" s="1"/>
  <c r="S967" i="4"/>
  <c r="Z965" i="4"/>
  <c r="N965" i="4"/>
  <c r="AE965" i="4" s="1"/>
  <c r="N943" i="3"/>
  <c r="O943" i="3" s="1"/>
  <c r="P943" i="3" s="1"/>
  <c r="R943" i="3" s="1"/>
  <c r="S964" i="3" s="1"/>
  <c r="Z943" i="3"/>
  <c r="U944" i="3"/>
  <c r="V944" i="3" s="1"/>
  <c r="P962" i="4" l="1"/>
  <c r="R962" i="4" s="1"/>
  <c r="O963" i="4"/>
  <c r="AD965" i="4"/>
  <c r="AC965" i="4"/>
  <c r="U967" i="4"/>
  <c r="V967" i="4" s="1"/>
  <c r="S968" i="4"/>
  <c r="Z966" i="4"/>
  <c r="N966" i="4"/>
  <c r="AE966" i="4" s="1"/>
  <c r="N944" i="3"/>
  <c r="O944" i="3" s="1"/>
  <c r="P944" i="3" s="1"/>
  <c r="R944" i="3" s="1"/>
  <c r="S965" i="3" s="1"/>
  <c r="Z944" i="3"/>
  <c r="U945" i="3"/>
  <c r="V945" i="3" s="1"/>
  <c r="P963" i="4" l="1"/>
  <c r="R963" i="4" s="1"/>
  <c r="O964" i="4"/>
  <c r="AC966" i="4"/>
  <c r="AD966" i="4"/>
  <c r="Z967" i="4"/>
  <c r="N967" i="4"/>
  <c r="AE967" i="4" s="1"/>
  <c r="U968" i="4"/>
  <c r="V968" i="4" s="1"/>
  <c r="S969" i="4"/>
  <c r="N945" i="3"/>
  <c r="O945" i="3" s="1"/>
  <c r="P945" i="3" s="1"/>
  <c r="R945" i="3" s="1"/>
  <c r="S966" i="3" s="1"/>
  <c r="Z945" i="3"/>
  <c r="U946" i="3"/>
  <c r="V946" i="3" s="1"/>
  <c r="P964" i="4" l="1"/>
  <c r="R964" i="4" s="1"/>
  <c r="O965" i="4"/>
  <c r="AC967" i="4"/>
  <c r="AD967" i="4"/>
  <c r="U969" i="4"/>
  <c r="V969" i="4" s="1"/>
  <c r="S970" i="4"/>
  <c r="Z968" i="4"/>
  <c r="N968" i="4"/>
  <c r="AE968" i="4" s="1"/>
  <c r="N946" i="3"/>
  <c r="O946" i="3" s="1"/>
  <c r="P946" i="3" s="1"/>
  <c r="R946" i="3" s="1"/>
  <c r="S967" i="3" s="1"/>
  <c r="Z946" i="3"/>
  <c r="U947" i="3"/>
  <c r="V947" i="3" s="1"/>
  <c r="P965" i="4" l="1"/>
  <c r="R965" i="4" s="1"/>
  <c r="O966" i="4"/>
  <c r="AD968" i="4"/>
  <c r="AC968" i="4"/>
  <c r="U970" i="4"/>
  <c r="V970" i="4" s="1"/>
  <c r="S971" i="4"/>
  <c r="Z969" i="4"/>
  <c r="N969" i="4"/>
  <c r="AE969" i="4" s="1"/>
  <c r="N947" i="3"/>
  <c r="O947" i="3" s="1"/>
  <c r="P947" i="3" s="1"/>
  <c r="R947" i="3" s="1"/>
  <c r="S968" i="3" s="1"/>
  <c r="Z947" i="3"/>
  <c r="U948" i="3"/>
  <c r="V948" i="3" s="1"/>
  <c r="P966" i="4" l="1"/>
  <c r="R966" i="4" s="1"/>
  <c r="O967" i="4"/>
  <c r="AC969" i="4"/>
  <c r="AD969" i="4"/>
  <c r="Z970" i="4"/>
  <c r="N970" i="4"/>
  <c r="AE970" i="4" s="1"/>
  <c r="U971" i="4"/>
  <c r="V971" i="4" s="1"/>
  <c r="S972" i="4"/>
  <c r="N948" i="3"/>
  <c r="O948" i="3" s="1"/>
  <c r="P948" i="3" s="1"/>
  <c r="R948" i="3" s="1"/>
  <c r="S969" i="3" s="1"/>
  <c r="Z948" i="3"/>
  <c r="U949" i="3"/>
  <c r="V949" i="3" s="1"/>
  <c r="P967" i="4" l="1"/>
  <c r="R967" i="4" s="1"/>
  <c r="O968" i="4"/>
  <c r="AC970" i="4"/>
  <c r="AD970" i="4"/>
  <c r="U972" i="4"/>
  <c r="V972" i="4" s="1"/>
  <c r="S973" i="4"/>
  <c r="Z971" i="4"/>
  <c r="N971" i="4"/>
  <c r="AE971" i="4" s="1"/>
  <c r="N949" i="3"/>
  <c r="O949" i="3" s="1"/>
  <c r="P949" i="3" s="1"/>
  <c r="R949" i="3" s="1"/>
  <c r="S970" i="3" s="1"/>
  <c r="Z949" i="3"/>
  <c r="U950" i="3"/>
  <c r="V950" i="3" s="1"/>
  <c r="P968" i="4" l="1"/>
  <c r="R968" i="4" s="1"/>
  <c r="O969" i="4"/>
  <c r="AD971" i="4"/>
  <c r="AC971" i="4"/>
  <c r="U973" i="4"/>
  <c r="V973" i="4" s="1"/>
  <c r="S974" i="4"/>
  <c r="Z972" i="4"/>
  <c r="N972" i="4"/>
  <c r="AE972" i="4" s="1"/>
  <c r="N950" i="3"/>
  <c r="O950" i="3" s="1"/>
  <c r="Z950" i="3"/>
  <c r="U951" i="3"/>
  <c r="V951" i="3" s="1"/>
  <c r="O970" i="4" l="1"/>
  <c r="P969" i="4"/>
  <c r="R969" i="4" s="1"/>
  <c r="AC972" i="4"/>
  <c r="AD972" i="4"/>
  <c r="Z973" i="4"/>
  <c r="N973" i="4"/>
  <c r="AE973" i="4" s="1"/>
  <c r="U974" i="4"/>
  <c r="V974" i="4" s="1"/>
  <c r="S975" i="4"/>
  <c r="P950" i="3"/>
  <c r="R950" i="3" s="1"/>
  <c r="S971" i="3" s="1"/>
  <c r="N951" i="3"/>
  <c r="O951" i="3" s="1"/>
  <c r="P951" i="3" s="1"/>
  <c r="R951" i="3" s="1"/>
  <c r="Z951" i="3"/>
  <c r="U952" i="3"/>
  <c r="V952" i="3" s="1"/>
  <c r="P970" i="4" l="1"/>
  <c r="R970" i="4" s="1"/>
  <c r="O971" i="4"/>
  <c r="AC973" i="4"/>
  <c r="AD973" i="4"/>
  <c r="S972" i="3"/>
  <c r="U975" i="4"/>
  <c r="V975" i="4" s="1"/>
  <c r="S976" i="4"/>
  <c r="Z974" i="4"/>
  <c r="N974" i="4"/>
  <c r="AE974" i="4" s="1"/>
  <c r="N952" i="3"/>
  <c r="O952" i="3" s="1"/>
  <c r="P952" i="3" s="1"/>
  <c r="R952" i="3" s="1"/>
  <c r="Z952" i="3"/>
  <c r="U953" i="3"/>
  <c r="V953" i="3" s="1"/>
  <c r="O972" i="4" l="1"/>
  <c r="P971" i="4"/>
  <c r="R971" i="4" s="1"/>
  <c r="AD974" i="4"/>
  <c r="AC974" i="4"/>
  <c r="S973" i="3"/>
  <c r="U976" i="4"/>
  <c r="V976" i="4" s="1"/>
  <c r="S977" i="4"/>
  <c r="Z975" i="4"/>
  <c r="N975" i="4"/>
  <c r="AE975" i="4" s="1"/>
  <c r="N953" i="3"/>
  <c r="O953" i="3" s="1"/>
  <c r="P953" i="3" s="1"/>
  <c r="R953" i="3" s="1"/>
  <c r="Z953" i="3"/>
  <c r="U954" i="3"/>
  <c r="V954" i="3" s="1"/>
  <c r="O973" i="4" l="1"/>
  <c r="P972" i="4"/>
  <c r="R972" i="4" s="1"/>
  <c r="AC975" i="4"/>
  <c r="AD975" i="4"/>
  <c r="S974" i="3"/>
  <c r="Z976" i="4"/>
  <c r="N976" i="4"/>
  <c r="AE976" i="4" s="1"/>
  <c r="U977" i="4"/>
  <c r="V977" i="4" s="1"/>
  <c r="S978" i="4"/>
  <c r="N954" i="3"/>
  <c r="O954" i="3" s="1"/>
  <c r="P954" i="3" s="1"/>
  <c r="R954" i="3" s="1"/>
  <c r="Z954" i="3"/>
  <c r="U955" i="3"/>
  <c r="V955" i="3" s="1"/>
  <c r="P973" i="4" l="1"/>
  <c r="R973" i="4" s="1"/>
  <c r="O974" i="4"/>
  <c r="S975" i="3"/>
  <c r="AC976" i="4"/>
  <c r="AD976" i="4"/>
  <c r="U978" i="4"/>
  <c r="V978" i="4" s="1"/>
  <c r="S979" i="4"/>
  <c r="Z977" i="4"/>
  <c r="N977" i="4"/>
  <c r="AE977" i="4" s="1"/>
  <c r="N955" i="3"/>
  <c r="O955" i="3" s="1"/>
  <c r="P955" i="3" s="1"/>
  <c r="R955" i="3" s="1"/>
  <c r="Z955" i="3"/>
  <c r="U956" i="3"/>
  <c r="V956" i="3" s="1"/>
  <c r="S976" i="3" l="1"/>
  <c r="O975" i="4"/>
  <c r="P974" i="4"/>
  <c r="R974" i="4" s="1"/>
  <c r="AD977" i="4"/>
  <c r="AC977" i="4"/>
  <c r="U979" i="4"/>
  <c r="V979" i="4" s="1"/>
  <c r="S980" i="4"/>
  <c r="Z978" i="4"/>
  <c r="N978" i="4"/>
  <c r="AE978" i="4" s="1"/>
  <c r="N956" i="3"/>
  <c r="O956" i="3" s="1"/>
  <c r="Z956" i="3"/>
  <c r="U957" i="3"/>
  <c r="V957" i="3" s="1"/>
  <c r="O976" i="4" l="1"/>
  <c r="P975" i="4"/>
  <c r="R975" i="4" s="1"/>
  <c r="AC978" i="4"/>
  <c r="AD978" i="4"/>
  <c r="Z979" i="4"/>
  <c r="N979" i="4"/>
  <c r="AE979" i="4" s="1"/>
  <c r="U980" i="4"/>
  <c r="V980" i="4" s="1"/>
  <c r="S981" i="4"/>
  <c r="P956" i="3"/>
  <c r="R956" i="3" s="1"/>
  <c r="S977" i="3" s="1"/>
  <c r="N957" i="3"/>
  <c r="O957" i="3" s="1"/>
  <c r="P957" i="3" s="1"/>
  <c r="R957" i="3" s="1"/>
  <c r="Z957" i="3"/>
  <c r="U958" i="3"/>
  <c r="V958" i="3" s="1"/>
  <c r="P976" i="4" l="1"/>
  <c r="R976" i="4" s="1"/>
  <c r="O977" i="4"/>
  <c r="AC979" i="4"/>
  <c r="AD979" i="4"/>
  <c r="U981" i="4"/>
  <c r="V981" i="4" s="1"/>
  <c r="S982" i="4"/>
  <c r="Z980" i="4"/>
  <c r="N980" i="4"/>
  <c r="AE980" i="4" s="1"/>
  <c r="S978" i="3"/>
  <c r="N958" i="3"/>
  <c r="O958" i="3" s="1"/>
  <c r="P958" i="3" s="1"/>
  <c r="R958" i="3" s="1"/>
  <c r="Z958" i="3"/>
  <c r="U959" i="3"/>
  <c r="V959" i="3" s="1"/>
  <c r="P977" i="4" l="1"/>
  <c r="R977" i="4" s="1"/>
  <c r="O978" i="4"/>
  <c r="AD980" i="4"/>
  <c r="AC980" i="4"/>
  <c r="U982" i="4"/>
  <c r="V982" i="4" s="1"/>
  <c r="S983" i="4"/>
  <c r="Z981" i="4"/>
  <c r="N981" i="4"/>
  <c r="AE981" i="4" s="1"/>
  <c r="S979" i="3"/>
  <c r="N959" i="3"/>
  <c r="O959" i="3" s="1"/>
  <c r="P959" i="3" s="1"/>
  <c r="R959" i="3" s="1"/>
  <c r="Z959" i="3"/>
  <c r="U960" i="3"/>
  <c r="V960" i="3" s="1"/>
  <c r="P978" i="4" l="1"/>
  <c r="R978" i="4" s="1"/>
  <c r="O979" i="4"/>
  <c r="AC981" i="4"/>
  <c r="AD981" i="4"/>
  <c r="Z982" i="4"/>
  <c r="N982" i="4"/>
  <c r="AE982" i="4" s="1"/>
  <c r="U983" i="4"/>
  <c r="V983" i="4" s="1"/>
  <c r="S984" i="4"/>
  <c r="S980" i="3"/>
  <c r="N960" i="3"/>
  <c r="O960" i="3" s="1"/>
  <c r="P960" i="3" s="1"/>
  <c r="R960" i="3" s="1"/>
  <c r="Z960" i="3"/>
  <c r="U961" i="3"/>
  <c r="V961" i="3" s="1"/>
  <c r="P979" i="4" l="1"/>
  <c r="R979" i="4" s="1"/>
  <c r="O980" i="4"/>
  <c r="AC982" i="4"/>
  <c r="AD982" i="4"/>
  <c r="U984" i="4"/>
  <c r="V984" i="4" s="1"/>
  <c r="S985" i="4"/>
  <c r="Z983" i="4"/>
  <c r="N983" i="4"/>
  <c r="AE983" i="4" s="1"/>
  <c r="S981" i="3"/>
  <c r="N961" i="3"/>
  <c r="O961" i="3" s="1"/>
  <c r="P961" i="3" s="1"/>
  <c r="R961" i="3" s="1"/>
  <c r="Z961" i="3"/>
  <c r="U962" i="3"/>
  <c r="V962" i="3" s="1"/>
  <c r="P980" i="4" l="1"/>
  <c r="R980" i="4" s="1"/>
  <c r="O981" i="4"/>
  <c r="AD983" i="4"/>
  <c r="AC983" i="4"/>
  <c r="U985" i="4"/>
  <c r="V985" i="4" s="1"/>
  <c r="S986" i="4"/>
  <c r="Z984" i="4"/>
  <c r="N984" i="4"/>
  <c r="AE984" i="4" s="1"/>
  <c r="S982" i="3"/>
  <c r="N962" i="3"/>
  <c r="O962" i="3" s="1"/>
  <c r="P962" i="3" s="1"/>
  <c r="R962" i="3" s="1"/>
  <c r="Z962" i="3"/>
  <c r="U963" i="3"/>
  <c r="V963" i="3" s="1"/>
  <c r="P981" i="4" l="1"/>
  <c r="R981" i="4" s="1"/>
  <c r="O982" i="4"/>
  <c r="AC984" i="4"/>
  <c r="AD984" i="4"/>
  <c r="Z985" i="4"/>
  <c r="N985" i="4"/>
  <c r="AE985" i="4" s="1"/>
  <c r="U986" i="4"/>
  <c r="V986" i="4" s="1"/>
  <c r="S987" i="4"/>
  <c r="S983" i="3"/>
  <c r="N963" i="3"/>
  <c r="O963" i="3" s="1"/>
  <c r="P963" i="3" s="1"/>
  <c r="R963" i="3" s="1"/>
  <c r="Z963" i="3"/>
  <c r="U964" i="3"/>
  <c r="V964" i="3" s="1"/>
  <c r="P982" i="4" l="1"/>
  <c r="R982" i="4" s="1"/>
  <c r="O983" i="4"/>
  <c r="AC985" i="4"/>
  <c r="AD985" i="4"/>
  <c r="U987" i="4"/>
  <c r="V987" i="4" s="1"/>
  <c r="S988" i="4"/>
  <c r="Z986" i="4"/>
  <c r="N986" i="4"/>
  <c r="AE986" i="4" s="1"/>
  <c r="S984" i="3"/>
  <c r="N964" i="3"/>
  <c r="O964" i="3" s="1"/>
  <c r="P964" i="3" s="1"/>
  <c r="R964" i="3" s="1"/>
  <c r="Z964" i="3"/>
  <c r="U965" i="3"/>
  <c r="V965" i="3" s="1"/>
  <c r="P983" i="4" l="1"/>
  <c r="R983" i="4" s="1"/>
  <c r="O984" i="4"/>
  <c r="AD986" i="4"/>
  <c r="AC986" i="4"/>
  <c r="U988" i="4"/>
  <c r="V988" i="4" s="1"/>
  <c r="S989" i="4"/>
  <c r="Z987" i="4"/>
  <c r="N987" i="4"/>
  <c r="AE987" i="4" s="1"/>
  <c r="S985" i="3"/>
  <c r="N965" i="3"/>
  <c r="O965" i="3" s="1"/>
  <c r="P965" i="3" s="1"/>
  <c r="R965" i="3" s="1"/>
  <c r="Z965" i="3"/>
  <c r="U966" i="3"/>
  <c r="V966" i="3" s="1"/>
  <c r="P984" i="4" l="1"/>
  <c r="R984" i="4" s="1"/>
  <c r="O985" i="4"/>
  <c r="AC987" i="4"/>
  <c r="AD987" i="4"/>
  <c r="Z988" i="4"/>
  <c r="N988" i="4"/>
  <c r="AE988" i="4" s="1"/>
  <c r="U989" i="4"/>
  <c r="V989" i="4" s="1"/>
  <c r="S990" i="4"/>
  <c r="S986" i="3"/>
  <c r="N966" i="3"/>
  <c r="O966" i="3" s="1"/>
  <c r="P966" i="3" s="1"/>
  <c r="R966" i="3" s="1"/>
  <c r="Z966" i="3"/>
  <c r="U967" i="3"/>
  <c r="V967" i="3" s="1"/>
  <c r="P985" i="4" l="1"/>
  <c r="R985" i="4" s="1"/>
  <c r="O986" i="4"/>
  <c r="AC988" i="4"/>
  <c r="AD988" i="4"/>
  <c r="U990" i="4"/>
  <c r="V990" i="4" s="1"/>
  <c r="S991" i="4"/>
  <c r="Z989" i="4"/>
  <c r="N989" i="4"/>
  <c r="AE989" i="4" s="1"/>
  <c r="S987" i="3"/>
  <c r="N967" i="3"/>
  <c r="O967" i="3" s="1"/>
  <c r="P967" i="3" s="1"/>
  <c r="R967" i="3" s="1"/>
  <c r="Z967" i="3"/>
  <c r="U968" i="3"/>
  <c r="V968" i="3" s="1"/>
  <c r="P986" i="4" l="1"/>
  <c r="R986" i="4" s="1"/>
  <c r="O987" i="4"/>
  <c r="AD989" i="4"/>
  <c r="AC989" i="4"/>
  <c r="U991" i="4"/>
  <c r="V991" i="4" s="1"/>
  <c r="S992" i="4"/>
  <c r="Z990" i="4"/>
  <c r="N990" i="4"/>
  <c r="AE990" i="4" s="1"/>
  <c r="S988" i="3"/>
  <c r="N968" i="3"/>
  <c r="O968" i="3" s="1"/>
  <c r="P968" i="3" s="1"/>
  <c r="R968" i="3" s="1"/>
  <c r="Z968" i="3"/>
  <c r="U969" i="3"/>
  <c r="V969" i="3" s="1"/>
  <c r="P987" i="4" l="1"/>
  <c r="R987" i="4" s="1"/>
  <c r="O988" i="4"/>
  <c r="AC990" i="4"/>
  <c r="AD990" i="4"/>
  <c r="Z991" i="4"/>
  <c r="N991" i="4"/>
  <c r="AE991" i="4" s="1"/>
  <c r="U992" i="4"/>
  <c r="V992" i="4" s="1"/>
  <c r="S993" i="4"/>
  <c r="S989" i="3"/>
  <c r="N969" i="3"/>
  <c r="O969" i="3" s="1"/>
  <c r="P969" i="3" s="1"/>
  <c r="R969" i="3" s="1"/>
  <c r="Z969" i="3"/>
  <c r="U970" i="3"/>
  <c r="V970" i="3" s="1"/>
  <c r="P988" i="4" l="1"/>
  <c r="R988" i="4" s="1"/>
  <c r="O989" i="4"/>
  <c r="AC991" i="4"/>
  <c r="AD991" i="4"/>
  <c r="U993" i="4"/>
  <c r="V993" i="4" s="1"/>
  <c r="S994" i="4"/>
  <c r="Z992" i="4"/>
  <c r="N992" i="4"/>
  <c r="AE992" i="4" s="1"/>
  <c r="S990" i="3"/>
  <c r="N970" i="3"/>
  <c r="O970" i="3" s="1"/>
  <c r="P970" i="3" s="1"/>
  <c r="R970" i="3" s="1"/>
  <c r="Z970" i="3"/>
  <c r="U971" i="3"/>
  <c r="V971" i="3" s="1"/>
  <c r="P989" i="4" l="1"/>
  <c r="R989" i="4" s="1"/>
  <c r="O990" i="4"/>
  <c r="AD992" i="4"/>
  <c r="AC992" i="4"/>
  <c r="U994" i="4"/>
  <c r="V994" i="4" s="1"/>
  <c r="S995" i="4"/>
  <c r="S991" i="3"/>
  <c r="Z993" i="4"/>
  <c r="N993" i="4"/>
  <c r="AE993" i="4" s="1"/>
  <c r="N971" i="3"/>
  <c r="O971" i="3" s="1"/>
  <c r="P971" i="3" s="1"/>
  <c r="R971" i="3" s="1"/>
  <c r="Z971" i="3"/>
  <c r="U972" i="3"/>
  <c r="V972" i="3" s="1"/>
  <c r="P990" i="4" l="1"/>
  <c r="R990" i="4" s="1"/>
  <c r="O991" i="4"/>
  <c r="S992" i="3"/>
  <c r="AC993" i="4"/>
  <c r="AD993" i="4"/>
  <c r="Z994" i="4"/>
  <c r="N994" i="4"/>
  <c r="AE994" i="4" s="1"/>
  <c r="U995" i="4"/>
  <c r="V995" i="4" s="1"/>
  <c r="S996" i="4"/>
  <c r="N972" i="3"/>
  <c r="O972" i="3" s="1"/>
  <c r="Z972" i="3"/>
  <c r="U973" i="3"/>
  <c r="V973" i="3" s="1"/>
  <c r="P991" i="4" l="1"/>
  <c r="R991" i="4" s="1"/>
  <c r="O992" i="4"/>
  <c r="AC994" i="4"/>
  <c r="AD994" i="4"/>
  <c r="U996" i="4"/>
  <c r="V996" i="4" s="1"/>
  <c r="S997" i="4"/>
  <c r="Z995" i="4"/>
  <c r="N995" i="4"/>
  <c r="AE995" i="4" s="1"/>
  <c r="P972" i="3"/>
  <c r="R972" i="3" s="1"/>
  <c r="S993" i="3" s="1"/>
  <c r="N973" i="3"/>
  <c r="O973" i="3" s="1"/>
  <c r="P973" i="3" s="1"/>
  <c r="R973" i="3" s="1"/>
  <c r="Z973" i="3"/>
  <c r="U974" i="3"/>
  <c r="V974" i="3" s="1"/>
  <c r="P992" i="4" l="1"/>
  <c r="R992" i="4" s="1"/>
  <c r="O993" i="4"/>
  <c r="AD995" i="4"/>
  <c r="AC995" i="4"/>
  <c r="U997" i="4"/>
  <c r="V997" i="4" s="1"/>
  <c r="S998" i="4"/>
  <c r="Z996" i="4"/>
  <c r="N996" i="4"/>
  <c r="AE996" i="4" s="1"/>
  <c r="S994" i="3"/>
  <c r="N974" i="3"/>
  <c r="O974" i="3" s="1"/>
  <c r="P974" i="3" s="1"/>
  <c r="R974" i="3" s="1"/>
  <c r="Z974" i="3"/>
  <c r="U975" i="3"/>
  <c r="V975" i="3" s="1"/>
  <c r="P993" i="4" l="1"/>
  <c r="R993" i="4" s="1"/>
  <c r="O994" i="4"/>
  <c r="AC996" i="4"/>
  <c r="AD996" i="4"/>
  <c r="Z997" i="4"/>
  <c r="N997" i="4"/>
  <c r="AE997" i="4" s="1"/>
  <c r="U998" i="4"/>
  <c r="V998" i="4" s="1"/>
  <c r="S999" i="4"/>
  <c r="S995" i="3"/>
  <c r="N975" i="3"/>
  <c r="O975" i="3" s="1"/>
  <c r="P975" i="3" s="1"/>
  <c r="R975" i="3" s="1"/>
  <c r="Z975" i="3"/>
  <c r="U976" i="3"/>
  <c r="V976" i="3" s="1"/>
  <c r="P994" i="4" l="1"/>
  <c r="R994" i="4" s="1"/>
  <c r="O995" i="4"/>
  <c r="AC997" i="4"/>
  <c r="AD997" i="4"/>
  <c r="U999" i="4"/>
  <c r="V999" i="4" s="1"/>
  <c r="S1000" i="4"/>
  <c r="Z998" i="4"/>
  <c r="N998" i="4"/>
  <c r="AE998" i="4" s="1"/>
  <c r="S996" i="3"/>
  <c r="N976" i="3"/>
  <c r="O976" i="3" s="1"/>
  <c r="Z976" i="3"/>
  <c r="U977" i="3"/>
  <c r="V977" i="3" s="1"/>
  <c r="P995" i="4" l="1"/>
  <c r="R995" i="4" s="1"/>
  <c r="O996" i="4"/>
  <c r="AD998" i="4"/>
  <c r="AC998" i="4"/>
  <c r="U1000" i="4"/>
  <c r="V1000" i="4" s="1"/>
  <c r="S1001" i="4"/>
  <c r="Z999" i="4"/>
  <c r="N999" i="4"/>
  <c r="AE999" i="4" s="1"/>
  <c r="P976" i="3"/>
  <c r="R976" i="3" s="1"/>
  <c r="S997" i="3" s="1"/>
  <c r="N977" i="3"/>
  <c r="O977" i="3" s="1"/>
  <c r="P977" i="3" s="1"/>
  <c r="R977" i="3" s="1"/>
  <c r="Z977" i="3"/>
  <c r="U978" i="3"/>
  <c r="V978" i="3" s="1"/>
  <c r="P996" i="4" l="1"/>
  <c r="R996" i="4" s="1"/>
  <c r="O997" i="4"/>
  <c r="AC999" i="4"/>
  <c r="AD999" i="4"/>
  <c r="S998" i="3"/>
  <c r="Z1000" i="4"/>
  <c r="N1000" i="4"/>
  <c r="AE1000" i="4" s="1"/>
  <c r="U1001" i="4"/>
  <c r="V1001" i="4" s="1"/>
  <c r="S1002" i="4"/>
  <c r="U1002" i="4" s="1"/>
  <c r="V1002" i="4" s="1"/>
  <c r="N978" i="3"/>
  <c r="O978" i="3" s="1"/>
  <c r="P978" i="3" s="1"/>
  <c r="R978" i="3" s="1"/>
  <c r="Z978" i="3"/>
  <c r="U979" i="3"/>
  <c r="V979" i="3" s="1"/>
  <c r="P997" i="4" l="1"/>
  <c r="R997" i="4" s="1"/>
  <c r="O998" i="4"/>
  <c r="AC1000" i="4"/>
  <c r="AD1000" i="4"/>
  <c r="S999" i="3"/>
  <c r="Z1002" i="4"/>
  <c r="N1002" i="4"/>
  <c r="AE1002" i="4" s="1"/>
  <c r="Z1001" i="4"/>
  <c r="N1001" i="4"/>
  <c r="AE1001" i="4" s="1"/>
  <c r="N979" i="3"/>
  <c r="O979" i="3" s="1"/>
  <c r="P979" i="3" s="1"/>
  <c r="R979" i="3" s="1"/>
  <c r="Z979" i="3"/>
  <c r="U980" i="3"/>
  <c r="V980" i="3" s="1"/>
  <c r="P998" i="4" l="1"/>
  <c r="R998" i="4" s="1"/>
  <c r="O999" i="4"/>
  <c r="AD1001" i="4"/>
  <c r="AH2" i="4"/>
  <c r="AC1002" i="4"/>
  <c r="AD1002" i="4"/>
  <c r="AG2" i="4" s="1"/>
  <c r="S1000" i="3"/>
  <c r="AC1001" i="4"/>
  <c r="N980" i="3"/>
  <c r="O980" i="3" s="1"/>
  <c r="P980" i="3" s="1"/>
  <c r="R980" i="3" s="1"/>
  <c r="Z980" i="3"/>
  <c r="U981" i="3"/>
  <c r="V981" i="3" s="1"/>
  <c r="P999" i="4" l="1"/>
  <c r="R999" i="4" s="1"/>
  <c r="O1000" i="4"/>
  <c r="AF2" i="4"/>
  <c r="S1001" i="3"/>
  <c r="N981" i="3"/>
  <c r="O981" i="3" s="1"/>
  <c r="P981" i="3" s="1"/>
  <c r="R981" i="3" s="1"/>
  <c r="Z981" i="3"/>
  <c r="U982" i="3"/>
  <c r="V982" i="3" s="1"/>
  <c r="P1000" i="4" l="1"/>
  <c r="R1000" i="4" s="1"/>
  <c r="O1001" i="4"/>
  <c r="S1002" i="3"/>
  <c r="N982" i="3"/>
  <c r="O982" i="3" s="1"/>
  <c r="P982" i="3" s="1"/>
  <c r="R982" i="3" s="1"/>
  <c r="Z982" i="3"/>
  <c r="U983" i="3"/>
  <c r="V983" i="3" s="1"/>
  <c r="P1001" i="4" l="1"/>
  <c r="R1001" i="4" s="1"/>
  <c r="O1002" i="4"/>
  <c r="P1002" i="4" s="1"/>
  <c r="R1002" i="4" s="1"/>
  <c r="N983" i="3"/>
  <c r="O983" i="3" s="1"/>
  <c r="P983" i="3" s="1"/>
  <c r="R983" i="3" s="1"/>
  <c r="Z983" i="3"/>
  <c r="U984" i="3"/>
  <c r="V984" i="3" s="1"/>
  <c r="N984" i="3" l="1"/>
  <c r="O984" i="3" s="1"/>
  <c r="Z984" i="3"/>
  <c r="U985" i="3"/>
  <c r="V985" i="3" s="1"/>
  <c r="P984" i="3" l="1"/>
  <c r="R984" i="3" s="1"/>
  <c r="N985" i="3"/>
  <c r="O985" i="3" s="1"/>
  <c r="P985" i="3" s="1"/>
  <c r="R985" i="3" s="1"/>
  <c r="Z985" i="3"/>
  <c r="U986" i="3"/>
  <c r="V986" i="3" s="1"/>
  <c r="N986" i="3" l="1"/>
  <c r="O986" i="3" s="1"/>
  <c r="P986" i="3" s="1"/>
  <c r="R986" i="3" s="1"/>
  <c r="Z986" i="3"/>
  <c r="U987" i="3"/>
  <c r="V987" i="3" s="1"/>
  <c r="N987" i="3" l="1"/>
  <c r="O987" i="3" s="1"/>
  <c r="P987" i="3" s="1"/>
  <c r="R987" i="3" s="1"/>
  <c r="Z987" i="3"/>
  <c r="U988" i="3"/>
  <c r="V988" i="3" s="1"/>
  <c r="N988" i="3" l="1"/>
  <c r="O988" i="3" s="1"/>
  <c r="P988" i="3" s="1"/>
  <c r="R988" i="3" s="1"/>
  <c r="Z988" i="3"/>
  <c r="U989" i="3"/>
  <c r="V989" i="3" s="1"/>
  <c r="N989" i="3" l="1"/>
  <c r="O989" i="3" s="1"/>
  <c r="P989" i="3" s="1"/>
  <c r="R989" i="3" s="1"/>
  <c r="Z989" i="3"/>
  <c r="U990" i="3"/>
  <c r="V990" i="3" s="1"/>
  <c r="N990" i="3" l="1"/>
  <c r="O990" i="3" s="1"/>
  <c r="Z990" i="3"/>
  <c r="U991" i="3"/>
  <c r="V991" i="3" s="1"/>
  <c r="P990" i="3" l="1"/>
  <c r="R990" i="3" s="1"/>
  <c r="N991" i="3"/>
  <c r="O991" i="3" s="1"/>
  <c r="P991" i="3" s="1"/>
  <c r="R991" i="3" s="1"/>
  <c r="Z991" i="3"/>
  <c r="U992" i="3"/>
  <c r="V992" i="3" s="1"/>
  <c r="N992" i="3" l="1"/>
  <c r="O992" i="3" s="1"/>
  <c r="P992" i="3" s="1"/>
  <c r="R992" i="3" s="1"/>
  <c r="Z992" i="3"/>
  <c r="U993" i="3"/>
  <c r="V993" i="3" s="1"/>
  <c r="N993" i="3" l="1"/>
  <c r="O993" i="3" s="1"/>
  <c r="P993" i="3" s="1"/>
  <c r="R993" i="3" s="1"/>
  <c r="Z993" i="3"/>
  <c r="U994" i="3"/>
  <c r="V994" i="3" s="1"/>
  <c r="N994" i="3" l="1"/>
  <c r="O994" i="3" s="1"/>
  <c r="P994" i="3" s="1"/>
  <c r="R994" i="3" s="1"/>
  <c r="Z994" i="3"/>
  <c r="U995" i="3"/>
  <c r="V995" i="3" s="1"/>
  <c r="N995" i="3" l="1"/>
  <c r="O995" i="3" s="1"/>
  <c r="P995" i="3" s="1"/>
  <c r="R995" i="3" s="1"/>
  <c r="Z995" i="3"/>
  <c r="U996" i="3"/>
  <c r="V996" i="3" s="1"/>
  <c r="N996" i="3" l="1"/>
  <c r="O996" i="3" s="1"/>
  <c r="Z996" i="3"/>
  <c r="U997" i="3"/>
  <c r="V997" i="3" s="1"/>
  <c r="P996" i="3" l="1"/>
  <c r="R996" i="3" s="1"/>
  <c r="N997" i="3"/>
  <c r="O997" i="3" s="1"/>
  <c r="P997" i="3" s="1"/>
  <c r="R997" i="3" s="1"/>
  <c r="Z997" i="3"/>
  <c r="U998" i="3"/>
  <c r="V998" i="3" s="1"/>
  <c r="N998" i="3" l="1"/>
  <c r="O998" i="3" s="1"/>
  <c r="P998" i="3" s="1"/>
  <c r="R998" i="3" s="1"/>
  <c r="Z998" i="3"/>
  <c r="U999" i="3"/>
  <c r="V999" i="3" s="1"/>
  <c r="N999" i="3" l="1"/>
  <c r="O999" i="3" s="1"/>
  <c r="P999" i="3" s="1"/>
  <c r="R999" i="3" s="1"/>
  <c r="Z999" i="3"/>
  <c r="U1000" i="3"/>
  <c r="V1000" i="3" s="1"/>
  <c r="N1000" i="3" l="1"/>
  <c r="O1000" i="3" s="1"/>
  <c r="P1000" i="3" s="1"/>
  <c r="R1000" i="3" s="1"/>
  <c r="Z1000" i="3"/>
  <c r="U1001" i="3"/>
  <c r="V1001" i="3" s="1"/>
  <c r="U1002" i="3"/>
  <c r="V1002" i="3" s="1"/>
  <c r="AB3" i="3" s="1"/>
  <c r="AB4" i="3" s="1"/>
  <c r="N1001" i="3" l="1"/>
  <c r="O1001" i="3" s="1"/>
  <c r="P1001" i="3" s="1"/>
  <c r="R1001" i="3" s="1"/>
  <c r="Z1001" i="3"/>
  <c r="N1002" i="3"/>
  <c r="Z1002" i="3"/>
  <c r="H36" i="2"/>
  <c r="H46" i="2" s="1"/>
  <c r="H56" i="2" s="1"/>
  <c r="H66" i="2" s="1"/>
  <c r="H76" i="2" s="1"/>
  <c r="H86" i="2" s="1"/>
  <c r="H96" i="2" s="1"/>
  <c r="H106" i="2" s="1"/>
  <c r="H116" i="2" s="1"/>
  <c r="H126" i="2" s="1"/>
  <c r="H136" i="2" s="1"/>
  <c r="H146" i="2" s="1"/>
  <c r="H156" i="2" s="1"/>
  <c r="H37" i="2"/>
  <c r="H47" i="2" s="1"/>
  <c r="H57" i="2" s="1"/>
  <c r="H67" i="2" s="1"/>
  <c r="H77" i="2" s="1"/>
  <c r="H87" i="2" s="1"/>
  <c r="H97" i="2" s="1"/>
  <c r="H107" i="2" s="1"/>
  <c r="H117" i="2" s="1"/>
  <c r="H127" i="2" s="1"/>
  <c r="H137" i="2" s="1"/>
  <c r="H147" i="2" s="1"/>
  <c r="H157" i="2" s="1"/>
  <c r="H38" i="2"/>
  <c r="H48" i="2" s="1"/>
  <c r="H58" i="2" s="1"/>
  <c r="H68" i="2" s="1"/>
  <c r="H78" i="2" s="1"/>
  <c r="H88" i="2" s="1"/>
  <c r="H98" i="2" s="1"/>
  <c r="H108" i="2" s="1"/>
  <c r="H118" i="2" s="1"/>
  <c r="H128" i="2" s="1"/>
  <c r="H138" i="2" s="1"/>
  <c r="H148" i="2" s="1"/>
  <c r="H158" i="2" s="1"/>
  <c r="E35" i="2"/>
  <c r="E45" i="2" s="1"/>
  <c r="E55" i="2" s="1"/>
  <c r="E65" i="2" s="1"/>
  <c r="E75" i="2" s="1"/>
  <c r="E85" i="2" s="1"/>
  <c r="E95" i="2" s="1"/>
  <c r="E105" i="2" s="1"/>
  <c r="E115" i="2" s="1"/>
  <c r="E125" i="2" s="1"/>
  <c r="E135" i="2" s="1"/>
  <c r="E145" i="2" s="1"/>
  <c r="E155" i="2" s="1"/>
  <c r="E36" i="2"/>
  <c r="E46" i="2" s="1"/>
  <c r="E56" i="2" s="1"/>
  <c r="E66" i="2" s="1"/>
  <c r="E76" i="2" s="1"/>
  <c r="E86" i="2" s="1"/>
  <c r="E96" i="2" s="1"/>
  <c r="E106" i="2" s="1"/>
  <c r="E116" i="2" s="1"/>
  <c r="E126" i="2" s="1"/>
  <c r="E136" i="2" s="1"/>
  <c r="E146" i="2" s="1"/>
  <c r="E156" i="2" s="1"/>
  <c r="C11" i="2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H5" i="2"/>
  <c r="I5" i="2"/>
  <c r="G5" i="2"/>
  <c r="H4" i="2"/>
  <c r="I4" i="2"/>
  <c r="G4" i="2"/>
  <c r="H3" i="2"/>
  <c r="Q49" i="2" s="1"/>
  <c r="Q50" i="2" s="1"/>
  <c r="Q51" i="2" s="1"/>
  <c r="Q52" i="2" s="1"/>
  <c r="Q53" i="2" s="1"/>
  <c r="I3" i="2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G3" i="2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E5" i="2"/>
  <c r="F5" i="2"/>
  <c r="D5" i="2"/>
  <c r="E4" i="2"/>
  <c r="F4" i="2"/>
  <c r="D4" i="2"/>
  <c r="E3" i="2"/>
  <c r="D20" i="2" s="1"/>
  <c r="D25" i="2" s="1"/>
  <c r="D30" i="2" s="1"/>
  <c r="D35" i="2" s="1"/>
  <c r="D40" i="2" s="1"/>
  <c r="D45" i="2" s="1"/>
  <c r="D50" i="2" s="1"/>
  <c r="D55" i="2" s="1"/>
  <c r="D60" i="2" s="1"/>
  <c r="D65" i="2" s="1"/>
  <c r="D70" i="2" s="1"/>
  <c r="D75" i="2" s="1"/>
  <c r="D80" i="2" s="1"/>
  <c r="D85" i="2" s="1"/>
  <c r="D90" i="2" s="1"/>
  <c r="D95" i="2" s="1"/>
  <c r="D100" i="2" s="1"/>
  <c r="D105" i="2" s="1"/>
  <c r="D110" i="2" s="1"/>
  <c r="D115" i="2" s="1"/>
  <c r="D120" i="2" s="1"/>
  <c r="D125" i="2" s="1"/>
  <c r="D130" i="2" s="1"/>
  <c r="D135" i="2" s="1"/>
  <c r="D140" i="2" s="1"/>
  <c r="D145" i="2" s="1"/>
  <c r="D150" i="2" s="1"/>
  <c r="D155" i="2" s="1"/>
  <c r="F3" i="2"/>
  <c r="E38" i="2" s="1"/>
  <c r="E48" i="2" s="1"/>
  <c r="E58" i="2" s="1"/>
  <c r="E68" i="2" s="1"/>
  <c r="E78" i="2" s="1"/>
  <c r="E88" i="2" s="1"/>
  <c r="E98" i="2" s="1"/>
  <c r="E108" i="2" s="1"/>
  <c r="E118" i="2" s="1"/>
  <c r="E128" i="2" s="1"/>
  <c r="E138" i="2" s="1"/>
  <c r="E148" i="2" s="1"/>
  <c r="E158" i="2" s="1"/>
  <c r="D3" i="2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Q3" i="1"/>
  <c r="R3" i="1"/>
  <c r="S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R43" i="1"/>
  <c r="S43" i="1"/>
  <c r="R44" i="1"/>
  <c r="S44" i="1"/>
  <c r="R45" i="1"/>
  <c r="S45" i="1"/>
  <c r="R46" i="1"/>
  <c r="S46" i="1"/>
  <c r="R47" i="1"/>
  <c r="S47" i="1"/>
  <c r="R48" i="1"/>
  <c r="S48" i="1"/>
  <c r="R49" i="1"/>
  <c r="S49" i="1"/>
  <c r="R50" i="1"/>
  <c r="S50" i="1"/>
  <c r="R51" i="1"/>
  <c r="S51" i="1"/>
  <c r="S52" i="1"/>
  <c r="S53" i="1"/>
  <c r="S54" i="1"/>
  <c r="S55" i="1"/>
  <c r="S56" i="1"/>
  <c r="S57" i="1"/>
  <c r="S58" i="1"/>
  <c r="S59" i="1"/>
  <c r="S60" i="1"/>
  <c r="S61" i="1"/>
  <c r="Q81" i="1"/>
  <c r="S2" i="1"/>
  <c r="R2" i="1"/>
  <c r="Q2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2" i="1"/>
  <c r="O1002" i="3" l="1"/>
  <c r="P1002" i="3" s="1"/>
  <c r="R1002" i="3" s="1"/>
  <c r="AB5" i="3"/>
  <c r="R42" i="1"/>
  <c r="S42" i="1"/>
  <c r="E37" i="2"/>
  <c r="E47" i="2" s="1"/>
  <c r="E57" i="2" s="1"/>
  <c r="E67" i="2" s="1"/>
  <c r="E77" i="2" s="1"/>
  <c r="E87" i="2" s="1"/>
  <c r="E97" i="2" s="1"/>
  <c r="E107" i="2" s="1"/>
  <c r="E117" i="2" s="1"/>
  <c r="E127" i="2" s="1"/>
  <c r="E137" i="2" s="1"/>
  <c r="E147" i="2" s="1"/>
  <c r="E157" i="2" s="1"/>
  <c r="D19" i="2"/>
  <c r="D24" i="2" s="1"/>
  <c r="D29" i="2" s="1"/>
  <c r="D34" i="2" s="1"/>
  <c r="D39" i="2" s="1"/>
  <c r="D44" i="2" s="1"/>
  <c r="D49" i="2" s="1"/>
  <c r="D54" i="2" s="1"/>
  <c r="D59" i="2" s="1"/>
  <c r="D64" i="2" s="1"/>
  <c r="D69" i="2" s="1"/>
  <c r="D74" i="2" s="1"/>
  <c r="D79" i="2" s="1"/>
  <c r="D84" i="2" s="1"/>
  <c r="D89" i="2" s="1"/>
  <c r="D94" i="2" s="1"/>
  <c r="D99" i="2" s="1"/>
  <c r="D104" i="2" s="1"/>
  <c r="D109" i="2" s="1"/>
  <c r="D114" i="2" s="1"/>
  <c r="D119" i="2" s="1"/>
  <c r="D124" i="2" s="1"/>
  <c r="D129" i="2" s="1"/>
  <c r="D134" i="2" s="1"/>
  <c r="D139" i="2" s="1"/>
  <c r="D144" i="2" s="1"/>
  <c r="D149" i="2" s="1"/>
  <c r="D154" i="2" s="1"/>
  <c r="D159" i="2" s="1"/>
  <c r="E34" i="2"/>
  <c r="E44" i="2" s="1"/>
  <c r="E54" i="2" s="1"/>
  <c r="E64" i="2" s="1"/>
  <c r="E74" i="2" s="1"/>
  <c r="E84" i="2" s="1"/>
  <c r="E94" i="2" s="1"/>
  <c r="E104" i="2" s="1"/>
  <c r="E114" i="2" s="1"/>
  <c r="E124" i="2" s="1"/>
  <c r="E134" i="2" s="1"/>
  <c r="E144" i="2" s="1"/>
  <c r="E154" i="2" s="1"/>
  <c r="H35" i="2"/>
  <c r="H45" i="2" s="1"/>
  <c r="H55" i="2" s="1"/>
  <c r="H65" i="2" s="1"/>
  <c r="H75" i="2" s="1"/>
  <c r="H85" i="2" s="1"/>
  <c r="H95" i="2" s="1"/>
  <c r="H105" i="2" s="1"/>
  <c r="H115" i="2" s="1"/>
  <c r="H125" i="2" s="1"/>
  <c r="H135" i="2" s="1"/>
  <c r="H145" i="2" s="1"/>
  <c r="H155" i="2" s="1"/>
  <c r="E33" i="2"/>
  <c r="E43" i="2" s="1"/>
  <c r="E53" i="2" s="1"/>
  <c r="E63" i="2" s="1"/>
  <c r="E73" i="2" s="1"/>
  <c r="E83" i="2" s="1"/>
  <c r="E93" i="2" s="1"/>
  <c r="E103" i="2" s="1"/>
  <c r="E113" i="2" s="1"/>
  <c r="E123" i="2" s="1"/>
  <c r="E133" i="2" s="1"/>
  <c r="E143" i="2" s="1"/>
  <c r="E153" i="2" s="1"/>
  <c r="H34" i="2"/>
  <c r="H44" i="2" s="1"/>
  <c r="H54" i="2" s="1"/>
  <c r="H64" i="2" s="1"/>
  <c r="H74" i="2" s="1"/>
  <c r="H84" i="2" s="1"/>
  <c r="H94" i="2" s="1"/>
  <c r="H104" i="2" s="1"/>
  <c r="H114" i="2" s="1"/>
  <c r="H124" i="2" s="1"/>
  <c r="H134" i="2" s="1"/>
  <c r="H144" i="2" s="1"/>
  <c r="H154" i="2" s="1"/>
  <c r="E32" i="2"/>
  <c r="E42" i="2" s="1"/>
  <c r="E52" i="2" s="1"/>
  <c r="E62" i="2" s="1"/>
  <c r="E72" i="2" s="1"/>
  <c r="E82" i="2" s="1"/>
  <c r="E92" i="2" s="1"/>
  <c r="E102" i="2" s="1"/>
  <c r="E112" i="2" s="1"/>
  <c r="E122" i="2" s="1"/>
  <c r="E132" i="2" s="1"/>
  <c r="E142" i="2" s="1"/>
  <c r="E152" i="2" s="1"/>
  <c r="G23" i="2"/>
  <c r="G28" i="2" s="1"/>
  <c r="G33" i="2" s="1"/>
  <c r="G38" i="2" s="1"/>
  <c r="G43" i="2" s="1"/>
  <c r="G48" i="2" s="1"/>
  <c r="G53" i="2" s="1"/>
  <c r="G58" i="2" s="1"/>
  <c r="G63" i="2" s="1"/>
  <c r="G68" i="2" s="1"/>
  <c r="G73" i="2" s="1"/>
  <c r="G78" i="2" s="1"/>
  <c r="G83" i="2" s="1"/>
  <c r="G88" i="2" s="1"/>
  <c r="G93" i="2" s="1"/>
  <c r="G98" i="2" s="1"/>
  <c r="G103" i="2" s="1"/>
  <c r="G108" i="2" s="1"/>
  <c r="G113" i="2" s="1"/>
  <c r="G118" i="2" s="1"/>
  <c r="G123" i="2" s="1"/>
  <c r="G128" i="2" s="1"/>
  <c r="G133" i="2" s="1"/>
  <c r="G138" i="2" s="1"/>
  <c r="G143" i="2" s="1"/>
  <c r="G148" i="2" s="1"/>
  <c r="G153" i="2" s="1"/>
  <c r="G158" i="2" s="1"/>
  <c r="H33" i="2"/>
  <c r="H43" i="2" s="1"/>
  <c r="H53" i="2" s="1"/>
  <c r="H63" i="2" s="1"/>
  <c r="H73" i="2" s="1"/>
  <c r="H83" i="2" s="1"/>
  <c r="H93" i="2" s="1"/>
  <c r="H103" i="2" s="1"/>
  <c r="H113" i="2" s="1"/>
  <c r="H123" i="2" s="1"/>
  <c r="H133" i="2" s="1"/>
  <c r="H143" i="2" s="1"/>
  <c r="H153" i="2" s="1"/>
  <c r="E31" i="2"/>
  <c r="E41" i="2" s="1"/>
  <c r="E51" i="2" s="1"/>
  <c r="E61" i="2" s="1"/>
  <c r="E71" i="2" s="1"/>
  <c r="E81" i="2" s="1"/>
  <c r="E91" i="2" s="1"/>
  <c r="E101" i="2" s="1"/>
  <c r="E111" i="2" s="1"/>
  <c r="E121" i="2" s="1"/>
  <c r="E131" i="2" s="1"/>
  <c r="E141" i="2" s="1"/>
  <c r="E151" i="2" s="1"/>
  <c r="G22" i="2"/>
  <c r="G27" i="2" s="1"/>
  <c r="G32" i="2" s="1"/>
  <c r="G37" i="2" s="1"/>
  <c r="G42" i="2" s="1"/>
  <c r="G47" i="2" s="1"/>
  <c r="G52" i="2" s="1"/>
  <c r="G57" i="2" s="1"/>
  <c r="G62" i="2" s="1"/>
  <c r="G67" i="2" s="1"/>
  <c r="G72" i="2" s="1"/>
  <c r="G77" i="2" s="1"/>
  <c r="G82" i="2" s="1"/>
  <c r="G87" i="2" s="1"/>
  <c r="G92" i="2" s="1"/>
  <c r="G97" i="2" s="1"/>
  <c r="G102" i="2" s="1"/>
  <c r="G107" i="2" s="1"/>
  <c r="G112" i="2" s="1"/>
  <c r="G117" i="2" s="1"/>
  <c r="G122" i="2" s="1"/>
  <c r="G127" i="2" s="1"/>
  <c r="G132" i="2" s="1"/>
  <c r="G137" i="2" s="1"/>
  <c r="G142" i="2" s="1"/>
  <c r="G147" i="2" s="1"/>
  <c r="G152" i="2" s="1"/>
  <c r="G157" i="2" s="1"/>
  <c r="H32" i="2"/>
  <c r="H42" i="2" s="1"/>
  <c r="H52" i="2" s="1"/>
  <c r="H62" i="2" s="1"/>
  <c r="H72" i="2" s="1"/>
  <c r="H82" i="2" s="1"/>
  <c r="H92" i="2" s="1"/>
  <c r="H102" i="2" s="1"/>
  <c r="H112" i="2" s="1"/>
  <c r="H122" i="2" s="1"/>
  <c r="H132" i="2" s="1"/>
  <c r="H142" i="2" s="1"/>
  <c r="H152" i="2" s="1"/>
  <c r="E30" i="2"/>
  <c r="E40" i="2" s="1"/>
  <c r="E50" i="2" s="1"/>
  <c r="E60" i="2" s="1"/>
  <c r="E70" i="2" s="1"/>
  <c r="E80" i="2" s="1"/>
  <c r="E90" i="2" s="1"/>
  <c r="E100" i="2" s="1"/>
  <c r="E110" i="2" s="1"/>
  <c r="E120" i="2" s="1"/>
  <c r="E130" i="2" s="1"/>
  <c r="E140" i="2" s="1"/>
  <c r="E150" i="2" s="1"/>
  <c r="G21" i="2"/>
  <c r="G26" i="2" s="1"/>
  <c r="G31" i="2" s="1"/>
  <c r="G36" i="2" s="1"/>
  <c r="G41" i="2" s="1"/>
  <c r="G46" i="2" s="1"/>
  <c r="G51" i="2" s="1"/>
  <c r="G56" i="2" s="1"/>
  <c r="G61" i="2" s="1"/>
  <c r="G66" i="2" s="1"/>
  <c r="G71" i="2" s="1"/>
  <c r="G76" i="2" s="1"/>
  <c r="G81" i="2" s="1"/>
  <c r="G86" i="2" s="1"/>
  <c r="G91" i="2" s="1"/>
  <c r="G96" i="2" s="1"/>
  <c r="G101" i="2" s="1"/>
  <c r="G106" i="2" s="1"/>
  <c r="G111" i="2" s="1"/>
  <c r="G116" i="2" s="1"/>
  <c r="G121" i="2" s="1"/>
  <c r="G126" i="2" s="1"/>
  <c r="G131" i="2" s="1"/>
  <c r="G136" i="2" s="1"/>
  <c r="G141" i="2" s="1"/>
  <c r="G146" i="2" s="1"/>
  <c r="G151" i="2" s="1"/>
  <c r="G156" i="2" s="1"/>
  <c r="H31" i="2"/>
  <c r="H41" i="2" s="1"/>
  <c r="H51" i="2" s="1"/>
  <c r="H61" i="2" s="1"/>
  <c r="H71" i="2" s="1"/>
  <c r="H81" i="2" s="1"/>
  <c r="H91" i="2" s="1"/>
  <c r="H101" i="2" s="1"/>
  <c r="H111" i="2" s="1"/>
  <c r="H121" i="2" s="1"/>
  <c r="H131" i="2" s="1"/>
  <c r="H141" i="2" s="1"/>
  <c r="H151" i="2" s="1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G20" i="2"/>
  <c r="G25" i="2" s="1"/>
  <c r="G30" i="2" s="1"/>
  <c r="G35" i="2" s="1"/>
  <c r="G40" i="2" s="1"/>
  <c r="G45" i="2" s="1"/>
  <c r="G50" i="2" s="1"/>
  <c r="G55" i="2" s="1"/>
  <c r="G60" i="2" s="1"/>
  <c r="G65" i="2" s="1"/>
  <c r="G70" i="2" s="1"/>
  <c r="G75" i="2" s="1"/>
  <c r="G80" i="2" s="1"/>
  <c r="G85" i="2" s="1"/>
  <c r="G90" i="2" s="1"/>
  <c r="G95" i="2" s="1"/>
  <c r="G100" i="2" s="1"/>
  <c r="G105" i="2" s="1"/>
  <c r="G110" i="2" s="1"/>
  <c r="G115" i="2" s="1"/>
  <c r="G120" i="2" s="1"/>
  <c r="G125" i="2" s="1"/>
  <c r="G130" i="2" s="1"/>
  <c r="G135" i="2" s="1"/>
  <c r="G140" i="2" s="1"/>
  <c r="G145" i="2" s="1"/>
  <c r="G150" i="2" s="1"/>
  <c r="G155" i="2" s="1"/>
  <c r="H30" i="2"/>
  <c r="H40" i="2" s="1"/>
  <c r="H50" i="2" s="1"/>
  <c r="H60" i="2" s="1"/>
  <c r="H70" i="2" s="1"/>
  <c r="H80" i="2" s="1"/>
  <c r="H90" i="2" s="1"/>
  <c r="H100" i="2" s="1"/>
  <c r="H110" i="2" s="1"/>
  <c r="H120" i="2" s="1"/>
  <c r="H130" i="2" s="1"/>
  <c r="H140" i="2" s="1"/>
  <c r="H150" i="2" s="1"/>
  <c r="H29" i="2"/>
  <c r="H39" i="2" s="1"/>
  <c r="H49" i="2" s="1"/>
  <c r="H59" i="2" s="1"/>
  <c r="H69" i="2" s="1"/>
  <c r="H79" i="2" s="1"/>
  <c r="H89" i="2" s="1"/>
  <c r="H99" i="2" s="1"/>
  <c r="H109" i="2" s="1"/>
  <c r="H119" i="2" s="1"/>
  <c r="H129" i="2" s="1"/>
  <c r="H139" i="2" s="1"/>
  <c r="H149" i="2" s="1"/>
  <c r="H159" i="2" s="1"/>
  <c r="D23" i="2"/>
  <c r="D28" i="2" s="1"/>
  <c r="D33" i="2" s="1"/>
  <c r="D38" i="2" s="1"/>
  <c r="D43" i="2" s="1"/>
  <c r="D48" i="2" s="1"/>
  <c r="D53" i="2" s="1"/>
  <c r="D58" i="2" s="1"/>
  <c r="D63" i="2" s="1"/>
  <c r="D68" i="2" s="1"/>
  <c r="D73" i="2" s="1"/>
  <c r="D78" i="2" s="1"/>
  <c r="D83" i="2" s="1"/>
  <c r="D88" i="2" s="1"/>
  <c r="D93" i="2" s="1"/>
  <c r="D98" i="2" s="1"/>
  <c r="D103" i="2" s="1"/>
  <c r="D108" i="2" s="1"/>
  <c r="D113" i="2" s="1"/>
  <c r="D118" i="2" s="1"/>
  <c r="D123" i="2" s="1"/>
  <c r="D128" i="2" s="1"/>
  <c r="D133" i="2" s="1"/>
  <c r="D138" i="2" s="1"/>
  <c r="D143" i="2" s="1"/>
  <c r="D148" i="2" s="1"/>
  <c r="D153" i="2" s="1"/>
  <c r="D158" i="2" s="1"/>
  <c r="G19" i="2"/>
  <c r="G24" i="2" s="1"/>
  <c r="G29" i="2" s="1"/>
  <c r="G34" i="2" s="1"/>
  <c r="G39" i="2" s="1"/>
  <c r="G44" i="2" s="1"/>
  <c r="G49" i="2" s="1"/>
  <c r="G54" i="2" s="1"/>
  <c r="G59" i="2" s="1"/>
  <c r="G64" i="2" s="1"/>
  <c r="G69" i="2" s="1"/>
  <c r="G74" i="2" s="1"/>
  <c r="G79" i="2" s="1"/>
  <c r="G84" i="2" s="1"/>
  <c r="G89" i="2" s="1"/>
  <c r="G94" i="2" s="1"/>
  <c r="G99" i="2" s="1"/>
  <c r="G104" i="2" s="1"/>
  <c r="G109" i="2" s="1"/>
  <c r="G114" i="2" s="1"/>
  <c r="G119" i="2" s="1"/>
  <c r="G124" i="2" s="1"/>
  <c r="G129" i="2" s="1"/>
  <c r="G134" i="2" s="1"/>
  <c r="G139" i="2" s="1"/>
  <c r="G144" i="2" s="1"/>
  <c r="G149" i="2" s="1"/>
  <c r="G154" i="2" s="1"/>
  <c r="G159" i="2" s="1"/>
  <c r="D22" i="2"/>
  <c r="D27" i="2" s="1"/>
  <c r="D32" i="2" s="1"/>
  <c r="D37" i="2" s="1"/>
  <c r="D42" i="2" s="1"/>
  <c r="D47" i="2" s="1"/>
  <c r="D52" i="2" s="1"/>
  <c r="D57" i="2" s="1"/>
  <c r="D62" i="2" s="1"/>
  <c r="D67" i="2" s="1"/>
  <c r="D72" i="2" s="1"/>
  <c r="D77" i="2" s="1"/>
  <c r="D82" i="2" s="1"/>
  <c r="D87" i="2" s="1"/>
  <c r="D92" i="2" s="1"/>
  <c r="D97" i="2" s="1"/>
  <c r="D102" i="2" s="1"/>
  <c r="D107" i="2" s="1"/>
  <c r="D112" i="2" s="1"/>
  <c r="D117" i="2" s="1"/>
  <c r="D122" i="2" s="1"/>
  <c r="D127" i="2" s="1"/>
  <c r="D132" i="2" s="1"/>
  <c r="D137" i="2" s="1"/>
  <c r="D142" i="2" s="1"/>
  <c r="D147" i="2" s="1"/>
  <c r="D152" i="2" s="1"/>
  <c r="D157" i="2" s="1"/>
  <c r="N49" i="2"/>
  <c r="N50" i="2" s="1"/>
  <c r="N51" i="2" s="1"/>
  <c r="N52" i="2" s="1"/>
  <c r="N53" i="2" s="1"/>
  <c r="D21" i="2"/>
  <c r="D26" i="2" s="1"/>
  <c r="D31" i="2" s="1"/>
  <c r="D36" i="2" s="1"/>
  <c r="D41" i="2" s="1"/>
  <c r="D46" i="2" s="1"/>
  <c r="D51" i="2" s="1"/>
  <c r="D56" i="2" s="1"/>
  <c r="D61" i="2" s="1"/>
  <c r="D66" i="2" s="1"/>
  <c r="D71" i="2" s="1"/>
  <c r="D76" i="2" s="1"/>
  <c r="D81" i="2" s="1"/>
  <c r="D86" i="2" s="1"/>
  <c r="D91" i="2" s="1"/>
  <c r="D96" i="2" s="1"/>
  <c r="D101" i="2" s="1"/>
  <c r="D106" i="2" s="1"/>
  <c r="D111" i="2" s="1"/>
  <c r="D116" i="2" s="1"/>
  <c r="D121" i="2" s="1"/>
  <c r="D126" i="2" s="1"/>
  <c r="D131" i="2" s="1"/>
  <c r="D136" i="2" s="1"/>
  <c r="D141" i="2" s="1"/>
  <c r="D146" i="2" s="1"/>
  <c r="D151" i="2" s="1"/>
  <c r="D156" i="2" s="1"/>
  <c r="O49" i="2"/>
  <c r="O50" i="2" s="1"/>
  <c r="O51" i="2" s="1"/>
  <c r="O52" i="2" s="1"/>
  <c r="O53" i="2" s="1"/>
  <c r="O54" i="2" s="1"/>
  <c r="O55" i="2" s="1"/>
  <c r="O56" i="2" s="1"/>
  <c r="O57" i="2" s="1"/>
  <c r="O58" i="2" s="1"/>
  <c r="E29" i="2"/>
  <c r="E39" i="2" s="1"/>
  <c r="E49" i="2" s="1"/>
  <c r="E59" i="2" s="1"/>
  <c r="E69" i="2" s="1"/>
  <c r="E79" i="2" s="1"/>
  <c r="E89" i="2" s="1"/>
  <c r="E99" i="2" s="1"/>
  <c r="E109" i="2" s="1"/>
  <c r="E119" i="2" s="1"/>
  <c r="E129" i="2" s="1"/>
  <c r="E139" i="2" s="1"/>
  <c r="E149" i="2" s="1"/>
  <c r="E159" i="2" s="1"/>
  <c r="R59" i="2"/>
  <c r="Q54" i="2"/>
  <c r="F5" i="1"/>
  <c r="E5" i="1"/>
  <c r="D5" i="1"/>
  <c r="F4" i="1"/>
  <c r="E4" i="1"/>
  <c r="D4" i="1"/>
  <c r="F3" i="1"/>
  <c r="E3" i="1"/>
  <c r="D3" i="1"/>
  <c r="F2" i="1"/>
  <c r="E2" i="1"/>
  <c r="D2" i="1"/>
  <c r="N54" i="2" l="1"/>
  <c r="N59" i="2" s="1"/>
  <c r="O59" i="2"/>
  <c r="O60" i="2" s="1"/>
  <c r="O61" i="2" s="1"/>
  <c r="O62" i="2" s="1"/>
  <c r="O63" i="2" s="1"/>
  <c r="O64" i="2" s="1"/>
  <c r="O65" i="2" s="1"/>
  <c r="O66" i="2" s="1"/>
  <c r="O67" i="2" s="1"/>
  <c r="O68" i="2" s="1"/>
  <c r="M42" i="1"/>
  <c r="Q42" i="1" s="1"/>
  <c r="M43" i="1"/>
  <c r="N56" i="1"/>
  <c r="R56" i="1" s="1"/>
  <c r="N62" i="1"/>
  <c r="R62" i="1" s="1"/>
  <c r="N71" i="1"/>
  <c r="N57" i="1"/>
  <c r="R57" i="1" s="1"/>
  <c r="N72" i="1"/>
  <c r="R72" i="1" s="1"/>
  <c r="N58" i="1"/>
  <c r="R58" i="1" s="1"/>
  <c r="N59" i="1"/>
  <c r="R59" i="1" s="1"/>
  <c r="N61" i="1"/>
  <c r="R61" i="1" s="1"/>
  <c r="N60" i="1"/>
  <c r="R60" i="1" s="1"/>
  <c r="N52" i="1"/>
  <c r="R52" i="1" s="1"/>
  <c r="N64" i="1"/>
  <c r="R64" i="1" s="1"/>
  <c r="N65" i="1"/>
  <c r="R65" i="1" s="1"/>
  <c r="N68" i="1"/>
  <c r="R68" i="1" s="1"/>
  <c r="N54" i="1"/>
  <c r="R54" i="1" s="1"/>
  <c r="N53" i="1"/>
  <c r="R53" i="1" s="1"/>
  <c r="N69" i="1"/>
  <c r="R69" i="1" s="1"/>
  <c r="N55" i="1"/>
  <c r="R55" i="1" s="1"/>
  <c r="O96" i="1"/>
  <c r="S96" i="1" s="1"/>
  <c r="O83" i="1"/>
  <c r="S83" i="1" s="1"/>
  <c r="O103" i="1"/>
  <c r="S103" i="1" s="1"/>
  <c r="O89" i="1"/>
  <c r="S89" i="1" s="1"/>
  <c r="O72" i="1"/>
  <c r="S72" i="1" s="1"/>
  <c r="O73" i="1"/>
  <c r="S73" i="1" s="1"/>
  <c r="O74" i="1"/>
  <c r="S74" i="1" s="1"/>
  <c r="O75" i="1"/>
  <c r="S75" i="1" s="1"/>
  <c r="O76" i="1"/>
  <c r="S76" i="1" s="1"/>
  <c r="O77" i="1"/>
  <c r="S77" i="1" s="1"/>
  <c r="O95" i="1"/>
  <c r="S95" i="1" s="1"/>
  <c r="O78" i="1"/>
  <c r="S78" i="1" s="1"/>
  <c r="O79" i="1"/>
  <c r="S79" i="1" s="1"/>
  <c r="O63" i="1"/>
  <c r="S63" i="1" s="1"/>
  <c r="O80" i="1"/>
  <c r="S80" i="1" s="1"/>
  <c r="O64" i="1"/>
  <c r="S64" i="1" s="1"/>
  <c r="O81" i="1"/>
  <c r="S81" i="1" s="1"/>
  <c r="O65" i="1"/>
  <c r="S65" i="1" s="1"/>
  <c r="O66" i="1"/>
  <c r="S66" i="1" s="1"/>
  <c r="O67" i="1"/>
  <c r="S67" i="1" s="1"/>
  <c r="O62" i="1"/>
  <c r="S62" i="1" s="1"/>
  <c r="O68" i="1"/>
  <c r="S68" i="1" s="1"/>
  <c r="O69" i="1"/>
  <c r="S69" i="1" s="1"/>
  <c r="O70" i="1"/>
  <c r="S70" i="1" s="1"/>
  <c r="O71" i="1"/>
  <c r="S71" i="1" s="1"/>
  <c r="R60" i="2"/>
  <c r="R61" i="2" s="1"/>
  <c r="R62" i="2" s="1"/>
  <c r="R63" i="2" s="1"/>
  <c r="R64" i="2" s="1"/>
  <c r="R65" i="2" s="1"/>
  <c r="R66" i="2" s="1"/>
  <c r="R67" i="2" s="1"/>
  <c r="R68" i="2" s="1"/>
  <c r="R69" i="2"/>
  <c r="Q55" i="2"/>
  <c r="Q56" i="2" s="1"/>
  <c r="Q57" i="2" s="1"/>
  <c r="Q58" i="2" s="1"/>
  <c r="Q59" i="2"/>
  <c r="N55" i="2" l="1"/>
  <c r="N56" i="2" s="1"/>
  <c r="N57" i="2" s="1"/>
  <c r="N58" i="2" s="1"/>
  <c r="O69" i="2"/>
  <c r="O79" i="2" s="1"/>
  <c r="O87" i="1"/>
  <c r="N82" i="1"/>
  <c r="O101" i="1"/>
  <c r="N75" i="1"/>
  <c r="O85" i="1"/>
  <c r="O115" i="1"/>
  <c r="N67" i="1"/>
  <c r="N81" i="1"/>
  <c r="R71" i="1"/>
  <c r="O99" i="1"/>
  <c r="O97" i="1"/>
  <c r="O90" i="1"/>
  <c r="N63" i="1"/>
  <c r="N74" i="1"/>
  <c r="O94" i="1"/>
  <c r="O109" i="1"/>
  <c r="O88" i="1"/>
  <c r="N79" i="1"/>
  <c r="N70" i="1"/>
  <c r="N66" i="1"/>
  <c r="M44" i="1"/>
  <c r="Q43" i="1"/>
  <c r="O123" i="1"/>
  <c r="O86" i="1"/>
  <c r="O116" i="1"/>
  <c r="O92" i="1"/>
  <c r="O82" i="1"/>
  <c r="O100" i="1"/>
  <c r="N78" i="1"/>
  <c r="O91" i="1"/>
  <c r="O84" i="1"/>
  <c r="O93" i="1"/>
  <c r="O98" i="1"/>
  <c r="R70" i="2"/>
  <c r="R71" i="2" s="1"/>
  <c r="R72" i="2" s="1"/>
  <c r="R73" i="2" s="1"/>
  <c r="R74" i="2" s="1"/>
  <c r="R75" i="2" s="1"/>
  <c r="R76" i="2" s="1"/>
  <c r="R77" i="2" s="1"/>
  <c r="R78" i="2" s="1"/>
  <c r="R79" i="2"/>
  <c r="Q60" i="2"/>
  <c r="Q61" i="2" s="1"/>
  <c r="Q62" i="2" s="1"/>
  <c r="Q63" i="2" s="1"/>
  <c r="Q64" i="2"/>
  <c r="N60" i="2"/>
  <c r="N61" i="2" s="1"/>
  <c r="N62" i="2" s="1"/>
  <c r="N63" i="2" s="1"/>
  <c r="N64" i="2"/>
  <c r="O70" i="2" l="1"/>
  <c r="O71" i="2" s="1"/>
  <c r="O72" i="2" s="1"/>
  <c r="O73" i="2" s="1"/>
  <c r="O74" i="2" s="1"/>
  <c r="O75" i="2" s="1"/>
  <c r="O76" i="2" s="1"/>
  <c r="O77" i="2" s="1"/>
  <c r="O78" i="2" s="1"/>
  <c r="R74" i="1"/>
  <c r="N84" i="1"/>
  <c r="S116" i="1"/>
  <c r="O136" i="1"/>
  <c r="S109" i="1"/>
  <c r="O129" i="1"/>
  <c r="S82" i="1"/>
  <c r="O102" i="1"/>
  <c r="S115" i="1"/>
  <c r="O135" i="1"/>
  <c r="S84" i="1"/>
  <c r="O104" i="1"/>
  <c r="R78" i="1"/>
  <c r="N88" i="1"/>
  <c r="S99" i="1"/>
  <c r="O119" i="1"/>
  <c r="N91" i="1"/>
  <c r="R81" i="1"/>
  <c r="N77" i="1"/>
  <c r="R67" i="1"/>
  <c r="S85" i="1"/>
  <c r="O105" i="1"/>
  <c r="S100" i="1"/>
  <c r="O120" i="1"/>
  <c r="N85" i="1"/>
  <c r="R75" i="1"/>
  <c r="R63" i="1"/>
  <c r="N73" i="1"/>
  <c r="R70" i="1"/>
  <c r="N80" i="1"/>
  <c r="S101" i="1"/>
  <c r="O121" i="1"/>
  <c r="S91" i="1"/>
  <c r="O111" i="1"/>
  <c r="S90" i="1"/>
  <c r="O110" i="1"/>
  <c r="S92" i="1"/>
  <c r="O112" i="1"/>
  <c r="S86" i="1"/>
  <c r="O106" i="1"/>
  <c r="S123" i="1"/>
  <c r="O143" i="1"/>
  <c r="M45" i="1"/>
  <c r="Q44" i="1"/>
  <c r="S98" i="1"/>
  <c r="O118" i="1"/>
  <c r="S93" i="1"/>
  <c r="O113" i="1"/>
  <c r="N89" i="1"/>
  <c r="R79" i="1"/>
  <c r="R82" i="1"/>
  <c r="N92" i="1"/>
  <c r="S94" i="1"/>
  <c r="O114" i="1"/>
  <c r="S97" i="1"/>
  <c r="O117" i="1"/>
  <c r="R66" i="1"/>
  <c r="N76" i="1"/>
  <c r="S88" i="1"/>
  <c r="O108" i="1"/>
  <c r="S87" i="1"/>
  <c r="O107" i="1"/>
  <c r="R80" i="2"/>
  <c r="R81" i="2" s="1"/>
  <c r="R82" i="2" s="1"/>
  <c r="R83" i="2" s="1"/>
  <c r="R84" i="2" s="1"/>
  <c r="R85" i="2" s="1"/>
  <c r="R86" i="2" s="1"/>
  <c r="R87" i="2" s="1"/>
  <c r="R88" i="2" s="1"/>
  <c r="R89" i="2"/>
  <c r="Q65" i="2"/>
  <c r="Q66" i="2" s="1"/>
  <c r="Q67" i="2" s="1"/>
  <c r="Q68" i="2" s="1"/>
  <c r="Q69" i="2"/>
  <c r="O80" i="2"/>
  <c r="O81" i="2" s="1"/>
  <c r="O82" i="2" s="1"/>
  <c r="O83" i="2" s="1"/>
  <c r="O84" i="2" s="1"/>
  <c r="O85" i="2" s="1"/>
  <c r="O86" i="2" s="1"/>
  <c r="O87" i="2" s="1"/>
  <c r="O88" i="2" s="1"/>
  <c r="O89" i="2"/>
  <c r="N65" i="2"/>
  <c r="N66" i="2" s="1"/>
  <c r="N67" i="2" s="1"/>
  <c r="N68" i="2" s="1"/>
  <c r="N69" i="2"/>
  <c r="S119" i="1" l="1"/>
  <c r="O139" i="1"/>
  <c r="R73" i="1"/>
  <c r="N83" i="1"/>
  <c r="S102" i="1"/>
  <c r="O122" i="1"/>
  <c r="S113" i="1"/>
  <c r="O133" i="1"/>
  <c r="R88" i="1"/>
  <c r="N98" i="1"/>
  <c r="S108" i="1"/>
  <c r="O128" i="1"/>
  <c r="S105" i="1"/>
  <c r="O125" i="1"/>
  <c r="S129" i="1"/>
  <c r="O149" i="1"/>
  <c r="R80" i="1"/>
  <c r="N90" i="1"/>
  <c r="S120" i="1"/>
  <c r="O140" i="1"/>
  <c r="S114" i="1"/>
  <c r="O134" i="1"/>
  <c r="S121" i="1"/>
  <c r="O141" i="1"/>
  <c r="S104" i="1"/>
  <c r="O124" i="1"/>
  <c r="R76" i="1"/>
  <c r="N86" i="1"/>
  <c r="S110" i="1"/>
  <c r="O130" i="1"/>
  <c r="S136" i="1"/>
  <c r="O156" i="1"/>
  <c r="S143" i="1"/>
  <c r="O163" i="1"/>
  <c r="O126" i="1"/>
  <c r="S106" i="1"/>
  <c r="N87" i="1"/>
  <c r="R77" i="1"/>
  <c r="S107" i="1"/>
  <c r="O127" i="1"/>
  <c r="M46" i="1"/>
  <c r="Q45" i="1"/>
  <c r="N95" i="1"/>
  <c r="R85" i="1"/>
  <c r="S111" i="1"/>
  <c r="O131" i="1"/>
  <c r="R84" i="1"/>
  <c r="N94" i="1"/>
  <c r="S118" i="1"/>
  <c r="O138" i="1"/>
  <c r="S135" i="1"/>
  <c r="O155" i="1"/>
  <c r="S117" i="1"/>
  <c r="O137" i="1"/>
  <c r="S112" i="1"/>
  <c r="O132" i="1"/>
  <c r="R92" i="1"/>
  <c r="N102" i="1"/>
  <c r="N99" i="1"/>
  <c r="R89" i="1"/>
  <c r="N101" i="1"/>
  <c r="R91" i="1"/>
  <c r="R90" i="2"/>
  <c r="R91" i="2" s="1"/>
  <c r="R92" i="2" s="1"/>
  <c r="R93" i="2" s="1"/>
  <c r="R94" i="2" s="1"/>
  <c r="R95" i="2" s="1"/>
  <c r="R96" i="2" s="1"/>
  <c r="R97" i="2" s="1"/>
  <c r="R98" i="2" s="1"/>
  <c r="R99" i="2"/>
  <c r="Q70" i="2"/>
  <c r="Q71" i="2" s="1"/>
  <c r="Q72" i="2" s="1"/>
  <c r="Q73" i="2" s="1"/>
  <c r="Q74" i="2"/>
  <c r="O90" i="2"/>
  <c r="O91" i="2" s="1"/>
  <c r="O92" i="2" s="1"/>
  <c r="O93" i="2" s="1"/>
  <c r="O94" i="2" s="1"/>
  <c r="O95" i="2" s="1"/>
  <c r="O96" i="2" s="1"/>
  <c r="O97" i="2" s="1"/>
  <c r="O98" i="2" s="1"/>
  <c r="O99" i="2"/>
  <c r="N70" i="2"/>
  <c r="N71" i="2" s="1"/>
  <c r="N72" i="2" s="1"/>
  <c r="N73" i="2" s="1"/>
  <c r="N74" i="2"/>
  <c r="S125" i="1" l="1"/>
  <c r="O145" i="1"/>
  <c r="N109" i="1"/>
  <c r="R99" i="1"/>
  <c r="M47" i="1"/>
  <c r="Q46" i="1"/>
  <c r="S133" i="1"/>
  <c r="O153" i="1"/>
  <c r="N111" i="1"/>
  <c r="R101" i="1"/>
  <c r="R102" i="1"/>
  <c r="N112" i="1"/>
  <c r="S134" i="1"/>
  <c r="O154" i="1"/>
  <c r="N105" i="1"/>
  <c r="R95" i="1"/>
  <c r="O146" i="1"/>
  <c r="S126" i="1"/>
  <c r="S140" i="1"/>
  <c r="O160" i="1"/>
  <c r="S122" i="1"/>
  <c r="O142" i="1"/>
  <c r="R86" i="1"/>
  <c r="N96" i="1"/>
  <c r="S124" i="1"/>
  <c r="O144" i="1"/>
  <c r="S132" i="1"/>
  <c r="O152" i="1"/>
  <c r="S141" i="1"/>
  <c r="O161" i="1"/>
  <c r="S155" i="1"/>
  <c r="O175" i="1"/>
  <c r="S138" i="1"/>
  <c r="O158" i="1"/>
  <c r="S163" i="1"/>
  <c r="O183" i="1"/>
  <c r="N93" i="1"/>
  <c r="R83" i="1"/>
  <c r="R90" i="1"/>
  <c r="N100" i="1"/>
  <c r="S130" i="1"/>
  <c r="O150" i="1"/>
  <c r="S128" i="1"/>
  <c r="O148" i="1"/>
  <c r="S127" i="1"/>
  <c r="O147" i="1"/>
  <c r="S137" i="1"/>
  <c r="O157" i="1"/>
  <c r="N97" i="1"/>
  <c r="R87" i="1"/>
  <c r="R94" i="1"/>
  <c r="N104" i="1"/>
  <c r="S156" i="1"/>
  <c r="O176" i="1"/>
  <c r="S139" i="1"/>
  <c r="O159" i="1"/>
  <c r="R98" i="1"/>
  <c r="N108" i="1"/>
  <c r="S131" i="1"/>
  <c r="O151" i="1"/>
  <c r="S149" i="1"/>
  <c r="O169" i="1"/>
  <c r="R100" i="2"/>
  <c r="R101" i="2" s="1"/>
  <c r="R102" i="2" s="1"/>
  <c r="R103" i="2" s="1"/>
  <c r="R104" i="2" s="1"/>
  <c r="R105" i="2" s="1"/>
  <c r="R106" i="2" s="1"/>
  <c r="R107" i="2" s="1"/>
  <c r="R108" i="2" s="1"/>
  <c r="R109" i="2"/>
  <c r="Q75" i="2"/>
  <c r="Q76" i="2" s="1"/>
  <c r="Q77" i="2" s="1"/>
  <c r="Q78" i="2" s="1"/>
  <c r="Q79" i="2"/>
  <c r="O100" i="2"/>
  <c r="O101" i="2" s="1"/>
  <c r="O102" i="2" s="1"/>
  <c r="O103" i="2" s="1"/>
  <c r="O104" i="2" s="1"/>
  <c r="O105" i="2" s="1"/>
  <c r="O106" i="2" s="1"/>
  <c r="O107" i="2" s="1"/>
  <c r="O108" i="2" s="1"/>
  <c r="O109" i="2"/>
  <c r="N75" i="2"/>
  <c r="N76" i="2" s="1"/>
  <c r="N77" i="2" s="1"/>
  <c r="N78" i="2" s="1"/>
  <c r="N79" i="2"/>
  <c r="S161" i="1" l="1"/>
  <c r="O181" i="1"/>
  <c r="R96" i="1"/>
  <c r="N106" i="1"/>
  <c r="S175" i="1"/>
  <c r="O195" i="1"/>
  <c r="R112" i="1"/>
  <c r="N122" i="1"/>
  <c r="S154" i="1"/>
  <c r="O174" i="1"/>
  <c r="S148" i="1"/>
  <c r="O168" i="1"/>
  <c r="S150" i="1"/>
  <c r="O170" i="1"/>
  <c r="S142" i="1"/>
  <c r="O162" i="1"/>
  <c r="S157" i="1"/>
  <c r="O177" i="1"/>
  <c r="S147" i="1"/>
  <c r="O167" i="1"/>
  <c r="S151" i="1"/>
  <c r="O171" i="1"/>
  <c r="N121" i="1"/>
  <c r="R111" i="1"/>
  <c r="R100" i="1"/>
  <c r="N110" i="1"/>
  <c r="N103" i="1"/>
  <c r="R93" i="1"/>
  <c r="M48" i="1"/>
  <c r="Q47" i="1"/>
  <c r="N115" i="1"/>
  <c r="R105" i="1"/>
  <c r="S144" i="1"/>
  <c r="O164" i="1"/>
  <c r="S153" i="1"/>
  <c r="O173" i="1"/>
  <c r="R104" i="1"/>
  <c r="N114" i="1"/>
  <c r="S183" i="1"/>
  <c r="O203" i="1"/>
  <c r="S160" i="1"/>
  <c r="O180" i="1"/>
  <c r="S152" i="1"/>
  <c r="O172" i="1"/>
  <c r="N119" i="1"/>
  <c r="R109" i="1"/>
  <c r="R108" i="1"/>
  <c r="N118" i="1"/>
  <c r="S159" i="1"/>
  <c r="O179" i="1"/>
  <c r="S176" i="1"/>
  <c r="O196" i="1"/>
  <c r="S158" i="1"/>
  <c r="O178" i="1"/>
  <c r="S145" i="1"/>
  <c r="O165" i="1"/>
  <c r="S169" i="1"/>
  <c r="O189" i="1"/>
  <c r="N107" i="1"/>
  <c r="R97" i="1"/>
  <c r="O166" i="1"/>
  <c r="S146" i="1"/>
  <c r="R110" i="2"/>
  <c r="R111" i="2" s="1"/>
  <c r="R112" i="2" s="1"/>
  <c r="R113" i="2" s="1"/>
  <c r="R114" i="2" s="1"/>
  <c r="R115" i="2" s="1"/>
  <c r="R116" i="2" s="1"/>
  <c r="R117" i="2" s="1"/>
  <c r="R118" i="2" s="1"/>
  <c r="R119" i="2"/>
  <c r="Q80" i="2"/>
  <c r="Q81" i="2" s="1"/>
  <c r="Q82" i="2" s="1"/>
  <c r="Q83" i="2" s="1"/>
  <c r="Q84" i="2"/>
  <c r="O110" i="2"/>
  <c r="O111" i="2" s="1"/>
  <c r="O112" i="2" s="1"/>
  <c r="O113" i="2" s="1"/>
  <c r="O114" i="2" s="1"/>
  <c r="O115" i="2" s="1"/>
  <c r="O116" i="2" s="1"/>
  <c r="O117" i="2" s="1"/>
  <c r="O118" i="2" s="1"/>
  <c r="O119" i="2"/>
  <c r="N80" i="2"/>
  <c r="N81" i="2" s="1"/>
  <c r="N82" i="2" s="1"/>
  <c r="N83" i="2" s="1"/>
  <c r="N84" i="2"/>
  <c r="S162" i="1" l="1"/>
  <c r="O182" i="1"/>
  <c r="O186" i="1"/>
  <c r="S166" i="1"/>
  <c r="S203" i="1"/>
  <c r="O223" i="1"/>
  <c r="R118" i="1"/>
  <c r="N128" i="1"/>
  <c r="N129" i="1"/>
  <c r="R119" i="1"/>
  <c r="N117" i="1"/>
  <c r="R107" i="1"/>
  <c r="N131" i="1"/>
  <c r="R121" i="1"/>
  <c r="M49" i="1"/>
  <c r="Q48" i="1"/>
  <c r="S174" i="1"/>
  <c r="O194" i="1"/>
  <c r="S178" i="1"/>
  <c r="O198" i="1"/>
  <c r="S171" i="1"/>
  <c r="O191" i="1"/>
  <c r="S195" i="1"/>
  <c r="O215" i="1"/>
  <c r="S189" i="1"/>
  <c r="O209" i="1"/>
  <c r="N125" i="1"/>
  <c r="R115" i="1"/>
  <c r="S168" i="1"/>
  <c r="O188" i="1"/>
  <c r="S180" i="1"/>
  <c r="O200" i="1"/>
  <c r="S173" i="1"/>
  <c r="O193" i="1"/>
  <c r="S167" i="1"/>
  <c r="O187" i="1"/>
  <c r="R106" i="1"/>
  <c r="N116" i="1"/>
  <c r="S170" i="1"/>
  <c r="O190" i="1"/>
  <c r="R110" i="1"/>
  <c r="N120" i="1"/>
  <c r="S165" i="1"/>
  <c r="O185" i="1"/>
  <c r="S172" i="1"/>
  <c r="O192" i="1"/>
  <c r="R122" i="1"/>
  <c r="N132" i="1"/>
  <c r="R114" i="1"/>
  <c r="N124" i="1"/>
  <c r="S179" i="1"/>
  <c r="O199" i="1"/>
  <c r="S164" i="1"/>
  <c r="O184" i="1"/>
  <c r="S177" i="1"/>
  <c r="O197" i="1"/>
  <c r="S181" i="1"/>
  <c r="O201" i="1"/>
  <c r="N113" i="1"/>
  <c r="R103" i="1"/>
  <c r="S196" i="1"/>
  <c r="O216" i="1"/>
  <c r="R120" i="2"/>
  <c r="R121" i="2" s="1"/>
  <c r="R122" i="2" s="1"/>
  <c r="R123" i="2" s="1"/>
  <c r="R124" i="2" s="1"/>
  <c r="R125" i="2" s="1"/>
  <c r="R126" i="2" s="1"/>
  <c r="R127" i="2" s="1"/>
  <c r="R128" i="2" s="1"/>
  <c r="R129" i="2"/>
  <c r="Q85" i="2"/>
  <c r="Q86" i="2" s="1"/>
  <c r="Q87" i="2" s="1"/>
  <c r="Q88" i="2" s="1"/>
  <c r="Q89" i="2"/>
  <c r="O120" i="2"/>
  <c r="O121" i="2" s="1"/>
  <c r="O122" i="2" s="1"/>
  <c r="O123" i="2" s="1"/>
  <c r="O124" i="2" s="1"/>
  <c r="O125" i="2" s="1"/>
  <c r="O126" i="2" s="1"/>
  <c r="O127" i="2" s="1"/>
  <c r="O128" i="2" s="1"/>
  <c r="O129" i="2"/>
  <c r="N89" i="2"/>
  <c r="N85" i="2"/>
  <c r="N86" i="2" s="1"/>
  <c r="N87" i="2" s="1"/>
  <c r="N88" i="2" s="1"/>
  <c r="M50" i="1" l="1"/>
  <c r="Q49" i="1"/>
  <c r="S188" i="1"/>
  <c r="O208" i="1"/>
  <c r="N138" i="1"/>
  <c r="R128" i="1"/>
  <c r="S216" i="1"/>
  <c r="O236" i="1"/>
  <c r="S209" i="1"/>
  <c r="O229" i="1"/>
  <c r="N123" i="1"/>
  <c r="R113" i="1"/>
  <c r="R120" i="1"/>
  <c r="N130" i="1"/>
  <c r="R116" i="1"/>
  <c r="N126" i="1"/>
  <c r="S223" i="1"/>
  <c r="O243" i="1"/>
  <c r="N141" i="1"/>
  <c r="R131" i="1"/>
  <c r="S201" i="1"/>
  <c r="O221" i="1"/>
  <c r="S197" i="1"/>
  <c r="O217" i="1"/>
  <c r="S184" i="1"/>
  <c r="O204" i="1"/>
  <c r="S185" i="1"/>
  <c r="O205" i="1"/>
  <c r="N139" i="1"/>
  <c r="R129" i="1"/>
  <c r="S187" i="1"/>
  <c r="O207" i="1"/>
  <c r="S198" i="1"/>
  <c r="O218" i="1"/>
  <c r="S215" i="1"/>
  <c r="O235" i="1"/>
  <c r="O206" i="1"/>
  <c r="S186" i="1"/>
  <c r="N142" i="1"/>
  <c r="R132" i="1"/>
  <c r="S192" i="1"/>
  <c r="O212" i="1"/>
  <c r="N135" i="1"/>
  <c r="R125" i="1"/>
  <c r="S191" i="1"/>
  <c r="O211" i="1"/>
  <c r="S199" i="1"/>
  <c r="O219" i="1"/>
  <c r="R124" i="1"/>
  <c r="N134" i="1"/>
  <c r="S193" i="1"/>
  <c r="O213" i="1"/>
  <c r="S194" i="1"/>
  <c r="O214" i="1"/>
  <c r="S182" i="1"/>
  <c r="O202" i="1"/>
  <c r="S200" i="1"/>
  <c r="O220" i="1"/>
  <c r="N127" i="1"/>
  <c r="R117" i="1"/>
  <c r="S190" i="1"/>
  <c r="O210" i="1"/>
  <c r="R130" i="2"/>
  <c r="R131" i="2" s="1"/>
  <c r="R132" i="2" s="1"/>
  <c r="R133" i="2" s="1"/>
  <c r="R134" i="2" s="1"/>
  <c r="R135" i="2" s="1"/>
  <c r="R136" i="2" s="1"/>
  <c r="R137" i="2" s="1"/>
  <c r="R138" i="2" s="1"/>
  <c r="R139" i="2"/>
  <c r="Q90" i="2"/>
  <c r="Q91" i="2" s="1"/>
  <c r="Q92" i="2" s="1"/>
  <c r="Q93" i="2" s="1"/>
  <c r="Q94" i="2"/>
  <c r="O130" i="2"/>
  <c r="O131" i="2" s="1"/>
  <c r="O132" i="2" s="1"/>
  <c r="O133" i="2" s="1"/>
  <c r="O134" i="2" s="1"/>
  <c r="O135" i="2" s="1"/>
  <c r="O136" i="2" s="1"/>
  <c r="O137" i="2" s="1"/>
  <c r="O138" i="2" s="1"/>
  <c r="O139" i="2"/>
  <c r="N90" i="2"/>
  <c r="N91" i="2" s="1"/>
  <c r="N92" i="2" s="1"/>
  <c r="N93" i="2" s="1"/>
  <c r="N94" i="2"/>
  <c r="S207" i="1" l="1"/>
  <c r="O227" i="1"/>
  <c r="S210" i="1"/>
  <c r="O230" i="1"/>
  <c r="S205" i="1"/>
  <c r="O225" i="1"/>
  <c r="S236" i="1"/>
  <c r="O256" i="1"/>
  <c r="R130" i="1"/>
  <c r="N140" i="1"/>
  <c r="S220" i="1"/>
  <c r="O240" i="1"/>
  <c r="R126" i="1"/>
  <c r="N136" i="1"/>
  <c r="N149" i="1"/>
  <c r="R139" i="1"/>
  <c r="S221" i="1"/>
  <c r="O241" i="1"/>
  <c r="N137" i="1"/>
  <c r="R127" i="1"/>
  <c r="S204" i="1"/>
  <c r="O224" i="1"/>
  <c r="S217" i="1"/>
  <c r="O237" i="1"/>
  <c r="O226" i="1"/>
  <c r="S206" i="1"/>
  <c r="N148" i="1"/>
  <c r="R138" i="1"/>
  <c r="S211" i="1"/>
  <c r="O231" i="1"/>
  <c r="S212" i="1"/>
  <c r="O232" i="1"/>
  <c r="S235" i="1"/>
  <c r="O255" i="1"/>
  <c r="S208" i="1"/>
  <c r="O228" i="1"/>
  <c r="N133" i="1"/>
  <c r="R123" i="1"/>
  <c r="S202" i="1"/>
  <c r="O222" i="1"/>
  <c r="S213" i="1"/>
  <c r="O233" i="1"/>
  <c r="N151" i="1"/>
  <c r="R141" i="1"/>
  <c r="S219" i="1"/>
  <c r="O239" i="1"/>
  <c r="N145" i="1"/>
  <c r="R135" i="1"/>
  <c r="N152" i="1"/>
  <c r="R142" i="1"/>
  <c r="S214" i="1"/>
  <c r="O234" i="1"/>
  <c r="R134" i="1"/>
  <c r="N144" i="1"/>
  <c r="S218" i="1"/>
  <c r="O238" i="1"/>
  <c r="S243" i="1"/>
  <c r="O263" i="1"/>
  <c r="S229" i="1"/>
  <c r="O249" i="1"/>
  <c r="M51" i="1"/>
  <c r="Q50" i="1"/>
  <c r="R140" i="2"/>
  <c r="R141" i="2" s="1"/>
  <c r="R142" i="2" s="1"/>
  <c r="R143" i="2" s="1"/>
  <c r="R144" i="2" s="1"/>
  <c r="R145" i="2" s="1"/>
  <c r="R146" i="2" s="1"/>
  <c r="R147" i="2" s="1"/>
  <c r="R148" i="2" s="1"/>
  <c r="R149" i="2"/>
  <c r="Q95" i="2"/>
  <c r="Q96" i="2" s="1"/>
  <c r="Q97" i="2" s="1"/>
  <c r="Q98" i="2" s="1"/>
  <c r="Q99" i="2"/>
  <c r="O140" i="2"/>
  <c r="O141" i="2" s="1"/>
  <c r="O142" i="2" s="1"/>
  <c r="O143" i="2" s="1"/>
  <c r="O144" i="2" s="1"/>
  <c r="O145" i="2" s="1"/>
  <c r="O146" i="2" s="1"/>
  <c r="O147" i="2" s="1"/>
  <c r="O148" i="2" s="1"/>
  <c r="O149" i="2"/>
  <c r="N95" i="2"/>
  <c r="N96" i="2" s="1"/>
  <c r="N97" i="2" s="1"/>
  <c r="N98" i="2" s="1"/>
  <c r="N99" i="2"/>
  <c r="S232" i="1" l="1"/>
  <c r="O252" i="1"/>
  <c r="S240" i="1"/>
  <c r="O260" i="1"/>
  <c r="S237" i="1"/>
  <c r="O257" i="1"/>
  <c r="S233" i="1"/>
  <c r="O253" i="1"/>
  <c r="S231" i="1"/>
  <c r="O251" i="1"/>
  <c r="N158" i="1"/>
  <c r="R148" i="1"/>
  <c r="S224" i="1"/>
  <c r="O244" i="1"/>
  <c r="S225" i="1"/>
  <c r="O245" i="1"/>
  <c r="S239" i="1"/>
  <c r="O259" i="1"/>
  <c r="S249" i="1"/>
  <c r="O269" i="1"/>
  <c r="N161" i="1"/>
  <c r="R151" i="1"/>
  <c r="S238" i="1"/>
  <c r="O258" i="1"/>
  <c r="N143" i="1"/>
  <c r="R133" i="1"/>
  <c r="N146" i="1"/>
  <c r="R136" i="1"/>
  <c r="S263" i="1"/>
  <c r="O283" i="1"/>
  <c r="S222" i="1"/>
  <c r="O242" i="1"/>
  <c r="S228" i="1"/>
  <c r="O248" i="1"/>
  <c r="S230" i="1"/>
  <c r="O250" i="1"/>
  <c r="N150" i="1"/>
  <c r="R140" i="1"/>
  <c r="S256" i="1"/>
  <c r="O276" i="1"/>
  <c r="S234" i="1"/>
  <c r="O254" i="1"/>
  <c r="N147" i="1"/>
  <c r="R137" i="1"/>
  <c r="N159" i="1"/>
  <c r="R149" i="1"/>
  <c r="N154" i="1"/>
  <c r="R144" i="1"/>
  <c r="S255" i="1"/>
  <c r="O275" i="1"/>
  <c r="S241" i="1"/>
  <c r="O261" i="1"/>
  <c r="S227" i="1"/>
  <c r="O247" i="1"/>
  <c r="N155" i="1"/>
  <c r="R145" i="1"/>
  <c r="M52" i="1"/>
  <c r="Q51" i="1"/>
  <c r="O246" i="1"/>
  <c r="S226" i="1"/>
  <c r="N162" i="1"/>
  <c r="R152" i="1"/>
  <c r="R150" i="2"/>
  <c r="R151" i="2" s="1"/>
  <c r="R152" i="2" s="1"/>
  <c r="R153" i="2" s="1"/>
  <c r="R154" i="2" s="1"/>
  <c r="R155" i="2" s="1"/>
  <c r="R156" i="2" s="1"/>
  <c r="R157" i="2" s="1"/>
  <c r="R158" i="2" s="1"/>
  <c r="R159" i="2"/>
  <c r="Q100" i="2"/>
  <c r="Q101" i="2" s="1"/>
  <c r="Q102" i="2" s="1"/>
  <c r="Q103" i="2" s="1"/>
  <c r="Q104" i="2"/>
  <c r="O150" i="2"/>
  <c r="O151" i="2" s="1"/>
  <c r="O152" i="2" s="1"/>
  <c r="O153" i="2" s="1"/>
  <c r="O154" i="2" s="1"/>
  <c r="O155" i="2" s="1"/>
  <c r="O156" i="2" s="1"/>
  <c r="O157" i="2" s="1"/>
  <c r="O158" i="2" s="1"/>
  <c r="O159" i="2"/>
  <c r="N100" i="2"/>
  <c r="N101" i="2" s="1"/>
  <c r="N102" i="2" s="1"/>
  <c r="N103" i="2" s="1"/>
  <c r="N104" i="2"/>
  <c r="S242" i="1" l="1"/>
  <c r="O262" i="1"/>
  <c r="S244" i="1"/>
  <c r="O264" i="1"/>
  <c r="N156" i="1"/>
  <c r="R146" i="1"/>
  <c r="N168" i="1"/>
  <c r="R158" i="1"/>
  <c r="S257" i="1"/>
  <c r="O277" i="1"/>
  <c r="N169" i="1"/>
  <c r="R159" i="1"/>
  <c r="O266" i="1"/>
  <c r="S246" i="1"/>
  <c r="N165" i="1"/>
  <c r="R155" i="1"/>
  <c r="N160" i="1"/>
  <c r="R150" i="1"/>
  <c r="N171" i="1"/>
  <c r="R161" i="1"/>
  <c r="S245" i="1"/>
  <c r="O265" i="1"/>
  <c r="N157" i="1"/>
  <c r="R147" i="1"/>
  <c r="M53" i="1"/>
  <c r="Q52" i="1"/>
  <c r="S253" i="1"/>
  <c r="O273" i="1"/>
  <c r="S250" i="1"/>
  <c r="O270" i="1"/>
  <c r="S269" i="1"/>
  <c r="O289" i="1"/>
  <c r="S260" i="1"/>
  <c r="O280" i="1"/>
  <c r="N164" i="1"/>
  <c r="R154" i="1"/>
  <c r="S251" i="1"/>
  <c r="O271" i="1"/>
  <c r="S276" i="1"/>
  <c r="O296" i="1"/>
  <c r="S283" i="1"/>
  <c r="O303" i="1"/>
  <c r="S254" i="1"/>
  <c r="O274" i="1"/>
  <c r="S258" i="1"/>
  <c r="O278" i="1"/>
  <c r="S247" i="1"/>
  <c r="O267" i="1"/>
  <c r="S261" i="1"/>
  <c r="O281" i="1"/>
  <c r="S275" i="1"/>
  <c r="O295" i="1"/>
  <c r="S248" i="1"/>
  <c r="O268" i="1"/>
  <c r="S259" i="1"/>
  <c r="O279" i="1"/>
  <c r="S252" i="1"/>
  <c r="O272" i="1"/>
  <c r="N172" i="1"/>
  <c r="R162" i="1"/>
  <c r="N153" i="1"/>
  <c r="R143" i="1"/>
  <c r="Q109" i="2"/>
  <c r="Q105" i="2"/>
  <c r="Q106" i="2" s="1"/>
  <c r="Q107" i="2" s="1"/>
  <c r="Q108" i="2" s="1"/>
  <c r="N105" i="2"/>
  <c r="N106" i="2" s="1"/>
  <c r="N107" i="2" s="1"/>
  <c r="N108" i="2" s="1"/>
  <c r="N109" i="2"/>
  <c r="S270" i="1" l="1"/>
  <c r="O290" i="1"/>
  <c r="S267" i="1"/>
  <c r="O287" i="1"/>
  <c r="N167" i="1"/>
  <c r="R157" i="1"/>
  <c r="S273" i="1"/>
  <c r="O293" i="1"/>
  <c r="S272" i="1"/>
  <c r="O292" i="1"/>
  <c r="N175" i="1"/>
  <c r="R165" i="1"/>
  <c r="N163" i="1"/>
  <c r="R153" i="1"/>
  <c r="N182" i="1"/>
  <c r="R172" i="1"/>
  <c r="S303" i="1"/>
  <c r="O323" i="1"/>
  <c r="N166" i="1"/>
  <c r="R156" i="1"/>
  <c r="S289" i="1"/>
  <c r="O309" i="1"/>
  <c r="S278" i="1"/>
  <c r="O298" i="1"/>
  <c r="N179" i="1"/>
  <c r="R169" i="1"/>
  <c r="S279" i="1"/>
  <c r="O299" i="1"/>
  <c r="N178" i="1"/>
  <c r="R168" i="1"/>
  <c r="S264" i="1"/>
  <c r="O284" i="1"/>
  <c r="S274" i="1"/>
  <c r="O294" i="1"/>
  <c r="S296" i="1"/>
  <c r="O316" i="1"/>
  <c r="S271" i="1"/>
  <c r="O291" i="1"/>
  <c r="N174" i="1"/>
  <c r="R164" i="1"/>
  <c r="N181" i="1"/>
  <c r="R171" i="1"/>
  <c r="S277" i="1"/>
  <c r="O297" i="1"/>
  <c r="S268" i="1"/>
  <c r="O288" i="1"/>
  <c r="S295" i="1"/>
  <c r="O315" i="1"/>
  <c r="S281" i="1"/>
  <c r="O301" i="1"/>
  <c r="S280" i="1"/>
  <c r="O300" i="1"/>
  <c r="S262" i="1"/>
  <c r="O282" i="1"/>
  <c r="O286" i="1"/>
  <c r="S266" i="1"/>
  <c r="M54" i="1"/>
  <c r="Q53" i="1"/>
  <c r="S265" i="1"/>
  <c r="O285" i="1"/>
  <c r="N170" i="1"/>
  <c r="R160" i="1"/>
  <c r="Q110" i="2"/>
  <c r="Q111" i="2" s="1"/>
  <c r="Q112" i="2" s="1"/>
  <c r="Q113" i="2" s="1"/>
  <c r="Q114" i="2"/>
  <c r="N110" i="2"/>
  <c r="N111" i="2" s="1"/>
  <c r="N112" i="2" s="1"/>
  <c r="N113" i="2" s="1"/>
  <c r="N114" i="2"/>
  <c r="N185" i="1" l="1"/>
  <c r="R175" i="1"/>
  <c r="S315" i="1"/>
  <c r="O335" i="1"/>
  <c r="S297" i="1"/>
  <c r="O317" i="1"/>
  <c r="S291" i="1"/>
  <c r="O311" i="1"/>
  <c r="N180" i="1"/>
  <c r="R170" i="1"/>
  <c r="S285" i="1"/>
  <c r="O305" i="1"/>
  <c r="S292" i="1"/>
  <c r="O312" i="1"/>
  <c r="S298" i="1"/>
  <c r="O318" i="1"/>
  <c r="N177" i="1"/>
  <c r="R167" i="1"/>
  <c r="N173" i="1"/>
  <c r="R163" i="1"/>
  <c r="O306" i="1"/>
  <c r="S286" i="1"/>
  <c r="S316" i="1"/>
  <c r="O336" i="1"/>
  <c r="S287" i="1"/>
  <c r="O307" i="1"/>
  <c r="S288" i="1"/>
  <c r="O308" i="1"/>
  <c r="M55" i="1"/>
  <c r="Q54" i="1"/>
  <c r="S293" i="1"/>
  <c r="O313" i="1"/>
  <c r="S309" i="1"/>
  <c r="O329" i="1"/>
  <c r="N176" i="1"/>
  <c r="R166" i="1"/>
  <c r="N192" i="1"/>
  <c r="R182" i="1"/>
  <c r="S299" i="1"/>
  <c r="O319" i="1"/>
  <c r="N189" i="1"/>
  <c r="R179" i="1"/>
  <c r="N184" i="1"/>
  <c r="R174" i="1"/>
  <c r="S282" i="1"/>
  <c r="O302" i="1"/>
  <c r="S301" i="1"/>
  <c r="O321" i="1"/>
  <c r="S294" i="1"/>
  <c r="O314" i="1"/>
  <c r="S323" i="1"/>
  <c r="O343" i="1"/>
  <c r="S290" i="1"/>
  <c r="O310" i="1"/>
  <c r="S284" i="1"/>
  <c r="O304" i="1"/>
  <c r="N188" i="1"/>
  <c r="R178" i="1"/>
  <c r="N191" i="1"/>
  <c r="R181" i="1"/>
  <c r="S300" i="1"/>
  <c r="O320" i="1"/>
  <c r="Q115" i="2"/>
  <c r="Q116" i="2" s="1"/>
  <c r="Q117" i="2" s="1"/>
  <c r="Q118" i="2" s="1"/>
  <c r="Q119" i="2"/>
  <c r="N115" i="2"/>
  <c r="N116" i="2" s="1"/>
  <c r="N117" i="2" s="1"/>
  <c r="N118" i="2" s="1"/>
  <c r="N119" i="2"/>
  <c r="S312" i="1" l="1"/>
  <c r="O332" i="1"/>
  <c r="S321" i="1"/>
  <c r="O341" i="1"/>
  <c r="S308" i="1"/>
  <c r="O328" i="1"/>
  <c r="M56" i="1"/>
  <c r="Q55" i="1"/>
  <c r="N194" i="1"/>
  <c r="R184" i="1"/>
  <c r="N198" i="1"/>
  <c r="R188" i="1"/>
  <c r="S317" i="1"/>
  <c r="O337" i="1"/>
  <c r="S318" i="1"/>
  <c r="O338" i="1"/>
  <c r="S302" i="1"/>
  <c r="O322" i="1"/>
  <c r="S305" i="1"/>
  <c r="O325" i="1"/>
  <c r="S336" i="1"/>
  <c r="O356" i="1"/>
  <c r="O326" i="1"/>
  <c r="S306" i="1"/>
  <c r="S313" i="1"/>
  <c r="O333" i="1"/>
  <c r="S320" i="1"/>
  <c r="O340" i="1"/>
  <c r="S307" i="1"/>
  <c r="O327" i="1"/>
  <c r="S311" i="1"/>
  <c r="O331" i="1"/>
  <c r="S310" i="1"/>
  <c r="O330" i="1"/>
  <c r="S335" i="1"/>
  <c r="O355" i="1"/>
  <c r="N199" i="1"/>
  <c r="R189" i="1"/>
  <c r="S319" i="1"/>
  <c r="O339" i="1"/>
  <c r="N186" i="1"/>
  <c r="R176" i="1"/>
  <c r="N183" i="1"/>
  <c r="R173" i="1"/>
  <c r="S304" i="1"/>
  <c r="O324" i="1"/>
  <c r="N202" i="1"/>
  <c r="R192" i="1"/>
  <c r="S314" i="1"/>
  <c r="O334" i="1"/>
  <c r="S329" i="1"/>
  <c r="O349" i="1"/>
  <c r="N201" i="1"/>
  <c r="R191" i="1"/>
  <c r="N190" i="1"/>
  <c r="R180" i="1"/>
  <c r="S343" i="1"/>
  <c r="O363" i="1"/>
  <c r="N187" i="1"/>
  <c r="R177" i="1"/>
  <c r="N195" i="1"/>
  <c r="R185" i="1"/>
  <c r="Q120" i="2"/>
  <c r="Q121" i="2" s="1"/>
  <c r="Q122" i="2" s="1"/>
  <c r="Q123" i="2" s="1"/>
  <c r="Q124" i="2"/>
  <c r="N120" i="2"/>
  <c r="N121" i="2" s="1"/>
  <c r="N122" i="2" s="1"/>
  <c r="N123" i="2" s="1"/>
  <c r="N124" i="2"/>
  <c r="S338" i="1" l="1"/>
  <c r="O358" i="1"/>
  <c r="N197" i="1"/>
  <c r="R187" i="1"/>
  <c r="M57" i="1"/>
  <c r="Q56" i="1"/>
  <c r="N205" i="1"/>
  <c r="R195" i="1"/>
  <c r="N208" i="1"/>
  <c r="R198" i="1"/>
  <c r="S328" i="1"/>
  <c r="O348" i="1"/>
  <c r="S327" i="1"/>
  <c r="O347" i="1"/>
  <c r="N193" i="1"/>
  <c r="R183" i="1"/>
  <c r="N204" i="1"/>
  <c r="R194" i="1"/>
  <c r="S331" i="1"/>
  <c r="O351" i="1"/>
  <c r="S333" i="1"/>
  <c r="O353" i="1"/>
  <c r="S349" i="1"/>
  <c r="O369" i="1"/>
  <c r="S325" i="1"/>
  <c r="O345" i="1"/>
  <c r="S341" i="1"/>
  <c r="O361" i="1"/>
  <c r="N212" i="1"/>
  <c r="R202" i="1"/>
  <c r="S340" i="1"/>
  <c r="O360" i="1"/>
  <c r="S363" i="1"/>
  <c r="O383" i="1"/>
  <c r="S383" i="1" s="1"/>
  <c r="S339" i="1"/>
  <c r="O359" i="1"/>
  <c r="N209" i="1"/>
  <c r="R199" i="1"/>
  <c r="S324" i="1"/>
  <c r="O344" i="1"/>
  <c r="N196" i="1"/>
  <c r="R186" i="1"/>
  <c r="N200" i="1"/>
  <c r="R190" i="1"/>
  <c r="S356" i="1"/>
  <c r="O376" i="1"/>
  <c r="N211" i="1"/>
  <c r="R201" i="1"/>
  <c r="S334" i="1"/>
  <c r="O354" i="1"/>
  <c r="S330" i="1"/>
  <c r="O350" i="1"/>
  <c r="S322" i="1"/>
  <c r="O342" i="1"/>
  <c r="S332" i="1"/>
  <c r="O352" i="1"/>
  <c r="S337" i="1"/>
  <c r="O357" i="1"/>
  <c r="O346" i="1"/>
  <c r="S326" i="1"/>
  <c r="S355" i="1"/>
  <c r="O375" i="1"/>
  <c r="Q129" i="2"/>
  <c r="Q125" i="2"/>
  <c r="Q126" i="2" s="1"/>
  <c r="Q127" i="2" s="1"/>
  <c r="Q128" i="2" s="1"/>
  <c r="N125" i="2"/>
  <c r="N126" i="2" s="1"/>
  <c r="N127" i="2" s="1"/>
  <c r="N128" i="2" s="1"/>
  <c r="N129" i="2"/>
  <c r="S376" i="1" l="1"/>
  <c r="O396" i="1"/>
  <c r="S396" i="1" s="1"/>
  <c r="N210" i="1"/>
  <c r="R200" i="1"/>
  <c r="S361" i="1"/>
  <c r="O381" i="1"/>
  <c r="S375" i="1"/>
  <c r="O395" i="1"/>
  <c r="S395" i="1" s="1"/>
  <c r="N203" i="1"/>
  <c r="R193" i="1"/>
  <c r="S357" i="1"/>
  <c r="O377" i="1"/>
  <c r="S344" i="1"/>
  <c r="O364" i="1"/>
  <c r="M58" i="1"/>
  <c r="Q57" i="1"/>
  <c r="S360" i="1"/>
  <c r="O380" i="1"/>
  <c r="N206" i="1"/>
  <c r="R196" i="1"/>
  <c r="S352" i="1"/>
  <c r="O372" i="1"/>
  <c r="S359" i="1"/>
  <c r="O379" i="1"/>
  <c r="S351" i="1"/>
  <c r="O371" i="1"/>
  <c r="N221" i="1"/>
  <c r="R211" i="1"/>
  <c r="S348" i="1"/>
  <c r="O368" i="1"/>
  <c r="S369" i="1"/>
  <c r="O389" i="1"/>
  <c r="S389" i="1" s="1"/>
  <c r="S342" i="1"/>
  <c r="O362" i="1"/>
  <c r="N219" i="1"/>
  <c r="R209" i="1"/>
  <c r="N207" i="1"/>
  <c r="R197" i="1"/>
  <c r="S347" i="1"/>
  <c r="O367" i="1"/>
  <c r="O366" i="1"/>
  <c r="S346" i="1"/>
  <c r="N218" i="1"/>
  <c r="R208" i="1"/>
  <c r="S353" i="1"/>
  <c r="O373" i="1"/>
  <c r="S350" i="1"/>
  <c r="O370" i="1"/>
  <c r="S354" i="1"/>
  <c r="O374" i="1"/>
  <c r="S358" i="1"/>
  <c r="O378" i="1"/>
  <c r="N222" i="1"/>
  <c r="R212" i="1"/>
  <c r="S345" i="1"/>
  <c r="O365" i="1"/>
  <c r="N215" i="1"/>
  <c r="R205" i="1"/>
  <c r="N214" i="1"/>
  <c r="R204" i="1"/>
  <c r="Q130" i="2"/>
  <c r="Q131" i="2" s="1"/>
  <c r="Q132" i="2" s="1"/>
  <c r="Q133" i="2" s="1"/>
  <c r="Q134" i="2"/>
  <c r="N130" i="2"/>
  <c r="N131" i="2" s="1"/>
  <c r="N132" i="2" s="1"/>
  <c r="N133" i="2" s="1"/>
  <c r="N134" i="2"/>
  <c r="S364" i="1" l="1"/>
  <c r="O384" i="1"/>
  <c r="S384" i="1" s="1"/>
  <c r="S370" i="1"/>
  <c r="O390" i="1"/>
  <c r="S390" i="1" s="1"/>
  <c r="M59" i="1"/>
  <c r="Q58" i="1"/>
  <c r="N225" i="1"/>
  <c r="R215" i="1"/>
  <c r="S377" i="1"/>
  <c r="O397" i="1"/>
  <c r="S397" i="1" s="1"/>
  <c r="N213" i="1"/>
  <c r="R203" i="1"/>
  <c r="N217" i="1"/>
  <c r="R207" i="1"/>
  <c r="N231" i="1"/>
  <c r="R221" i="1"/>
  <c r="O386" i="1"/>
  <c r="S386" i="1" s="1"/>
  <c r="S366" i="1"/>
  <c r="S367" i="1"/>
  <c r="O387" i="1"/>
  <c r="S387" i="1" s="1"/>
  <c r="S378" i="1"/>
  <c r="O398" i="1"/>
  <c r="S398" i="1" s="1"/>
  <c r="N228" i="1"/>
  <c r="R218" i="1"/>
  <c r="S372" i="1"/>
  <c r="O392" i="1"/>
  <c r="S392" i="1" s="1"/>
  <c r="N216" i="1"/>
  <c r="R206" i="1"/>
  <c r="N220" i="1"/>
  <c r="R210" i="1"/>
  <c r="S373" i="1"/>
  <c r="O393" i="1"/>
  <c r="S393" i="1" s="1"/>
  <c r="N224" i="1"/>
  <c r="R214" i="1"/>
  <c r="S365" i="1"/>
  <c r="O385" i="1"/>
  <c r="S385" i="1" s="1"/>
  <c r="N232" i="1"/>
  <c r="R222" i="1"/>
  <c r="S374" i="1"/>
  <c r="O394" i="1"/>
  <c r="S394" i="1" s="1"/>
  <c r="S380" i="1"/>
  <c r="O400" i="1"/>
  <c r="S400" i="1" s="1"/>
  <c r="S368" i="1"/>
  <c r="O388" i="1"/>
  <c r="S388" i="1" s="1"/>
  <c r="S371" i="1"/>
  <c r="O391" i="1"/>
  <c r="S391" i="1" s="1"/>
  <c r="S379" i="1"/>
  <c r="O399" i="1"/>
  <c r="S399" i="1" s="1"/>
  <c r="S381" i="1"/>
  <c r="O401" i="1"/>
  <c r="S401" i="1" s="1"/>
  <c r="N229" i="1"/>
  <c r="R219" i="1"/>
  <c r="S362" i="1"/>
  <c r="O382" i="1"/>
  <c r="Q135" i="2"/>
  <c r="Q136" i="2" s="1"/>
  <c r="Q137" i="2" s="1"/>
  <c r="Q138" i="2" s="1"/>
  <c r="Q139" i="2"/>
  <c r="N135" i="2"/>
  <c r="N136" i="2" s="1"/>
  <c r="N137" i="2" s="1"/>
  <c r="N138" i="2" s="1"/>
  <c r="N139" i="2"/>
  <c r="N241" i="1" l="1"/>
  <c r="R231" i="1"/>
  <c r="N226" i="1"/>
  <c r="R216" i="1"/>
  <c r="N230" i="1"/>
  <c r="R220" i="1"/>
  <c r="N227" i="1"/>
  <c r="R217" i="1"/>
  <c r="M60" i="1"/>
  <c r="Q59" i="1"/>
  <c r="N223" i="1"/>
  <c r="R213" i="1"/>
  <c r="N238" i="1"/>
  <c r="R228" i="1"/>
  <c r="S382" i="1"/>
  <c r="O402" i="1"/>
  <c r="S402" i="1" s="1"/>
  <c r="W2" i="1" s="1"/>
  <c r="N242" i="1"/>
  <c r="R232" i="1"/>
  <c r="N235" i="1"/>
  <c r="R225" i="1"/>
  <c r="R229" i="1"/>
  <c r="N239" i="1"/>
  <c r="N234" i="1"/>
  <c r="R224" i="1"/>
  <c r="Q140" i="2"/>
  <c r="Q141" i="2" s="1"/>
  <c r="Q142" i="2" s="1"/>
  <c r="Q143" i="2" s="1"/>
  <c r="Q144" i="2"/>
  <c r="N140" i="2"/>
  <c r="N141" i="2" s="1"/>
  <c r="N142" i="2" s="1"/>
  <c r="N143" i="2" s="1"/>
  <c r="N144" i="2"/>
  <c r="N233" i="1" l="1"/>
  <c r="R223" i="1"/>
  <c r="N244" i="1"/>
  <c r="R234" i="1"/>
  <c r="N245" i="1"/>
  <c r="R235" i="1"/>
  <c r="N237" i="1"/>
  <c r="R227" i="1"/>
  <c r="N240" i="1"/>
  <c r="R230" i="1"/>
  <c r="N248" i="1"/>
  <c r="R238" i="1"/>
  <c r="M61" i="1"/>
  <c r="Q60" i="1"/>
  <c r="N249" i="1"/>
  <c r="R239" i="1"/>
  <c r="N236" i="1"/>
  <c r="R226" i="1"/>
  <c r="N252" i="1"/>
  <c r="R242" i="1"/>
  <c r="N251" i="1"/>
  <c r="R241" i="1"/>
  <c r="Q145" i="2"/>
  <c r="Q146" i="2" s="1"/>
  <c r="Q147" i="2" s="1"/>
  <c r="Q148" i="2" s="1"/>
  <c r="Q149" i="2"/>
  <c r="N149" i="2"/>
  <c r="N145" i="2"/>
  <c r="N146" i="2" s="1"/>
  <c r="N147" i="2" s="1"/>
  <c r="N148" i="2" s="1"/>
  <c r="N262" i="1" l="1"/>
  <c r="R252" i="1"/>
  <c r="R249" i="1"/>
  <c r="N259" i="1"/>
  <c r="N258" i="1"/>
  <c r="R248" i="1"/>
  <c r="N250" i="1"/>
  <c r="R240" i="1"/>
  <c r="N247" i="1"/>
  <c r="R237" i="1"/>
  <c r="N261" i="1"/>
  <c r="R251" i="1"/>
  <c r="M62" i="1"/>
  <c r="Q61" i="1"/>
  <c r="N255" i="1"/>
  <c r="R245" i="1"/>
  <c r="N254" i="1"/>
  <c r="R244" i="1"/>
  <c r="N246" i="1"/>
  <c r="R236" i="1"/>
  <c r="N243" i="1"/>
  <c r="R233" i="1"/>
  <c r="Q150" i="2"/>
  <c r="Q151" i="2" s="1"/>
  <c r="Q152" i="2" s="1"/>
  <c r="Q153" i="2" s="1"/>
  <c r="Q154" i="2"/>
  <c r="N150" i="2"/>
  <c r="N151" i="2" s="1"/>
  <c r="N152" i="2" s="1"/>
  <c r="N153" i="2" s="1"/>
  <c r="N154" i="2"/>
  <c r="N265" i="1" l="1"/>
  <c r="R255" i="1"/>
  <c r="N271" i="1"/>
  <c r="R261" i="1"/>
  <c r="N257" i="1"/>
  <c r="R247" i="1"/>
  <c r="M63" i="1"/>
  <c r="Q62" i="1"/>
  <c r="N260" i="1"/>
  <c r="R250" i="1"/>
  <c r="N268" i="1"/>
  <c r="R258" i="1"/>
  <c r="N269" i="1"/>
  <c r="R259" i="1"/>
  <c r="N253" i="1"/>
  <c r="R243" i="1"/>
  <c r="N256" i="1"/>
  <c r="R246" i="1"/>
  <c r="N264" i="1"/>
  <c r="R254" i="1"/>
  <c r="N272" i="1"/>
  <c r="R262" i="1"/>
  <c r="Q155" i="2"/>
  <c r="Q156" i="2" s="1"/>
  <c r="Q157" i="2" s="1"/>
  <c r="Q158" i="2" s="1"/>
  <c r="Q159" i="2"/>
  <c r="N155" i="2"/>
  <c r="N156" i="2" s="1"/>
  <c r="N157" i="2" s="1"/>
  <c r="N158" i="2" s="1"/>
  <c r="N159" i="2"/>
  <c r="N278" i="1" l="1"/>
  <c r="R268" i="1"/>
  <c r="M64" i="1"/>
  <c r="Q63" i="1"/>
  <c r="N274" i="1"/>
  <c r="R264" i="1"/>
  <c r="R253" i="1"/>
  <c r="N263" i="1"/>
  <c r="N279" i="1"/>
  <c r="R269" i="1"/>
  <c r="N282" i="1"/>
  <c r="R272" i="1"/>
  <c r="N270" i="1"/>
  <c r="R260" i="1"/>
  <c r="N267" i="1"/>
  <c r="R257" i="1"/>
  <c r="N281" i="1"/>
  <c r="R271" i="1"/>
  <c r="N266" i="1"/>
  <c r="R256" i="1"/>
  <c r="N275" i="1"/>
  <c r="R265" i="1"/>
  <c r="N280" i="1" l="1"/>
  <c r="R270" i="1"/>
  <c r="N277" i="1"/>
  <c r="R267" i="1"/>
  <c r="N292" i="1"/>
  <c r="R282" i="1"/>
  <c r="N284" i="1"/>
  <c r="R274" i="1"/>
  <c r="N289" i="1"/>
  <c r="R279" i="1"/>
  <c r="N285" i="1"/>
  <c r="R275" i="1"/>
  <c r="N276" i="1"/>
  <c r="R266" i="1"/>
  <c r="N273" i="1"/>
  <c r="R263" i="1"/>
  <c r="M65" i="1"/>
  <c r="Q64" i="1"/>
  <c r="N291" i="1"/>
  <c r="R281" i="1"/>
  <c r="N288" i="1"/>
  <c r="R278" i="1"/>
  <c r="N295" i="1" l="1"/>
  <c r="R285" i="1"/>
  <c r="N286" i="1"/>
  <c r="R276" i="1"/>
  <c r="N298" i="1"/>
  <c r="R288" i="1"/>
  <c r="N299" i="1"/>
  <c r="R289" i="1"/>
  <c r="N283" i="1"/>
  <c r="R273" i="1"/>
  <c r="N294" i="1"/>
  <c r="R284" i="1"/>
  <c r="N302" i="1"/>
  <c r="R292" i="1"/>
  <c r="N301" i="1"/>
  <c r="R291" i="1"/>
  <c r="N287" i="1"/>
  <c r="R277" i="1"/>
  <c r="M66" i="1"/>
  <c r="Q65" i="1"/>
  <c r="N290" i="1"/>
  <c r="R280" i="1"/>
  <c r="N312" i="1" l="1"/>
  <c r="R302" i="1"/>
  <c r="N293" i="1"/>
  <c r="R283" i="1"/>
  <c r="N308" i="1"/>
  <c r="R298" i="1"/>
  <c r="N304" i="1"/>
  <c r="R294" i="1"/>
  <c r="N300" i="1"/>
  <c r="R290" i="1"/>
  <c r="N311" i="1"/>
  <c r="R301" i="1"/>
  <c r="N309" i="1"/>
  <c r="R299" i="1"/>
  <c r="M67" i="1"/>
  <c r="Q66" i="1"/>
  <c r="N296" i="1"/>
  <c r="R286" i="1"/>
  <c r="N297" i="1"/>
  <c r="R287" i="1"/>
  <c r="N305" i="1"/>
  <c r="R295" i="1"/>
  <c r="N321" i="1" l="1"/>
  <c r="R311" i="1"/>
  <c r="N314" i="1"/>
  <c r="R304" i="1"/>
  <c r="N307" i="1"/>
  <c r="R297" i="1"/>
  <c r="N319" i="1"/>
  <c r="R309" i="1"/>
  <c r="N318" i="1"/>
  <c r="R308" i="1"/>
  <c r="M68" i="1"/>
  <c r="Q67" i="1"/>
  <c r="N310" i="1"/>
  <c r="R300" i="1"/>
  <c r="N315" i="1"/>
  <c r="R305" i="1"/>
  <c r="N303" i="1"/>
  <c r="R293" i="1"/>
  <c r="N306" i="1"/>
  <c r="R296" i="1"/>
  <c r="N322" i="1"/>
  <c r="R312" i="1"/>
  <c r="N320" i="1" l="1"/>
  <c r="R310" i="1"/>
  <c r="N325" i="1"/>
  <c r="R315" i="1"/>
  <c r="M69" i="1"/>
  <c r="Q68" i="1"/>
  <c r="N316" i="1"/>
  <c r="R306" i="1"/>
  <c r="N328" i="1"/>
  <c r="R318" i="1"/>
  <c r="N332" i="1"/>
  <c r="R322" i="1"/>
  <c r="N329" i="1"/>
  <c r="R319" i="1"/>
  <c r="N317" i="1"/>
  <c r="R307" i="1"/>
  <c r="N324" i="1"/>
  <c r="R314" i="1"/>
  <c r="N313" i="1"/>
  <c r="R303" i="1"/>
  <c r="N331" i="1"/>
  <c r="R321" i="1"/>
  <c r="N327" i="1" l="1"/>
  <c r="R317" i="1"/>
  <c r="N338" i="1"/>
  <c r="R328" i="1"/>
  <c r="M70" i="1"/>
  <c r="Q69" i="1"/>
  <c r="N342" i="1"/>
  <c r="R332" i="1"/>
  <c r="N326" i="1"/>
  <c r="R316" i="1"/>
  <c r="N341" i="1"/>
  <c r="R331" i="1"/>
  <c r="N323" i="1"/>
  <c r="R313" i="1"/>
  <c r="N339" i="1"/>
  <c r="R329" i="1"/>
  <c r="N335" i="1"/>
  <c r="R325" i="1"/>
  <c r="N334" i="1"/>
  <c r="R324" i="1"/>
  <c r="N330" i="1"/>
  <c r="R320" i="1"/>
  <c r="N351" i="1" l="1"/>
  <c r="R341" i="1"/>
  <c r="N352" i="1"/>
  <c r="R342" i="1"/>
  <c r="N333" i="1"/>
  <c r="R323" i="1"/>
  <c r="N336" i="1"/>
  <c r="R326" i="1"/>
  <c r="N348" i="1"/>
  <c r="R338" i="1"/>
  <c r="N340" i="1"/>
  <c r="R330" i="1"/>
  <c r="N349" i="1"/>
  <c r="R339" i="1"/>
  <c r="M71" i="1"/>
  <c r="Q70" i="1"/>
  <c r="N344" i="1"/>
  <c r="R334" i="1"/>
  <c r="N345" i="1"/>
  <c r="R335" i="1"/>
  <c r="N337" i="1"/>
  <c r="R327" i="1"/>
  <c r="N359" i="1" l="1"/>
  <c r="R349" i="1"/>
  <c r="M72" i="1"/>
  <c r="Q71" i="1"/>
  <c r="N350" i="1"/>
  <c r="R340" i="1"/>
  <c r="N355" i="1"/>
  <c r="R345" i="1"/>
  <c r="N346" i="1"/>
  <c r="R336" i="1"/>
  <c r="N343" i="1"/>
  <c r="R333" i="1"/>
  <c r="N358" i="1"/>
  <c r="R348" i="1"/>
  <c r="N347" i="1"/>
  <c r="R337" i="1"/>
  <c r="N362" i="1"/>
  <c r="R352" i="1"/>
  <c r="N354" i="1"/>
  <c r="R344" i="1"/>
  <c r="N361" i="1"/>
  <c r="R351" i="1"/>
  <c r="N357" i="1" l="1"/>
  <c r="R347" i="1"/>
  <c r="N365" i="1"/>
  <c r="R355" i="1"/>
  <c r="N368" i="1"/>
  <c r="R358" i="1"/>
  <c r="N371" i="1"/>
  <c r="R361" i="1"/>
  <c r="N364" i="1"/>
  <c r="R354" i="1"/>
  <c r="N353" i="1"/>
  <c r="R343" i="1"/>
  <c r="N356" i="1"/>
  <c r="R346" i="1"/>
  <c r="N360" i="1"/>
  <c r="R350" i="1"/>
  <c r="M73" i="1"/>
  <c r="Q72" i="1"/>
  <c r="N372" i="1"/>
  <c r="R362" i="1"/>
  <c r="N369" i="1"/>
  <c r="R359" i="1"/>
  <c r="N370" i="1" l="1"/>
  <c r="R360" i="1"/>
  <c r="N363" i="1"/>
  <c r="R353" i="1"/>
  <c r="N382" i="1"/>
  <c r="R372" i="1"/>
  <c r="N366" i="1"/>
  <c r="R356" i="1"/>
  <c r="N381" i="1"/>
  <c r="R371" i="1"/>
  <c r="N378" i="1"/>
  <c r="R368" i="1"/>
  <c r="N374" i="1"/>
  <c r="R364" i="1"/>
  <c r="N379" i="1"/>
  <c r="R369" i="1"/>
  <c r="N375" i="1"/>
  <c r="R365" i="1"/>
  <c r="M74" i="1"/>
  <c r="Q73" i="1"/>
  <c r="N367" i="1"/>
  <c r="R357" i="1"/>
  <c r="N389" i="1" l="1"/>
  <c r="R379" i="1"/>
  <c r="N384" i="1"/>
  <c r="R374" i="1"/>
  <c r="N376" i="1"/>
  <c r="R366" i="1"/>
  <c r="M75" i="1"/>
  <c r="Q74" i="1"/>
  <c r="N391" i="1"/>
  <c r="R381" i="1"/>
  <c r="N377" i="1"/>
  <c r="R367" i="1"/>
  <c r="N388" i="1"/>
  <c r="R378" i="1"/>
  <c r="N392" i="1"/>
  <c r="R382" i="1"/>
  <c r="N373" i="1"/>
  <c r="R363" i="1"/>
  <c r="N385" i="1"/>
  <c r="R375" i="1"/>
  <c r="N380" i="1"/>
  <c r="R370" i="1"/>
  <c r="N401" i="1" l="1"/>
  <c r="R401" i="1" s="1"/>
  <c r="R391" i="1"/>
  <c r="N402" i="1"/>
  <c r="R402" i="1" s="1"/>
  <c r="R392" i="1"/>
  <c r="N387" i="1"/>
  <c r="R377" i="1"/>
  <c r="N395" i="1"/>
  <c r="R395" i="1" s="1"/>
  <c r="R385" i="1"/>
  <c r="N398" i="1"/>
  <c r="R398" i="1" s="1"/>
  <c r="R388" i="1"/>
  <c r="N386" i="1"/>
  <c r="R376" i="1"/>
  <c r="M76" i="1"/>
  <c r="Q75" i="1"/>
  <c r="N390" i="1"/>
  <c r="R380" i="1"/>
  <c r="N394" i="1"/>
  <c r="R394" i="1" s="1"/>
  <c r="R384" i="1"/>
  <c r="N383" i="1"/>
  <c r="R373" i="1"/>
  <c r="N399" i="1"/>
  <c r="R399" i="1" s="1"/>
  <c r="R389" i="1"/>
  <c r="N400" i="1" l="1"/>
  <c r="R400" i="1" s="1"/>
  <c r="R390" i="1"/>
  <c r="M77" i="1"/>
  <c r="Q76" i="1"/>
  <c r="N393" i="1"/>
  <c r="R393" i="1" s="1"/>
  <c r="R383" i="1"/>
  <c r="V2" i="1"/>
  <c r="N396" i="1"/>
  <c r="R396" i="1" s="1"/>
  <c r="R386" i="1"/>
  <c r="N397" i="1"/>
  <c r="R397" i="1" s="1"/>
  <c r="R387" i="1"/>
  <c r="M78" i="1" l="1"/>
  <c r="Q77" i="1"/>
  <c r="M79" i="1" l="1"/>
  <c r="Q78" i="1"/>
  <c r="M80" i="1" l="1"/>
  <c r="Q79" i="1"/>
  <c r="Q80" i="1" l="1"/>
  <c r="M82" i="1"/>
  <c r="Q82" i="1" s="1"/>
  <c r="M83" i="1" l="1"/>
  <c r="Q83" i="1" l="1"/>
  <c r="M84" i="1"/>
  <c r="M85" i="1" l="1"/>
  <c r="Q84" i="1"/>
  <c r="M86" i="1" l="1"/>
  <c r="Q85" i="1"/>
  <c r="M87" i="1" l="1"/>
  <c r="Q86" i="1"/>
  <c r="M88" i="1" l="1"/>
  <c r="Q87" i="1"/>
  <c r="M89" i="1" l="1"/>
  <c r="Q88" i="1"/>
  <c r="M90" i="1" l="1"/>
  <c r="Q89" i="1"/>
  <c r="M91" i="1" l="1"/>
  <c r="Q90" i="1"/>
  <c r="M92" i="1" l="1"/>
  <c r="Q91" i="1"/>
  <c r="M93" i="1" l="1"/>
  <c r="Q92" i="1"/>
  <c r="M94" i="1" l="1"/>
  <c r="Q93" i="1"/>
  <c r="M95" i="1" l="1"/>
  <c r="Q94" i="1"/>
  <c r="M96" i="1" l="1"/>
  <c r="Q95" i="1"/>
  <c r="M97" i="1" l="1"/>
  <c r="Q96" i="1"/>
  <c r="M98" i="1" l="1"/>
  <c r="Q97" i="1"/>
  <c r="M99" i="1" l="1"/>
  <c r="Q98" i="1"/>
  <c r="M100" i="1" l="1"/>
  <c r="Q99" i="1"/>
  <c r="M101" i="1" l="1"/>
  <c r="Q100" i="1"/>
  <c r="M102" i="1" l="1"/>
  <c r="Q101" i="1"/>
  <c r="M103" i="1" l="1"/>
  <c r="Q102" i="1"/>
  <c r="M104" i="1" l="1"/>
  <c r="Q103" i="1"/>
  <c r="M105" i="1" l="1"/>
  <c r="Q104" i="1"/>
  <c r="M106" i="1" l="1"/>
  <c r="Q105" i="1"/>
  <c r="M107" i="1" l="1"/>
  <c r="Q106" i="1"/>
  <c r="M108" i="1" l="1"/>
  <c r="Q107" i="1"/>
  <c r="M109" i="1" l="1"/>
  <c r="Q108" i="1"/>
  <c r="M110" i="1" l="1"/>
  <c r="Q109" i="1"/>
  <c r="M111" i="1" l="1"/>
  <c r="Q110" i="1"/>
  <c r="M112" i="1" l="1"/>
  <c r="Q111" i="1"/>
  <c r="M113" i="1" l="1"/>
  <c r="Q112" i="1"/>
  <c r="M114" i="1" l="1"/>
  <c r="Q113" i="1"/>
  <c r="M115" i="1" l="1"/>
  <c r="Q114" i="1"/>
  <c r="M116" i="1" l="1"/>
  <c r="Q115" i="1"/>
  <c r="M117" i="1" l="1"/>
  <c r="Q116" i="1"/>
  <c r="M118" i="1" l="1"/>
  <c r="Q117" i="1"/>
  <c r="M119" i="1" l="1"/>
  <c r="Q118" i="1"/>
  <c r="M120" i="1" l="1"/>
  <c r="Q119" i="1"/>
  <c r="M121" i="1" l="1"/>
  <c r="Q120" i="1"/>
  <c r="M122" i="1" l="1"/>
  <c r="Q121" i="1"/>
  <c r="M123" i="1" l="1"/>
  <c r="Q122" i="1"/>
  <c r="M124" i="1" l="1"/>
  <c r="Q123" i="1"/>
  <c r="M125" i="1" l="1"/>
  <c r="Q124" i="1"/>
  <c r="M126" i="1" l="1"/>
  <c r="Q125" i="1"/>
  <c r="M127" i="1" l="1"/>
  <c r="Q126" i="1"/>
  <c r="M128" i="1" l="1"/>
  <c r="Q127" i="1"/>
  <c r="M129" i="1" l="1"/>
  <c r="Q128" i="1"/>
  <c r="M130" i="1" l="1"/>
  <c r="Q129" i="1"/>
  <c r="M131" i="1" l="1"/>
  <c r="Q130" i="1"/>
  <c r="M132" i="1" l="1"/>
  <c r="Q131" i="1"/>
  <c r="M133" i="1" l="1"/>
  <c r="Q132" i="1"/>
  <c r="M134" i="1" l="1"/>
  <c r="Q133" i="1"/>
  <c r="M135" i="1" l="1"/>
  <c r="Q134" i="1"/>
  <c r="M136" i="1" l="1"/>
  <c r="Q135" i="1"/>
  <c r="M137" i="1" l="1"/>
  <c r="Q136" i="1"/>
  <c r="M138" i="1" l="1"/>
  <c r="Q137" i="1"/>
  <c r="M139" i="1" l="1"/>
  <c r="Q138" i="1"/>
  <c r="M140" i="1" l="1"/>
  <c r="Q139" i="1"/>
  <c r="M141" i="1" l="1"/>
  <c r="Q140" i="1"/>
  <c r="M142" i="1" l="1"/>
  <c r="Q141" i="1"/>
  <c r="M143" i="1" l="1"/>
  <c r="Q142" i="1"/>
  <c r="M144" i="1" l="1"/>
  <c r="Q143" i="1"/>
  <c r="M145" i="1" l="1"/>
  <c r="Q144" i="1"/>
  <c r="M146" i="1" l="1"/>
  <c r="Q145" i="1"/>
  <c r="M147" i="1" l="1"/>
  <c r="Q146" i="1"/>
  <c r="M148" i="1" l="1"/>
  <c r="Q147" i="1"/>
  <c r="M149" i="1" l="1"/>
  <c r="Q148" i="1"/>
  <c r="M150" i="1" l="1"/>
  <c r="Q149" i="1"/>
  <c r="M151" i="1" l="1"/>
  <c r="Q150" i="1"/>
  <c r="M152" i="1" l="1"/>
  <c r="Q151" i="1"/>
  <c r="M153" i="1" l="1"/>
  <c r="Q152" i="1"/>
  <c r="M154" i="1" l="1"/>
  <c r="Q153" i="1"/>
  <c r="M155" i="1" l="1"/>
  <c r="Q154" i="1"/>
  <c r="M156" i="1" l="1"/>
  <c r="Q155" i="1"/>
  <c r="M157" i="1" l="1"/>
  <c r="Q156" i="1"/>
  <c r="M158" i="1" l="1"/>
  <c r="Q157" i="1"/>
  <c r="M159" i="1" l="1"/>
  <c r="Q158" i="1"/>
  <c r="M160" i="1" l="1"/>
  <c r="Q159" i="1"/>
  <c r="M161" i="1" l="1"/>
  <c r="Q160" i="1"/>
  <c r="M162" i="1" l="1"/>
  <c r="Q161" i="1"/>
  <c r="M163" i="1" l="1"/>
  <c r="Q162" i="1"/>
  <c r="M164" i="1" l="1"/>
  <c r="Q163" i="1"/>
  <c r="M165" i="1" l="1"/>
  <c r="Q164" i="1"/>
  <c r="M166" i="1" l="1"/>
  <c r="Q165" i="1"/>
  <c r="M167" i="1" l="1"/>
  <c r="Q166" i="1"/>
  <c r="M168" i="1" l="1"/>
  <c r="Q167" i="1"/>
  <c r="M169" i="1" l="1"/>
  <c r="Q168" i="1"/>
  <c r="M170" i="1" l="1"/>
  <c r="Q169" i="1"/>
  <c r="M171" i="1" l="1"/>
  <c r="Q170" i="1"/>
  <c r="M172" i="1" l="1"/>
  <c r="Q171" i="1"/>
  <c r="M173" i="1" l="1"/>
  <c r="Q172" i="1"/>
  <c r="M174" i="1" l="1"/>
  <c r="Q173" i="1"/>
  <c r="M175" i="1" l="1"/>
  <c r="Q174" i="1"/>
  <c r="M176" i="1" l="1"/>
  <c r="Q175" i="1"/>
  <c r="M177" i="1" l="1"/>
  <c r="Q176" i="1"/>
  <c r="M178" i="1" l="1"/>
  <c r="Q177" i="1"/>
  <c r="M179" i="1" l="1"/>
  <c r="Q178" i="1"/>
  <c r="M180" i="1" l="1"/>
  <c r="Q179" i="1"/>
  <c r="M181" i="1" l="1"/>
  <c r="Q180" i="1"/>
  <c r="M182" i="1" l="1"/>
  <c r="Q181" i="1"/>
  <c r="M183" i="1" l="1"/>
  <c r="Q182" i="1"/>
  <c r="M184" i="1" l="1"/>
  <c r="Q183" i="1"/>
  <c r="M185" i="1" l="1"/>
  <c r="Q184" i="1"/>
  <c r="M186" i="1" l="1"/>
  <c r="Q185" i="1"/>
  <c r="M187" i="1" l="1"/>
  <c r="Q186" i="1"/>
  <c r="M188" i="1" l="1"/>
  <c r="Q187" i="1"/>
  <c r="M189" i="1" l="1"/>
  <c r="Q188" i="1"/>
  <c r="M190" i="1" l="1"/>
  <c r="Q189" i="1"/>
  <c r="M191" i="1" l="1"/>
  <c r="Q190" i="1"/>
  <c r="M192" i="1" l="1"/>
  <c r="Q191" i="1"/>
  <c r="M193" i="1" l="1"/>
  <c r="Q192" i="1"/>
  <c r="M194" i="1" l="1"/>
  <c r="Q193" i="1"/>
  <c r="M195" i="1" l="1"/>
  <c r="Q194" i="1"/>
  <c r="M196" i="1" l="1"/>
  <c r="Q195" i="1"/>
  <c r="M197" i="1" l="1"/>
  <c r="Q196" i="1"/>
  <c r="M198" i="1" l="1"/>
  <c r="Q197" i="1"/>
  <c r="M199" i="1" l="1"/>
  <c r="Q198" i="1"/>
  <c r="M200" i="1" l="1"/>
  <c r="Q199" i="1"/>
  <c r="M201" i="1" l="1"/>
  <c r="Q200" i="1"/>
  <c r="M202" i="1" l="1"/>
  <c r="Q201" i="1"/>
  <c r="M203" i="1" l="1"/>
  <c r="Q202" i="1"/>
  <c r="M204" i="1" l="1"/>
  <c r="Q203" i="1"/>
  <c r="M205" i="1" l="1"/>
  <c r="Q204" i="1"/>
  <c r="M206" i="1" l="1"/>
  <c r="Q205" i="1"/>
  <c r="M207" i="1" l="1"/>
  <c r="Q206" i="1"/>
  <c r="M208" i="1" l="1"/>
  <c r="Q207" i="1"/>
  <c r="M209" i="1" l="1"/>
  <c r="Q208" i="1"/>
  <c r="M210" i="1" l="1"/>
  <c r="Q209" i="1"/>
  <c r="M211" i="1" l="1"/>
  <c r="Q210" i="1"/>
  <c r="M212" i="1" l="1"/>
  <c r="Q211" i="1"/>
  <c r="M213" i="1" l="1"/>
  <c r="Q212" i="1"/>
  <c r="M214" i="1" l="1"/>
  <c r="Q213" i="1"/>
  <c r="M215" i="1" l="1"/>
  <c r="Q214" i="1"/>
  <c r="M216" i="1" l="1"/>
  <c r="Q215" i="1"/>
  <c r="M217" i="1" l="1"/>
  <c r="Q216" i="1"/>
  <c r="M218" i="1" l="1"/>
  <c r="Q217" i="1"/>
  <c r="M219" i="1" l="1"/>
  <c r="Q218" i="1"/>
  <c r="M220" i="1" l="1"/>
  <c r="Q219" i="1"/>
  <c r="M221" i="1" l="1"/>
  <c r="Q220" i="1"/>
  <c r="M222" i="1" l="1"/>
  <c r="Q221" i="1"/>
  <c r="M223" i="1" l="1"/>
  <c r="Q222" i="1"/>
  <c r="M224" i="1" l="1"/>
  <c r="Q223" i="1"/>
  <c r="M225" i="1" l="1"/>
  <c r="Q224" i="1"/>
  <c r="M226" i="1" l="1"/>
  <c r="Q225" i="1"/>
  <c r="M227" i="1" l="1"/>
  <c r="Q226" i="1"/>
  <c r="M228" i="1" l="1"/>
  <c r="Q227" i="1"/>
  <c r="M229" i="1" l="1"/>
  <c r="Q228" i="1"/>
  <c r="M230" i="1" l="1"/>
  <c r="Q229" i="1"/>
  <c r="M231" i="1" l="1"/>
  <c r="Q230" i="1"/>
  <c r="M232" i="1" l="1"/>
  <c r="Q231" i="1"/>
  <c r="M233" i="1" l="1"/>
  <c r="Q232" i="1"/>
  <c r="M234" i="1" l="1"/>
  <c r="Q233" i="1"/>
  <c r="M235" i="1" l="1"/>
  <c r="Q234" i="1"/>
  <c r="M236" i="1" l="1"/>
  <c r="Q235" i="1"/>
  <c r="M237" i="1" l="1"/>
  <c r="Q236" i="1"/>
  <c r="M238" i="1" l="1"/>
  <c r="Q237" i="1"/>
  <c r="M239" i="1" l="1"/>
  <c r="Q238" i="1"/>
  <c r="M240" i="1" l="1"/>
  <c r="Q239" i="1"/>
  <c r="M241" i="1" l="1"/>
  <c r="Q240" i="1"/>
  <c r="M242" i="1" l="1"/>
  <c r="Q241" i="1"/>
  <c r="M243" i="1" l="1"/>
  <c r="Q242" i="1"/>
  <c r="M244" i="1" l="1"/>
  <c r="Q243" i="1"/>
  <c r="M245" i="1" l="1"/>
  <c r="Q244" i="1"/>
  <c r="M246" i="1" l="1"/>
  <c r="Q245" i="1"/>
  <c r="M247" i="1" l="1"/>
  <c r="Q246" i="1"/>
  <c r="M248" i="1" l="1"/>
  <c r="Q247" i="1"/>
  <c r="M249" i="1" l="1"/>
  <c r="Q248" i="1"/>
  <c r="M250" i="1" l="1"/>
  <c r="Q249" i="1"/>
  <c r="M251" i="1" l="1"/>
  <c r="Q250" i="1"/>
  <c r="M252" i="1" l="1"/>
  <c r="Q251" i="1"/>
  <c r="M253" i="1" l="1"/>
  <c r="Q252" i="1"/>
  <c r="M254" i="1" l="1"/>
  <c r="Q253" i="1"/>
  <c r="M255" i="1" l="1"/>
  <c r="Q254" i="1"/>
  <c r="M256" i="1" l="1"/>
  <c r="Q255" i="1"/>
  <c r="M257" i="1" l="1"/>
  <c r="Q256" i="1"/>
  <c r="M258" i="1" l="1"/>
  <c r="Q257" i="1"/>
  <c r="M259" i="1" l="1"/>
  <c r="Q258" i="1"/>
  <c r="M260" i="1" l="1"/>
  <c r="Q259" i="1"/>
  <c r="M261" i="1" l="1"/>
  <c r="Q260" i="1"/>
  <c r="M262" i="1" l="1"/>
  <c r="Q261" i="1"/>
  <c r="M263" i="1" l="1"/>
  <c r="Q262" i="1"/>
  <c r="M264" i="1" l="1"/>
  <c r="Q263" i="1"/>
  <c r="M265" i="1" l="1"/>
  <c r="Q264" i="1"/>
  <c r="M266" i="1" l="1"/>
  <c r="Q265" i="1"/>
  <c r="M267" i="1" l="1"/>
  <c r="Q266" i="1"/>
  <c r="M268" i="1" l="1"/>
  <c r="Q267" i="1"/>
  <c r="M269" i="1" l="1"/>
  <c r="Q268" i="1"/>
  <c r="M270" i="1" l="1"/>
  <c r="Q269" i="1"/>
  <c r="M271" i="1" l="1"/>
  <c r="Q270" i="1"/>
  <c r="M272" i="1" l="1"/>
  <c r="Q271" i="1"/>
  <c r="M273" i="1" l="1"/>
  <c r="Q272" i="1"/>
  <c r="M274" i="1" l="1"/>
  <c r="Q273" i="1"/>
  <c r="M275" i="1" l="1"/>
  <c r="Q274" i="1"/>
  <c r="M276" i="1" l="1"/>
  <c r="Q275" i="1"/>
  <c r="M277" i="1" l="1"/>
  <c r="Q276" i="1"/>
  <c r="M278" i="1" l="1"/>
  <c r="Q277" i="1"/>
  <c r="M279" i="1" l="1"/>
  <c r="Q278" i="1"/>
  <c r="M280" i="1" l="1"/>
  <c r="Q279" i="1"/>
  <c r="M281" i="1" l="1"/>
  <c r="Q280" i="1"/>
  <c r="M282" i="1" l="1"/>
  <c r="Q281" i="1"/>
  <c r="M283" i="1" l="1"/>
  <c r="Q282" i="1"/>
  <c r="M284" i="1" l="1"/>
  <c r="Q283" i="1"/>
  <c r="M285" i="1" l="1"/>
  <c r="Q284" i="1"/>
  <c r="M286" i="1" l="1"/>
  <c r="Q285" i="1"/>
  <c r="M287" i="1" l="1"/>
  <c r="Q286" i="1"/>
  <c r="M288" i="1" l="1"/>
  <c r="Q287" i="1"/>
  <c r="M289" i="1" l="1"/>
  <c r="Q288" i="1"/>
  <c r="M290" i="1" l="1"/>
  <c r="Q289" i="1"/>
  <c r="M291" i="1" l="1"/>
  <c r="Q290" i="1"/>
  <c r="M292" i="1" l="1"/>
  <c r="Q291" i="1"/>
  <c r="M293" i="1" l="1"/>
  <c r="Q292" i="1"/>
  <c r="M294" i="1" l="1"/>
  <c r="Q293" i="1"/>
  <c r="M295" i="1" l="1"/>
  <c r="Q294" i="1"/>
  <c r="M296" i="1" l="1"/>
  <c r="Q295" i="1"/>
  <c r="M297" i="1" l="1"/>
  <c r="Q296" i="1"/>
  <c r="M298" i="1" l="1"/>
  <c r="Q297" i="1"/>
  <c r="M299" i="1" l="1"/>
  <c r="Q298" i="1"/>
  <c r="M300" i="1" l="1"/>
  <c r="Q299" i="1"/>
  <c r="M301" i="1" l="1"/>
  <c r="Q300" i="1"/>
  <c r="M302" i="1" l="1"/>
  <c r="Q301" i="1"/>
  <c r="M303" i="1" l="1"/>
  <c r="Q302" i="1"/>
  <c r="M304" i="1" l="1"/>
  <c r="Q303" i="1"/>
  <c r="M305" i="1" l="1"/>
  <c r="Q304" i="1"/>
  <c r="M306" i="1" l="1"/>
  <c r="Q305" i="1"/>
  <c r="M307" i="1" l="1"/>
  <c r="Q306" i="1"/>
  <c r="M308" i="1" l="1"/>
  <c r="Q307" i="1"/>
  <c r="M309" i="1" l="1"/>
  <c r="Q308" i="1"/>
  <c r="M310" i="1" l="1"/>
  <c r="Q309" i="1"/>
  <c r="M311" i="1" l="1"/>
  <c r="Q310" i="1"/>
  <c r="M312" i="1" l="1"/>
  <c r="Q311" i="1"/>
  <c r="M313" i="1" l="1"/>
  <c r="Q312" i="1"/>
  <c r="M314" i="1" l="1"/>
  <c r="Q313" i="1"/>
  <c r="M315" i="1" l="1"/>
  <c r="Q314" i="1"/>
  <c r="M316" i="1" l="1"/>
  <c r="Q315" i="1"/>
  <c r="M317" i="1" l="1"/>
  <c r="Q316" i="1"/>
  <c r="M318" i="1" l="1"/>
  <c r="Q317" i="1"/>
  <c r="M319" i="1" l="1"/>
  <c r="Q318" i="1"/>
  <c r="M320" i="1" l="1"/>
  <c r="Q319" i="1"/>
  <c r="M321" i="1" l="1"/>
  <c r="Q320" i="1"/>
  <c r="M322" i="1" l="1"/>
  <c r="Q321" i="1"/>
  <c r="M323" i="1" l="1"/>
  <c r="Q322" i="1"/>
  <c r="M324" i="1" l="1"/>
  <c r="Q323" i="1"/>
  <c r="M325" i="1" l="1"/>
  <c r="Q324" i="1"/>
  <c r="M326" i="1" l="1"/>
  <c r="Q325" i="1"/>
  <c r="M327" i="1" l="1"/>
  <c r="Q326" i="1"/>
  <c r="M328" i="1" l="1"/>
  <c r="Q327" i="1"/>
  <c r="M329" i="1" l="1"/>
  <c r="Q328" i="1"/>
  <c r="M330" i="1" l="1"/>
  <c r="Q329" i="1"/>
  <c r="M331" i="1" l="1"/>
  <c r="Q330" i="1"/>
  <c r="M332" i="1" l="1"/>
  <c r="Q331" i="1"/>
  <c r="M333" i="1" l="1"/>
  <c r="Q332" i="1"/>
  <c r="M334" i="1" l="1"/>
  <c r="Q333" i="1"/>
  <c r="M335" i="1" l="1"/>
  <c r="Q334" i="1"/>
  <c r="M336" i="1" l="1"/>
  <c r="Q335" i="1"/>
  <c r="M337" i="1" l="1"/>
  <c r="Q336" i="1"/>
  <c r="M338" i="1" l="1"/>
  <c r="Q337" i="1"/>
  <c r="M339" i="1" l="1"/>
  <c r="Q338" i="1"/>
  <c r="M340" i="1" l="1"/>
  <c r="Q339" i="1"/>
  <c r="M341" i="1" l="1"/>
  <c r="Q340" i="1"/>
  <c r="M342" i="1" l="1"/>
  <c r="Q341" i="1"/>
  <c r="M343" i="1" l="1"/>
  <c r="Q342" i="1"/>
  <c r="M344" i="1" l="1"/>
  <c r="Q343" i="1"/>
  <c r="M345" i="1" l="1"/>
  <c r="Q344" i="1"/>
  <c r="M346" i="1" l="1"/>
  <c r="Q345" i="1"/>
  <c r="M347" i="1" l="1"/>
  <c r="Q346" i="1"/>
  <c r="M348" i="1" l="1"/>
  <c r="Q347" i="1"/>
  <c r="M349" i="1" l="1"/>
  <c r="Q348" i="1"/>
  <c r="M350" i="1" l="1"/>
  <c r="Q349" i="1"/>
  <c r="M351" i="1" l="1"/>
  <c r="Q350" i="1"/>
  <c r="M352" i="1" l="1"/>
  <c r="Q351" i="1"/>
  <c r="M353" i="1" l="1"/>
  <c r="Q352" i="1"/>
  <c r="M354" i="1" l="1"/>
  <c r="Q353" i="1"/>
  <c r="M355" i="1" l="1"/>
  <c r="Q354" i="1"/>
  <c r="M356" i="1" l="1"/>
  <c r="Q355" i="1"/>
  <c r="M357" i="1" l="1"/>
  <c r="Q356" i="1"/>
  <c r="M358" i="1" l="1"/>
  <c r="Q357" i="1"/>
  <c r="M359" i="1" l="1"/>
  <c r="Q358" i="1"/>
  <c r="M360" i="1" l="1"/>
  <c r="Q359" i="1"/>
  <c r="M361" i="1" l="1"/>
  <c r="Q360" i="1"/>
  <c r="M362" i="1" l="1"/>
  <c r="Q361" i="1"/>
  <c r="M363" i="1" l="1"/>
  <c r="Q362" i="1"/>
  <c r="M364" i="1" l="1"/>
  <c r="Q363" i="1"/>
  <c r="M365" i="1" l="1"/>
  <c r="Q364" i="1"/>
  <c r="M366" i="1" l="1"/>
  <c r="Q365" i="1"/>
  <c r="M367" i="1" l="1"/>
  <c r="Q366" i="1"/>
  <c r="M368" i="1" l="1"/>
  <c r="Q367" i="1"/>
  <c r="M369" i="1" l="1"/>
  <c r="Q368" i="1"/>
  <c r="M370" i="1" l="1"/>
  <c r="Q369" i="1"/>
  <c r="M371" i="1" l="1"/>
  <c r="Q370" i="1"/>
  <c r="M372" i="1" l="1"/>
  <c r="Q371" i="1"/>
  <c r="M373" i="1" l="1"/>
  <c r="Q372" i="1"/>
  <c r="M374" i="1" l="1"/>
  <c r="Q373" i="1"/>
  <c r="M375" i="1" l="1"/>
  <c r="Q374" i="1"/>
  <c r="M376" i="1" l="1"/>
  <c r="Q375" i="1"/>
  <c r="M377" i="1" l="1"/>
  <c r="Q376" i="1"/>
  <c r="M378" i="1" l="1"/>
  <c r="Q377" i="1"/>
  <c r="M379" i="1" l="1"/>
  <c r="Q378" i="1"/>
  <c r="M380" i="1" l="1"/>
  <c r="Q379" i="1"/>
  <c r="M381" i="1" l="1"/>
  <c r="Q380" i="1"/>
  <c r="M382" i="1" l="1"/>
  <c r="Q381" i="1"/>
  <c r="M383" i="1" l="1"/>
  <c r="Q382" i="1"/>
  <c r="M384" i="1" l="1"/>
  <c r="Q383" i="1"/>
  <c r="M385" i="1" l="1"/>
  <c r="Q384" i="1"/>
  <c r="M386" i="1" l="1"/>
  <c r="Q385" i="1"/>
  <c r="M387" i="1" l="1"/>
  <c r="Q386" i="1"/>
  <c r="M388" i="1" l="1"/>
  <c r="Q387" i="1"/>
  <c r="M389" i="1" l="1"/>
  <c r="Q388" i="1"/>
  <c r="M390" i="1" l="1"/>
  <c r="Q389" i="1"/>
  <c r="M391" i="1" l="1"/>
  <c r="Q390" i="1"/>
  <c r="M392" i="1" l="1"/>
  <c r="Q391" i="1"/>
  <c r="M393" i="1" l="1"/>
  <c r="Q392" i="1"/>
  <c r="M394" i="1" l="1"/>
  <c r="Q393" i="1"/>
  <c r="M395" i="1" l="1"/>
  <c r="Q394" i="1"/>
  <c r="M396" i="1" l="1"/>
  <c r="Q395" i="1"/>
  <c r="M397" i="1" l="1"/>
  <c r="Q396" i="1"/>
  <c r="M398" i="1" l="1"/>
  <c r="Q397" i="1"/>
  <c r="M399" i="1" l="1"/>
  <c r="Q398" i="1"/>
  <c r="M400" i="1" l="1"/>
  <c r="Q399" i="1"/>
  <c r="M401" i="1" l="1"/>
  <c r="Q400" i="1"/>
  <c r="M402" i="1" l="1"/>
  <c r="Q402" i="1" s="1"/>
  <c r="U2" i="1" s="1"/>
  <c r="Q401" i="1"/>
</calcChain>
</file>

<file path=xl/sharedStrings.xml><?xml version="1.0" encoding="utf-8"?>
<sst xmlns="http://schemas.openxmlformats.org/spreadsheetml/2006/main" count="167" uniqueCount="84">
  <si>
    <t>A1</t>
  </si>
  <si>
    <t>A2</t>
  </si>
  <si>
    <t>B1</t>
  </si>
  <si>
    <t>B2</t>
  </si>
  <si>
    <t>Параметры исходные</t>
  </si>
  <si>
    <t>ЦД (T0)</t>
  </si>
  <si>
    <t>K</t>
  </si>
  <si>
    <t>τ</t>
  </si>
  <si>
    <t>T1</t>
  </si>
  <si>
    <t>T2</t>
  </si>
  <si>
    <t>t</t>
  </si>
  <si>
    <t>x(t)</t>
  </si>
  <si>
    <t>y(t)</t>
  </si>
  <si>
    <t>y(n*T01)</t>
  </si>
  <si>
    <t>y(n*T02)</t>
  </si>
  <si>
    <t>y(n*T03)</t>
  </si>
  <si>
    <t>T01</t>
  </si>
  <si>
    <t>T02</t>
  </si>
  <si>
    <t>T03</t>
  </si>
  <si>
    <t>max1</t>
  </si>
  <si>
    <t>max2</t>
  </si>
  <si>
    <t>max3</t>
  </si>
  <si>
    <t>регулятор</t>
  </si>
  <si>
    <t>Kr</t>
  </si>
  <si>
    <t>Ti</t>
  </si>
  <si>
    <t>Td</t>
  </si>
  <si>
    <t>ЭНП</t>
  </si>
  <si>
    <t>Тц</t>
  </si>
  <si>
    <t>ЭТТ</t>
  </si>
  <si>
    <t>q0</t>
  </si>
  <si>
    <t>q1</t>
  </si>
  <si>
    <t>q2</t>
  </si>
  <si>
    <t>t,с</t>
  </si>
  <si>
    <t>e</t>
  </si>
  <si>
    <t>T=1</t>
  </si>
  <si>
    <t>T=5</t>
  </si>
  <si>
    <t>T=10</t>
  </si>
  <si>
    <t>Параметры обьекта</t>
  </si>
  <si>
    <t>Т0</t>
  </si>
  <si>
    <t>g(nT0)</t>
  </si>
  <si>
    <t>e(nT0)</t>
  </si>
  <si>
    <t>u(nT0)</t>
  </si>
  <si>
    <t>u(t)</t>
  </si>
  <si>
    <t>f(t)</t>
  </si>
  <si>
    <t>x*(t)</t>
  </si>
  <si>
    <t>s(t)</t>
  </si>
  <si>
    <t>y(nT0)</t>
  </si>
  <si>
    <t>tau</t>
  </si>
  <si>
    <t>T0</t>
  </si>
  <si>
    <t>Параметры регулятор</t>
  </si>
  <si>
    <t>kr</t>
  </si>
  <si>
    <t>g(nT1)</t>
  </si>
  <si>
    <t>g(nT2)</t>
  </si>
  <si>
    <t>Ks</t>
  </si>
  <si>
    <t>Kf</t>
  </si>
  <si>
    <t>n</t>
  </si>
  <si>
    <t>(300 с)</t>
  </si>
  <si>
    <t>Граница низ</t>
  </si>
  <si>
    <t>Граница верх</t>
  </si>
  <si>
    <t>Вход</t>
  </si>
  <si>
    <t>Время регулирования</t>
  </si>
  <si>
    <t>Перерегулирование</t>
  </si>
  <si>
    <t>Δ</t>
  </si>
  <si>
    <t>tрег</t>
  </si>
  <si>
    <t>σ, %</t>
  </si>
  <si>
    <t>I2</t>
  </si>
  <si>
    <t>I3</t>
  </si>
  <si>
    <t>I4</t>
  </si>
  <si>
    <t>сумма I2</t>
  </si>
  <si>
    <t>сумма I3</t>
  </si>
  <si>
    <t>сумма I4</t>
  </si>
  <si>
    <t>-</t>
  </si>
  <si>
    <r>
      <t>T</t>
    </r>
    <r>
      <rPr>
        <vertAlign val="subscript"/>
        <sz val="11"/>
        <rFont val="Times New Roman"/>
        <family val="1"/>
        <charset val="204"/>
      </rPr>
      <t>ц</t>
    </r>
    <r>
      <rPr>
        <sz val="14"/>
        <rFont val="Times New Roman"/>
        <family val="1"/>
        <charset val="204"/>
      </rPr>
      <t>, с </t>
    </r>
  </si>
  <si>
    <t>1 </t>
  </si>
  <si>
    <t>2 </t>
  </si>
  <si>
    <t>3 </t>
  </si>
  <si>
    <t>4 </t>
  </si>
  <si>
    <t>5 </t>
  </si>
  <si>
    <t>6 </t>
  </si>
  <si>
    <r>
      <t>T</t>
    </r>
    <r>
      <rPr>
        <vertAlign val="subscript"/>
        <sz val="11"/>
        <rFont val="Times New Roman"/>
        <family val="1"/>
        <charset val="204"/>
      </rPr>
      <t>рег</t>
    </r>
    <r>
      <rPr>
        <sz val="14"/>
        <rFont val="Times New Roman"/>
        <family val="1"/>
        <charset val="204"/>
      </rPr>
      <t>, с </t>
    </r>
  </si>
  <si>
    <r>
      <t>σ</t>
    </r>
    <r>
      <rPr>
        <sz val="14"/>
        <rFont val="Times New Roman"/>
        <family val="1"/>
        <charset val="204"/>
      </rPr>
      <t>, % </t>
    </r>
  </si>
  <si>
    <r>
      <t>I3</t>
    </r>
    <r>
      <rPr>
        <sz val="11"/>
        <rFont val="Times New Roman"/>
        <family val="1"/>
        <charset val="204"/>
      </rPr>
      <t> </t>
    </r>
  </si>
  <si>
    <t>I2 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</si>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</sst>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8"/>
      <color rgb="FF1D1D1F"/>
      <name val="Arial"/>
      <family val="2"/>
      <charset val="204"/>
    </font>
    <font>
      <sz val="8"/>
      <name val="Calibri"/>
      <family val="2"/>
      <charset val="204"/>
      <scheme val="minor"/>
    </font>
    <font>
      <i/>
      <sz val="14"/>
      <name val="Times New Roman"/>
      <family val="1"/>
      <charset val="204"/>
    </font>
    <font>
      <sz val="11"/>
      <name val="Times New Roman"/>
      <family val="1"/>
      <charset val="204"/>
    </font>
    <font>
      <vertAlign val="subscript"/>
      <sz val="11"/>
      <name val="Times New Roman"/>
      <family val="1"/>
      <charset val="204"/>
    </font>
    <font>
      <sz val="14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2" fontId="0" fillId="0" borderId="1" xfId="0" applyNumberFormat="1" applyBorder="1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0" fontId="0" fillId="3" borderId="1" xfId="0" applyFill="1" applyBorder="1" applyAlignment="1">
      <alignment horizontal="center"/>
    </xf>
    <xf numFmtId="2" fontId="0" fillId="3" borderId="1" xfId="0" applyNumberFormat="1" applyFill="1" applyBorder="1"/>
    <xf numFmtId="2" fontId="0" fillId="3" borderId="2" xfId="0" applyNumberFormat="1" applyFill="1" applyBorder="1"/>
    <xf numFmtId="0" fontId="1" fillId="2" borderId="1" xfId="0" applyFont="1" applyFill="1" applyBorder="1"/>
    <xf numFmtId="0" fontId="0" fillId="0" borderId="3" xfId="0" applyBorder="1"/>
    <xf numFmtId="0" fontId="0" fillId="0" borderId="4" xfId="0" applyBorder="1"/>
    <xf numFmtId="0" fontId="0" fillId="4" borderId="5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164" fontId="0" fillId="0" borderId="12" xfId="0" applyNumberFormat="1" applyBorder="1"/>
    <xf numFmtId="164" fontId="0" fillId="5" borderId="9" xfId="0" applyNumberFormat="1" applyFill="1" applyBorder="1"/>
    <xf numFmtId="164" fontId="0" fillId="0" borderId="10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9" xfId="0" applyNumberFormat="1" applyBorder="1"/>
    <xf numFmtId="164" fontId="0" fillId="5" borderId="13" xfId="0" applyNumberFormat="1" applyFill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5" borderId="15" xfId="0" applyNumberFormat="1" applyFill="1" applyBorder="1"/>
    <xf numFmtId="164" fontId="0" fillId="0" borderId="7" xfId="0" applyNumberFormat="1" applyBorder="1"/>
    <xf numFmtId="164" fontId="0" fillId="6" borderId="0" xfId="0" applyNumberFormat="1" applyFill="1"/>
    <xf numFmtId="164" fontId="0" fillId="7" borderId="11" xfId="0" applyNumberFormat="1" applyFill="1" applyBorder="1"/>
    <xf numFmtId="164" fontId="0" fillId="9" borderId="0" xfId="0" applyNumberFormat="1" applyFill="1"/>
    <xf numFmtId="0" fontId="3" fillId="0" borderId="0" xfId="0" applyFont="1"/>
    <xf numFmtId="164" fontId="3" fillId="0" borderId="0" xfId="0" applyNumberFormat="1" applyFont="1"/>
    <xf numFmtId="0" fontId="5" fillId="0" borderId="17" xfId="0" applyFont="1" applyBorder="1" applyAlignment="1">
      <alignment horizontal="justify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justify" vertical="center" wrapText="1"/>
    </xf>
    <xf numFmtId="0" fontId="5" fillId="0" borderId="21" xfId="0" applyFont="1" applyBorder="1" applyAlignment="1">
      <alignment horizontal="justify" vertical="center" wrapText="1"/>
    </xf>
    <xf numFmtId="0" fontId="5" fillId="0" borderId="22" xfId="0" applyFont="1" applyBorder="1" applyAlignment="1">
      <alignment horizontal="justify" vertical="center" wrapText="1"/>
    </xf>
    <xf numFmtId="164" fontId="0" fillId="0" borderId="23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164" fontId="0" fillId="4" borderId="9" xfId="0" applyNumberFormat="1" applyFill="1" applyBorder="1" applyAlignment="1">
      <alignment horizontal="center"/>
    </xf>
    <xf numFmtId="164" fontId="0" fillId="4" borderId="10" xfId="0" applyNumberFormat="1" applyFill="1" applyBorder="1" applyAlignment="1">
      <alignment horizontal="center"/>
    </xf>
    <xf numFmtId="164" fontId="0" fillId="8" borderId="13" xfId="0" applyNumberFormat="1" applyFill="1" applyBorder="1" applyAlignment="1">
      <alignment horizontal="center"/>
    </xf>
    <xf numFmtId="164" fontId="0" fillId="8" borderId="14" xfId="0" applyNumberFormat="1" applyFill="1" applyBorder="1" applyAlignment="1">
      <alignment horizontal="center"/>
    </xf>
  </cellXfs>
  <cellStyles count="2">
    <cellStyle name="Обычный" xfId="0" builtinId="0"/>
    <cellStyle name="Обычный 2" xfId="1" xr:uid="{99D3AC78-7E91-4A3A-BC40-5713F2D95FA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Лист1!$K$2:$K$402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45E2-9224-92A55B7E0B6C}"/>
            </c:ext>
          </c:extLst>
        </c:ser>
        <c:ser>
          <c:idx val="1"/>
          <c:order val="1"/>
          <c:tx>
            <c:strRef>
              <c:f>Лист1!$L$1</c:f>
              <c:strCache>
                <c:ptCount val="1"/>
                <c:pt idx="0">
                  <c:v>y(t)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Лист1!$L$2:$L$402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8.6505768172333575E-3</c:v>
                </c:pt>
                <c:pt idx="82">
                  <c:v>3.3084937238550438E-2</c:v>
                </c:pt>
                <c:pt idx="83">
                  <c:v>7.1196200442367186E-2</c:v>
                </c:pt>
                <c:pt idx="84">
                  <c:v>0.12108707700643073</c:v>
                </c:pt>
                <c:pt idx="85">
                  <c:v>0.18105128897484235</c:v>
                </c:pt>
                <c:pt idx="86">
                  <c:v>0.24955654048643439</c:v>
                </c:pt>
                <c:pt idx="87">
                  <c:v>0.32522891416971689</c:v>
                </c:pt>
                <c:pt idx="88">
                  <c:v>0.40683857832027837</c:v>
                </c:pt>
                <c:pt idx="89">
                  <c:v>0.49328669892800203</c:v>
                </c:pt>
                <c:pt idx="90">
                  <c:v>0.58359345897211945</c:v>
                </c:pt>
                <c:pt idx="91">
                  <c:v>0.67688709510546374</c:v>
                </c:pt>
                <c:pt idx="92">
                  <c:v>0.77239386895503159</c:v>
                </c:pt>
                <c:pt idx="93">
                  <c:v>0.86942889681970215</c:v>
                </c:pt>
                <c:pt idx="94">
                  <c:v>0.96738776759030198</c:v>
                </c:pt>
                <c:pt idx="95">
                  <c:v>1.0657388842910285</c:v>
                </c:pt>
                <c:pt idx="96">
                  <c:v>1.1640164697807776</c:v>
                </c:pt>
                <c:pt idx="97">
                  <c:v>1.2618141818916828</c:v>
                </c:pt>
                <c:pt idx="98">
                  <c:v>1.3587792876506608</c:v>
                </c:pt>
                <c:pt idx="99">
                  <c:v>1.4546073502569223</c:v>
                </c:pt>
                <c:pt idx="100">
                  <c:v>1.5490373862001805</c:v>
                </c:pt>
                <c:pt idx="101">
                  <c:v>1.6418474533252003</c:v>
                </c:pt>
                <c:pt idx="102">
                  <c:v>1.7328506338007892</c:v>
                </c:pt>
                <c:pt idx="103">
                  <c:v>1.8218913788560291</c:v>
                </c:pt>
                <c:pt idx="104">
                  <c:v>1.9088421848227881</c:v>
                </c:pt>
                <c:pt idx="105">
                  <c:v>1.9936005724887664</c:v>
                </c:pt>
                <c:pt idx="106">
                  <c:v>2.0760863440361801</c:v>
                </c:pt>
                <c:pt idx="107">
                  <c:v>2.1562390939325162</c:v>
                </c:pt>
                <c:pt idx="108">
                  <c:v>2.2340159520655991</c:v>
                </c:pt>
                <c:pt idx="109">
                  <c:v>2.3093895391884418</c:v>
                </c:pt>
                <c:pt idx="110">
                  <c:v>2.3823461163717612</c:v>
                </c:pt>
                <c:pt idx="111">
                  <c:v>2.452883911664657</c:v>
                </c:pt>
                <c:pt idx="112">
                  <c:v>2.5210116085469156</c:v>
                </c:pt>
                <c:pt idx="113">
                  <c:v>2.5867469820289748</c:v>
                </c:pt>
                <c:pt idx="114">
                  <c:v>2.6501156694264969</c:v>
                </c:pt>
                <c:pt idx="115">
                  <c:v>2.711150063913617</c:v>
                </c:pt>
                <c:pt idx="116">
                  <c:v>2.7698883199496445</c:v>
                </c:pt>
                <c:pt idx="117">
                  <c:v>2.8263734605850934</c:v>
                </c:pt>
                <c:pt idx="118">
                  <c:v>2.8806525774906224</c:v>
                </c:pt>
                <c:pt idx="119">
                  <c:v>2.932776115322544</c:v>
                </c:pt>
                <c:pt idx="120">
                  <c:v>2.9827972327464218</c:v>
                </c:pt>
                <c:pt idx="121">
                  <c:v>3.0307712330906686</c:v>
                </c:pt>
                <c:pt idx="122">
                  <c:v>3.0767550581997134</c:v>
                </c:pt>
                <c:pt idx="123">
                  <c:v>3.1208068396052142</c:v>
                </c:pt>
                <c:pt idx="124">
                  <c:v>3.1629855016379711</c:v>
                </c:pt>
                <c:pt idx="125">
                  <c:v>3.2033504115660527</c:v>
                </c:pt>
                <c:pt idx="126">
                  <c:v>3.2419610722696022</c:v>
                </c:pt>
                <c:pt idx="127">
                  <c:v>3.2788768533527284</c:v>
                </c:pt>
                <c:pt idx="128">
                  <c:v>3.3141567569507444</c:v>
                </c:pt>
                <c:pt idx="129">
                  <c:v>3.3478592148191719</c:v>
                </c:pt>
                <c:pt idx="130">
                  <c:v>3.3800419135919832</c:v>
                </c:pt>
                <c:pt idx="131">
                  <c:v>3.410761645372463</c:v>
                </c:pt>
                <c:pt idx="132">
                  <c:v>3.4400741810730113</c:v>
                </c:pt>
                <c:pt idx="133">
                  <c:v>3.4680341641519474</c:v>
                </c:pt>
                <c:pt idx="134">
                  <c:v>3.4946950226076439</c:v>
                </c:pt>
                <c:pt idx="135">
                  <c:v>3.5201088972847159</c:v>
                </c:pt>
                <c:pt idx="136">
                  <c:v>3.5443265847249039</c:v>
                </c:pt>
                <c:pt idx="137">
                  <c:v>3.5673974929581269</c:v>
                </c:pt>
                <c:pt idx="138">
                  <c:v>3.5893696087781111</c:v>
                </c:pt>
                <c:pt idx="139">
                  <c:v>3.6102894751832042</c:v>
                </c:pt>
                <c:pt idx="140">
                  <c:v>3.630202177787456</c:v>
                </c:pt>
                <c:pt idx="141">
                  <c:v>3.6491513391207961</c:v>
                </c:pt>
                <c:pt idx="142">
                  <c:v>3.6671791198409966</c:v>
                </c:pt>
                <c:pt idx="143">
                  <c:v>3.6843262259749503</c:v>
                </c:pt>
                <c:pt idx="144">
                  <c:v>3.7006319213932812</c:v>
                </c:pt>
                <c:pt idx="145">
                  <c:v>3.7161340448012483</c:v>
                </c:pt>
                <c:pt idx="146">
                  <c:v>3.730869030600771</c:v>
                </c:pt>
                <c:pt idx="147">
                  <c:v>3.7448719330439757</c:v>
                </c:pt>
                <c:pt idx="148">
                  <c:v>3.7581764531582746</c:v>
                </c:pt>
                <c:pt idx="149">
                  <c:v>3.770814967977294</c:v>
                </c:pt>
                <c:pt idx="150">
                  <c:v>3.782818561661319</c:v>
                </c:pt>
                <c:pt idx="151">
                  <c:v>3.7942170581357799</c:v>
                </c:pt>
                <c:pt idx="152">
                  <c:v>3.8050390549170334</c:v>
                </c:pt>
                <c:pt idx="153">
                  <c:v>3.815311957831669</c:v>
                </c:pt>
                <c:pt idx="154">
                  <c:v>3.8250620163690563</c:v>
                </c:pt>
                <c:pt idx="155">
                  <c:v>3.8343143594372382</c:v>
                </c:pt>
                <c:pt idx="156">
                  <c:v>3.8430930313197238</c:v>
                </c:pt>
                <c:pt idx="157">
                  <c:v>3.8514210276556105</c:v>
                </c:pt>
                <c:pt idx="158">
                  <c:v>3.8593203312878832</c:v>
                </c:pt>
                <c:pt idx="159">
                  <c:v>3.866811947844996</c:v>
                </c:pt>
                <c:pt idx="160">
                  <c:v>3.8739159409391095</c:v>
                </c:pt>
                <c:pt idx="161">
                  <c:v>3.8806514668807548</c:v>
                </c:pt>
                <c:pt idx="162">
                  <c:v>3.8870368088244893</c:v>
                </c:pt>
                <c:pt idx="163">
                  <c:v>3.8930894102733369</c:v>
                </c:pt>
                <c:pt idx="164">
                  <c:v>3.8988259078817071</c:v>
                </c:pt>
                <c:pt idx="165">
                  <c:v>3.9042621635070955</c:v>
                </c:pt>
                <c:pt idx="166">
                  <c:v>3.9094132954703444</c:v>
                </c:pt>
                <c:pt idx="167">
                  <c:v>3.9142937089927266</c:v>
                </c:pt>
                <c:pt idx="168">
                  <c:v>3.9189171257855895</c:v>
                </c:pt>
                <c:pt idx="169">
                  <c:v>3.9232966127749869</c:v>
                </c:pt>
                <c:pt idx="170">
                  <c:v>3.9274446099496028</c:v>
                </c:pt>
                <c:pt idx="171">
                  <c:v>3.9313729573254657</c:v>
                </c:pt>
                <c:pt idx="172">
                  <c:v>3.9350929210255203</c:v>
                </c:pt>
                <c:pt idx="173">
                  <c:v>3.9386152184760976</c:v>
                </c:pt>
                <c:pt idx="174">
                  <c:v>3.9419500427258205</c:v>
                </c:pt>
                <c:pt idx="175">
                  <c:v>3.9451070858954678</c:v>
                </c:pt>
                <c:pt idx="176">
                  <c:v>3.9480955617699385</c:v>
                </c:pt>
                <c:pt idx="177">
                  <c:v>3.95092422754565</c:v>
                </c:pt>
                <c:pt idx="178">
                  <c:v>3.9536014047485954</c:v>
                </c:pt>
                <c:pt idx="179">
                  <c:v>3.9561349993398629</c:v>
                </c:pt>
                <c:pt idx="180">
                  <c:v>3.9585325210267133</c:v>
                </c:pt>
                <c:pt idx="181">
                  <c:v>3.9608011017983804</c:v>
                </c:pt>
                <c:pt idx="182">
                  <c:v>3.9629475137066135</c:v>
                </c:pt>
                <c:pt idx="183">
                  <c:v>3.964978185911618</c:v>
                </c:pt>
                <c:pt idx="184">
                  <c:v>3.9668992210145464</c:v>
                </c:pt>
                <c:pt idx="185">
                  <c:v>3.9687164106980273</c:v>
                </c:pt>
                <c:pt idx="186">
                  <c:v>3.9704352506964047</c:v>
                </c:pt>
                <c:pt idx="187">
                  <c:v>3.9720609551174655</c:v>
                </c:pt>
                <c:pt idx="188">
                  <c:v>3.9735984701373832</c:v>
                </c:pt>
                <c:pt idx="189">
                  <c:v>3.9750524870905353</c:v>
                </c:pt>
                <c:pt idx="190">
                  <c:v>3.97642745497562</c:v>
                </c:pt>
                <c:pt idx="191">
                  <c:v>3.9777275923992894</c:v>
                </c:pt>
                <c:pt idx="192">
                  <c:v>3.9789568989781658</c:v>
                </c:pt>
                <c:pt idx="193">
                  <c:v>3.9801191662197777</c:v>
                </c:pt>
                <c:pt idx="194">
                  <c:v>3.9812179879025247</c:v>
                </c:pt>
                <c:pt idx="195">
                  <c:v>3.9822567699743776</c:v>
                </c:pt>
                <c:pt idx="196">
                  <c:v>3.9832387399895119</c:v>
                </c:pt>
                <c:pt idx="197">
                  <c:v>3.9841669561016397</c:v>
                </c:pt>
                <c:pt idx="198">
                  <c:v>3.9850443156322513</c:v>
                </c:pt>
                <c:pt idx="199">
                  <c:v>3.9858735632315008</c:v>
                </c:pt>
                <c:pt idx="200">
                  <c:v>3.9866572986489186</c:v>
                </c:pt>
                <c:pt idx="201">
                  <c:v>3.9873979841306104</c:v>
                </c:pt>
                <c:pt idx="202">
                  <c:v>3.9880979514590744</c:v>
                </c:pt>
                <c:pt idx="203">
                  <c:v>3.9887594086512168</c:v>
                </c:pt>
                <c:pt idx="204">
                  <c:v>3.9893844463296317</c:v>
                </c:pt>
                <c:pt idx="205">
                  <c:v>3.989975043781663</c:v>
                </c:pt>
                <c:pt idx="206">
                  <c:v>3.9905330747202608</c:v>
                </c:pt>
                <c:pt idx="207">
                  <c:v>3.991060312760113</c:v>
                </c:pt>
                <c:pt idx="208">
                  <c:v>3.9915584366220354</c:v>
                </c:pt>
                <c:pt idx="209">
                  <c:v>3.9920290350780996</c:v>
                </c:pt>
                <c:pt idx="210">
                  <c:v>3.9924736116494954</c:v>
                </c:pt>
                <c:pt idx="211">
                  <c:v>3.992893589068641</c:v>
                </c:pt>
                <c:pt idx="212">
                  <c:v>3.9932903135165949</c:v>
                </c:pt>
                <c:pt idx="213">
                  <c:v>3.9936650586463704</c:v>
                </c:pt>
                <c:pt idx="214">
                  <c:v>3.9940190294023123</c:v>
                </c:pt>
                <c:pt idx="215">
                  <c:v>3.994353365645265</c:v>
                </c:pt>
                <c:pt idx="216">
                  <c:v>3.9946691455928556</c:v>
                </c:pt>
                <c:pt idx="217">
                  <c:v>3.9949673890838042</c:v>
                </c:pt>
                <c:pt idx="218">
                  <c:v>3.9952490606748028</c:v>
                </c:pt>
                <c:pt idx="219">
                  <c:v>3.9955150725780979</c:v>
                </c:pt>
                <c:pt idx="220">
                  <c:v>3.9957662874475983</c:v>
                </c:pt>
                <c:pt idx="221">
                  <c:v>3.9960035210209237</c:v>
                </c:pt>
                <c:pt idx="222">
                  <c:v>3.996227544624531</c:v>
                </c:pt>
                <c:pt idx="223">
                  <c:v>3.9964390875486813</c:v>
                </c:pt>
                <c:pt idx="224">
                  <c:v>3.9966388392987451</c:v>
                </c:pt>
                <c:pt idx="225">
                  <c:v>3.9968274517290006</c:v>
                </c:pt>
                <c:pt idx="226">
                  <c:v>3.9970055410648291</c:v>
                </c:pt>
                <c:pt idx="227">
                  <c:v>3.9971736898189194</c:v>
                </c:pt>
                <c:pt idx="228">
                  <c:v>3.9973324486068247</c:v>
                </c:pt>
                <c:pt idx="229">
                  <c:v>3.9974823378669715</c:v>
                </c:pt>
                <c:pt idx="230">
                  <c:v>3.9976238494899796</c:v>
                </c:pt>
                <c:pt idx="231">
                  <c:v>3.9977574483619027</c:v>
                </c:pt>
                <c:pt idx="232">
                  <c:v>3.9978835738257992</c:v>
                </c:pt>
                <c:pt idx="233">
                  <c:v>3.9980026410658103</c:v>
                </c:pt>
                <c:pt idx="234">
                  <c:v>3.9981150424177336</c:v>
                </c:pt>
                <c:pt idx="235">
                  <c:v>3.9982211486098782</c:v>
                </c:pt>
                <c:pt idx="236">
                  <c:v>3.9983213099377979</c:v>
                </c:pt>
                <c:pt idx="237">
                  <c:v>3.9984158573763335</c:v>
                </c:pt>
                <c:pt idx="238">
                  <c:v>3.9985051036322159</c:v>
                </c:pt>
                <c:pt idx="239">
                  <c:v>3.9985893441403211</c:v>
                </c:pt>
                <c:pt idx="240">
                  <c:v>3.9986688580065195</c:v>
                </c:pt>
                <c:pt idx="241">
                  <c:v>3.9987439088999088</c:v>
                </c:pt>
                <c:pt idx="242">
                  <c:v>3.9988147458970786</c:v>
                </c:pt>
                <c:pt idx="243">
                  <c:v>3.9988816042809336</c:v>
                </c:pt>
                <c:pt idx="244">
                  <c:v>3.9989447062964532</c:v>
                </c:pt>
                <c:pt idx="245">
                  <c:v>3.9990042618656685</c:v>
                </c:pt>
                <c:pt idx="246">
                  <c:v>3.9990604692639984</c:v>
                </c:pt>
                <c:pt idx="247">
                  <c:v>3.9991135157600013</c:v>
                </c:pt>
                <c:pt idx="248">
                  <c:v>3.9991635782204691</c:v>
                </c:pt>
                <c:pt idx="249">
                  <c:v>3.9992108236827102</c:v>
                </c:pt>
                <c:pt idx="250">
                  <c:v>3.9992554098957629</c:v>
                </c:pt>
                <c:pt idx="251">
                  <c:v>3.999297485832197</c:v>
                </c:pt>
                <c:pt idx="252">
                  <c:v>3.9993371921720677</c:v>
                </c:pt>
                <c:pt idx="253">
                  <c:v>3.9993746617605157</c:v>
                </c:pt>
                <c:pt idx="254">
                  <c:v>3.9994100200404161</c:v>
                </c:pt>
                <c:pt idx="255">
                  <c:v>3.9994433854614191</c:v>
                </c:pt>
                <c:pt idx="256">
                  <c:v>3.9994748698666491</c:v>
                </c:pt>
                <c:pt idx="257">
                  <c:v>3.9995045788582573</c:v>
                </c:pt>
                <c:pt idx="258">
                  <c:v>3.9995326121429704</c:v>
                </c:pt>
                <c:pt idx="259">
                  <c:v>3.9995590638587148</c:v>
                </c:pt>
                <c:pt idx="260">
                  <c:v>3.9995840228833299</c:v>
                </c:pt>
                <c:pt idx="261">
                  <c:v>3.9996075731263447</c:v>
                </c:pt>
                <c:pt idx="262">
                  <c:v>3.9996297938047336</c:v>
                </c:pt>
                <c:pt idx="263">
                  <c:v>3.9996507597035116</c:v>
                </c:pt>
                <c:pt idx="264">
                  <c:v>3.9996705414220006</c:v>
                </c:pt>
                <c:pt idx="265">
                  <c:v>3.9996892056065367</c:v>
                </c:pt>
                <c:pt idx="266">
                  <c:v>3.9997068151703599</c:v>
                </c:pt>
                <c:pt idx="267">
                  <c:v>3.9997234295013784</c:v>
                </c:pt>
                <c:pt idx="268">
                  <c:v>3.999739104658476</c:v>
                </c:pt>
                <c:pt idx="269">
                  <c:v>3.9997538935569756</c:v>
                </c:pt>
                <c:pt idx="270">
                  <c:v>3.9997678461438619</c:v>
                </c:pt>
                <c:pt idx="271">
                  <c:v>3.9997810095633133</c:v>
                </c:pt>
                <c:pt idx="272">
                  <c:v>3.9997934283130769</c:v>
                </c:pt>
                <c:pt idx="273">
                  <c:v>3.99980514439219</c:v>
                </c:pt>
                <c:pt idx="274">
                  <c:v>3.9998161974405173</c:v>
                </c:pt>
                <c:pt idx="275">
                  <c:v>3.9998266248705523</c:v>
                </c:pt>
                <c:pt idx="276">
                  <c:v>3.9998364619919116</c:v>
                </c:pt>
                <c:pt idx="277">
                  <c:v>3.9998457421289206</c:v>
                </c:pt>
                <c:pt idx="278">
                  <c:v>3.9998544967316705</c:v>
                </c:pt>
                <c:pt idx="279">
                  <c:v>3.9998627554809034</c:v>
                </c:pt>
                <c:pt idx="280">
                  <c:v>3.9998705463870676</c:v>
                </c:pt>
                <c:pt idx="281">
                  <c:v>3.9998778958838699</c:v>
                </c:pt>
                <c:pt idx="282">
                  <c:v>3.9998848289166098</c:v>
                </c:pt>
                <c:pt idx="283">
                  <c:v>3.9998913690256095</c:v>
                </c:pt>
                <c:pt idx="284">
                  <c:v>3.9998975384249866</c:v>
                </c:pt>
                <c:pt idx="285">
                  <c:v>3.9999033580770416</c:v>
                </c:pt>
                <c:pt idx="286">
                  <c:v>3.9999088477624944</c:v>
                </c:pt>
                <c:pt idx="287">
                  <c:v>3.9999140261468091</c:v>
                </c:pt>
                <c:pt idx="288">
                  <c:v>3.9999189108428079</c:v>
                </c:pt>
                <c:pt idx="289">
                  <c:v>3.9999235184697972</c:v>
                </c:pt>
                <c:pt idx="290">
                  <c:v>3.9999278647093854</c:v>
                </c:pt>
                <c:pt idx="291">
                  <c:v>3.9999319643581859</c:v>
                </c:pt>
                <c:pt idx="292">
                  <c:v>3.9999358313775688</c:v>
                </c:pt>
                <c:pt idx="293">
                  <c:v>3.9999394789406337</c:v>
                </c:pt>
                <c:pt idx="294">
                  <c:v>3.9999429194765526</c:v>
                </c:pt>
                <c:pt idx="295">
                  <c:v>3.999946164712429</c:v>
                </c:pt>
                <c:pt idx="296">
                  <c:v>3.9999492257128182</c:v>
                </c:pt>
                <c:pt idx="297">
                  <c:v>3.9999521129170255</c:v>
                </c:pt>
                <c:pt idx="298">
                  <c:v>3.9999548361743216</c:v>
                </c:pt>
                <c:pt idx="299">
                  <c:v>3.9999574047771813</c:v>
                </c:pt>
                <c:pt idx="300">
                  <c:v>3.9999598274926553</c:v>
                </c:pt>
                <c:pt idx="301">
                  <c:v>3.9999621125919846</c:v>
                </c:pt>
                <c:pt idx="302">
                  <c:v>3.9999642678785552</c:v>
                </c:pt>
                <c:pt idx="303">
                  <c:v>3.9999663007142785</c:v>
                </c:pt>
                <c:pt idx="304">
                  <c:v>3.99996821804449</c:v>
                </c:pt>
                <c:pt idx="305">
                  <c:v>3.9999700264214564</c:v>
                </c:pt>
                <c:pt idx="306">
                  <c:v>3.9999717320265549</c:v>
                </c:pt>
                <c:pt idx="307">
                  <c:v>3.9999733406912066</c:v>
                </c:pt>
                <c:pt idx="308">
                  <c:v>3.9999748579166341</c:v>
                </c:pt>
                <c:pt idx="309">
                  <c:v>3.9999762888925097</c:v>
                </c:pt>
                <c:pt idx="310">
                  <c:v>3.9999776385145496</c:v>
                </c:pt>
                <c:pt idx="311">
                  <c:v>3.9999789114011217</c:v>
                </c:pt>
                <c:pt idx="312">
                  <c:v>3.9999801119089176</c:v>
                </c:pt>
                <c:pt idx="313">
                  <c:v>3.9999812441477407</c:v>
                </c:pt>
                <c:pt idx="314">
                  <c:v>3.9999823119944633</c:v>
                </c:pt>
                <c:pt idx="315">
                  <c:v>3.9999833191061955</c:v>
                </c:pt>
                <c:pt idx="316">
                  <c:v>3.9999842689327143</c:v>
                </c:pt>
                <c:pt idx="317">
                  <c:v>3.9999851647281877</c:v>
                </c:pt>
                <c:pt idx="318">
                  <c:v>3.9999860095622433</c:v>
                </c:pt>
                <c:pt idx="319">
                  <c:v>3.9999868063304094</c:v>
                </c:pt>
                <c:pt idx="320">
                  <c:v>3.9999875577639665</c:v>
                </c:pt>
                <c:pt idx="321">
                  <c:v>3.9999882664392441</c:v>
                </c:pt>
                <c:pt idx="322">
                  <c:v>3.9999889347863937</c:v>
                </c:pt>
                <c:pt idx="323">
                  <c:v>3.9999895650976658</c:v>
                </c:pt>
                <c:pt idx="324">
                  <c:v>3.9999901595352165</c:v>
                </c:pt>
                <c:pt idx="325">
                  <c:v>3.9999907201384794</c:v>
                </c:pt>
                <c:pt idx="326">
                  <c:v>3.9999912488311158</c:v>
                </c:pt>
                <c:pt idx="327">
                  <c:v>3.9999917474275741</c:v>
                </c:pt>
                <c:pt idx="328">
                  <c:v>3.9999922176392784</c:v>
                </c:pt>
                <c:pt idx="329">
                  <c:v>3.9999926610804692</c:v>
                </c:pt>
                <c:pt idx="330">
                  <c:v>3.999993079273708</c:v>
                </c:pt>
                <c:pt idx="331">
                  <c:v>3.9999934736550786</c:v>
                </c:pt>
                <c:pt idx="332">
                  <c:v>3.9999938455790893</c:v>
                </c:pt>
                <c:pt idx="333">
                  <c:v>3.9999941963232968</c:v>
                </c:pt>
                <c:pt idx="334">
                  <c:v>3.9999945270926727</c:v>
                </c:pt>
                <c:pt idx="335">
                  <c:v>3.9999948390237203</c:v>
                </c:pt>
                <c:pt idx="336">
                  <c:v>3.9999951331883574</c:v>
                </c:pt>
                <c:pt idx="337">
                  <c:v>3.9999954105975819</c:v>
                </c:pt>
                <c:pt idx="338">
                  <c:v>3.9999956722049292</c:v>
                </c:pt>
                <c:pt idx="339">
                  <c:v>3.9999959189097316</c:v>
                </c:pt>
                <c:pt idx="340">
                  <c:v>3.9999961515601954</c:v>
                </c:pt>
                <c:pt idx="341">
                  <c:v>3.9999963709563038</c:v>
                </c:pt>
                <c:pt idx="342">
                  <c:v>3.9999965778525537</c:v>
                </c:pt>
                <c:pt idx="343">
                  <c:v>3.9999967729605381</c:v>
                </c:pt>
                <c:pt idx="344">
                  <c:v>3.9999969569513842</c:v>
                </c:pt>
                <c:pt idx="345">
                  <c:v>3.9999971304580493</c:v>
                </c:pt>
                <c:pt idx="346">
                  <c:v>3.9999972940774886</c:v>
                </c:pt>
                <c:pt idx="347">
                  <c:v>3.9999974483727025</c:v>
                </c:pt>
                <c:pt idx="348">
                  <c:v>3.9999975938746641</c:v>
                </c:pt>
                <c:pt idx="349">
                  <c:v>3.9999977310841381</c:v>
                </c:pt>
                <c:pt idx="350">
                  <c:v>3.9999978604733983</c:v>
                </c:pt>
                <c:pt idx="351">
                  <c:v>3.9999979824878471</c:v>
                </c:pt>
                <c:pt idx="352">
                  <c:v>3.9999980975475404</c:v>
                </c:pt>
                <c:pt idx="353">
                  <c:v>3.9999982060486312</c:v>
                </c:pt>
                <c:pt idx="354">
                  <c:v>3.999998308364725</c:v>
                </c:pt>
                <c:pt idx="355">
                  <c:v>3.9999984048481649</c:v>
                </c:pt>
                <c:pt idx="356">
                  <c:v>3.9999984958312385</c:v>
                </c:pt>
                <c:pt idx="357">
                  <c:v>3.9999985816273176</c:v>
                </c:pt>
                <c:pt idx="358">
                  <c:v>3.9999986625319361</c:v>
                </c:pt>
                <c:pt idx="359">
                  <c:v>3.9999987388238019</c:v>
                </c:pt>
                <c:pt idx="360">
                  <c:v>3.9999988107657547</c:v>
                </c:pt>
                <c:pt idx="361">
                  <c:v>3.9999988786056706</c:v>
                </c:pt>
                <c:pt idx="362">
                  <c:v>3.9999989425773084</c:v>
                </c:pt>
                <c:pt idx="363">
                  <c:v>3.9999990029011188</c:v>
                </c:pt>
                <c:pt idx="364">
                  <c:v>3.9999990597849959</c:v>
                </c:pt>
                <c:pt idx="365">
                  <c:v>3.999999113424995</c:v>
                </c:pt>
                <c:pt idx="366">
                  <c:v>3.9999991640060055</c:v>
                </c:pt>
                <c:pt idx="367">
                  <c:v>3.9999992117023861</c:v>
                </c:pt>
                <c:pt idx="368">
                  <c:v>3.9999992566785627</c:v>
                </c:pt>
                <c:pt idx="369">
                  <c:v>3.9999992990895965</c:v>
                </c:pt>
                <c:pt idx="370">
                  <c:v>3.9999993390817141</c:v>
                </c:pt>
                <c:pt idx="371">
                  <c:v>3.9999993767928128</c:v>
                </c:pt>
                <c:pt idx="372">
                  <c:v>3.9999994123529334</c:v>
                </c:pt>
                <c:pt idx="373">
                  <c:v>3.9999994458847068</c:v>
                </c:pt>
                <c:pt idx="374">
                  <c:v>3.9999994775037773</c:v>
                </c:pt>
                <c:pt idx="375">
                  <c:v>3.9999995073191998</c:v>
                </c:pt>
                <c:pt idx="376">
                  <c:v>3.9999995354338154</c:v>
                </c:pt>
                <c:pt idx="377">
                  <c:v>3.9999995619446032</c:v>
                </c:pt>
                <c:pt idx="378">
                  <c:v>3.9999995869430172</c:v>
                </c:pt>
                <c:pt idx="379">
                  <c:v>3.9999996105152986</c:v>
                </c:pt>
                <c:pt idx="380">
                  <c:v>3.9999996327427736</c:v>
                </c:pt>
                <c:pt idx="381">
                  <c:v>3.9999996537021332</c:v>
                </c:pt>
                <c:pt idx="382">
                  <c:v>3.9999996734656973</c:v>
                </c:pt>
                <c:pt idx="383">
                  <c:v>3.9999996921016638</c:v>
                </c:pt>
                <c:pt idx="384">
                  <c:v>3.9999997096743418</c:v>
                </c:pt>
                <c:pt idx="385">
                  <c:v>3.9999997262443756</c:v>
                </c:pt>
                <c:pt idx="386">
                  <c:v>3.9999997418689532</c:v>
                </c:pt>
                <c:pt idx="387">
                  <c:v>3.9999997566020005</c:v>
                </c:pt>
                <c:pt idx="388">
                  <c:v>3.9999997704943704</c:v>
                </c:pt>
                <c:pt idx="389">
                  <c:v>3.9999997835940149</c:v>
                </c:pt>
                <c:pt idx="390">
                  <c:v>3.9999997959461546</c:v>
                </c:pt>
                <c:pt idx="391">
                  <c:v>3.9999998075934289</c:v>
                </c:pt>
                <c:pt idx="392">
                  <c:v>3.9999998185760477</c:v>
                </c:pt>
                <c:pt idx="393">
                  <c:v>3.9999998289319278</c:v>
                </c:pt>
                <c:pt idx="394">
                  <c:v>3.9999998386968239</c:v>
                </c:pt>
                <c:pt idx="395">
                  <c:v>3.9999998479044505</c:v>
                </c:pt>
                <c:pt idx="396">
                  <c:v>3.9999998565866015</c:v>
                </c:pt>
                <c:pt idx="397">
                  <c:v>3.9999998647732564</c:v>
                </c:pt>
                <c:pt idx="398">
                  <c:v>3.9999998724926855</c:v>
                </c:pt>
                <c:pt idx="399">
                  <c:v>3.9999998797715461</c:v>
                </c:pt>
                <c:pt idx="400">
                  <c:v>3.9999998866349755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9C-45E2-9224-92A55B7E0B6C}"/>
            </c:ext>
          </c:extLst>
        </c:ser>
        <c:ser>
          <c:idx val="2"/>
          <c:order val="2"/>
          <c:tx>
            <c:strRef>
              <c:f>Лист1!$M$1</c:f>
              <c:strCache>
                <c:ptCount val="1"/>
                <c:pt idx="0">
                  <c:v>y(n*T01)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Лист1!$M$2:$M$402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1.6918443238161274E-2</c:v>
                </c:pt>
                <c:pt idx="82">
                  <c:v>4.8536208953013256E-2</c:v>
                </c:pt>
                <c:pt idx="83">
                  <c:v>9.2853690652735577E-2</c:v>
                </c:pt>
                <c:pt idx="84">
                  <c:v>0.14807138937246681</c:v>
                </c:pt>
                <c:pt idx="85">
                  <c:v>0.21257212397217937</c:v>
                </c:pt>
                <c:pt idx="86">
                  <c:v>0.28490472845770609</c:v>
                </c:pt>
                <c:pt idx="87">
                  <c:v>0.36376911652188709</c:v>
                </c:pt>
                <c:pt idx="88">
                  <c:v>0.44800260292733385</c:v>
                </c:pt>
                <c:pt idx="89">
                  <c:v>0.53656738004738114</c:v>
                </c:pt>
                <c:pt idx="90">
                  <c:v>0.628539055903232</c:v>
                </c:pt>
                <c:pt idx="91">
                  <c:v>0.72309616743467975</c:v>
                </c:pt>
                <c:pt idx="92">
                  <c:v>0.81951058956677991</c:v>
                </c:pt>
                <c:pt idx="93">
                  <c:v>0.91713876692948115</c:v>
                </c:pt>
                <c:pt idx="94">
                  <c:v>1.0154137008922182</c:v>
                </c:pt>
                <c:pt idx="95">
                  <c:v>1.1138376299284032</c:v>
                </c:pt>
                <c:pt idx="96">
                  <c:v>1.2119753462603877</c:v>
                </c:pt>
                <c:pt idx="97">
                  <c:v>1.3094480962858805</c:v>
                </c:pt>
                <c:pt idx="98">
                  <c:v>1.4059280164816643</c:v>
                </c:pt>
                <c:pt idx="99">
                  <c:v>1.5011330603471373</c:v>
                </c:pt>
                <c:pt idx="100">
                  <c:v>1.594822375514021</c:v>
                </c:pt>
                <c:pt idx="101">
                  <c:v>1.6867920934328928</c:v>
                </c:pt>
                <c:pt idx="102">
                  <c:v>1.7768714970736119</c:v>
                </c:pt>
                <c:pt idx="103">
                  <c:v>1.8649195348651364</c:v>
                </c:pt>
                <c:pt idx="104">
                  <c:v>1.9508216516691128</c:v>
                </c:pt>
                <c:pt idx="105">
                  <c:v>2.0344869099479306</c:v>
                </c:pt>
                <c:pt idx="106">
                  <c:v>2.1158453764674094</c:v>
                </c:pt>
                <c:pt idx="107">
                  <c:v>2.1948457518814011</c:v>
                </c:pt>
                <c:pt idx="108">
                  <c:v>2.2714532223937405</c:v>
                </c:pt>
                <c:pt idx="109">
                  <c:v>2.345647514394535</c:v>
                </c:pt>
                <c:pt idx="110">
                  <c:v>2.4174211345341332</c:v>
                </c:pt>
                <c:pt idx="111">
                  <c:v>2.4867777791398362</c:v>
                </c:pt>
                <c:pt idx="112">
                  <c:v>2.5537308982071703</c:v>
                </c:pt>
                <c:pt idx="113">
                  <c:v>2.618302400418385</c:v>
                </c:pt>
                <c:pt idx="114">
                  <c:v>2.6805214867639879</c:v>
                </c:pt>
                <c:pt idx="115">
                  <c:v>2.7404236013762611</c:v>
                </c:pt>
                <c:pt idx="116">
                  <c:v>2.798049489133891</c:v>
                </c:pt>
                <c:pt idx="117">
                  <c:v>2.8534443504705616</c:v>
                </c:pt>
                <c:pt idx="118">
                  <c:v>2.9066570846236388</c:v>
                </c:pt>
                <c:pt idx="119">
                  <c:v>2.9577396132974654</c:v>
                </c:pt>
                <c:pt idx="120">
                  <c:v>3.0067462773943894</c:v>
                </c:pt>
                <c:pt idx="121">
                  <c:v>3.053733300090173</c:v>
                </c:pt>
                <c:pt idx="122">
                  <c:v>3.0987583101032694</c:v>
                </c:pt>
                <c:pt idx="123">
                  <c:v>3.1418799195335718</c:v>
                </c:pt>
                <c:pt idx="124">
                  <c:v>3.1831573511293705</c:v>
                </c:pt>
                <c:pt idx="125">
                  <c:v>3.2226501102848104</c:v>
                </c:pt>
                <c:pt idx="126">
                  <c:v>3.2604176974772519</c:v>
                </c:pt>
                <c:pt idx="127">
                  <c:v>3.2965193572275249</c:v>
                </c:pt>
                <c:pt idx="128">
                  <c:v>3.3310138600088055</c:v>
                </c:pt>
                <c:pt idx="129">
                  <c:v>3.3639593138441781</c:v>
                </c:pt>
                <c:pt idx="130">
                  <c:v>3.3954130026211895</c:v>
                </c:pt>
                <c:pt idx="131">
                  <c:v>3.4254312484159035</c:v>
                </c:pt>
                <c:pt idx="132">
                  <c:v>3.4540692953611032</c:v>
                </c:pt>
                <c:pt idx="133">
                  <c:v>3.4813812128150974</c:v>
                </c:pt>
                <c:pt idx="134">
                  <c:v>3.5074198157907448</c:v>
                </c:pt>
                <c:pt idx="135">
                  <c:v>3.5322366007903119</c:v>
                </c:pt>
                <c:pt idx="136">
                  <c:v>3.5558816953619865</c:v>
                </c:pt>
                <c:pt idx="137">
                  <c:v>3.578403819849644</c:v>
                </c:pt>
                <c:pt idx="138">
                  <c:v>3.5998502599498732</c:v>
                </c:pt>
                <c:pt idx="139">
                  <c:v>3.6202668488205121</c:v>
                </c:pt>
                <c:pt idx="140">
                  <c:v>3.6396979576039286</c:v>
                </c:pt>
                <c:pt idx="141">
                  <c:v>3.658186493336995</c:v>
                </c:pt>
                <c:pt idx="142">
                  <c:v>3.6757739033189618</c:v>
                </c:pt>
                <c:pt idx="143">
                  <c:v>3.6925001850990107</c:v>
                </c:pt>
                <c:pt idx="144">
                  <c:v>3.7084039013279044</c:v>
                </c:pt>
                <c:pt idx="145">
                  <c:v>3.7235221987934866</c:v>
                </c:pt>
                <c:pt idx="146">
                  <c:v>3.7378908310284387</c:v>
                </c:pt>
                <c:pt idx="147">
                  <c:v>3.7515441839412214</c:v>
                </c:pt>
                <c:pt idx="148">
                  <c:v>3.764515303978039</c:v>
                </c:pt>
                <c:pt idx="149">
                  <c:v>3.7768359283754398</c:v>
                </c:pt>
                <c:pt idx="150">
                  <c:v>3.7885365171102103</c:v>
                </c:pt>
                <c:pt idx="151">
                  <c:v>3.7996462861959874</c:v>
                </c:pt>
                <c:pt idx="152">
                  <c:v>3.8101932420148041</c:v>
                </c:pt>
                <c:pt idx="153">
                  <c:v>3.8202042164069936</c:v>
                </c:pt>
                <c:pt idx="154">
                  <c:v>3.8297049022747673</c:v>
                </c:pt>
                <c:pt idx="155">
                  <c:v>3.838719889483678</c:v>
                </c:pt>
                <c:pt idx="156">
                  <c:v>3.8472727008723031</c:v>
                </c:pt>
                <c:pt idx="157">
                  <c:v>3.8553858282041062</c:v>
                </c:pt>
                <c:pt idx="158">
                  <c:v>3.8630807679167551</c:v>
                </c:pt>
                <c:pt idx="159">
                  <c:v>3.8703780565433967</c:v>
                </c:pt>
                <c:pt idx="160">
                  <c:v>3.8772973056977138</c:v>
                </c:pt>
                <c:pt idx="161">
                  <c:v>3.8838572365301656</c:v>
                </c:pt>
                <c:pt idx="162">
                  <c:v>3.8900757135767936</c:v>
                </c:pt>
                <c:pt idx="163">
                  <c:v>3.8959697779345377</c:v>
                </c:pt>
                <c:pt idx="164">
                  <c:v>3.9015556797082316</c:v>
                </c:pt>
                <c:pt idx="165">
                  <c:v>3.9068489096844905</c:v>
                </c:pt>
                <c:pt idx="166">
                  <c:v>3.9118642301966551</c:v>
                </c:pt>
                <c:pt idx="167">
                  <c:v>3.9166157051529336</c:v>
                </c:pt>
                <c:pt idx="168">
                  <c:v>3.9211167292069526</c:v>
                </c:pt>
                <c:pt idx="169">
                  <c:v>3.9253800560561971</c:v>
                </c:pt>
                <c:pt idx="170">
                  <c:v>3.9294178258593484</c:v>
                </c:pt>
                <c:pt idx="171">
                  <c:v>3.9332415917684025</c:v>
                </c:pt>
                <c:pt idx="172">
                  <c:v>3.9368623455757112</c:v>
                </c:pt>
                <c:pt idx="173">
                  <c:v>3.9402905424798207</c:v>
                </c:pt>
                <c:pt idx="174">
                  <c:v>3.9435361249772107</c:v>
                </c:pt>
                <c:pt idx="175">
                  <c:v>3.946608545889839</c:v>
                </c:pt>
                <c:pt idx="176">
                  <c:v>3.9495167905407897</c:v>
                </c:pt>
                <c:pt idx="177">
                  <c:v>3.9522693980923704</c:v>
                </c:pt>
                <c:pt idx="178">
                  <c:v>3.9548744820627162</c:v>
                </c:pt>
                <c:pt idx="179">
                  <c:v>3.9573397500384044</c:v>
                </c:pt>
                <c:pt idx="180">
                  <c:v>3.9596725226017613</c:v>
                </c:pt>
                <c:pt idx="181">
                  <c:v>3.9618797514924817</c:v>
                </c:pt>
                <c:pt idx="182">
                  <c:v>3.9639680370239478</c:v>
                </c:pt>
                <c:pt idx="183">
                  <c:v>3.9659436447751801</c:v>
                </c:pt>
                <c:pt idx="184">
                  <c:v>3.9678125215797722</c:v>
                </c:pt>
                <c:pt idx="185">
                  <c:v>3.9695803108334236</c:v>
                </c:pt>
                <c:pt idx="186">
                  <c:v>3.9712523671418158</c:v>
                </c:pt>
                <c:pt idx="187">
                  <c:v>3.97283377033061</c:v>
                </c:pt>
                <c:pt idx="188">
                  <c:v>3.9743293388392851</c:v>
                </c:pt>
                <c:pt idx="189">
                  <c:v>3.9757436425203743</c:v>
                </c:pt>
                <c:pt idx="190">
                  <c:v>3.9770810148654405</c:v>
                </c:pt>
                <c:pt idx="191">
                  <c:v>3.9783455646788495</c:v>
                </c:pt>
                <c:pt idx="192">
                  <c:v>3.9795411872200588</c:v>
                </c:pt>
                <c:pt idx="193">
                  <c:v>3.9806715748347581</c:v>
                </c:pt>
                <c:pt idx="194">
                  <c:v>3.9817402270947788</c:v>
                </c:pt>
                <c:pt idx="195">
                  <c:v>3.9827504604662427</c:v>
                </c:pt>
                <c:pt idx="196">
                  <c:v>3.9837054175249373</c:v>
                </c:pt>
                <c:pt idx="197">
                  <c:v>3.9846080757374165</c:v>
                </c:pt>
                <c:pt idx="198">
                  <c:v>3.9854612558258089</c:v>
                </c:pt>
                <c:pt idx="199">
                  <c:v>3.9862676297337969</c:v>
                </c:pt>
                <c:pt idx="200">
                  <c:v>3.9870297282107003</c:v>
                </c:pt>
                <c:pt idx="201">
                  <c:v>3.9877499480300642</c:v>
                </c:pt>
                <c:pt idx="202">
                  <c:v>3.9884305588586098</c:v>
                </c:pt>
                <c:pt idx="203">
                  <c:v>3.9890737097908806</c:v>
                </c:pt>
                <c:pt idx="204">
                  <c:v>3.9896814355643788</c:v>
                </c:pt>
                <c:pt idx="205">
                  <c:v>3.9902556624694627</c:v>
                </c:pt>
                <c:pt idx="206">
                  <c:v>3.9907982139677527</c:v>
                </c:pt>
                <c:pt idx="207">
                  <c:v>3.9913108160322834</c:v>
                </c:pt>
                <c:pt idx="208">
                  <c:v>3.9917951022221385</c:v>
                </c:pt>
                <c:pt idx="209">
                  <c:v>3.9922526185038016</c:v>
                </c:pt>
                <c:pt idx="210">
                  <c:v>3.9926848278309914</c:v>
                </c:pt>
                <c:pt idx="211">
                  <c:v>3.9930931144942567</c:v>
                </c:pt>
                <c:pt idx="212">
                  <c:v>3.9934787882511689</c:v>
                </c:pt>
                <c:pt idx="213">
                  <c:v>3.9938430882474871</c:v>
                </c:pt>
                <c:pt idx="214">
                  <c:v>3.9941871867392473</c:v>
                </c:pt>
                <c:pt idx="215">
                  <c:v>3.9945121926252987</c:v>
                </c:pt>
                <c:pt idx="216">
                  <c:v>3.9948191547994139</c:v>
                </c:pt>
                <c:pt idx="217">
                  <c:v>3.9951090653306891</c:v>
                </c:pt>
                <c:pt idx="218">
                  <c:v>3.9953828624805854</c:v>
                </c:pt>
                <c:pt idx="219">
                  <c:v>3.995641433564582</c:v>
                </c:pt>
                <c:pt idx="220">
                  <c:v>3.9958856176660666</c:v>
                </c:pt>
                <c:pt idx="221">
                  <c:v>3.9961162082097341</c:v>
                </c:pt>
                <c:pt idx="222">
                  <c:v>3.996333955401449</c:v>
                </c:pt>
                <c:pt idx="223">
                  <c:v>3.9965395685412006</c:v>
                </c:pt>
                <c:pt idx="224">
                  <c:v>3.9967337182154723</c:v>
                </c:pt>
                <c:pt idx="225">
                  <c:v>3.9969170383750687</c:v>
                </c:pt>
                <c:pt idx="226">
                  <c:v>3.9970901283041411</c:v>
                </c:pt>
                <c:pt idx="227">
                  <c:v>3.9972535544859022</c:v>
                </c:pt>
                <c:pt idx="228">
                  <c:v>3.9974078523702463</c:v>
                </c:pt>
                <c:pt idx="229">
                  <c:v>3.9975535280482566</c:v>
                </c:pt>
                <c:pt idx="230">
                  <c:v>3.9976910598383308</c:v>
                </c:pt>
                <c:pt idx="231">
                  <c:v>3.9978208997884397</c:v>
                </c:pt>
                <c:pt idx="232">
                  <c:v>3.9979434750988068</c:v>
                </c:pt>
                <c:pt idx="233">
                  <c:v>3.9980591894690951</c:v>
                </c:pt>
                <c:pt idx="234">
                  <c:v>3.9981684243739872</c:v>
                </c:pt>
                <c:pt idx="235">
                  <c:v>3.998271540270848</c:v>
                </c:pt>
                <c:pt idx="236">
                  <c:v>3.9983688777429887</c:v>
                </c:pt>
                <c:pt idx="237">
                  <c:v>3.998460758581869</c:v>
                </c:pt>
                <c:pt idx="238">
                  <c:v>3.9985474868114088</c:v>
                </c:pt>
                <c:pt idx="239">
                  <c:v>3.9986293496574286</c:v>
                </c:pt>
                <c:pt idx="240">
                  <c:v>3.9987066184650835</c:v>
                </c:pt>
                <c:pt idx="241">
                  <c:v>3.9987795495670095</c:v>
                </c:pt>
                <c:pt idx="242">
                  <c:v>3.9988483851047665</c:v>
                </c:pt>
                <c:pt idx="243">
                  <c:v>3.9989133538060364</c:v>
                </c:pt>
                <c:pt idx="244">
                  <c:v>3.9989746717198988</c:v>
                </c:pt>
                <c:pt idx="245">
                  <c:v>3.999032542912401</c:v>
                </c:pt>
                <c:pt idx="246">
                  <c:v>3.9990871601245188</c:v>
                </c:pt>
                <c:pt idx="247">
                  <c:v>3.9991387053944982</c:v>
                </c:pt>
                <c:pt idx="248">
                  <c:v>3.9991873506464675</c:v>
                </c:pt>
                <c:pt idx="249">
                  <c:v>3.9992332582471128</c:v>
                </c:pt>
                <c:pt idx="250">
                  <c:v>3.999276581532115</c:v>
                </c:pt>
                <c:pt idx="251">
                  <c:v>3.9993174653039607</c:v>
                </c:pt>
                <c:pt idx="252">
                  <c:v>3.9993560463026552</c:v>
                </c:pt>
                <c:pt idx="253">
                  <c:v>3.9993924536507861</c:v>
                </c:pt>
                <c:pt idx="254">
                  <c:v>3.9994268092743104</c:v>
                </c:pt>
                <c:pt idx="255">
                  <c:v>3.9994592283003678</c:v>
                </c:pt>
                <c:pt idx="256">
                  <c:v>3.999489819433355</c:v>
                </c:pt>
                <c:pt idx="257">
                  <c:v>3.9995186853104241</c:v>
                </c:pt>
                <c:pt idx="258">
                  <c:v>3.9995459228375227</c:v>
                </c:pt>
                <c:pt idx="259">
                  <c:v>3.9995716235070149</c:v>
                </c:pt>
                <c:pt idx="260">
                  <c:v>3.9995958736978841</c:v>
                </c:pt>
                <c:pt idx="261">
                  <c:v>3.9996187549594571</c:v>
                </c:pt>
                <c:pt idx="262">
                  <c:v>3.9996403442795403</c:v>
                </c:pt>
                <c:pt idx="263">
                  <c:v>3.9996607143378125</c:v>
                </c:pt>
                <c:pt idx="264">
                  <c:v>3.9996799337452753</c:v>
                </c:pt>
                <c:pt idx="265">
                  <c:v>3.999698067270518</c:v>
                </c:pt>
                <c:pt idx="266">
                  <c:v>3.9997151760535128</c:v>
                </c:pt>
                <c:pt idx="267">
                  <c:v>3.999731317807619</c:v>
                </c:pt>
                <c:pt idx="268">
                  <c:v>3.9997465470104396</c:v>
                </c:pt>
                <c:pt idx="269">
                  <c:v>3.9997609150841353</c:v>
                </c:pt>
                <c:pt idx="270">
                  <c:v>3.9997744705657765</c:v>
                </c:pt>
                <c:pt idx="271">
                  <c:v>3.9997872592682722</c:v>
                </c:pt>
                <c:pt idx="272">
                  <c:v>3.9997993244323937</c:v>
                </c:pt>
                <c:pt idx="273">
                  <c:v>3.9998107068703797</c:v>
                </c:pt>
                <c:pt idx="274">
                  <c:v>3.9998214451015857</c:v>
                </c:pt>
                <c:pt idx="275">
                  <c:v>3.9998315754806124</c:v>
                </c:pt>
                <c:pt idx="276">
                  <c:v>3.9998411323183247</c:v>
                </c:pt>
                <c:pt idx="277">
                  <c:v>3.9998501479961548</c:v>
                </c:pt>
                <c:pt idx="278">
                  <c:v>3.999858653074055</c:v>
                </c:pt>
                <c:pt idx="279">
                  <c:v>3.9998666763924531</c:v>
                </c:pt>
                <c:pt idx="280">
                  <c:v>3.9998742451685398</c:v>
                </c:pt>
                <c:pt idx="281">
                  <c:v>3.9998813850871966</c:v>
                </c:pt>
                <c:pt idx="282">
                  <c:v>3.9998881203868644</c:v>
                </c:pt>
                <c:pt idx="283">
                  <c:v>3.9998944739406306</c:v>
                </c:pt>
                <c:pt idx="284">
                  <c:v>3.9999004673327967</c:v>
                </c:pt>
                <c:pt idx="285">
                  <c:v>3.9999061209311795</c:v>
                </c:pt>
                <c:pt idx="286">
                  <c:v>3.9999114539553791</c:v>
                </c:pt>
                <c:pt idx="287">
                  <c:v>3.9999164845412363</c:v>
                </c:pt>
                <c:pt idx="288">
                  <c:v>3.9999212298016942</c:v>
                </c:pt>
                <c:pt idx="289">
                  <c:v>3.9999257058842601</c:v>
                </c:pt>
                <c:pt idx="290">
                  <c:v>3.9999299280252569</c:v>
                </c:pt>
                <c:pt idx="291">
                  <c:v>3.9999339106010412</c:v>
                </c:pt>
                <c:pt idx="292">
                  <c:v>3.9999376671763565</c:v>
                </c:pt>
                <c:pt idx="293">
                  <c:v>3.9999412105499847</c:v>
                </c:pt>
                <c:pt idx="294">
                  <c:v>3.9999445527978392</c:v>
                </c:pt>
                <c:pt idx="295">
                  <c:v>3.9999477053136472</c:v>
                </c:pt>
                <c:pt idx="296">
                  <c:v>3.9999506788473522</c:v>
                </c:pt>
                <c:pt idx="297">
                  <c:v>3.9999534835413662</c:v>
                </c:pt>
                <c:pt idx="298">
                  <c:v>3.9999561289647882</c:v>
                </c:pt>
                <c:pt idx="299">
                  <c:v>3.9999586241457048</c:v>
                </c:pt>
                <c:pt idx="300">
                  <c:v>3.9999609776016802</c:v>
                </c:pt>
                <c:pt idx="301">
                  <c:v>3.9999631973685323</c:v>
                </c:pt>
                <c:pt idx="302">
                  <c:v>3.9999652910274954</c:v>
                </c:pt>
                <c:pt idx="303">
                  <c:v>3.9999672657308594</c:v>
                </c:pt>
                <c:pt idx="304">
                  <c:v>3.9999691282261653</c:v>
                </c:pt>
                <c:pt idx="305">
                  <c:v>3.9999708848790436</c:v>
                </c:pt>
                <c:pt idx="306">
                  <c:v>3.9999725416947682</c:v>
                </c:pt>
                <c:pt idx="307">
                  <c:v>3.9999741043385986</c:v>
                </c:pt>
                <c:pt idx="308">
                  <c:v>3.9999755781549795</c:v>
                </c:pt>
                <c:pt idx="309">
                  <c:v>3.9999769681856567</c:v>
                </c:pt>
                <c:pt idx="310">
                  <c:v>3.9999782791867777</c:v>
                </c:pt>
                <c:pt idx="311">
                  <c:v>3.9999795156450273</c:v>
                </c:pt>
                <c:pt idx="312">
                  <c:v>3.999980681792854</c:v>
                </c:pt>
                <c:pt idx="313">
                  <c:v>3.9999817816228425</c:v>
                </c:pt>
                <c:pt idx="314">
                  <c:v>3.9999828189012723</c:v>
                </c:pt>
                <c:pt idx="315">
                  <c:v>3.9999837971809145</c:v>
                </c:pt>
                <c:pt idx="316">
                  <c:v>3.999984719813106</c:v>
                </c:pt>
                <c:pt idx="317">
                  <c:v>3.9999855899591465</c:v>
                </c:pt>
                <c:pt idx="318">
                  <c:v>3.9999864106010476</c:v>
                </c:pt>
                <c:pt idx="319">
                  <c:v>3.9999871845516792</c:v>
                </c:pt>
                <c:pt idx="320">
                  <c:v>3.9999879144643415</c:v>
                </c:pt>
                <c:pt idx="321">
                  <c:v>3.9999886028417988</c:v>
                </c:pt>
                <c:pt idx="322">
                  <c:v>3.999989252044803</c:v>
                </c:pt>
                <c:pt idx="323">
                  <c:v>3.999989864300133</c:v>
                </c:pt>
                <c:pt idx="324">
                  <c:v>3.9999904417081824</c:v>
                </c:pt>
                <c:pt idx="325">
                  <c:v>3.9999909862501206</c:v>
                </c:pt>
                <c:pt idx="326">
                  <c:v>3.9999914997946453</c:v>
                </c:pt>
                <c:pt idx="327">
                  <c:v>3.9999919841043554</c:v>
                </c:pt>
                <c:pt idx="328">
                  <c:v>3.9999924408417651</c:v>
                </c:pt>
                <c:pt idx="329">
                  <c:v>3.9999928715749751</c:v>
                </c:pt>
                <c:pt idx="330">
                  <c:v>3.9999932777830249</c:v>
                </c:pt>
                <c:pt idx="331">
                  <c:v>3.9999936608609419</c:v>
                </c:pt>
                <c:pt idx="332">
                  <c:v>3.9999940221245063</c:v>
                </c:pt>
                <c:pt idx="333">
                  <c:v>3.9999943628147441</c:v>
                </c:pt>
                <c:pt idx="334">
                  <c:v>3.9999946841021679</c:v>
                </c:pt>
                <c:pt idx="335">
                  <c:v>3.9999949870907754</c:v>
                </c:pt>
                <c:pt idx="336">
                  <c:v>3.9999952728218244</c:v>
                </c:pt>
                <c:pt idx="337">
                  <c:v>3.9999955422773921</c:v>
                </c:pt>
                <c:pt idx="338">
                  <c:v>3.9999957963837329</c:v>
                </c:pt>
                <c:pt idx="339">
                  <c:v>3.9999960360144486</c:v>
                </c:pt>
                <c:pt idx="340">
                  <c:v>3.9999962619934752</c:v>
                </c:pt>
                <c:pt idx="341">
                  <c:v>3.9999964750979022</c:v>
                </c:pt>
                <c:pt idx="342">
                  <c:v>3.9999966760606331</c:v>
                </c:pt>
                <c:pt idx="343">
                  <c:v>3.9999968655728941</c:v>
                </c:pt>
                <c:pt idx="344">
                  <c:v>3.9999970442866011</c:v>
                </c:pt>
                <c:pt idx="345">
                  <c:v>3.999997212816591</c:v>
                </c:pt>
                <c:pt idx="346">
                  <c:v>3.9999973717427295</c:v>
                </c:pt>
                <c:pt idx="347">
                  <c:v>3.9999975216118973</c:v>
                </c:pt>
                <c:pt idx="348">
                  <c:v>3.9999976629398635</c:v>
                </c:pt>
                <c:pt idx="349">
                  <c:v>3.9999977962130528</c:v>
                </c:pt>
                <c:pt idx="350">
                  <c:v>3.999997921890214</c:v>
                </c:pt>
                <c:pt idx="351">
                  <c:v>3.9999980404039919</c:v>
                </c:pt>
                <c:pt idx="352">
                  <c:v>3.9999981521624126</c:v>
                </c:pt>
                <c:pt idx="353">
                  <c:v>3.9999982575502804</c:v>
                </c:pt>
                <c:pt idx="354">
                  <c:v>3.9999983569304987</c:v>
                </c:pt>
                <c:pt idx="355">
                  <c:v>3.9999984506453163</c:v>
                </c:pt>
                <c:pt idx="356">
                  <c:v>3.9999985390175006</c:v>
                </c:pt>
                <c:pt idx="357">
                  <c:v>3.9999986223514448</c:v>
                </c:pt>
                <c:pt idx="358">
                  <c:v>3.9999987009342131</c:v>
                </c:pt>
                <c:pt idx="359">
                  <c:v>3.9999987750365276</c:v>
                </c:pt>
                <c:pt idx="360">
                  <c:v>3.9999988449136956</c:v>
                </c:pt>
                <c:pt idx="361">
                  <c:v>3.9999989108064877</c:v>
                </c:pt>
                <c:pt idx="362">
                  <c:v>3.9999989729419645</c:v>
                </c:pt>
                <c:pt idx="363">
                  <c:v>3.9999990315342564</c:v>
                </c:pt>
                <c:pt idx="364">
                  <c:v>3.9999990867852988</c:v>
                </c:pt>
                <c:pt idx="365">
                  <c:v>3.9999991388855274</c:v>
                </c:pt>
                <c:pt idx="366">
                  <c:v>3.99999918801453</c:v>
                </c:pt>
                <c:pt idx="367">
                  <c:v>3.9999992343416668</c:v>
                </c:pt>
                <c:pt idx="368">
                  <c:v>3.99999927802665</c:v>
                </c:pt>
                <c:pt idx="369">
                  <c:v>3.9999993192200942</c:v>
                </c:pt>
                <c:pt idx="370">
                  <c:v>3.9999993580640334</c:v>
                </c:pt>
                <c:pt idx="371">
                  <c:v>3.9999993946924097</c:v>
                </c:pt>
                <c:pt idx="372">
                  <c:v>3.9999994292315342</c:v>
                </c:pt>
                <c:pt idx="373">
                  <c:v>3.9999994618005221</c:v>
                </c:pt>
                <c:pt idx="374">
                  <c:v>3.9999994925117011</c:v>
                </c:pt>
                <c:pt idx="375">
                  <c:v>3.9999995214709974</c:v>
                </c:pt>
                <c:pt idx="376">
                  <c:v>3.9999995487783013</c:v>
                </c:pt>
                <c:pt idx="377">
                  <c:v>3.9999995745278114</c:v>
                </c:pt>
                <c:pt idx="378">
                  <c:v>3.9999995988083583</c:v>
                </c:pt>
                <c:pt idx="379">
                  <c:v>3.9999996217037093</c:v>
                </c:pt>
                <c:pt idx="380">
                  <c:v>3.9999996432928571</c:v>
                </c:pt>
                <c:pt idx="381">
                  <c:v>3.9999996636502928</c:v>
                </c:pt>
                <c:pt idx="382">
                  <c:v>3.9999996828462607</c:v>
                </c:pt>
                <c:pt idx="383">
                  <c:v>3.9999997009470012</c:v>
                </c:pt>
                <c:pt idx="384">
                  <c:v>3.9999997180149793</c:v>
                </c:pt>
                <c:pt idx="385">
                  <c:v>3.9999997341090991</c:v>
                </c:pt>
                <c:pt idx="386">
                  <c:v>3.9999997492849069</c:v>
                </c:pt>
                <c:pt idx="387">
                  <c:v>3.9999997635947819</c:v>
                </c:pt>
                <c:pt idx="388">
                  <c:v>3.9999997770881168</c:v>
                </c:pt>
                <c:pt idx="389">
                  <c:v>3.999999789811489</c:v>
                </c:pt>
                <c:pt idx="390">
                  <c:v>3.9999998018088192</c:v>
                </c:pt>
                <c:pt idx="391">
                  <c:v>3.9999998131215246</c:v>
                </c:pt>
                <c:pt idx="392">
                  <c:v>3.9999998237886607</c:v>
                </c:pt>
                <c:pt idx="393">
                  <c:v>3.9999998338470557</c:v>
                </c:pt>
                <c:pt idx="394">
                  <c:v>3.9999998433314379</c:v>
                </c:pt>
                <c:pt idx="395">
                  <c:v>3.9999998522745548</c:v>
                </c:pt>
                <c:pt idx="396">
                  <c:v>3.9999998607072862</c:v>
                </c:pt>
                <c:pt idx="397">
                  <c:v>3.9999998686587515</c:v>
                </c:pt>
                <c:pt idx="398">
                  <c:v>3.9999998761564095</c:v>
                </c:pt>
                <c:pt idx="399">
                  <c:v>3.9999998832261525</c:v>
                </c:pt>
                <c:pt idx="400">
                  <c:v>3.9999998898923965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9C-45E2-9224-92A55B7E0B6C}"/>
            </c:ext>
          </c:extLst>
        </c:ser>
        <c:ser>
          <c:idx val="3"/>
          <c:order val="3"/>
          <c:tx>
            <c:strRef>
              <c:f>Лист1!$N$1</c:f>
              <c:strCache>
                <c:ptCount val="1"/>
                <c:pt idx="0">
                  <c:v>y(n*T02)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Лист1!$N$2:$N$402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0.58359345897211945</c:v>
                </c:pt>
                <c:pt idx="92">
                  <c:v>0.58359345897211945</c:v>
                </c:pt>
                <c:pt idx="93">
                  <c:v>0.58359345897211945</c:v>
                </c:pt>
                <c:pt idx="94">
                  <c:v>0.58359345897211945</c:v>
                </c:pt>
                <c:pt idx="95">
                  <c:v>0.58359345897211945</c:v>
                </c:pt>
                <c:pt idx="96">
                  <c:v>0.58359345897211945</c:v>
                </c:pt>
                <c:pt idx="97">
                  <c:v>0.58359345897211945</c:v>
                </c:pt>
                <c:pt idx="98">
                  <c:v>0.58359345897211945</c:v>
                </c:pt>
                <c:pt idx="99">
                  <c:v>0.58359345897211945</c:v>
                </c:pt>
                <c:pt idx="100">
                  <c:v>0.58359345897211945</c:v>
                </c:pt>
                <c:pt idx="101">
                  <c:v>1.5490373862001796</c:v>
                </c:pt>
                <c:pt idx="102">
                  <c:v>1.5490373862001796</c:v>
                </c:pt>
                <c:pt idx="103">
                  <c:v>1.5490373862001796</c:v>
                </c:pt>
                <c:pt idx="104">
                  <c:v>1.5490373862001796</c:v>
                </c:pt>
                <c:pt idx="105">
                  <c:v>1.5490373862001796</c:v>
                </c:pt>
                <c:pt idx="106">
                  <c:v>1.5490373862001796</c:v>
                </c:pt>
                <c:pt idx="107">
                  <c:v>1.5490373862001796</c:v>
                </c:pt>
                <c:pt idx="108">
                  <c:v>1.5490373862001796</c:v>
                </c:pt>
                <c:pt idx="109">
                  <c:v>1.5490373862001796</c:v>
                </c:pt>
                <c:pt idx="110">
                  <c:v>1.5490373862001796</c:v>
                </c:pt>
                <c:pt idx="111">
                  <c:v>2.3823461163717603</c:v>
                </c:pt>
                <c:pt idx="112">
                  <c:v>2.3823461163717603</c:v>
                </c:pt>
                <c:pt idx="113">
                  <c:v>2.3823461163717603</c:v>
                </c:pt>
                <c:pt idx="114">
                  <c:v>2.3823461163717603</c:v>
                </c:pt>
                <c:pt idx="115">
                  <c:v>2.3823461163717603</c:v>
                </c:pt>
                <c:pt idx="116">
                  <c:v>2.3823461163717603</c:v>
                </c:pt>
                <c:pt idx="117">
                  <c:v>2.3823461163717603</c:v>
                </c:pt>
                <c:pt idx="118">
                  <c:v>2.3823461163717603</c:v>
                </c:pt>
                <c:pt idx="119">
                  <c:v>2.3823461163717603</c:v>
                </c:pt>
                <c:pt idx="120">
                  <c:v>2.3823461163717603</c:v>
                </c:pt>
                <c:pt idx="121">
                  <c:v>2.9827972327464209</c:v>
                </c:pt>
                <c:pt idx="122">
                  <c:v>2.9827972327464209</c:v>
                </c:pt>
                <c:pt idx="123">
                  <c:v>2.9827972327464209</c:v>
                </c:pt>
                <c:pt idx="124">
                  <c:v>2.9827972327464209</c:v>
                </c:pt>
                <c:pt idx="125">
                  <c:v>2.9827972327464209</c:v>
                </c:pt>
                <c:pt idx="126">
                  <c:v>2.9827972327464209</c:v>
                </c:pt>
                <c:pt idx="127">
                  <c:v>2.9827972327464209</c:v>
                </c:pt>
                <c:pt idx="128">
                  <c:v>2.9827972327464209</c:v>
                </c:pt>
                <c:pt idx="129">
                  <c:v>2.9827972327464209</c:v>
                </c:pt>
                <c:pt idx="130">
                  <c:v>2.9827972327464209</c:v>
                </c:pt>
                <c:pt idx="131">
                  <c:v>3.3800419135919824</c:v>
                </c:pt>
                <c:pt idx="132">
                  <c:v>3.3800419135919824</c:v>
                </c:pt>
                <c:pt idx="133">
                  <c:v>3.3800419135919824</c:v>
                </c:pt>
                <c:pt idx="134">
                  <c:v>3.3800419135919824</c:v>
                </c:pt>
                <c:pt idx="135">
                  <c:v>3.3800419135919824</c:v>
                </c:pt>
                <c:pt idx="136">
                  <c:v>3.3800419135919824</c:v>
                </c:pt>
                <c:pt idx="137">
                  <c:v>3.3800419135919824</c:v>
                </c:pt>
                <c:pt idx="138">
                  <c:v>3.3800419135919824</c:v>
                </c:pt>
                <c:pt idx="139">
                  <c:v>3.3800419135919824</c:v>
                </c:pt>
                <c:pt idx="140">
                  <c:v>3.3800419135919824</c:v>
                </c:pt>
                <c:pt idx="141">
                  <c:v>3.6302021777874556</c:v>
                </c:pt>
                <c:pt idx="142">
                  <c:v>3.6302021777874556</c:v>
                </c:pt>
                <c:pt idx="143">
                  <c:v>3.6302021777874556</c:v>
                </c:pt>
                <c:pt idx="144">
                  <c:v>3.6302021777874556</c:v>
                </c:pt>
                <c:pt idx="145">
                  <c:v>3.6302021777874556</c:v>
                </c:pt>
                <c:pt idx="146">
                  <c:v>3.6302021777874556</c:v>
                </c:pt>
                <c:pt idx="147">
                  <c:v>3.6302021777874556</c:v>
                </c:pt>
                <c:pt idx="148">
                  <c:v>3.6302021777874556</c:v>
                </c:pt>
                <c:pt idx="149">
                  <c:v>3.6302021777874556</c:v>
                </c:pt>
                <c:pt idx="150">
                  <c:v>3.6302021777874556</c:v>
                </c:pt>
                <c:pt idx="151">
                  <c:v>3.7828185616613186</c:v>
                </c:pt>
                <c:pt idx="152">
                  <c:v>3.7828185616613186</c:v>
                </c:pt>
                <c:pt idx="153">
                  <c:v>3.7828185616613186</c:v>
                </c:pt>
                <c:pt idx="154">
                  <c:v>3.7828185616613186</c:v>
                </c:pt>
                <c:pt idx="155">
                  <c:v>3.7828185616613186</c:v>
                </c:pt>
                <c:pt idx="156">
                  <c:v>3.7828185616613186</c:v>
                </c:pt>
                <c:pt idx="157">
                  <c:v>3.7828185616613186</c:v>
                </c:pt>
                <c:pt idx="158">
                  <c:v>3.7828185616613186</c:v>
                </c:pt>
                <c:pt idx="159">
                  <c:v>3.7828185616613186</c:v>
                </c:pt>
                <c:pt idx="160">
                  <c:v>3.7828185616613186</c:v>
                </c:pt>
                <c:pt idx="161">
                  <c:v>3.8739159409391082</c:v>
                </c:pt>
                <c:pt idx="162">
                  <c:v>3.8739159409391082</c:v>
                </c:pt>
                <c:pt idx="163">
                  <c:v>3.8739159409391082</c:v>
                </c:pt>
                <c:pt idx="164">
                  <c:v>3.8739159409391082</c:v>
                </c:pt>
                <c:pt idx="165">
                  <c:v>3.8739159409391082</c:v>
                </c:pt>
                <c:pt idx="166">
                  <c:v>3.8739159409391082</c:v>
                </c:pt>
                <c:pt idx="167">
                  <c:v>3.8739159409391082</c:v>
                </c:pt>
                <c:pt idx="168">
                  <c:v>3.8739159409391082</c:v>
                </c:pt>
                <c:pt idx="169">
                  <c:v>3.8739159409391082</c:v>
                </c:pt>
                <c:pt idx="170">
                  <c:v>3.8739159409391082</c:v>
                </c:pt>
                <c:pt idx="171">
                  <c:v>3.9274446099496014</c:v>
                </c:pt>
                <c:pt idx="172">
                  <c:v>3.9274446099496014</c:v>
                </c:pt>
                <c:pt idx="173">
                  <c:v>3.9274446099496014</c:v>
                </c:pt>
                <c:pt idx="174">
                  <c:v>3.9274446099496014</c:v>
                </c:pt>
                <c:pt idx="175">
                  <c:v>3.9274446099496014</c:v>
                </c:pt>
                <c:pt idx="176">
                  <c:v>3.9274446099496014</c:v>
                </c:pt>
                <c:pt idx="177">
                  <c:v>3.9274446099496014</c:v>
                </c:pt>
                <c:pt idx="178">
                  <c:v>3.9274446099496014</c:v>
                </c:pt>
                <c:pt idx="179">
                  <c:v>3.9274446099496014</c:v>
                </c:pt>
                <c:pt idx="180">
                  <c:v>3.9274446099496014</c:v>
                </c:pt>
                <c:pt idx="181">
                  <c:v>3.9585325210267119</c:v>
                </c:pt>
                <c:pt idx="182">
                  <c:v>3.9585325210267119</c:v>
                </c:pt>
                <c:pt idx="183">
                  <c:v>3.9585325210267119</c:v>
                </c:pt>
                <c:pt idx="184">
                  <c:v>3.9585325210267119</c:v>
                </c:pt>
                <c:pt idx="185">
                  <c:v>3.9585325210267119</c:v>
                </c:pt>
                <c:pt idx="186">
                  <c:v>3.9585325210267119</c:v>
                </c:pt>
                <c:pt idx="187">
                  <c:v>3.9585325210267119</c:v>
                </c:pt>
                <c:pt idx="188">
                  <c:v>3.9585325210267119</c:v>
                </c:pt>
                <c:pt idx="189">
                  <c:v>3.9585325210267119</c:v>
                </c:pt>
                <c:pt idx="190">
                  <c:v>3.9585325210267119</c:v>
                </c:pt>
                <c:pt idx="191">
                  <c:v>3.9764274549756187</c:v>
                </c:pt>
                <c:pt idx="192">
                  <c:v>3.9764274549756187</c:v>
                </c:pt>
                <c:pt idx="193">
                  <c:v>3.9764274549756187</c:v>
                </c:pt>
                <c:pt idx="194">
                  <c:v>3.9764274549756187</c:v>
                </c:pt>
                <c:pt idx="195">
                  <c:v>3.9764274549756187</c:v>
                </c:pt>
                <c:pt idx="196">
                  <c:v>3.9764274549756187</c:v>
                </c:pt>
                <c:pt idx="197">
                  <c:v>3.9764274549756187</c:v>
                </c:pt>
                <c:pt idx="198">
                  <c:v>3.9764274549756187</c:v>
                </c:pt>
                <c:pt idx="199">
                  <c:v>3.9764274549756187</c:v>
                </c:pt>
                <c:pt idx="200">
                  <c:v>3.9764274549756187</c:v>
                </c:pt>
                <c:pt idx="201">
                  <c:v>3.9866572986489177</c:v>
                </c:pt>
                <c:pt idx="202">
                  <c:v>3.9866572986489177</c:v>
                </c:pt>
                <c:pt idx="203">
                  <c:v>3.9866572986489177</c:v>
                </c:pt>
                <c:pt idx="204">
                  <c:v>3.9866572986489177</c:v>
                </c:pt>
                <c:pt idx="205">
                  <c:v>3.9866572986489177</c:v>
                </c:pt>
                <c:pt idx="206">
                  <c:v>3.9866572986489177</c:v>
                </c:pt>
                <c:pt idx="207">
                  <c:v>3.9866572986489177</c:v>
                </c:pt>
                <c:pt idx="208">
                  <c:v>3.9866572986489177</c:v>
                </c:pt>
                <c:pt idx="209">
                  <c:v>3.9866572986489177</c:v>
                </c:pt>
                <c:pt idx="210">
                  <c:v>3.9866572986489177</c:v>
                </c:pt>
                <c:pt idx="211">
                  <c:v>3.992473611649495</c:v>
                </c:pt>
                <c:pt idx="212">
                  <c:v>3.992473611649495</c:v>
                </c:pt>
                <c:pt idx="213">
                  <c:v>3.992473611649495</c:v>
                </c:pt>
                <c:pt idx="214">
                  <c:v>3.992473611649495</c:v>
                </c:pt>
                <c:pt idx="215">
                  <c:v>3.992473611649495</c:v>
                </c:pt>
                <c:pt idx="216">
                  <c:v>3.992473611649495</c:v>
                </c:pt>
                <c:pt idx="217">
                  <c:v>3.992473611649495</c:v>
                </c:pt>
                <c:pt idx="218">
                  <c:v>3.992473611649495</c:v>
                </c:pt>
                <c:pt idx="219">
                  <c:v>3.992473611649495</c:v>
                </c:pt>
                <c:pt idx="220">
                  <c:v>3.992473611649495</c:v>
                </c:pt>
                <c:pt idx="221">
                  <c:v>3.995766287447597</c:v>
                </c:pt>
                <c:pt idx="222">
                  <c:v>3.995766287447597</c:v>
                </c:pt>
                <c:pt idx="223">
                  <c:v>3.995766287447597</c:v>
                </c:pt>
                <c:pt idx="224">
                  <c:v>3.995766287447597</c:v>
                </c:pt>
                <c:pt idx="225">
                  <c:v>3.995766287447597</c:v>
                </c:pt>
                <c:pt idx="226">
                  <c:v>3.995766287447597</c:v>
                </c:pt>
                <c:pt idx="227">
                  <c:v>3.995766287447597</c:v>
                </c:pt>
                <c:pt idx="228">
                  <c:v>3.995766287447597</c:v>
                </c:pt>
                <c:pt idx="229">
                  <c:v>3.995766287447597</c:v>
                </c:pt>
                <c:pt idx="230">
                  <c:v>3.995766287447597</c:v>
                </c:pt>
                <c:pt idx="231">
                  <c:v>3.9976238494899778</c:v>
                </c:pt>
                <c:pt idx="232">
                  <c:v>3.9976238494899778</c:v>
                </c:pt>
                <c:pt idx="233">
                  <c:v>3.9976238494899778</c:v>
                </c:pt>
                <c:pt idx="234">
                  <c:v>3.9976238494899778</c:v>
                </c:pt>
                <c:pt idx="235">
                  <c:v>3.9976238494899778</c:v>
                </c:pt>
                <c:pt idx="236">
                  <c:v>3.9976238494899778</c:v>
                </c:pt>
                <c:pt idx="237">
                  <c:v>3.9976238494899778</c:v>
                </c:pt>
                <c:pt idx="238">
                  <c:v>3.9976238494899778</c:v>
                </c:pt>
                <c:pt idx="239">
                  <c:v>3.9976238494899778</c:v>
                </c:pt>
                <c:pt idx="240">
                  <c:v>3.9976238494899778</c:v>
                </c:pt>
                <c:pt idx="241">
                  <c:v>3.9986688580065182</c:v>
                </c:pt>
                <c:pt idx="242">
                  <c:v>3.9986688580065182</c:v>
                </c:pt>
                <c:pt idx="243">
                  <c:v>3.9986688580065182</c:v>
                </c:pt>
                <c:pt idx="244">
                  <c:v>3.9986688580065182</c:v>
                </c:pt>
                <c:pt idx="245">
                  <c:v>3.9986688580065182</c:v>
                </c:pt>
                <c:pt idx="246">
                  <c:v>3.9986688580065182</c:v>
                </c:pt>
                <c:pt idx="247">
                  <c:v>3.9986688580065182</c:v>
                </c:pt>
                <c:pt idx="248">
                  <c:v>3.9986688580065182</c:v>
                </c:pt>
                <c:pt idx="249">
                  <c:v>3.9986688580065182</c:v>
                </c:pt>
                <c:pt idx="250">
                  <c:v>3.9986688580065182</c:v>
                </c:pt>
                <c:pt idx="251">
                  <c:v>3.9992554098957616</c:v>
                </c:pt>
                <c:pt idx="252">
                  <c:v>3.9992554098957616</c:v>
                </c:pt>
                <c:pt idx="253">
                  <c:v>3.9992554098957616</c:v>
                </c:pt>
                <c:pt idx="254">
                  <c:v>3.9992554098957616</c:v>
                </c:pt>
                <c:pt idx="255">
                  <c:v>3.9992554098957616</c:v>
                </c:pt>
                <c:pt idx="256">
                  <c:v>3.9992554098957616</c:v>
                </c:pt>
                <c:pt idx="257">
                  <c:v>3.9992554098957616</c:v>
                </c:pt>
                <c:pt idx="258">
                  <c:v>3.9992554098957616</c:v>
                </c:pt>
                <c:pt idx="259">
                  <c:v>3.9992554098957616</c:v>
                </c:pt>
                <c:pt idx="260">
                  <c:v>3.9992554098957616</c:v>
                </c:pt>
                <c:pt idx="261">
                  <c:v>3.9995840228833286</c:v>
                </c:pt>
                <c:pt idx="262">
                  <c:v>3.9995840228833286</c:v>
                </c:pt>
                <c:pt idx="263">
                  <c:v>3.9995840228833286</c:v>
                </c:pt>
                <c:pt idx="264">
                  <c:v>3.9995840228833286</c:v>
                </c:pt>
                <c:pt idx="265">
                  <c:v>3.9995840228833286</c:v>
                </c:pt>
                <c:pt idx="266">
                  <c:v>3.9995840228833286</c:v>
                </c:pt>
                <c:pt idx="267">
                  <c:v>3.9995840228833286</c:v>
                </c:pt>
                <c:pt idx="268">
                  <c:v>3.9995840228833286</c:v>
                </c:pt>
                <c:pt idx="269">
                  <c:v>3.9995840228833286</c:v>
                </c:pt>
                <c:pt idx="270">
                  <c:v>3.9995840228833286</c:v>
                </c:pt>
                <c:pt idx="271">
                  <c:v>3.999767846143861</c:v>
                </c:pt>
                <c:pt idx="272">
                  <c:v>3.999767846143861</c:v>
                </c:pt>
                <c:pt idx="273">
                  <c:v>3.999767846143861</c:v>
                </c:pt>
                <c:pt idx="274">
                  <c:v>3.999767846143861</c:v>
                </c:pt>
                <c:pt idx="275">
                  <c:v>3.999767846143861</c:v>
                </c:pt>
                <c:pt idx="276">
                  <c:v>3.999767846143861</c:v>
                </c:pt>
                <c:pt idx="277">
                  <c:v>3.999767846143861</c:v>
                </c:pt>
                <c:pt idx="278">
                  <c:v>3.999767846143861</c:v>
                </c:pt>
                <c:pt idx="279">
                  <c:v>3.999767846143861</c:v>
                </c:pt>
                <c:pt idx="280">
                  <c:v>3.999767846143861</c:v>
                </c:pt>
                <c:pt idx="281">
                  <c:v>3.9998705463870667</c:v>
                </c:pt>
                <c:pt idx="282">
                  <c:v>3.9998705463870667</c:v>
                </c:pt>
                <c:pt idx="283">
                  <c:v>3.9998705463870667</c:v>
                </c:pt>
                <c:pt idx="284">
                  <c:v>3.9998705463870667</c:v>
                </c:pt>
                <c:pt idx="285">
                  <c:v>3.9998705463870667</c:v>
                </c:pt>
                <c:pt idx="286">
                  <c:v>3.9998705463870667</c:v>
                </c:pt>
                <c:pt idx="287">
                  <c:v>3.9998705463870667</c:v>
                </c:pt>
                <c:pt idx="288">
                  <c:v>3.9998705463870667</c:v>
                </c:pt>
                <c:pt idx="289">
                  <c:v>3.9998705463870667</c:v>
                </c:pt>
                <c:pt idx="290">
                  <c:v>3.9998705463870667</c:v>
                </c:pt>
                <c:pt idx="291">
                  <c:v>3.9999278647093846</c:v>
                </c:pt>
                <c:pt idx="292">
                  <c:v>3.9999278647093846</c:v>
                </c:pt>
                <c:pt idx="293">
                  <c:v>3.9999278647093846</c:v>
                </c:pt>
                <c:pt idx="294">
                  <c:v>3.9999278647093846</c:v>
                </c:pt>
                <c:pt idx="295">
                  <c:v>3.9999278647093846</c:v>
                </c:pt>
                <c:pt idx="296">
                  <c:v>3.9999278647093846</c:v>
                </c:pt>
                <c:pt idx="297">
                  <c:v>3.9999278647093846</c:v>
                </c:pt>
                <c:pt idx="298">
                  <c:v>3.9999278647093846</c:v>
                </c:pt>
                <c:pt idx="299">
                  <c:v>3.9999278647093846</c:v>
                </c:pt>
                <c:pt idx="300">
                  <c:v>3.9999278647093846</c:v>
                </c:pt>
                <c:pt idx="301">
                  <c:v>3.999959827492654</c:v>
                </c:pt>
                <c:pt idx="302">
                  <c:v>3.999959827492654</c:v>
                </c:pt>
                <c:pt idx="303">
                  <c:v>3.999959827492654</c:v>
                </c:pt>
                <c:pt idx="304">
                  <c:v>3.999959827492654</c:v>
                </c:pt>
                <c:pt idx="305">
                  <c:v>3.999959827492654</c:v>
                </c:pt>
                <c:pt idx="306">
                  <c:v>3.999959827492654</c:v>
                </c:pt>
                <c:pt idx="307">
                  <c:v>3.999959827492654</c:v>
                </c:pt>
                <c:pt idx="308">
                  <c:v>3.999959827492654</c:v>
                </c:pt>
                <c:pt idx="309">
                  <c:v>3.999959827492654</c:v>
                </c:pt>
                <c:pt idx="310">
                  <c:v>3.999959827492654</c:v>
                </c:pt>
                <c:pt idx="311">
                  <c:v>3.9999776385145482</c:v>
                </c:pt>
                <c:pt idx="312">
                  <c:v>3.9999776385145482</c:v>
                </c:pt>
                <c:pt idx="313">
                  <c:v>3.9999776385145482</c:v>
                </c:pt>
                <c:pt idx="314">
                  <c:v>3.9999776385145482</c:v>
                </c:pt>
                <c:pt idx="315">
                  <c:v>3.9999776385145482</c:v>
                </c:pt>
                <c:pt idx="316">
                  <c:v>3.9999776385145482</c:v>
                </c:pt>
                <c:pt idx="317">
                  <c:v>3.9999776385145482</c:v>
                </c:pt>
                <c:pt idx="318">
                  <c:v>3.9999776385145482</c:v>
                </c:pt>
                <c:pt idx="319">
                  <c:v>3.9999776385145482</c:v>
                </c:pt>
                <c:pt idx="320">
                  <c:v>3.9999776385145482</c:v>
                </c:pt>
                <c:pt idx="321">
                  <c:v>3.9999875577639656</c:v>
                </c:pt>
                <c:pt idx="322">
                  <c:v>3.9999875577639656</c:v>
                </c:pt>
                <c:pt idx="323">
                  <c:v>3.9999875577639656</c:v>
                </c:pt>
                <c:pt idx="324">
                  <c:v>3.9999875577639656</c:v>
                </c:pt>
                <c:pt idx="325">
                  <c:v>3.9999875577639656</c:v>
                </c:pt>
                <c:pt idx="326">
                  <c:v>3.9999875577639656</c:v>
                </c:pt>
                <c:pt idx="327">
                  <c:v>3.9999875577639656</c:v>
                </c:pt>
                <c:pt idx="328">
                  <c:v>3.9999875577639656</c:v>
                </c:pt>
                <c:pt idx="329">
                  <c:v>3.9999875577639656</c:v>
                </c:pt>
                <c:pt idx="330">
                  <c:v>3.9999875577639656</c:v>
                </c:pt>
                <c:pt idx="331">
                  <c:v>3.9999930792737066</c:v>
                </c:pt>
                <c:pt idx="332">
                  <c:v>3.9999930792737066</c:v>
                </c:pt>
                <c:pt idx="333">
                  <c:v>3.9999930792737066</c:v>
                </c:pt>
                <c:pt idx="334">
                  <c:v>3.9999930792737066</c:v>
                </c:pt>
                <c:pt idx="335">
                  <c:v>3.9999930792737066</c:v>
                </c:pt>
                <c:pt idx="336">
                  <c:v>3.9999930792737066</c:v>
                </c:pt>
                <c:pt idx="337">
                  <c:v>3.9999930792737066</c:v>
                </c:pt>
                <c:pt idx="338">
                  <c:v>3.9999930792737066</c:v>
                </c:pt>
                <c:pt idx="339">
                  <c:v>3.9999930792737066</c:v>
                </c:pt>
                <c:pt idx="340">
                  <c:v>3.9999930792737066</c:v>
                </c:pt>
                <c:pt idx="341">
                  <c:v>3.9999961515601936</c:v>
                </c:pt>
                <c:pt idx="342">
                  <c:v>3.9999961515601936</c:v>
                </c:pt>
                <c:pt idx="343">
                  <c:v>3.9999961515601936</c:v>
                </c:pt>
                <c:pt idx="344">
                  <c:v>3.9999961515601936</c:v>
                </c:pt>
                <c:pt idx="345">
                  <c:v>3.9999961515601936</c:v>
                </c:pt>
                <c:pt idx="346">
                  <c:v>3.9999961515601936</c:v>
                </c:pt>
                <c:pt idx="347">
                  <c:v>3.9999961515601936</c:v>
                </c:pt>
                <c:pt idx="348">
                  <c:v>3.9999961515601936</c:v>
                </c:pt>
                <c:pt idx="349">
                  <c:v>3.9999961515601936</c:v>
                </c:pt>
                <c:pt idx="350">
                  <c:v>3.9999961515601936</c:v>
                </c:pt>
                <c:pt idx="351">
                  <c:v>3.9999978604733966</c:v>
                </c:pt>
                <c:pt idx="352">
                  <c:v>3.9999978604733966</c:v>
                </c:pt>
                <c:pt idx="353">
                  <c:v>3.9999978604733966</c:v>
                </c:pt>
                <c:pt idx="354">
                  <c:v>3.9999978604733966</c:v>
                </c:pt>
                <c:pt idx="355">
                  <c:v>3.9999978604733966</c:v>
                </c:pt>
                <c:pt idx="356">
                  <c:v>3.9999978604733966</c:v>
                </c:pt>
                <c:pt idx="357">
                  <c:v>3.9999978604733966</c:v>
                </c:pt>
                <c:pt idx="358">
                  <c:v>3.9999978604733966</c:v>
                </c:pt>
                <c:pt idx="359">
                  <c:v>3.9999978604733966</c:v>
                </c:pt>
                <c:pt idx="360">
                  <c:v>3.9999978604733966</c:v>
                </c:pt>
                <c:pt idx="361">
                  <c:v>3.9999988107657529</c:v>
                </c:pt>
                <c:pt idx="362">
                  <c:v>3.9999988107657529</c:v>
                </c:pt>
                <c:pt idx="363">
                  <c:v>3.9999988107657529</c:v>
                </c:pt>
                <c:pt idx="364">
                  <c:v>3.9999988107657529</c:v>
                </c:pt>
                <c:pt idx="365">
                  <c:v>3.9999988107657529</c:v>
                </c:pt>
                <c:pt idx="366">
                  <c:v>3.9999988107657529</c:v>
                </c:pt>
                <c:pt idx="367">
                  <c:v>3.9999988107657529</c:v>
                </c:pt>
                <c:pt idx="368">
                  <c:v>3.9999988107657529</c:v>
                </c:pt>
                <c:pt idx="369">
                  <c:v>3.9999988107657529</c:v>
                </c:pt>
                <c:pt idx="370">
                  <c:v>3.9999988107657529</c:v>
                </c:pt>
                <c:pt idx="371">
                  <c:v>3.9999993390817123</c:v>
                </c:pt>
                <c:pt idx="372">
                  <c:v>3.9999993390817123</c:v>
                </c:pt>
                <c:pt idx="373">
                  <c:v>3.9999993390817123</c:v>
                </c:pt>
                <c:pt idx="374">
                  <c:v>3.9999993390817123</c:v>
                </c:pt>
                <c:pt idx="375">
                  <c:v>3.9999993390817123</c:v>
                </c:pt>
                <c:pt idx="376">
                  <c:v>3.9999993390817123</c:v>
                </c:pt>
                <c:pt idx="377">
                  <c:v>3.9999993390817123</c:v>
                </c:pt>
                <c:pt idx="378">
                  <c:v>3.9999993390817123</c:v>
                </c:pt>
                <c:pt idx="379">
                  <c:v>3.9999993390817123</c:v>
                </c:pt>
                <c:pt idx="380">
                  <c:v>3.9999993390817123</c:v>
                </c:pt>
                <c:pt idx="381">
                  <c:v>3.9999996327427723</c:v>
                </c:pt>
                <c:pt idx="382">
                  <c:v>3.9999996327427723</c:v>
                </c:pt>
                <c:pt idx="383">
                  <c:v>3.9999996327427723</c:v>
                </c:pt>
                <c:pt idx="384">
                  <c:v>3.9999996327427723</c:v>
                </c:pt>
                <c:pt idx="385">
                  <c:v>3.9999996327427723</c:v>
                </c:pt>
                <c:pt idx="386">
                  <c:v>3.9999996327427723</c:v>
                </c:pt>
                <c:pt idx="387">
                  <c:v>3.9999996327427723</c:v>
                </c:pt>
                <c:pt idx="388">
                  <c:v>3.9999996327427723</c:v>
                </c:pt>
                <c:pt idx="389">
                  <c:v>3.9999996327427723</c:v>
                </c:pt>
                <c:pt idx="390">
                  <c:v>3.9999996327427723</c:v>
                </c:pt>
                <c:pt idx="391">
                  <c:v>3.9999997959461533</c:v>
                </c:pt>
                <c:pt idx="392">
                  <c:v>3.9999997959461533</c:v>
                </c:pt>
                <c:pt idx="393">
                  <c:v>3.9999997959461533</c:v>
                </c:pt>
                <c:pt idx="394">
                  <c:v>3.9999997959461533</c:v>
                </c:pt>
                <c:pt idx="395">
                  <c:v>3.9999997959461533</c:v>
                </c:pt>
                <c:pt idx="396">
                  <c:v>3.9999997959461533</c:v>
                </c:pt>
                <c:pt idx="397">
                  <c:v>3.9999997959461533</c:v>
                </c:pt>
                <c:pt idx="398">
                  <c:v>3.9999997959461533</c:v>
                </c:pt>
                <c:pt idx="399">
                  <c:v>3.9999997959461533</c:v>
                </c:pt>
                <c:pt idx="400">
                  <c:v>3.9999997959461533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9C-45E2-9224-92A55B7E0B6C}"/>
            </c:ext>
          </c:extLst>
        </c:ser>
        <c:ser>
          <c:idx val="4"/>
          <c:order val="4"/>
          <c:tx>
            <c:strRef>
              <c:f>Лист1!$O$1</c:f>
              <c:strCache>
                <c:ptCount val="1"/>
                <c:pt idx="0">
                  <c:v>y(n*T03)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Лист1!$O$2:$O$402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1.5490373862001805</c:v>
                </c:pt>
                <c:pt idx="101">
                  <c:v>1.5490373862001805</c:v>
                </c:pt>
                <c:pt idx="102">
                  <c:v>1.5490373862001805</c:v>
                </c:pt>
                <c:pt idx="103">
                  <c:v>1.5490373862001805</c:v>
                </c:pt>
                <c:pt idx="104">
                  <c:v>1.5490373862001805</c:v>
                </c:pt>
                <c:pt idx="105">
                  <c:v>1.5490373862001805</c:v>
                </c:pt>
                <c:pt idx="106">
                  <c:v>1.5490373862001805</c:v>
                </c:pt>
                <c:pt idx="107">
                  <c:v>1.5490373862001805</c:v>
                </c:pt>
                <c:pt idx="108">
                  <c:v>1.5490373862001805</c:v>
                </c:pt>
                <c:pt idx="109">
                  <c:v>1.5490373862001805</c:v>
                </c:pt>
                <c:pt idx="110">
                  <c:v>1.5490373862001805</c:v>
                </c:pt>
                <c:pt idx="111">
                  <c:v>1.5490373862001805</c:v>
                </c:pt>
                <c:pt idx="112">
                  <c:v>1.5490373862001805</c:v>
                </c:pt>
                <c:pt idx="113">
                  <c:v>1.5490373862001805</c:v>
                </c:pt>
                <c:pt idx="114">
                  <c:v>1.5490373862001805</c:v>
                </c:pt>
                <c:pt idx="115">
                  <c:v>1.5490373862001805</c:v>
                </c:pt>
                <c:pt idx="116">
                  <c:v>1.5490373862001805</c:v>
                </c:pt>
                <c:pt idx="117">
                  <c:v>1.5490373862001805</c:v>
                </c:pt>
                <c:pt idx="118">
                  <c:v>1.5490373862001805</c:v>
                </c:pt>
                <c:pt idx="119">
                  <c:v>1.5490373862001805</c:v>
                </c:pt>
                <c:pt idx="120">
                  <c:v>2.9827972327464227</c:v>
                </c:pt>
                <c:pt idx="121">
                  <c:v>2.9827972327464227</c:v>
                </c:pt>
                <c:pt idx="122">
                  <c:v>2.9827972327464227</c:v>
                </c:pt>
                <c:pt idx="123">
                  <c:v>2.9827972327464227</c:v>
                </c:pt>
                <c:pt idx="124">
                  <c:v>2.9827972327464227</c:v>
                </c:pt>
                <c:pt idx="125">
                  <c:v>2.9827972327464227</c:v>
                </c:pt>
                <c:pt idx="126">
                  <c:v>2.9827972327464227</c:v>
                </c:pt>
                <c:pt idx="127">
                  <c:v>2.9827972327464227</c:v>
                </c:pt>
                <c:pt idx="128">
                  <c:v>2.9827972327464227</c:v>
                </c:pt>
                <c:pt idx="129">
                  <c:v>2.9827972327464227</c:v>
                </c:pt>
                <c:pt idx="130">
                  <c:v>2.9827972327464227</c:v>
                </c:pt>
                <c:pt idx="131">
                  <c:v>2.9827972327464227</c:v>
                </c:pt>
                <c:pt idx="132">
                  <c:v>2.9827972327464227</c:v>
                </c:pt>
                <c:pt idx="133">
                  <c:v>2.9827972327464227</c:v>
                </c:pt>
                <c:pt idx="134">
                  <c:v>2.9827972327464227</c:v>
                </c:pt>
                <c:pt idx="135">
                  <c:v>2.9827972327464227</c:v>
                </c:pt>
                <c:pt idx="136">
                  <c:v>2.9827972327464227</c:v>
                </c:pt>
                <c:pt idx="137">
                  <c:v>2.9827972327464227</c:v>
                </c:pt>
                <c:pt idx="138">
                  <c:v>2.9827972327464227</c:v>
                </c:pt>
                <c:pt idx="139">
                  <c:v>2.9827972327464227</c:v>
                </c:pt>
                <c:pt idx="140">
                  <c:v>3.6302021777874574</c:v>
                </c:pt>
                <c:pt idx="141">
                  <c:v>3.6302021777874574</c:v>
                </c:pt>
                <c:pt idx="142">
                  <c:v>3.6302021777874574</c:v>
                </c:pt>
                <c:pt idx="143">
                  <c:v>3.6302021777874574</c:v>
                </c:pt>
                <c:pt idx="144">
                  <c:v>3.6302021777874574</c:v>
                </c:pt>
                <c:pt idx="145">
                  <c:v>3.6302021777874574</c:v>
                </c:pt>
                <c:pt idx="146">
                  <c:v>3.6302021777874574</c:v>
                </c:pt>
                <c:pt idx="147">
                  <c:v>3.6302021777874574</c:v>
                </c:pt>
                <c:pt idx="148">
                  <c:v>3.6302021777874574</c:v>
                </c:pt>
                <c:pt idx="149">
                  <c:v>3.6302021777874574</c:v>
                </c:pt>
                <c:pt idx="150">
                  <c:v>3.6302021777874574</c:v>
                </c:pt>
                <c:pt idx="151">
                  <c:v>3.6302021777874574</c:v>
                </c:pt>
                <c:pt idx="152">
                  <c:v>3.6302021777874574</c:v>
                </c:pt>
                <c:pt idx="153">
                  <c:v>3.6302021777874574</c:v>
                </c:pt>
                <c:pt idx="154">
                  <c:v>3.6302021777874574</c:v>
                </c:pt>
                <c:pt idx="155">
                  <c:v>3.6302021777874574</c:v>
                </c:pt>
                <c:pt idx="156">
                  <c:v>3.6302021777874574</c:v>
                </c:pt>
                <c:pt idx="157">
                  <c:v>3.6302021777874574</c:v>
                </c:pt>
                <c:pt idx="158">
                  <c:v>3.6302021777874574</c:v>
                </c:pt>
                <c:pt idx="159">
                  <c:v>3.6302021777874574</c:v>
                </c:pt>
                <c:pt idx="160">
                  <c:v>3.8739159409391108</c:v>
                </c:pt>
                <c:pt idx="161">
                  <c:v>3.8739159409391108</c:v>
                </c:pt>
                <c:pt idx="162">
                  <c:v>3.8739159409391108</c:v>
                </c:pt>
                <c:pt idx="163">
                  <c:v>3.8739159409391108</c:v>
                </c:pt>
                <c:pt idx="164">
                  <c:v>3.8739159409391108</c:v>
                </c:pt>
                <c:pt idx="165">
                  <c:v>3.8739159409391108</c:v>
                </c:pt>
                <c:pt idx="166">
                  <c:v>3.8739159409391108</c:v>
                </c:pt>
                <c:pt idx="167">
                  <c:v>3.8739159409391108</c:v>
                </c:pt>
                <c:pt idx="168">
                  <c:v>3.8739159409391108</c:v>
                </c:pt>
                <c:pt idx="169">
                  <c:v>3.8739159409391108</c:v>
                </c:pt>
                <c:pt idx="170">
                  <c:v>3.8739159409391108</c:v>
                </c:pt>
                <c:pt idx="171">
                  <c:v>3.8739159409391108</c:v>
                </c:pt>
                <c:pt idx="172">
                  <c:v>3.8739159409391108</c:v>
                </c:pt>
                <c:pt idx="173">
                  <c:v>3.8739159409391108</c:v>
                </c:pt>
                <c:pt idx="174">
                  <c:v>3.8739159409391108</c:v>
                </c:pt>
                <c:pt idx="175">
                  <c:v>3.8739159409391108</c:v>
                </c:pt>
                <c:pt idx="176">
                  <c:v>3.8739159409391108</c:v>
                </c:pt>
                <c:pt idx="177">
                  <c:v>3.8739159409391108</c:v>
                </c:pt>
                <c:pt idx="178">
                  <c:v>3.8739159409391108</c:v>
                </c:pt>
                <c:pt idx="179">
                  <c:v>3.8739159409391108</c:v>
                </c:pt>
                <c:pt idx="180">
                  <c:v>3.9585325210267146</c:v>
                </c:pt>
                <c:pt idx="181">
                  <c:v>3.9585325210267146</c:v>
                </c:pt>
                <c:pt idx="182">
                  <c:v>3.9585325210267146</c:v>
                </c:pt>
                <c:pt idx="183">
                  <c:v>3.9585325210267146</c:v>
                </c:pt>
                <c:pt idx="184">
                  <c:v>3.9585325210267146</c:v>
                </c:pt>
                <c:pt idx="185">
                  <c:v>3.9585325210267146</c:v>
                </c:pt>
                <c:pt idx="186">
                  <c:v>3.9585325210267146</c:v>
                </c:pt>
                <c:pt idx="187">
                  <c:v>3.9585325210267146</c:v>
                </c:pt>
                <c:pt idx="188">
                  <c:v>3.9585325210267146</c:v>
                </c:pt>
                <c:pt idx="189">
                  <c:v>3.9585325210267146</c:v>
                </c:pt>
                <c:pt idx="190">
                  <c:v>3.9585325210267146</c:v>
                </c:pt>
                <c:pt idx="191">
                  <c:v>3.9585325210267146</c:v>
                </c:pt>
                <c:pt idx="192">
                  <c:v>3.9585325210267146</c:v>
                </c:pt>
                <c:pt idx="193">
                  <c:v>3.9585325210267146</c:v>
                </c:pt>
                <c:pt idx="194">
                  <c:v>3.9585325210267146</c:v>
                </c:pt>
                <c:pt idx="195">
                  <c:v>3.9585325210267146</c:v>
                </c:pt>
                <c:pt idx="196">
                  <c:v>3.9585325210267146</c:v>
                </c:pt>
                <c:pt idx="197">
                  <c:v>3.9585325210267146</c:v>
                </c:pt>
                <c:pt idx="198">
                  <c:v>3.9585325210267146</c:v>
                </c:pt>
                <c:pt idx="199">
                  <c:v>3.9585325210267146</c:v>
                </c:pt>
                <c:pt idx="200">
                  <c:v>3.9866572986489199</c:v>
                </c:pt>
                <c:pt idx="201">
                  <c:v>3.9866572986489199</c:v>
                </c:pt>
                <c:pt idx="202">
                  <c:v>3.9866572986489199</c:v>
                </c:pt>
                <c:pt idx="203">
                  <c:v>3.9866572986489199</c:v>
                </c:pt>
                <c:pt idx="204">
                  <c:v>3.9866572986489199</c:v>
                </c:pt>
                <c:pt idx="205">
                  <c:v>3.9866572986489199</c:v>
                </c:pt>
                <c:pt idx="206">
                  <c:v>3.9866572986489199</c:v>
                </c:pt>
                <c:pt idx="207">
                  <c:v>3.9866572986489199</c:v>
                </c:pt>
                <c:pt idx="208">
                  <c:v>3.9866572986489199</c:v>
                </c:pt>
                <c:pt idx="209">
                  <c:v>3.9866572986489199</c:v>
                </c:pt>
                <c:pt idx="210">
                  <c:v>3.9866572986489199</c:v>
                </c:pt>
                <c:pt idx="211">
                  <c:v>3.9866572986489199</c:v>
                </c:pt>
                <c:pt idx="212">
                  <c:v>3.9866572986489199</c:v>
                </c:pt>
                <c:pt idx="213">
                  <c:v>3.9866572986489199</c:v>
                </c:pt>
                <c:pt idx="214">
                  <c:v>3.9866572986489199</c:v>
                </c:pt>
                <c:pt idx="215">
                  <c:v>3.9866572986489199</c:v>
                </c:pt>
                <c:pt idx="216">
                  <c:v>3.9866572986489199</c:v>
                </c:pt>
                <c:pt idx="217">
                  <c:v>3.9866572986489199</c:v>
                </c:pt>
                <c:pt idx="218">
                  <c:v>3.9866572986489199</c:v>
                </c:pt>
                <c:pt idx="219">
                  <c:v>3.9866572986489199</c:v>
                </c:pt>
                <c:pt idx="220">
                  <c:v>3.9957662874475997</c:v>
                </c:pt>
                <c:pt idx="221">
                  <c:v>3.9957662874475997</c:v>
                </c:pt>
                <c:pt idx="222">
                  <c:v>3.9957662874475997</c:v>
                </c:pt>
                <c:pt idx="223">
                  <c:v>3.9957662874475997</c:v>
                </c:pt>
                <c:pt idx="224">
                  <c:v>3.9957662874475997</c:v>
                </c:pt>
                <c:pt idx="225">
                  <c:v>3.9957662874475997</c:v>
                </c:pt>
                <c:pt idx="226">
                  <c:v>3.9957662874475997</c:v>
                </c:pt>
                <c:pt idx="227">
                  <c:v>3.9957662874475997</c:v>
                </c:pt>
                <c:pt idx="228">
                  <c:v>3.9957662874475997</c:v>
                </c:pt>
                <c:pt idx="229">
                  <c:v>3.9957662874475997</c:v>
                </c:pt>
                <c:pt idx="230">
                  <c:v>3.9957662874475997</c:v>
                </c:pt>
                <c:pt idx="231">
                  <c:v>3.9957662874475997</c:v>
                </c:pt>
                <c:pt idx="232">
                  <c:v>3.9957662874475997</c:v>
                </c:pt>
                <c:pt idx="233">
                  <c:v>3.9957662874475997</c:v>
                </c:pt>
                <c:pt idx="234">
                  <c:v>3.9957662874475997</c:v>
                </c:pt>
                <c:pt idx="235">
                  <c:v>3.9957662874475997</c:v>
                </c:pt>
                <c:pt idx="236">
                  <c:v>3.9957662874475997</c:v>
                </c:pt>
                <c:pt idx="237">
                  <c:v>3.9957662874475997</c:v>
                </c:pt>
                <c:pt idx="238">
                  <c:v>3.9957662874475997</c:v>
                </c:pt>
                <c:pt idx="239">
                  <c:v>3.9957662874475997</c:v>
                </c:pt>
                <c:pt idx="240">
                  <c:v>3.9986688580065208</c:v>
                </c:pt>
                <c:pt idx="241">
                  <c:v>3.9986688580065208</c:v>
                </c:pt>
                <c:pt idx="242">
                  <c:v>3.9986688580065208</c:v>
                </c:pt>
                <c:pt idx="243">
                  <c:v>3.9986688580065208</c:v>
                </c:pt>
                <c:pt idx="244">
                  <c:v>3.9986688580065208</c:v>
                </c:pt>
                <c:pt idx="245">
                  <c:v>3.9986688580065208</c:v>
                </c:pt>
                <c:pt idx="246">
                  <c:v>3.9986688580065208</c:v>
                </c:pt>
                <c:pt idx="247">
                  <c:v>3.9986688580065208</c:v>
                </c:pt>
                <c:pt idx="248">
                  <c:v>3.9986688580065208</c:v>
                </c:pt>
                <c:pt idx="249">
                  <c:v>3.9986688580065208</c:v>
                </c:pt>
                <c:pt idx="250">
                  <c:v>3.9986688580065208</c:v>
                </c:pt>
                <c:pt idx="251">
                  <c:v>3.9986688580065208</c:v>
                </c:pt>
                <c:pt idx="252">
                  <c:v>3.9986688580065208</c:v>
                </c:pt>
                <c:pt idx="253">
                  <c:v>3.9986688580065208</c:v>
                </c:pt>
                <c:pt idx="254">
                  <c:v>3.9986688580065208</c:v>
                </c:pt>
                <c:pt idx="255">
                  <c:v>3.9986688580065208</c:v>
                </c:pt>
                <c:pt idx="256">
                  <c:v>3.9986688580065208</c:v>
                </c:pt>
                <c:pt idx="257">
                  <c:v>3.9986688580065208</c:v>
                </c:pt>
                <c:pt idx="258">
                  <c:v>3.9986688580065208</c:v>
                </c:pt>
                <c:pt idx="259">
                  <c:v>3.9986688580065208</c:v>
                </c:pt>
                <c:pt idx="260">
                  <c:v>3.9995840228833308</c:v>
                </c:pt>
                <c:pt idx="261">
                  <c:v>3.9995840228833308</c:v>
                </c:pt>
                <c:pt idx="262">
                  <c:v>3.9995840228833308</c:v>
                </c:pt>
                <c:pt idx="263">
                  <c:v>3.9995840228833308</c:v>
                </c:pt>
                <c:pt idx="264">
                  <c:v>3.9995840228833308</c:v>
                </c:pt>
                <c:pt idx="265">
                  <c:v>3.9995840228833308</c:v>
                </c:pt>
                <c:pt idx="266">
                  <c:v>3.9995840228833308</c:v>
                </c:pt>
                <c:pt idx="267">
                  <c:v>3.9995840228833308</c:v>
                </c:pt>
                <c:pt idx="268">
                  <c:v>3.9995840228833308</c:v>
                </c:pt>
                <c:pt idx="269">
                  <c:v>3.9995840228833308</c:v>
                </c:pt>
                <c:pt idx="270">
                  <c:v>3.9995840228833308</c:v>
                </c:pt>
                <c:pt idx="271">
                  <c:v>3.9995840228833308</c:v>
                </c:pt>
                <c:pt idx="272">
                  <c:v>3.9995840228833308</c:v>
                </c:pt>
                <c:pt idx="273">
                  <c:v>3.9995840228833308</c:v>
                </c:pt>
                <c:pt idx="274">
                  <c:v>3.9995840228833308</c:v>
                </c:pt>
                <c:pt idx="275">
                  <c:v>3.9995840228833308</c:v>
                </c:pt>
                <c:pt idx="276">
                  <c:v>3.9995840228833308</c:v>
                </c:pt>
                <c:pt idx="277">
                  <c:v>3.9995840228833308</c:v>
                </c:pt>
                <c:pt idx="278">
                  <c:v>3.9995840228833308</c:v>
                </c:pt>
                <c:pt idx="279">
                  <c:v>3.9995840228833308</c:v>
                </c:pt>
                <c:pt idx="280">
                  <c:v>3.999870546387069</c:v>
                </c:pt>
                <c:pt idx="281">
                  <c:v>3.999870546387069</c:v>
                </c:pt>
                <c:pt idx="282">
                  <c:v>3.999870546387069</c:v>
                </c:pt>
                <c:pt idx="283">
                  <c:v>3.999870546387069</c:v>
                </c:pt>
                <c:pt idx="284">
                  <c:v>3.999870546387069</c:v>
                </c:pt>
                <c:pt idx="285">
                  <c:v>3.999870546387069</c:v>
                </c:pt>
                <c:pt idx="286">
                  <c:v>3.999870546387069</c:v>
                </c:pt>
                <c:pt idx="287">
                  <c:v>3.999870546387069</c:v>
                </c:pt>
                <c:pt idx="288">
                  <c:v>3.999870546387069</c:v>
                </c:pt>
                <c:pt idx="289">
                  <c:v>3.999870546387069</c:v>
                </c:pt>
                <c:pt idx="290">
                  <c:v>3.999870546387069</c:v>
                </c:pt>
                <c:pt idx="291">
                  <c:v>3.999870546387069</c:v>
                </c:pt>
                <c:pt idx="292">
                  <c:v>3.999870546387069</c:v>
                </c:pt>
                <c:pt idx="293">
                  <c:v>3.999870546387069</c:v>
                </c:pt>
                <c:pt idx="294">
                  <c:v>3.999870546387069</c:v>
                </c:pt>
                <c:pt idx="295">
                  <c:v>3.999870546387069</c:v>
                </c:pt>
                <c:pt idx="296">
                  <c:v>3.999870546387069</c:v>
                </c:pt>
                <c:pt idx="297">
                  <c:v>3.999870546387069</c:v>
                </c:pt>
                <c:pt idx="298">
                  <c:v>3.999870546387069</c:v>
                </c:pt>
                <c:pt idx="299">
                  <c:v>3.999870546387069</c:v>
                </c:pt>
                <c:pt idx="300">
                  <c:v>3.9999598274926562</c:v>
                </c:pt>
                <c:pt idx="301">
                  <c:v>3.9999598274926562</c:v>
                </c:pt>
                <c:pt idx="302">
                  <c:v>3.9999598274926562</c:v>
                </c:pt>
                <c:pt idx="303">
                  <c:v>3.9999598274926562</c:v>
                </c:pt>
                <c:pt idx="304">
                  <c:v>3.9999598274926562</c:v>
                </c:pt>
                <c:pt idx="305">
                  <c:v>3.9999598274926562</c:v>
                </c:pt>
                <c:pt idx="306">
                  <c:v>3.9999598274926562</c:v>
                </c:pt>
                <c:pt idx="307">
                  <c:v>3.9999598274926562</c:v>
                </c:pt>
                <c:pt idx="308">
                  <c:v>3.9999598274926562</c:v>
                </c:pt>
                <c:pt idx="309">
                  <c:v>3.9999598274926562</c:v>
                </c:pt>
                <c:pt idx="310">
                  <c:v>3.9999598274926562</c:v>
                </c:pt>
                <c:pt idx="311">
                  <c:v>3.9999598274926562</c:v>
                </c:pt>
                <c:pt idx="312">
                  <c:v>3.9999598274926562</c:v>
                </c:pt>
                <c:pt idx="313">
                  <c:v>3.9999598274926562</c:v>
                </c:pt>
                <c:pt idx="314">
                  <c:v>3.9999598274926562</c:v>
                </c:pt>
                <c:pt idx="315">
                  <c:v>3.9999598274926562</c:v>
                </c:pt>
                <c:pt idx="316">
                  <c:v>3.9999598274926562</c:v>
                </c:pt>
                <c:pt idx="317">
                  <c:v>3.9999598274926562</c:v>
                </c:pt>
                <c:pt idx="318">
                  <c:v>3.9999598274926562</c:v>
                </c:pt>
                <c:pt idx="319">
                  <c:v>3.9999598274926562</c:v>
                </c:pt>
                <c:pt idx="320">
                  <c:v>3.9999875577639674</c:v>
                </c:pt>
                <c:pt idx="321">
                  <c:v>3.9999875577639674</c:v>
                </c:pt>
                <c:pt idx="322">
                  <c:v>3.9999875577639674</c:v>
                </c:pt>
                <c:pt idx="323">
                  <c:v>3.9999875577639674</c:v>
                </c:pt>
                <c:pt idx="324">
                  <c:v>3.9999875577639674</c:v>
                </c:pt>
                <c:pt idx="325">
                  <c:v>3.9999875577639674</c:v>
                </c:pt>
                <c:pt idx="326">
                  <c:v>3.9999875577639674</c:v>
                </c:pt>
                <c:pt idx="327">
                  <c:v>3.9999875577639674</c:v>
                </c:pt>
                <c:pt idx="328">
                  <c:v>3.9999875577639674</c:v>
                </c:pt>
                <c:pt idx="329">
                  <c:v>3.9999875577639674</c:v>
                </c:pt>
                <c:pt idx="330">
                  <c:v>3.9999875577639674</c:v>
                </c:pt>
                <c:pt idx="331">
                  <c:v>3.9999875577639674</c:v>
                </c:pt>
                <c:pt idx="332">
                  <c:v>3.9999875577639674</c:v>
                </c:pt>
                <c:pt idx="333">
                  <c:v>3.9999875577639674</c:v>
                </c:pt>
                <c:pt idx="334">
                  <c:v>3.9999875577639674</c:v>
                </c:pt>
                <c:pt idx="335">
                  <c:v>3.9999875577639674</c:v>
                </c:pt>
                <c:pt idx="336">
                  <c:v>3.9999875577639674</c:v>
                </c:pt>
                <c:pt idx="337">
                  <c:v>3.9999875577639674</c:v>
                </c:pt>
                <c:pt idx="338">
                  <c:v>3.9999875577639674</c:v>
                </c:pt>
                <c:pt idx="339">
                  <c:v>3.9999875577639674</c:v>
                </c:pt>
                <c:pt idx="340">
                  <c:v>3.9999961515601963</c:v>
                </c:pt>
                <c:pt idx="341">
                  <c:v>3.9999961515601963</c:v>
                </c:pt>
                <c:pt idx="342">
                  <c:v>3.9999961515601963</c:v>
                </c:pt>
                <c:pt idx="343">
                  <c:v>3.9999961515601963</c:v>
                </c:pt>
                <c:pt idx="344">
                  <c:v>3.9999961515601963</c:v>
                </c:pt>
                <c:pt idx="345">
                  <c:v>3.9999961515601963</c:v>
                </c:pt>
                <c:pt idx="346">
                  <c:v>3.9999961515601963</c:v>
                </c:pt>
                <c:pt idx="347">
                  <c:v>3.9999961515601963</c:v>
                </c:pt>
                <c:pt idx="348">
                  <c:v>3.9999961515601963</c:v>
                </c:pt>
                <c:pt idx="349">
                  <c:v>3.9999961515601963</c:v>
                </c:pt>
                <c:pt idx="350">
                  <c:v>3.9999961515601963</c:v>
                </c:pt>
                <c:pt idx="351">
                  <c:v>3.9999961515601963</c:v>
                </c:pt>
                <c:pt idx="352">
                  <c:v>3.9999961515601963</c:v>
                </c:pt>
                <c:pt idx="353">
                  <c:v>3.9999961515601963</c:v>
                </c:pt>
                <c:pt idx="354">
                  <c:v>3.9999961515601963</c:v>
                </c:pt>
                <c:pt idx="355">
                  <c:v>3.9999961515601963</c:v>
                </c:pt>
                <c:pt idx="356">
                  <c:v>3.9999961515601963</c:v>
                </c:pt>
                <c:pt idx="357">
                  <c:v>3.9999961515601963</c:v>
                </c:pt>
                <c:pt idx="358">
                  <c:v>3.9999961515601963</c:v>
                </c:pt>
                <c:pt idx="359">
                  <c:v>3.9999961515601963</c:v>
                </c:pt>
                <c:pt idx="360">
                  <c:v>3.999998810765756</c:v>
                </c:pt>
                <c:pt idx="361">
                  <c:v>3.999998810765756</c:v>
                </c:pt>
                <c:pt idx="362">
                  <c:v>3.999998810765756</c:v>
                </c:pt>
                <c:pt idx="363">
                  <c:v>3.999998810765756</c:v>
                </c:pt>
                <c:pt idx="364">
                  <c:v>3.999998810765756</c:v>
                </c:pt>
                <c:pt idx="365">
                  <c:v>3.999998810765756</c:v>
                </c:pt>
                <c:pt idx="366">
                  <c:v>3.999998810765756</c:v>
                </c:pt>
                <c:pt idx="367">
                  <c:v>3.999998810765756</c:v>
                </c:pt>
                <c:pt idx="368">
                  <c:v>3.999998810765756</c:v>
                </c:pt>
                <c:pt idx="369">
                  <c:v>3.999998810765756</c:v>
                </c:pt>
                <c:pt idx="370">
                  <c:v>3.999998810765756</c:v>
                </c:pt>
                <c:pt idx="371">
                  <c:v>3.999998810765756</c:v>
                </c:pt>
                <c:pt idx="372">
                  <c:v>3.999998810765756</c:v>
                </c:pt>
                <c:pt idx="373">
                  <c:v>3.999998810765756</c:v>
                </c:pt>
                <c:pt idx="374">
                  <c:v>3.999998810765756</c:v>
                </c:pt>
                <c:pt idx="375">
                  <c:v>3.999998810765756</c:v>
                </c:pt>
                <c:pt idx="376">
                  <c:v>3.999998810765756</c:v>
                </c:pt>
                <c:pt idx="377">
                  <c:v>3.999998810765756</c:v>
                </c:pt>
                <c:pt idx="378">
                  <c:v>3.999998810765756</c:v>
                </c:pt>
                <c:pt idx="379">
                  <c:v>3.999998810765756</c:v>
                </c:pt>
                <c:pt idx="380">
                  <c:v>3.9999996327427745</c:v>
                </c:pt>
                <c:pt idx="381">
                  <c:v>3.9999996327427745</c:v>
                </c:pt>
                <c:pt idx="382">
                  <c:v>3.9999996327427745</c:v>
                </c:pt>
                <c:pt idx="383">
                  <c:v>3.9999996327427745</c:v>
                </c:pt>
                <c:pt idx="384">
                  <c:v>3.9999996327427745</c:v>
                </c:pt>
                <c:pt idx="385">
                  <c:v>3.9999996327427745</c:v>
                </c:pt>
                <c:pt idx="386">
                  <c:v>3.9999996327427745</c:v>
                </c:pt>
                <c:pt idx="387">
                  <c:v>3.9999996327427745</c:v>
                </c:pt>
                <c:pt idx="388">
                  <c:v>3.9999996327427745</c:v>
                </c:pt>
                <c:pt idx="389">
                  <c:v>3.9999996327427745</c:v>
                </c:pt>
                <c:pt idx="390">
                  <c:v>3.9999996327427745</c:v>
                </c:pt>
                <c:pt idx="391">
                  <c:v>3.9999996327427745</c:v>
                </c:pt>
                <c:pt idx="392">
                  <c:v>3.9999996327427745</c:v>
                </c:pt>
                <c:pt idx="393">
                  <c:v>3.9999996327427745</c:v>
                </c:pt>
                <c:pt idx="394">
                  <c:v>3.9999996327427745</c:v>
                </c:pt>
                <c:pt idx="395">
                  <c:v>3.9999996327427745</c:v>
                </c:pt>
                <c:pt idx="396">
                  <c:v>3.9999996327427745</c:v>
                </c:pt>
                <c:pt idx="397">
                  <c:v>3.9999996327427745</c:v>
                </c:pt>
                <c:pt idx="398">
                  <c:v>3.9999996327427745</c:v>
                </c:pt>
                <c:pt idx="399">
                  <c:v>3.9999996327427745</c:v>
                </c:pt>
                <c:pt idx="400">
                  <c:v>3.9999998866349764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69C-45E2-9224-92A55B7E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6931024"/>
        <c:axId val="926938704"/>
      </c:lineChart>
      <c:catAx>
        <c:axId val="926931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6938704"/>
        <c:crosses val="autoZero"/>
        <c:auto val="1"/>
        <c:lblAlgn val="ctr"/>
        <c:lblOffset val="100"/>
        <c:noMultiLvlLbl val="0"/>
      </c:catAx>
      <c:valAx>
        <c:axId val="92693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693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109071"/>
        <c:axId val="2058109551"/>
      </c:lineChart>
      <c:catAx>
        <c:axId val="20581090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8109551"/>
        <c:crosses val="autoZero"/>
        <c:auto val="1"/>
        <c:lblAlgn val="ctr"/>
        <c:lblOffset val="100"/>
        <c:noMultiLvlLbl val="0"/>
      </c:catAx>
      <c:valAx>
        <c:axId val="20581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810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Лист2!$M$8</c:f>
              <c:strCache>
                <c:ptCount val="1"/>
                <c:pt idx="0">
                  <c:v>T=1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Лист2!$M$9:$M$159</c:f>
              <c:numCache>
                <c:formatCode>General</c:formatCode>
                <c:ptCount val="1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36</c:v>
                </c:pt>
                <c:pt idx="41">
                  <c:v>6.3000000000000114</c:v>
                </c:pt>
                <c:pt idx="42">
                  <c:v>6.6000000000000227</c:v>
                </c:pt>
                <c:pt idx="43">
                  <c:v>6.9000000000000341</c:v>
                </c:pt>
                <c:pt idx="44">
                  <c:v>7.2000000000000455</c:v>
                </c:pt>
                <c:pt idx="45">
                  <c:v>7.5000000000000568</c:v>
                </c:pt>
                <c:pt idx="46">
                  <c:v>7.8000000000000682</c:v>
                </c:pt>
                <c:pt idx="47">
                  <c:v>8.1000000000000796</c:v>
                </c:pt>
                <c:pt idx="48">
                  <c:v>8.4000000000000909</c:v>
                </c:pt>
                <c:pt idx="49">
                  <c:v>8.7000000000001023</c:v>
                </c:pt>
                <c:pt idx="50">
                  <c:v>9.0000000000001137</c:v>
                </c:pt>
                <c:pt idx="51">
                  <c:v>9.3000000000001251</c:v>
                </c:pt>
                <c:pt idx="52">
                  <c:v>9.6000000000001364</c:v>
                </c:pt>
                <c:pt idx="53">
                  <c:v>9.9000000000001478</c:v>
                </c:pt>
                <c:pt idx="54">
                  <c:v>10.200000000000159</c:v>
                </c:pt>
                <c:pt idx="55">
                  <c:v>10.500000000000171</c:v>
                </c:pt>
                <c:pt idx="56">
                  <c:v>10.800000000000182</c:v>
                </c:pt>
                <c:pt idx="57">
                  <c:v>11.100000000000193</c:v>
                </c:pt>
                <c:pt idx="58">
                  <c:v>11.400000000000205</c:v>
                </c:pt>
                <c:pt idx="59">
                  <c:v>11.700000000000216</c:v>
                </c:pt>
                <c:pt idx="60">
                  <c:v>12.000000000000227</c:v>
                </c:pt>
                <c:pt idx="61">
                  <c:v>12.300000000000239</c:v>
                </c:pt>
                <c:pt idx="62">
                  <c:v>12.60000000000025</c:v>
                </c:pt>
                <c:pt idx="63">
                  <c:v>12.900000000000261</c:v>
                </c:pt>
                <c:pt idx="64">
                  <c:v>13.200000000000273</c:v>
                </c:pt>
                <c:pt idx="65">
                  <c:v>13.500000000000284</c:v>
                </c:pt>
                <c:pt idx="66">
                  <c:v>13.800000000000296</c:v>
                </c:pt>
                <c:pt idx="67">
                  <c:v>14.100000000000307</c:v>
                </c:pt>
                <c:pt idx="68">
                  <c:v>14.400000000000318</c:v>
                </c:pt>
                <c:pt idx="69">
                  <c:v>14.70000000000033</c:v>
                </c:pt>
                <c:pt idx="70">
                  <c:v>15.000000000000341</c:v>
                </c:pt>
                <c:pt idx="71">
                  <c:v>15.300000000000352</c:v>
                </c:pt>
                <c:pt idx="72">
                  <c:v>15.600000000000364</c:v>
                </c:pt>
                <c:pt idx="73">
                  <c:v>15.900000000000375</c:v>
                </c:pt>
                <c:pt idx="74">
                  <c:v>16.200000000000387</c:v>
                </c:pt>
                <c:pt idx="75">
                  <c:v>16.500000000000398</c:v>
                </c:pt>
                <c:pt idx="76">
                  <c:v>16.800000000000409</c:v>
                </c:pt>
                <c:pt idx="77">
                  <c:v>17.100000000000421</c:v>
                </c:pt>
                <c:pt idx="78">
                  <c:v>17.400000000000432</c:v>
                </c:pt>
                <c:pt idx="79">
                  <c:v>17.700000000000443</c:v>
                </c:pt>
                <c:pt idx="80">
                  <c:v>18.000000000000455</c:v>
                </c:pt>
                <c:pt idx="81">
                  <c:v>18.300000000000466</c:v>
                </c:pt>
                <c:pt idx="82">
                  <c:v>18.600000000000477</c:v>
                </c:pt>
                <c:pt idx="83">
                  <c:v>18.900000000000489</c:v>
                </c:pt>
                <c:pt idx="84">
                  <c:v>19.2000000000005</c:v>
                </c:pt>
                <c:pt idx="85">
                  <c:v>19.500000000000512</c:v>
                </c:pt>
                <c:pt idx="86">
                  <c:v>19.800000000000523</c:v>
                </c:pt>
                <c:pt idx="87">
                  <c:v>20.100000000000534</c:v>
                </c:pt>
                <c:pt idx="88">
                  <c:v>20.400000000000546</c:v>
                </c:pt>
                <c:pt idx="89">
                  <c:v>20.700000000000557</c:v>
                </c:pt>
                <c:pt idx="90">
                  <c:v>21.000000000000568</c:v>
                </c:pt>
                <c:pt idx="91">
                  <c:v>21.30000000000058</c:v>
                </c:pt>
                <c:pt idx="92">
                  <c:v>21.600000000000591</c:v>
                </c:pt>
                <c:pt idx="93">
                  <c:v>21.900000000000603</c:v>
                </c:pt>
                <c:pt idx="94">
                  <c:v>22.200000000000614</c:v>
                </c:pt>
                <c:pt idx="95">
                  <c:v>22.500000000000625</c:v>
                </c:pt>
                <c:pt idx="96">
                  <c:v>22.800000000000637</c:v>
                </c:pt>
                <c:pt idx="97">
                  <c:v>23.100000000000648</c:v>
                </c:pt>
                <c:pt idx="98">
                  <c:v>23.400000000000659</c:v>
                </c:pt>
                <c:pt idx="99">
                  <c:v>23.700000000000671</c:v>
                </c:pt>
                <c:pt idx="100">
                  <c:v>24.000000000000682</c:v>
                </c:pt>
                <c:pt idx="101">
                  <c:v>24.300000000000693</c:v>
                </c:pt>
                <c:pt idx="102">
                  <c:v>24.600000000000705</c:v>
                </c:pt>
                <c:pt idx="103">
                  <c:v>24.900000000000716</c:v>
                </c:pt>
                <c:pt idx="104">
                  <c:v>25.200000000000728</c:v>
                </c:pt>
                <c:pt idx="105">
                  <c:v>25.500000000000739</c:v>
                </c:pt>
                <c:pt idx="106">
                  <c:v>25.80000000000075</c:v>
                </c:pt>
                <c:pt idx="107">
                  <c:v>26.100000000000762</c:v>
                </c:pt>
                <c:pt idx="108">
                  <c:v>26.400000000000773</c:v>
                </c:pt>
                <c:pt idx="109">
                  <c:v>26.700000000000784</c:v>
                </c:pt>
                <c:pt idx="110">
                  <c:v>27.000000000000796</c:v>
                </c:pt>
                <c:pt idx="111">
                  <c:v>27.300000000000807</c:v>
                </c:pt>
                <c:pt idx="112">
                  <c:v>27.600000000000819</c:v>
                </c:pt>
                <c:pt idx="113">
                  <c:v>27.90000000000083</c:v>
                </c:pt>
                <c:pt idx="114">
                  <c:v>28.200000000000841</c:v>
                </c:pt>
                <c:pt idx="115">
                  <c:v>28.500000000000853</c:v>
                </c:pt>
                <c:pt idx="116">
                  <c:v>28.800000000000864</c:v>
                </c:pt>
                <c:pt idx="117">
                  <c:v>29.100000000000875</c:v>
                </c:pt>
                <c:pt idx="118">
                  <c:v>29.400000000000887</c:v>
                </c:pt>
                <c:pt idx="119">
                  <c:v>29.700000000000898</c:v>
                </c:pt>
                <c:pt idx="120">
                  <c:v>30.000000000000909</c:v>
                </c:pt>
                <c:pt idx="121">
                  <c:v>30.300000000000921</c:v>
                </c:pt>
                <c:pt idx="122">
                  <c:v>30.600000000000932</c:v>
                </c:pt>
                <c:pt idx="123">
                  <c:v>30.900000000000944</c:v>
                </c:pt>
                <c:pt idx="124">
                  <c:v>31.200000000000955</c:v>
                </c:pt>
                <c:pt idx="125">
                  <c:v>31.500000000000966</c:v>
                </c:pt>
                <c:pt idx="126">
                  <c:v>31.800000000000978</c:v>
                </c:pt>
                <c:pt idx="127">
                  <c:v>32.100000000000989</c:v>
                </c:pt>
                <c:pt idx="128">
                  <c:v>32.400000000001</c:v>
                </c:pt>
                <c:pt idx="129">
                  <c:v>32.700000000001012</c:v>
                </c:pt>
                <c:pt idx="130">
                  <c:v>33.000000000001023</c:v>
                </c:pt>
                <c:pt idx="131">
                  <c:v>33.300000000001035</c:v>
                </c:pt>
                <c:pt idx="132">
                  <c:v>33.600000000001046</c:v>
                </c:pt>
                <c:pt idx="133">
                  <c:v>33.900000000001057</c:v>
                </c:pt>
                <c:pt idx="134">
                  <c:v>34.200000000001069</c:v>
                </c:pt>
                <c:pt idx="135">
                  <c:v>34.50000000000108</c:v>
                </c:pt>
                <c:pt idx="136">
                  <c:v>34.800000000001091</c:v>
                </c:pt>
                <c:pt idx="137">
                  <c:v>35.100000000001103</c:v>
                </c:pt>
                <c:pt idx="138">
                  <c:v>35.400000000001114</c:v>
                </c:pt>
                <c:pt idx="139">
                  <c:v>35.700000000001125</c:v>
                </c:pt>
                <c:pt idx="140">
                  <c:v>36.000000000001137</c:v>
                </c:pt>
                <c:pt idx="141">
                  <c:v>36.300000000001148</c:v>
                </c:pt>
                <c:pt idx="142">
                  <c:v>36.60000000000116</c:v>
                </c:pt>
                <c:pt idx="143">
                  <c:v>36.900000000001171</c:v>
                </c:pt>
                <c:pt idx="144">
                  <c:v>37.200000000001182</c:v>
                </c:pt>
                <c:pt idx="145">
                  <c:v>37.500000000001194</c:v>
                </c:pt>
                <c:pt idx="146">
                  <c:v>37.800000000001205</c:v>
                </c:pt>
                <c:pt idx="147">
                  <c:v>38.100000000001216</c:v>
                </c:pt>
                <c:pt idx="148">
                  <c:v>38.400000000001228</c:v>
                </c:pt>
                <c:pt idx="149">
                  <c:v>38.700000000001239</c:v>
                </c:pt>
                <c:pt idx="150">
                  <c:v>39.000000000001251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56-47C3-BEA2-2A45C76D11D8}"/>
            </c:ext>
          </c:extLst>
        </c:ser>
        <c:ser>
          <c:idx val="1"/>
          <c:order val="1"/>
          <c:tx>
            <c:strRef>
              <c:f>Лист2!$N$8</c:f>
              <c:strCache>
                <c:ptCount val="1"/>
                <c:pt idx="0">
                  <c:v>T=5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Лист2!$N$9:$N$159</c:f>
              <c:numCache>
                <c:formatCode>General</c:formatCode>
                <c:ptCount val="1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7.5</c:v>
                </c:pt>
                <c:pt idx="46">
                  <c:v>7.5</c:v>
                </c:pt>
                <c:pt idx="47">
                  <c:v>7.5</c:v>
                </c:pt>
                <c:pt idx="48">
                  <c:v>7.5</c:v>
                </c:pt>
                <c:pt idx="49">
                  <c:v>7.5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13.5</c:v>
                </c:pt>
                <c:pt idx="66">
                  <c:v>13.5</c:v>
                </c:pt>
                <c:pt idx="67">
                  <c:v>13.5</c:v>
                </c:pt>
                <c:pt idx="68">
                  <c:v>13.5</c:v>
                </c:pt>
                <c:pt idx="69">
                  <c:v>13.5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16.5</c:v>
                </c:pt>
                <c:pt idx="76">
                  <c:v>16.5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19.5</c:v>
                </c:pt>
                <c:pt idx="86">
                  <c:v>19.5</c:v>
                </c:pt>
                <c:pt idx="87">
                  <c:v>19.5</c:v>
                </c:pt>
                <c:pt idx="88">
                  <c:v>19.5</c:v>
                </c:pt>
                <c:pt idx="89">
                  <c:v>19.5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22.5</c:v>
                </c:pt>
                <c:pt idx="96">
                  <c:v>22.5</c:v>
                </c:pt>
                <c:pt idx="97">
                  <c:v>22.5</c:v>
                </c:pt>
                <c:pt idx="98">
                  <c:v>22.5</c:v>
                </c:pt>
                <c:pt idx="99">
                  <c:v>22.5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25.5</c:v>
                </c:pt>
                <c:pt idx="106">
                  <c:v>25.5</c:v>
                </c:pt>
                <c:pt idx="107">
                  <c:v>25.5</c:v>
                </c:pt>
                <c:pt idx="108">
                  <c:v>25.5</c:v>
                </c:pt>
                <c:pt idx="109">
                  <c:v>25.5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28.5</c:v>
                </c:pt>
                <c:pt idx="116">
                  <c:v>28.5</c:v>
                </c:pt>
                <c:pt idx="117">
                  <c:v>28.5</c:v>
                </c:pt>
                <c:pt idx="118">
                  <c:v>28.5</c:v>
                </c:pt>
                <c:pt idx="119">
                  <c:v>28.5</c:v>
                </c:pt>
                <c:pt idx="120">
                  <c:v>30</c:v>
                </c:pt>
                <c:pt idx="121">
                  <c:v>30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31.5</c:v>
                </c:pt>
                <c:pt idx="126">
                  <c:v>31.5</c:v>
                </c:pt>
                <c:pt idx="127">
                  <c:v>31.5</c:v>
                </c:pt>
                <c:pt idx="128">
                  <c:v>31.5</c:v>
                </c:pt>
                <c:pt idx="129">
                  <c:v>31.5</c:v>
                </c:pt>
                <c:pt idx="130">
                  <c:v>33</c:v>
                </c:pt>
                <c:pt idx="131">
                  <c:v>33</c:v>
                </c:pt>
                <c:pt idx="132">
                  <c:v>33</c:v>
                </c:pt>
                <c:pt idx="133">
                  <c:v>33</c:v>
                </c:pt>
                <c:pt idx="134">
                  <c:v>33</c:v>
                </c:pt>
                <c:pt idx="135">
                  <c:v>34.5</c:v>
                </c:pt>
                <c:pt idx="136">
                  <c:v>34.5</c:v>
                </c:pt>
                <c:pt idx="137">
                  <c:v>34.5</c:v>
                </c:pt>
                <c:pt idx="138">
                  <c:v>34.5</c:v>
                </c:pt>
                <c:pt idx="139">
                  <c:v>34.5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37.5</c:v>
                </c:pt>
                <c:pt idx="146">
                  <c:v>37.5</c:v>
                </c:pt>
                <c:pt idx="147">
                  <c:v>37.5</c:v>
                </c:pt>
                <c:pt idx="148">
                  <c:v>37.5</c:v>
                </c:pt>
                <c:pt idx="149">
                  <c:v>37.5</c:v>
                </c:pt>
                <c:pt idx="15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56-47C3-BEA2-2A45C76D11D8}"/>
            </c:ext>
          </c:extLst>
        </c:ser>
        <c:ser>
          <c:idx val="2"/>
          <c:order val="2"/>
          <c:tx>
            <c:strRef>
              <c:f>Лист2!$O$8</c:f>
              <c:strCache>
                <c:ptCount val="1"/>
                <c:pt idx="0">
                  <c:v>T=10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Лист2!$O$9:$O$159</c:f>
              <c:numCache>
                <c:formatCode>General</c:formatCode>
                <c:ptCount val="1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36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18</c:v>
                </c:pt>
                <c:pt idx="86">
                  <c:v>18</c:v>
                </c:pt>
                <c:pt idx="87">
                  <c:v>18</c:v>
                </c:pt>
                <c:pt idx="88">
                  <c:v>18</c:v>
                </c:pt>
                <c:pt idx="89">
                  <c:v>18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24</c:v>
                </c:pt>
                <c:pt idx="107">
                  <c:v>24</c:v>
                </c:pt>
                <c:pt idx="108">
                  <c:v>24</c:v>
                </c:pt>
                <c:pt idx="109">
                  <c:v>24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30</c:v>
                </c:pt>
                <c:pt idx="121">
                  <c:v>30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30</c:v>
                </c:pt>
                <c:pt idx="126">
                  <c:v>30</c:v>
                </c:pt>
                <c:pt idx="127">
                  <c:v>30</c:v>
                </c:pt>
                <c:pt idx="128">
                  <c:v>30</c:v>
                </c:pt>
                <c:pt idx="129">
                  <c:v>30</c:v>
                </c:pt>
                <c:pt idx="130">
                  <c:v>33</c:v>
                </c:pt>
                <c:pt idx="131">
                  <c:v>33</c:v>
                </c:pt>
                <c:pt idx="132">
                  <c:v>33</c:v>
                </c:pt>
                <c:pt idx="133">
                  <c:v>33</c:v>
                </c:pt>
                <c:pt idx="134">
                  <c:v>33</c:v>
                </c:pt>
                <c:pt idx="135">
                  <c:v>33</c:v>
                </c:pt>
                <c:pt idx="136">
                  <c:v>33</c:v>
                </c:pt>
                <c:pt idx="137">
                  <c:v>33</c:v>
                </c:pt>
                <c:pt idx="138">
                  <c:v>33</c:v>
                </c:pt>
                <c:pt idx="139">
                  <c:v>33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56-47C3-BEA2-2A45C76D1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15311"/>
        <c:axId val="2058111951"/>
      </c:lineChart>
      <c:catAx>
        <c:axId val="20581153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8111951"/>
        <c:crosses val="autoZero"/>
        <c:auto val="1"/>
        <c:lblAlgn val="ctr"/>
        <c:lblOffset val="100"/>
        <c:noMultiLvlLbl val="0"/>
      </c:catAx>
      <c:valAx>
        <c:axId val="205811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811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Лист2!$P$8</c:f>
              <c:strCache>
                <c:ptCount val="1"/>
                <c:pt idx="0">
                  <c:v>T=1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Лист2!$P$9:$P$159</c:f>
              <c:numCache>
                <c:formatCode>General</c:formatCode>
                <c:ptCount val="1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36.150000000000006</c:v>
                </c:pt>
                <c:pt idx="41">
                  <c:v>6.4500000000000171</c:v>
                </c:pt>
                <c:pt idx="42">
                  <c:v>6.7500000000000284</c:v>
                </c:pt>
                <c:pt idx="43">
                  <c:v>7.0500000000000398</c:v>
                </c:pt>
                <c:pt idx="44">
                  <c:v>7.3500000000000512</c:v>
                </c:pt>
                <c:pt idx="45">
                  <c:v>7.6500000000000625</c:v>
                </c:pt>
                <c:pt idx="46">
                  <c:v>7.9500000000000739</c:v>
                </c:pt>
                <c:pt idx="47">
                  <c:v>8.2500000000000853</c:v>
                </c:pt>
                <c:pt idx="48">
                  <c:v>8.5500000000000966</c:v>
                </c:pt>
                <c:pt idx="49">
                  <c:v>8.850000000000108</c:v>
                </c:pt>
                <c:pt idx="50">
                  <c:v>9.1500000000001194</c:v>
                </c:pt>
                <c:pt idx="51">
                  <c:v>9.4500000000001307</c:v>
                </c:pt>
                <c:pt idx="52">
                  <c:v>9.7500000000001421</c:v>
                </c:pt>
                <c:pt idx="53">
                  <c:v>10.050000000000153</c:v>
                </c:pt>
                <c:pt idx="54">
                  <c:v>10.350000000000165</c:v>
                </c:pt>
                <c:pt idx="55">
                  <c:v>10.650000000000176</c:v>
                </c:pt>
                <c:pt idx="56">
                  <c:v>10.950000000000188</c:v>
                </c:pt>
                <c:pt idx="57">
                  <c:v>11.250000000000199</c:v>
                </c:pt>
                <c:pt idx="58">
                  <c:v>11.55000000000021</c:v>
                </c:pt>
                <c:pt idx="59">
                  <c:v>11.850000000000222</c:v>
                </c:pt>
                <c:pt idx="60">
                  <c:v>12.150000000000233</c:v>
                </c:pt>
                <c:pt idx="61">
                  <c:v>12.450000000000244</c:v>
                </c:pt>
                <c:pt idx="62">
                  <c:v>12.750000000000256</c:v>
                </c:pt>
                <c:pt idx="63">
                  <c:v>13.050000000000267</c:v>
                </c:pt>
                <c:pt idx="64">
                  <c:v>13.350000000000279</c:v>
                </c:pt>
                <c:pt idx="65">
                  <c:v>13.65000000000029</c:v>
                </c:pt>
                <c:pt idx="66">
                  <c:v>13.950000000000301</c:v>
                </c:pt>
                <c:pt idx="67">
                  <c:v>14.250000000000313</c:v>
                </c:pt>
                <c:pt idx="68">
                  <c:v>14.550000000000324</c:v>
                </c:pt>
                <c:pt idx="69">
                  <c:v>14.850000000000335</c:v>
                </c:pt>
                <c:pt idx="70">
                  <c:v>15.150000000000347</c:v>
                </c:pt>
                <c:pt idx="71">
                  <c:v>15.450000000000358</c:v>
                </c:pt>
                <c:pt idx="72">
                  <c:v>15.750000000000369</c:v>
                </c:pt>
                <c:pt idx="73">
                  <c:v>16.050000000000381</c:v>
                </c:pt>
                <c:pt idx="74">
                  <c:v>16.350000000000392</c:v>
                </c:pt>
                <c:pt idx="75">
                  <c:v>16.650000000000404</c:v>
                </c:pt>
                <c:pt idx="76">
                  <c:v>16.950000000000415</c:v>
                </c:pt>
                <c:pt idx="77">
                  <c:v>17.250000000000426</c:v>
                </c:pt>
                <c:pt idx="78">
                  <c:v>17.550000000000438</c:v>
                </c:pt>
                <c:pt idx="79">
                  <c:v>17.850000000000449</c:v>
                </c:pt>
                <c:pt idx="80">
                  <c:v>18.15000000000046</c:v>
                </c:pt>
                <c:pt idx="81">
                  <c:v>18.450000000000472</c:v>
                </c:pt>
                <c:pt idx="82">
                  <c:v>18.750000000000483</c:v>
                </c:pt>
                <c:pt idx="83">
                  <c:v>19.050000000000495</c:v>
                </c:pt>
                <c:pt idx="84">
                  <c:v>19.350000000000506</c:v>
                </c:pt>
                <c:pt idx="85">
                  <c:v>19.650000000000517</c:v>
                </c:pt>
                <c:pt idx="86">
                  <c:v>19.950000000000529</c:v>
                </c:pt>
                <c:pt idx="87">
                  <c:v>20.25000000000054</c:v>
                </c:pt>
                <c:pt idx="88">
                  <c:v>20.550000000000551</c:v>
                </c:pt>
                <c:pt idx="89">
                  <c:v>20.850000000000563</c:v>
                </c:pt>
                <c:pt idx="90">
                  <c:v>21.150000000000574</c:v>
                </c:pt>
                <c:pt idx="91">
                  <c:v>21.450000000000585</c:v>
                </c:pt>
                <c:pt idx="92">
                  <c:v>21.750000000000597</c:v>
                </c:pt>
                <c:pt idx="93">
                  <c:v>22.050000000000608</c:v>
                </c:pt>
                <c:pt idx="94">
                  <c:v>22.35000000000062</c:v>
                </c:pt>
                <c:pt idx="95">
                  <c:v>22.650000000000631</c:v>
                </c:pt>
                <c:pt idx="96">
                  <c:v>22.950000000000642</c:v>
                </c:pt>
                <c:pt idx="97">
                  <c:v>23.250000000000654</c:v>
                </c:pt>
                <c:pt idx="98">
                  <c:v>23.550000000000665</c:v>
                </c:pt>
                <c:pt idx="99">
                  <c:v>23.850000000000676</c:v>
                </c:pt>
                <c:pt idx="100">
                  <c:v>24.150000000000688</c:v>
                </c:pt>
                <c:pt idx="101">
                  <c:v>24.450000000000699</c:v>
                </c:pt>
                <c:pt idx="102">
                  <c:v>24.750000000000711</c:v>
                </c:pt>
                <c:pt idx="103">
                  <c:v>25.050000000000722</c:v>
                </c:pt>
                <c:pt idx="104">
                  <c:v>25.350000000000733</c:v>
                </c:pt>
                <c:pt idx="105">
                  <c:v>25.650000000000745</c:v>
                </c:pt>
                <c:pt idx="106">
                  <c:v>25.950000000000756</c:v>
                </c:pt>
                <c:pt idx="107">
                  <c:v>26.250000000000767</c:v>
                </c:pt>
                <c:pt idx="108">
                  <c:v>26.550000000000779</c:v>
                </c:pt>
                <c:pt idx="109">
                  <c:v>26.85000000000079</c:v>
                </c:pt>
                <c:pt idx="110">
                  <c:v>27.150000000000801</c:v>
                </c:pt>
                <c:pt idx="111">
                  <c:v>27.450000000000813</c:v>
                </c:pt>
                <c:pt idx="112">
                  <c:v>27.750000000000824</c:v>
                </c:pt>
                <c:pt idx="113">
                  <c:v>28.050000000000836</c:v>
                </c:pt>
                <c:pt idx="114">
                  <c:v>28.350000000000847</c:v>
                </c:pt>
                <c:pt idx="115">
                  <c:v>28.650000000000858</c:v>
                </c:pt>
                <c:pt idx="116">
                  <c:v>28.95000000000087</c:v>
                </c:pt>
                <c:pt idx="117">
                  <c:v>29.250000000000881</c:v>
                </c:pt>
                <c:pt idx="118">
                  <c:v>29.550000000000892</c:v>
                </c:pt>
                <c:pt idx="119">
                  <c:v>29.850000000000904</c:v>
                </c:pt>
                <c:pt idx="120">
                  <c:v>30.150000000000915</c:v>
                </c:pt>
                <c:pt idx="121">
                  <c:v>30.450000000000927</c:v>
                </c:pt>
                <c:pt idx="122">
                  <c:v>30.750000000000938</c:v>
                </c:pt>
                <c:pt idx="123">
                  <c:v>31.050000000000949</c:v>
                </c:pt>
                <c:pt idx="124">
                  <c:v>31.350000000000961</c:v>
                </c:pt>
                <c:pt idx="125">
                  <c:v>31.650000000000972</c:v>
                </c:pt>
                <c:pt idx="126">
                  <c:v>31.950000000000983</c:v>
                </c:pt>
                <c:pt idx="127">
                  <c:v>32.250000000000995</c:v>
                </c:pt>
                <c:pt idx="128">
                  <c:v>32.550000000001006</c:v>
                </c:pt>
                <c:pt idx="129">
                  <c:v>32.850000000001017</c:v>
                </c:pt>
                <c:pt idx="130">
                  <c:v>33.150000000001029</c:v>
                </c:pt>
                <c:pt idx="131">
                  <c:v>33.45000000000104</c:v>
                </c:pt>
                <c:pt idx="132">
                  <c:v>33.750000000001052</c:v>
                </c:pt>
                <c:pt idx="133">
                  <c:v>34.050000000001063</c:v>
                </c:pt>
                <c:pt idx="134">
                  <c:v>34.350000000001074</c:v>
                </c:pt>
                <c:pt idx="135">
                  <c:v>34.650000000001086</c:v>
                </c:pt>
                <c:pt idx="136">
                  <c:v>34.950000000001097</c:v>
                </c:pt>
                <c:pt idx="137">
                  <c:v>35.250000000001108</c:v>
                </c:pt>
                <c:pt idx="138">
                  <c:v>35.55000000000112</c:v>
                </c:pt>
                <c:pt idx="139">
                  <c:v>35.850000000001131</c:v>
                </c:pt>
                <c:pt idx="140">
                  <c:v>36.150000000001143</c:v>
                </c:pt>
                <c:pt idx="141">
                  <c:v>36.450000000001154</c:v>
                </c:pt>
                <c:pt idx="142">
                  <c:v>36.750000000001165</c:v>
                </c:pt>
                <c:pt idx="143">
                  <c:v>37.050000000001177</c:v>
                </c:pt>
                <c:pt idx="144">
                  <c:v>37.350000000001188</c:v>
                </c:pt>
                <c:pt idx="145">
                  <c:v>37.650000000001199</c:v>
                </c:pt>
                <c:pt idx="146">
                  <c:v>37.950000000001211</c:v>
                </c:pt>
                <c:pt idx="147">
                  <c:v>38.250000000001222</c:v>
                </c:pt>
                <c:pt idx="148">
                  <c:v>38.550000000001234</c:v>
                </c:pt>
                <c:pt idx="149">
                  <c:v>38.850000000001245</c:v>
                </c:pt>
                <c:pt idx="150">
                  <c:v>39.150000000001256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97-4E1E-95C8-2FD8B5417178}"/>
            </c:ext>
          </c:extLst>
        </c:ser>
        <c:ser>
          <c:idx val="1"/>
          <c:order val="1"/>
          <c:tx>
            <c:strRef>
              <c:f>Лист2!$Q$8</c:f>
              <c:strCache>
                <c:ptCount val="1"/>
                <c:pt idx="0">
                  <c:v>T=5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Лист2!$Q$9:$Q$159</c:f>
              <c:numCache>
                <c:formatCode>General</c:formatCode>
                <c:ptCount val="1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12.75</c:v>
                </c:pt>
                <c:pt idx="41">
                  <c:v>12.75</c:v>
                </c:pt>
                <c:pt idx="42">
                  <c:v>12.75</c:v>
                </c:pt>
                <c:pt idx="43">
                  <c:v>12.75</c:v>
                </c:pt>
                <c:pt idx="44">
                  <c:v>12.75</c:v>
                </c:pt>
                <c:pt idx="45">
                  <c:v>8.25</c:v>
                </c:pt>
                <c:pt idx="46">
                  <c:v>8.25</c:v>
                </c:pt>
                <c:pt idx="47">
                  <c:v>8.25</c:v>
                </c:pt>
                <c:pt idx="48">
                  <c:v>8.25</c:v>
                </c:pt>
                <c:pt idx="49">
                  <c:v>8.25</c:v>
                </c:pt>
                <c:pt idx="50">
                  <c:v>9.75</c:v>
                </c:pt>
                <c:pt idx="51">
                  <c:v>9.75</c:v>
                </c:pt>
                <c:pt idx="52">
                  <c:v>9.75</c:v>
                </c:pt>
                <c:pt idx="53">
                  <c:v>9.75</c:v>
                </c:pt>
                <c:pt idx="54">
                  <c:v>9.75</c:v>
                </c:pt>
                <c:pt idx="55">
                  <c:v>11.25</c:v>
                </c:pt>
                <c:pt idx="56">
                  <c:v>11.25</c:v>
                </c:pt>
                <c:pt idx="57">
                  <c:v>11.25</c:v>
                </c:pt>
                <c:pt idx="58">
                  <c:v>11.25</c:v>
                </c:pt>
                <c:pt idx="59">
                  <c:v>11.25</c:v>
                </c:pt>
                <c:pt idx="60">
                  <c:v>12.75</c:v>
                </c:pt>
                <c:pt idx="61">
                  <c:v>12.75</c:v>
                </c:pt>
                <c:pt idx="62">
                  <c:v>12.75</c:v>
                </c:pt>
                <c:pt idx="63">
                  <c:v>12.75</c:v>
                </c:pt>
                <c:pt idx="64">
                  <c:v>12.75</c:v>
                </c:pt>
                <c:pt idx="65">
                  <c:v>14.25</c:v>
                </c:pt>
                <c:pt idx="66">
                  <c:v>14.25</c:v>
                </c:pt>
                <c:pt idx="67">
                  <c:v>14.25</c:v>
                </c:pt>
                <c:pt idx="68">
                  <c:v>14.25</c:v>
                </c:pt>
                <c:pt idx="69">
                  <c:v>14.25</c:v>
                </c:pt>
                <c:pt idx="70">
                  <c:v>15.75</c:v>
                </c:pt>
                <c:pt idx="71">
                  <c:v>15.75</c:v>
                </c:pt>
                <c:pt idx="72">
                  <c:v>15.75</c:v>
                </c:pt>
                <c:pt idx="73">
                  <c:v>15.75</c:v>
                </c:pt>
                <c:pt idx="74">
                  <c:v>15.75</c:v>
                </c:pt>
                <c:pt idx="75">
                  <c:v>17.25</c:v>
                </c:pt>
                <c:pt idx="76">
                  <c:v>17.25</c:v>
                </c:pt>
                <c:pt idx="77">
                  <c:v>17.25</c:v>
                </c:pt>
                <c:pt idx="78">
                  <c:v>17.25</c:v>
                </c:pt>
                <c:pt idx="79">
                  <c:v>17.25</c:v>
                </c:pt>
                <c:pt idx="80">
                  <c:v>18.75</c:v>
                </c:pt>
                <c:pt idx="81">
                  <c:v>18.75</c:v>
                </c:pt>
                <c:pt idx="82">
                  <c:v>18.75</c:v>
                </c:pt>
                <c:pt idx="83">
                  <c:v>18.75</c:v>
                </c:pt>
                <c:pt idx="84">
                  <c:v>18.75</c:v>
                </c:pt>
                <c:pt idx="85">
                  <c:v>20.25</c:v>
                </c:pt>
                <c:pt idx="86">
                  <c:v>20.25</c:v>
                </c:pt>
                <c:pt idx="87">
                  <c:v>20.25</c:v>
                </c:pt>
                <c:pt idx="88">
                  <c:v>20.25</c:v>
                </c:pt>
                <c:pt idx="89">
                  <c:v>20.25</c:v>
                </c:pt>
                <c:pt idx="90">
                  <c:v>21.75</c:v>
                </c:pt>
                <c:pt idx="91">
                  <c:v>21.75</c:v>
                </c:pt>
                <c:pt idx="92">
                  <c:v>21.75</c:v>
                </c:pt>
                <c:pt idx="93">
                  <c:v>21.75</c:v>
                </c:pt>
                <c:pt idx="94">
                  <c:v>21.75</c:v>
                </c:pt>
                <c:pt idx="95">
                  <c:v>23.25</c:v>
                </c:pt>
                <c:pt idx="96">
                  <c:v>23.25</c:v>
                </c:pt>
                <c:pt idx="97">
                  <c:v>23.25</c:v>
                </c:pt>
                <c:pt idx="98">
                  <c:v>23.25</c:v>
                </c:pt>
                <c:pt idx="99">
                  <c:v>23.25</c:v>
                </c:pt>
                <c:pt idx="100">
                  <c:v>24.75</c:v>
                </c:pt>
                <c:pt idx="101">
                  <c:v>24.75</c:v>
                </c:pt>
                <c:pt idx="102">
                  <c:v>24.75</c:v>
                </c:pt>
                <c:pt idx="103">
                  <c:v>24.75</c:v>
                </c:pt>
                <c:pt idx="104">
                  <c:v>24.75</c:v>
                </c:pt>
                <c:pt idx="105">
                  <c:v>26.25</c:v>
                </c:pt>
                <c:pt idx="106">
                  <c:v>26.25</c:v>
                </c:pt>
                <c:pt idx="107">
                  <c:v>26.25</c:v>
                </c:pt>
                <c:pt idx="108">
                  <c:v>26.25</c:v>
                </c:pt>
                <c:pt idx="109">
                  <c:v>26.25</c:v>
                </c:pt>
                <c:pt idx="110">
                  <c:v>27.75</c:v>
                </c:pt>
                <c:pt idx="111">
                  <c:v>27.75</c:v>
                </c:pt>
                <c:pt idx="112">
                  <c:v>27.75</c:v>
                </c:pt>
                <c:pt idx="113">
                  <c:v>27.75</c:v>
                </c:pt>
                <c:pt idx="114">
                  <c:v>27.75</c:v>
                </c:pt>
                <c:pt idx="115">
                  <c:v>29.25</c:v>
                </c:pt>
                <c:pt idx="116">
                  <c:v>29.25</c:v>
                </c:pt>
                <c:pt idx="117">
                  <c:v>29.25</c:v>
                </c:pt>
                <c:pt idx="118">
                  <c:v>29.25</c:v>
                </c:pt>
                <c:pt idx="119">
                  <c:v>29.25</c:v>
                </c:pt>
                <c:pt idx="120">
                  <c:v>30.75</c:v>
                </c:pt>
                <c:pt idx="121">
                  <c:v>30.75</c:v>
                </c:pt>
                <c:pt idx="122">
                  <c:v>30.75</c:v>
                </c:pt>
                <c:pt idx="123">
                  <c:v>30.75</c:v>
                </c:pt>
                <c:pt idx="124">
                  <c:v>30.75</c:v>
                </c:pt>
                <c:pt idx="125">
                  <c:v>32.25</c:v>
                </c:pt>
                <c:pt idx="126">
                  <c:v>32.25</c:v>
                </c:pt>
                <c:pt idx="127">
                  <c:v>32.25</c:v>
                </c:pt>
                <c:pt idx="128">
                  <c:v>32.25</c:v>
                </c:pt>
                <c:pt idx="129">
                  <c:v>32.25</c:v>
                </c:pt>
                <c:pt idx="130">
                  <c:v>33.75</c:v>
                </c:pt>
                <c:pt idx="131">
                  <c:v>33.75</c:v>
                </c:pt>
                <c:pt idx="132">
                  <c:v>33.75</c:v>
                </c:pt>
                <c:pt idx="133">
                  <c:v>33.75</c:v>
                </c:pt>
                <c:pt idx="134">
                  <c:v>33.75</c:v>
                </c:pt>
                <c:pt idx="135">
                  <c:v>35.25</c:v>
                </c:pt>
                <c:pt idx="136">
                  <c:v>35.25</c:v>
                </c:pt>
                <c:pt idx="137">
                  <c:v>35.25</c:v>
                </c:pt>
                <c:pt idx="138">
                  <c:v>35.25</c:v>
                </c:pt>
                <c:pt idx="139">
                  <c:v>35.25</c:v>
                </c:pt>
                <c:pt idx="140">
                  <c:v>36.75</c:v>
                </c:pt>
                <c:pt idx="141">
                  <c:v>36.75</c:v>
                </c:pt>
                <c:pt idx="142">
                  <c:v>36.75</c:v>
                </c:pt>
                <c:pt idx="143">
                  <c:v>36.75</c:v>
                </c:pt>
                <c:pt idx="144">
                  <c:v>36.75</c:v>
                </c:pt>
                <c:pt idx="145">
                  <c:v>38.25</c:v>
                </c:pt>
                <c:pt idx="146">
                  <c:v>38.25</c:v>
                </c:pt>
                <c:pt idx="147">
                  <c:v>38.25</c:v>
                </c:pt>
                <c:pt idx="148">
                  <c:v>38.25</c:v>
                </c:pt>
                <c:pt idx="149">
                  <c:v>38.25</c:v>
                </c:pt>
                <c:pt idx="150">
                  <c:v>39.75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97-4E1E-95C8-2FD8B5417178}"/>
            </c:ext>
          </c:extLst>
        </c:ser>
        <c:ser>
          <c:idx val="2"/>
          <c:order val="2"/>
          <c:tx>
            <c:strRef>
              <c:f>Лист2!$R$8</c:f>
              <c:strCache>
                <c:ptCount val="1"/>
                <c:pt idx="0">
                  <c:v>T=10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Лист2!$R$9:$R$159</c:f>
              <c:numCache>
                <c:formatCode>General</c:formatCode>
                <c:ptCount val="1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13.5</c:v>
                </c:pt>
                <c:pt idx="61">
                  <c:v>13.5</c:v>
                </c:pt>
                <c:pt idx="62">
                  <c:v>13.5</c:v>
                </c:pt>
                <c:pt idx="63">
                  <c:v>13.5</c:v>
                </c:pt>
                <c:pt idx="64">
                  <c:v>13.5</c:v>
                </c:pt>
                <c:pt idx="65">
                  <c:v>13.5</c:v>
                </c:pt>
                <c:pt idx="66">
                  <c:v>13.5</c:v>
                </c:pt>
                <c:pt idx="67">
                  <c:v>13.5</c:v>
                </c:pt>
                <c:pt idx="68">
                  <c:v>13.5</c:v>
                </c:pt>
                <c:pt idx="69">
                  <c:v>13.5</c:v>
                </c:pt>
                <c:pt idx="70">
                  <c:v>16.5</c:v>
                </c:pt>
                <c:pt idx="71">
                  <c:v>16.5</c:v>
                </c:pt>
                <c:pt idx="72">
                  <c:v>16.5</c:v>
                </c:pt>
                <c:pt idx="73">
                  <c:v>16.5</c:v>
                </c:pt>
                <c:pt idx="74">
                  <c:v>16.5</c:v>
                </c:pt>
                <c:pt idx="75">
                  <c:v>16.5</c:v>
                </c:pt>
                <c:pt idx="76">
                  <c:v>16.5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19.5</c:v>
                </c:pt>
                <c:pt idx="81">
                  <c:v>19.5</c:v>
                </c:pt>
                <c:pt idx="82">
                  <c:v>19.5</c:v>
                </c:pt>
                <c:pt idx="83">
                  <c:v>19.5</c:v>
                </c:pt>
                <c:pt idx="84">
                  <c:v>19.5</c:v>
                </c:pt>
                <c:pt idx="85">
                  <c:v>19.5</c:v>
                </c:pt>
                <c:pt idx="86">
                  <c:v>19.5</c:v>
                </c:pt>
                <c:pt idx="87">
                  <c:v>19.5</c:v>
                </c:pt>
                <c:pt idx="88">
                  <c:v>19.5</c:v>
                </c:pt>
                <c:pt idx="89">
                  <c:v>19.5</c:v>
                </c:pt>
                <c:pt idx="90">
                  <c:v>22.5</c:v>
                </c:pt>
                <c:pt idx="91">
                  <c:v>22.5</c:v>
                </c:pt>
                <c:pt idx="92">
                  <c:v>22.5</c:v>
                </c:pt>
                <c:pt idx="93">
                  <c:v>22.5</c:v>
                </c:pt>
                <c:pt idx="94">
                  <c:v>22.5</c:v>
                </c:pt>
                <c:pt idx="95">
                  <c:v>22.5</c:v>
                </c:pt>
                <c:pt idx="96">
                  <c:v>22.5</c:v>
                </c:pt>
                <c:pt idx="97">
                  <c:v>22.5</c:v>
                </c:pt>
                <c:pt idx="98">
                  <c:v>22.5</c:v>
                </c:pt>
                <c:pt idx="99">
                  <c:v>22.5</c:v>
                </c:pt>
                <c:pt idx="100">
                  <c:v>25.5</c:v>
                </c:pt>
                <c:pt idx="101">
                  <c:v>25.5</c:v>
                </c:pt>
                <c:pt idx="102">
                  <c:v>25.5</c:v>
                </c:pt>
                <c:pt idx="103">
                  <c:v>25.5</c:v>
                </c:pt>
                <c:pt idx="104">
                  <c:v>25.5</c:v>
                </c:pt>
                <c:pt idx="105">
                  <c:v>25.5</c:v>
                </c:pt>
                <c:pt idx="106">
                  <c:v>25.5</c:v>
                </c:pt>
                <c:pt idx="107">
                  <c:v>25.5</c:v>
                </c:pt>
                <c:pt idx="108">
                  <c:v>25.5</c:v>
                </c:pt>
                <c:pt idx="109">
                  <c:v>25.5</c:v>
                </c:pt>
                <c:pt idx="110">
                  <c:v>28.5</c:v>
                </c:pt>
                <c:pt idx="111">
                  <c:v>28.5</c:v>
                </c:pt>
                <c:pt idx="112">
                  <c:v>28.5</c:v>
                </c:pt>
                <c:pt idx="113">
                  <c:v>28.5</c:v>
                </c:pt>
                <c:pt idx="114">
                  <c:v>28.5</c:v>
                </c:pt>
                <c:pt idx="115">
                  <c:v>28.5</c:v>
                </c:pt>
                <c:pt idx="116">
                  <c:v>28.5</c:v>
                </c:pt>
                <c:pt idx="117">
                  <c:v>28.5</c:v>
                </c:pt>
                <c:pt idx="118">
                  <c:v>28.5</c:v>
                </c:pt>
                <c:pt idx="119">
                  <c:v>28.5</c:v>
                </c:pt>
                <c:pt idx="120">
                  <c:v>31.5</c:v>
                </c:pt>
                <c:pt idx="121">
                  <c:v>31.5</c:v>
                </c:pt>
                <c:pt idx="122">
                  <c:v>31.5</c:v>
                </c:pt>
                <c:pt idx="123">
                  <c:v>31.5</c:v>
                </c:pt>
                <c:pt idx="124">
                  <c:v>31.5</c:v>
                </c:pt>
                <c:pt idx="125">
                  <c:v>31.5</c:v>
                </c:pt>
                <c:pt idx="126">
                  <c:v>31.5</c:v>
                </c:pt>
                <c:pt idx="127">
                  <c:v>31.5</c:v>
                </c:pt>
                <c:pt idx="128">
                  <c:v>31.5</c:v>
                </c:pt>
                <c:pt idx="129">
                  <c:v>31.5</c:v>
                </c:pt>
                <c:pt idx="130">
                  <c:v>34.5</c:v>
                </c:pt>
                <c:pt idx="131">
                  <c:v>34.5</c:v>
                </c:pt>
                <c:pt idx="132">
                  <c:v>34.5</c:v>
                </c:pt>
                <c:pt idx="133">
                  <c:v>34.5</c:v>
                </c:pt>
                <c:pt idx="134">
                  <c:v>34.5</c:v>
                </c:pt>
                <c:pt idx="135">
                  <c:v>34.5</c:v>
                </c:pt>
                <c:pt idx="136">
                  <c:v>34.5</c:v>
                </c:pt>
                <c:pt idx="137">
                  <c:v>34.5</c:v>
                </c:pt>
                <c:pt idx="138">
                  <c:v>34.5</c:v>
                </c:pt>
                <c:pt idx="139">
                  <c:v>34.5</c:v>
                </c:pt>
                <c:pt idx="140">
                  <c:v>37.5</c:v>
                </c:pt>
                <c:pt idx="141">
                  <c:v>37.5</c:v>
                </c:pt>
                <c:pt idx="142">
                  <c:v>37.5</c:v>
                </c:pt>
                <c:pt idx="143">
                  <c:v>37.5</c:v>
                </c:pt>
                <c:pt idx="144">
                  <c:v>37.5</c:v>
                </c:pt>
                <c:pt idx="145">
                  <c:v>37.5</c:v>
                </c:pt>
                <c:pt idx="146">
                  <c:v>37.5</c:v>
                </c:pt>
                <c:pt idx="147">
                  <c:v>37.5</c:v>
                </c:pt>
                <c:pt idx="148">
                  <c:v>37.5</c:v>
                </c:pt>
                <c:pt idx="149">
                  <c:v>37.5</c:v>
                </c:pt>
                <c:pt idx="150">
                  <c:v>40.5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97-4E1E-95C8-2FD8B5417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056271"/>
        <c:axId val="2058074511"/>
      </c:lineChart>
      <c:catAx>
        <c:axId val="205805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8074511"/>
        <c:crosses val="autoZero"/>
        <c:auto val="1"/>
        <c:lblAlgn val="ctr"/>
        <c:lblOffset val="100"/>
        <c:noMultiLvlLbl val="0"/>
      </c:catAx>
      <c:valAx>
        <c:axId val="205807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80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Лист3!$U$1</c:f>
              <c:strCache>
                <c:ptCount val="1"/>
                <c:pt idx="0">
                  <c:v>y(t)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Лист3!$U$2:$U$1002</c:f>
              <c:numCache>
                <c:formatCode>0.000</c:formatCode>
                <c:ptCount val="1001"/>
                <c:pt idx="0">
                  <c:v>1.0031845197276299</c:v>
                </c:pt>
                <c:pt idx="1">
                  <c:v>1.0055057660298821</c:v>
                </c:pt>
                <c:pt idx="2">
                  <c:v>1.0060265500575285</c:v>
                </c:pt>
                <c:pt idx="3">
                  <c:v>1.0058843415740955</c:v>
                </c:pt>
                <c:pt idx="4">
                  <c:v>1.0008891374172608</c:v>
                </c:pt>
                <c:pt idx="5">
                  <c:v>1.0014863428385243</c:v>
                </c:pt>
                <c:pt idx="6">
                  <c:v>1.0053565689944126</c:v>
                </c:pt>
                <c:pt idx="7">
                  <c:v>1.0018128802157804</c:v>
                </c:pt>
                <c:pt idx="8">
                  <c:v>1.0068212105858247</c:v>
                </c:pt>
                <c:pt idx="9">
                  <c:v>1.0026044985986793</c:v>
                </c:pt>
                <c:pt idx="10">
                  <c:v>1.0085861075237208</c:v>
                </c:pt>
                <c:pt idx="11">
                  <c:v>1.0012136863853247</c:v>
                </c:pt>
                <c:pt idx="12">
                  <c:v>1.0039118386296562</c:v>
                </c:pt>
                <c:pt idx="13">
                  <c:v>1.008734804662154</c:v>
                </c:pt>
                <c:pt idx="14">
                  <c:v>1.0070303326652676</c:v>
                </c:pt>
                <c:pt idx="15">
                  <c:v>1.0051944052653294</c:v>
                </c:pt>
                <c:pt idx="16">
                  <c:v>1.0037859231265531</c:v>
                </c:pt>
                <c:pt idx="17">
                  <c:v>1.0087875160092714</c:v>
                </c:pt>
                <c:pt idx="18">
                  <c:v>1.0093068090074213</c:v>
                </c:pt>
                <c:pt idx="19">
                  <c:v>1.0062121010391738</c:v>
                </c:pt>
                <c:pt idx="20">
                  <c:v>1.0026485413531523</c:v>
                </c:pt>
                <c:pt idx="21">
                  <c:v>1.0012464213135548</c:v>
                </c:pt>
                <c:pt idx="22">
                  <c:v>1.0048244098249719</c:v>
                </c:pt>
                <c:pt idx="23">
                  <c:v>1.0038885027671898</c:v>
                </c:pt>
                <c:pt idx="24">
                  <c:v>1.0064386947111752</c:v>
                </c:pt>
                <c:pt idx="25">
                  <c:v>1.0082379440346221</c:v>
                </c:pt>
                <c:pt idx="26">
                  <c:v>1.0018791325873442</c:v>
                </c:pt>
                <c:pt idx="27">
                  <c:v>1.0001229172487696</c:v>
                </c:pt>
                <c:pt idx="28">
                  <c:v>1.0038719969183003</c:v>
                </c:pt>
                <c:pt idx="29">
                  <c:v>1.0045184759301742</c:v>
                </c:pt>
                <c:pt idx="30">
                  <c:v>1.0003647241852482</c:v>
                </c:pt>
                <c:pt idx="31">
                  <c:v>1.0092259645296062</c:v>
                </c:pt>
                <c:pt idx="32">
                  <c:v>1.0048778546982307</c:v>
                </c:pt>
                <c:pt idx="33">
                  <c:v>1.0066639869646536</c:v>
                </c:pt>
                <c:pt idx="34">
                  <c:v>1.0062384291904256</c:v>
                </c:pt>
                <c:pt idx="35">
                  <c:v>1.0012893796753677</c:v>
                </c:pt>
                <c:pt idx="36">
                  <c:v>1.0018830601627602</c:v>
                </c:pt>
                <c:pt idx="37">
                  <c:v>1.0033734471803006</c:v>
                </c:pt>
                <c:pt idx="38">
                  <c:v>1.0066356686937343</c:v>
                </c:pt>
                <c:pt idx="39">
                  <c:v>1.0085930240778225</c:v>
                </c:pt>
                <c:pt idx="40">
                  <c:v>1.0005781445617956</c:v>
                </c:pt>
                <c:pt idx="41">
                  <c:v>1.0061435587463776</c:v>
                </c:pt>
                <c:pt idx="42">
                  <c:v>1.0016140706467509</c:v>
                </c:pt>
                <c:pt idx="43">
                  <c:v>0.99068446710215419</c:v>
                </c:pt>
                <c:pt idx="44">
                  <c:v>0.98149489287401581</c:v>
                </c:pt>
                <c:pt idx="45">
                  <c:v>0.97206771518565149</c:v>
                </c:pt>
                <c:pt idx="46">
                  <c:v>0.95500681756648875</c:v>
                </c:pt>
                <c:pt idx="47">
                  <c:v>0.92923704492763026</c:v>
                </c:pt>
                <c:pt idx="48">
                  <c:v>0.91376800407762071</c:v>
                </c:pt>
                <c:pt idx="49">
                  <c:v>0.89619689579365225</c:v>
                </c:pt>
                <c:pt idx="50">
                  <c:v>0.87462747275922326</c:v>
                </c:pt>
                <c:pt idx="51">
                  <c:v>0.84784860472222079</c:v>
                </c:pt>
                <c:pt idx="52">
                  <c:v>0.82886159712085827</c:v>
                </c:pt>
                <c:pt idx="53">
                  <c:v>0.80030848845333935</c:v>
                </c:pt>
                <c:pt idx="54">
                  <c:v>0.77324351572304584</c:v>
                </c:pt>
                <c:pt idx="55">
                  <c:v>0.74660289012802827</c:v>
                </c:pt>
                <c:pt idx="56">
                  <c:v>0.72978562526390722</c:v>
                </c:pt>
                <c:pt idx="57">
                  <c:v>0.69972081534570785</c:v>
                </c:pt>
                <c:pt idx="58">
                  <c:v>0.67482946578998271</c:v>
                </c:pt>
                <c:pt idx="59">
                  <c:v>0.65446425877829972</c:v>
                </c:pt>
                <c:pt idx="60">
                  <c:v>0.63459647300001876</c:v>
                </c:pt>
                <c:pt idx="61">
                  <c:v>0.60521684622874317</c:v>
                </c:pt>
                <c:pt idx="62">
                  <c:v>0.5870793465590084</c:v>
                </c:pt>
                <c:pt idx="63">
                  <c:v>0.62727597560951875</c:v>
                </c:pt>
                <c:pt idx="64">
                  <c:v>0.77800860004238714</c:v>
                </c:pt>
                <c:pt idx="65">
                  <c:v>1.021534475353898</c:v>
                </c:pt>
                <c:pt idx="66">
                  <c:v>1.3099660220786691</c:v>
                </c:pt>
                <c:pt idx="67">
                  <c:v>1.5887823907653202</c:v>
                </c:pt>
                <c:pt idx="68">
                  <c:v>1.8599791045536493</c:v>
                </c:pt>
                <c:pt idx="69">
                  <c:v>2.1197201092634677</c:v>
                </c:pt>
                <c:pt idx="70">
                  <c:v>2.3769542248641748</c:v>
                </c:pt>
                <c:pt idx="71">
                  <c:v>2.6270530808357684</c:v>
                </c:pt>
                <c:pt idx="72">
                  <c:v>2.8733698007597988</c:v>
                </c:pt>
                <c:pt idx="73">
                  <c:v>3.1112628700736211</c:v>
                </c:pt>
                <c:pt idx="74">
                  <c:v>3.3499861577820345</c:v>
                </c:pt>
                <c:pt idx="75">
                  <c:v>3.5818387448837687</c:v>
                </c:pt>
                <c:pt idx="76">
                  <c:v>3.8088312401490674</c:v>
                </c:pt>
                <c:pt idx="77">
                  <c:v>4.0353985489769215</c:v>
                </c:pt>
                <c:pt idx="78">
                  <c:v>4.2571178901848006</c:v>
                </c:pt>
                <c:pt idx="79">
                  <c:v>4.4833509662844095</c:v>
                </c:pt>
                <c:pt idx="80">
                  <c:v>4.7081201935756276</c:v>
                </c:pt>
                <c:pt idx="81">
                  <c:v>4.9306158489636802</c:v>
                </c:pt>
                <c:pt idx="82">
                  <c:v>5.1544457291715977</c:v>
                </c:pt>
                <c:pt idx="83">
                  <c:v>5.3772754532870328</c:v>
                </c:pt>
                <c:pt idx="84">
                  <c:v>5.593281249085253</c:v>
                </c:pt>
                <c:pt idx="85">
                  <c:v>5.8178940110599253</c:v>
                </c:pt>
                <c:pt idx="86">
                  <c:v>6.0404705941341845</c:v>
                </c:pt>
                <c:pt idx="87">
                  <c:v>6.255589991264797</c:v>
                </c:pt>
                <c:pt idx="88">
                  <c:v>6.4572546844965863</c:v>
                </c:pt>
                <c:pt idx="89">
                  <c:v>6.6553552021000613</c:v>
                </c:pt>
                <c:pt idx="90">
                  <c:v>6.8458492333961409</c:v>
                </c:pt>
                <c:pt idx="91">
                  <c:v>7.0253004729176398</c:v>
                </c:pt>
                <c:pt idx="92">
                  <c:v>7.2030456905194677</c:v>
                </c:pt>
                <c:pt idx="93">
                  <c:v>7.3655902737830612</c:v>
                </c:pt>
                <c:pt idx="94">
                  <c:v>7.5246504250032347</c:v>
                </c:pt>
                <c:pt idx="95">
                  <c:v>7.6768980713355166</c:v>
                </c:pt>
                <c:pt idx="96">
                  <c:v>7.8268011242312605</c:v>
                </c:pt>
                <c:pt idx="97">
                  <c:v>7.9642591958348339</c:v>
                </c:pt>
                <c:pt idx="98">
                  <c:v>8.1027099125975308</c:v>
                </c:pt>
                <c:pt idx="99">
                  <c:v>8.2327099131289891</c:v>
                </c:pt>
                <c:pt idx="100">
                  <c:v>8.3559057408815605</c:v>
                </c:pt>
                <c:pt idx="101">
                  <c:v>8.4737812399568142</c:v>
                </c:pt>
                <c:pt idx="102">
                  <c:v>8.5889901326896716</c:v>
                </c:pt>
                <c:pt idx="103">
                  <c:v>8.6975188243203689</c:v>
                </c:pt>
                <c:pt idx="104">
                  <c:v>8.79746791923613</c:v>
                </c:pt>
                <c:pt idx="105">
                  <c:v>8.896951801391852</c:v>
                </c:pt>
                <c:pt idx="106">
                  <c:v>8.9941756546904656</c:v>
                </c:pt>
                <c:pt idx="107">
                  <c:v>9.0806448452608901</c:v>
                </c:pt>
                <c:pt idx="108">
                  <c:v>9.1700649904486227</c:v>
                </c:pt>
                <c:pt idx="109">
                  <c:v>9.2552304564656431</c:v>
                </c:pt>
                <c:pt idx="110">
                  <c:v>9.3253753139695412</c:v>
                </c:pt>
                <c:pt idx="111">
                  <c:v>9.4028029645759794</c:v>
                </c:pt>
                <c:pt idx="112">
                  <c:v>9.4678877661889036</c:v>
                </c:pt>
                <c:pt idx="113">
                  <c:v>9.5380981549640946</c:v>
                </c:pt>
                <c:pt idx="114">
                  <c:v>9.5912800587844682</c:v>
                </c:pt>
                <c:pt idx="115">
                  <c:v>9.6494057816696994</c:v>
                </c:pt>
                <c:pt idx="116">
                  <c:v>9.7028379479911777</c:v>
                </c:pt>
                <c:pt idx="117">
                  <c:v>9.7633540183979441</c:v>
                </c:pt>
                <c:pt idx="118">
                  <c:v>9.8117261130609368</c:v>
                </c:pt>
                <c:pt idx="119">
                  <c:v>9.8565933898762825</c:v>
                </c:pt>
                <c:pt idx="120">
                  <c:v>9.9004529524329303</c:v>
                </c:pt>
                <c:pt idx="121">
                  <c:v>9.944049751001911</c:v>
                </c:pt>
                <c:pt idx="122">
                  <c:v>9.9751254901597282</c:v>
                </c:pt>
                <c:pt idx="123">
                  <c:v>10.012044430996211</c:v>
                </c:pt>
                <c:pt idx="124">
                  <c:v>10.054556481774711</c:v>
                </c:pt>
                <c:pt idx="125">
                  <c:v>10.080801936680487</c:v>
                </c:pt>
                <c:pt idx="126">
                  <c:v>10.11343755918017</c:v>
                </c:pt>
                <c:pt idx="127">
                  <c:v>10.149246890761038</c:v>
                </c:pt>
                <c:pt idx="128">
                  <c:v>10.174485364267376</c:v>
                </c:pt>
                <c:pt idx="129">
                  <c:v>10.199389391208596</c:v>
                </c:pt>
                <c:pt idx="130">
                  <c:v>10.220699880662096</c:v>
                </c:pt>
                <c:pt idx="131">
                  <c:v>10.248378971058406</c:v>
                </c:pt>
                <c:pt idx="132">
                  <c:v>10.27054189266866</c:v>
                </c:pt>
                <c:pt idx="133">
                  <c:v>10.282657825091256</c:v>
                </c:pt>
                <c:pt idx="134">
                  <c:v>10.309215669848852</c:v>
                </c:pt>
                <c:pt idx="135">
                  <c:v>10.32047470287851</c:v>
                </c:pt>
                <c:pt idx="136">
                  <c:v>10.335032042452857</c:v>
                </c:pt>
                <c:pt idx="137">
                  <c:v>10.356865975880964</c:v>
                </c:pt>
                <c:pt idx="138">
                  <c:v>10.370010206568733</c:v>
                </c:pt>
                <c:pt idx="139">
                  <c:v>10.387162303484455</c:v>
                </c:pt>
                <c:pt idx="140">
                  <c:v>10.3939581861313</c:v>
                </c:pt>
                <c:pt idx="141">
                  <c:v>10.403245965077522</c:v>
                </c:pt>
                <c:pt idx="142">
                  <c:v>10.417500906206064</c:v>
                </c:pt>
                <c:pt idx="143">
                  <c:v>10.427738108748432</c:v>
                </c:pt>
                <c:pt idx="144">
                  <c:v>10.429480285598849</c:v>
                </c:pt>
                <c:pt idx="145">
                  <c:v>10.44576620896509</c:v>
                </c:pt>
                <c:pt idx="146">
                  <c:v>10.453321066092325</c:v>
                </c:pt>
                <c:pt idx="147">
                  <c:v>10.451867045047456</c:v>
                </c:pt>
                <c:pt idx="148">
                  <c:v>10.457662844811662</c:v>
                </c:pt>
                <c:pt idx="149">
                  <c:v>10.467963912942281</c:v>
                </c:pt>
                <c:pt idx="150">
                  <c:v>10.468562594446784</c:v>
                </c:pt>
                <c:pt idx="151">
                  <c:v>10.474201414262859</c:v>
                </c:pt>
                <c:pt idx="152">
                  <c:v>10.473496759778332</c:v>
                </c:pt>
                <c:pt idx="153">
                  <c:v>10.476916459825558</c:v>
                </c:pt>
                <c:pt idx="154">
                  <c:v>10.484780317915884</c:v>
                </c:pt>
                <c:pt idx="155">
                  <c:v>10.483200153805456</c:v>
                </c:pt>
                <c:pt idx="156">
                  <c:v>10.481947237776408</c:v>
                </c:pt>
                <c:pt idx="157">
                  <c:v>10.482674541287958</c:v>
                </c:pt>
                <c:pt idx="158">
                  <c:v>10.477937670166654</c:v>
                </c:pt>
                <c:pt idx="159">
                  <c:v>10.475763734271373</c:v>
                </c:pt>
                <c:pt idx="160">
                  <c:v>10.482896783362438</c:v>
                </c:pt>
                <c:pt idx="161">
                  <c:v>10.472685478481878</c:v>
                </c:pt>
                <c:pt idx="162">
                  <c:v>10.477839151635953</c:v>
                </c:pt>
                <c:pt idx="163">
                  <c:v>10.468724541222027</c:v>
                </c:pt>
                <c:pt idx="164">
                  <c:v>10.468243751526252</c:v>
                </c:pt>
                <c:pt idx="165">
                  <c:v>10.45946491546831</c:v>
                </c:pt>
                <c:pt idx="166">
                  <c:v>10.461471294251387</c:v>
                </c:pt>
                <c:pt idx="167">
                  <c:v>10.450571936101637</c:v>
                </c:pt>
                <c:pt idx="168">
                  <c:v>10.454594802671242</c:v>
                </c:pt>
                <c:pt idx="169">
                  <c:v>10.441959695304206</c:v>
                </c:pt>
                <c:pt idx="170">
                  <c:v>10.439846061479377</c:v>
                </c:pt>
                <c:pt idx="171">
                  <c:v>10.434502870233624</c:v>
                </c:pt>
                <c:pt idx="172">
                  <c:v>10.42546786134384</c:v>
                </c:pt>
                <c:pt idx="173">
                  <c:v>10.420448364946409</c:v>
                </c:pt>
                <c:pt idx="174">
                  <c:v>10.417554768278075</c:v>
                </c:pt>
                <c:pt idx="175">
                  <c:v>10.405456179740375</c:v>
                </c:pt>
                <c:pt idx="176">
                  <c:v>10.40107836692513</c:v>
                </c:pt>
                <c:pt idx="177">
                  <c:v>10.397548433422159</c:v>
                </c:pt>
                <c:pt idx="178">
                  <c:v>10.388069008191387</c:v>
                </c:pt>
                <c:pt idx="179">
                  <c:v>10.378085082675673</c:v>
                </c:pt>
                <c:pt idx="180">
                  <c:v>10.369054965646578</c:v>
                </c:pt>
                <c:pt idx="181">
                  <c:v>10.361454738638054</c:v>
                </c:pt>
                <c:pt idx="182">
                  <c:v>10.360784261159075</c:v>
                </c:pt>
                <c:pt idx="183">
                  <c:v>10.349742136586816</c:v>
                </c:pt>
                <c:pt idx="184">
                  <c:v>10.340398672743406</c:v>
                </c:pt>
                <c:pt idx="185">
                  <c:v>10.330349692201773</c:v>
                </c:pt>
                <c:pt idx="186">
                  <c:v>10.330619721605281</c:v>
                </c:pt>
                <c:pt idx="187">
                  <c:v>10.323386328606668</c:v>
                </c:pt>
                <c:pt idx="188">
                  <c:v>10.30817737875968</c:v>
                </c:pt>
                <c:pt idx="189">
                  <c:v>10.30152475921834</c:v>
                </c:pt>
                <c:pt idx="190">
                  <c:v>10.298287646047696</c:v>
                </c:pt>
                <c:pt idx="191">
                  <c:v>10.287668861728873</c:v>
                </c:pt>
                <c:pt idx="192">
                  <c:v>10.275058039117058</c:v>
                </c:pt>
                <c:pt idx="193">
                  <c:v>10.268554873639994</c:v>
                </c:pt>
                <c:pt idx="194">
                  <c:v>10.263607076649734</c:v>
                </c:pt>
                <c:pt idx="195">
                  <c:v>10.252826344699542</c:v>
                </c:pt>
                <c:pt idx="196">
                  <c:v>10.242916820643325</c:v>
                </c:pt>
                <c:pt idx="197">
                  <c:v>10.233141524264704</c:v>
                </c:pt>
                <c:pt idx="198">
                  <c:v>10.225618140559854</c:v>
                </c:pt>
                <c:pt idx="199">
                  <c:v>10.221522183731684</c:v>
                </c:pt>
                <c:pt idx="200">
                  <c:v>10.210538132703117</c:v>
                </c:pt>
                <c:pt idx="201">
                  <c:v>10.208292199862672</c:v>
                </c:pt>
                <c:pt idx="202">
                  <c:v>10.196786333788893</c:v>
                </c:pt>
                <c:pt idx="203">
                  <c:v>10.196263014011478</c:v>
                </c:pt>
                <c:pt idx="204">
                  <c:v>10.18368589538383</c:v>
                </c:pt>
                <c:pt idx="205">
                  <c:v>10.173930299677483</c:v>
                </c:pt>
                <c:pt idx="206">
                  <c:v>10.167428059080803</c:v>
                </c:pt>
                <c:pt idx="207">
                  <c:v>10.160936980742997</c:v>
                </c:pt>
                <c:pt idx="208">
                  <c:v>10.156773937981569</c:v>
                </c:pt>
                <c:pt idx="209">
                  <c:v>10.149154399263111</c:v>
                </c:pt>
                <c:pt idx="210">
                  <c:v>10.139612779147141</c:v>
                </c:pt>
                <c:pt idx="211">
                  <c:v>10.139062425093032</c:v>
                </c:pt>
                <c:pt idx="212">
                  <c:v>10.134806512713823</c:v>
                </c:pt>
                <c:pt idx="213">
                  <c:v>10.125951966149236</c:v>
                </c:pt>
                <c:pt idx="214">
                  <c:v>10.117343572353423</c:v>
                </c:pt>
                <c:pt idx="215">
                  <c:v>10.10947635495987</c:v>
                </c:pt>
                <c:pt idx="216">
                  <c:v>10.111030961883126</c:v>
                </c:pt>
                <c:pt idx="217">
                  <c:v>10.098130661106108</c:v>
                </c:pt>
                <c:pt idx="218">
                  <c:v>10.0957953935426</c:v>
                </c:pt>
                <c:pt idx="219">
                  <c:v>10.094732271272164</c:v>
                </c:pt>
                <c:pt idx="220">
                  <c:v>10.084628107978244</c:v>
                </c:pt>
                <c:pt idx="221">
                  <c:v>10.084389925472699</c:v>
                </c:pt>
                <c:pt idx="222">
                  <c:v>10.079302734374705</c:v>
                </c:pt>
                <c:pt idx="223">
                  <c:v>10.076276279575689</c:v>
                </c:pt>
                <c:pt idx="224">
                  <c:v>10.069422295446881</c:v>
                </c:pt>
                <c:pt idx="225">
                  <c:v>10.059820276655907</c:v>
                </c:pt>
                <c:pt idx="226">
                  <c:v>10.054671076819375</c:v>
                </c:pt>
                <c:pt idx="227">
                  <c:v>10.053529478856921</c:v>
                </c:pt>
                <c:pt idx="228">
                  <c:v>10.054809431124673</c:v>
                </c:pt>
                <c:pt idx="229">
                  <c:v>10.046206957249938</c:v>
                </c:pt>
                <c:pt idx="230">
                  <c:v>10.038732213362334</c:v>
                </c:pt>
                <c:pt idx="231">
                  <c:v>10.042071430095017</c:v>
                </c:pt>
                <c:pt idx="232">
                  <c:v>10.032816413966986</c:v>
                </c:pt>
                <c:pt idx="233">
                  <c:v>10.03657294294355</c:v>
                </c:pt>
                <c:pt idx="234">
                  <c:v>10.032741383991661</c:v>
                </c:pt>
                <c:pt idx="235">
                  <c:v>10.029515942241909</c:v>
                </c:pt>
                <c:pt idx="236">
                  <c:v>10.02363753697051</c:v>
                </c:pt>
                <c:pt idx="237">
                  <c:v>10.017031039534567</c:v>
                </c:pt>
                <c:pt idx="238">
                  <c:v>10.015311191065971</c:v>
                </c:pt>
                <c:pt idx="239">
                  <c:v>10.016959437611138</c:v>
                </c:pt>
                <c:pt idx="240">
                  <c:v>10.015755024842138</c:v>
                </c:pt>
                <c:pt idx="241">
                  <c:v>10.008149702293593</c:v>
                </c:pt>
                <c:pt idx="242">
                  <c:v>10.002049881335049</c:v>
                </c:pt>
                <c:pt idx="243">
                  <c:v>10.001256100341884</c:v>
                </c:pt>
                <c:pt idx="244">
                  <c:v>9.9992644108271911</c:v>
                </c:pt>
                <c:pt idx="245">
                  <c:v>10.001830670252723</c:v>
                </c:pt>
                <c:pt idx="246">
                  <c:v>9.999387433312771</c:v>
                </c:pt>
                <c:pt idx="247">
                  <c:v>9.9953790553771444</c:v>
                </c:pt>
                <c:pt idx="248">
                  <c:v>9.9994657474821889</c:v>
                </c:pt>
                <c:pt idx="249">
                  <c:v>9.9958236115082446</c:v>
                </c:pt>
                <c:pt idx="250">
                  <c:v>9.9948265263195015</c:v>
                </c:pt>
                <c:pt idx="251">
                  <c:v>9.9950584537152025</c:v>
                </c:pt>
                <c:pt idx="252">
                  <c:v>9.993362434916456</c:v>
                </c:pt>
                <c:pt idx="253">
                  <c:v>9.9900128057842252</c:v>
                </c:pt>
                <c:pt idx="254">
                  <c:v>9.9822905987802972</c:v>
                </c:pt>
                <c:pt idx="255">
                  <c:v>9.9890588821143993</c:v>
                </c:pt>
                <c:pt idx="256">
                  <c:v>9.9806624744131796</c:v>
                </c:pt>
                <c:pt idx="257">
                  <c:v>9.9812166593178784</c:v>
                </c:pt>
                <c:pt idx="258">
                  <c:v>9.984815004065851</c:v>
                </c:pt>
                <c:pt idx="259">
                  <c:v>9.9829924288300855</c:v>
                </c:pt>
                <c:pt idx="260">
                  <c:v>9.9798442316433711</c:v>
                </c:pt>
                <c:pt idx="261">
                  <c:v>9.9758423463498858</c:v>
                </c:pt>
                <c:pt idx="262">
                  <c:v>9.9786283605743709</c:v>
                </c:pt>
                <c:pt idx="263">
                  <c:v>9.9776619377839157</c:v>
                </c:pt>
                <c:pt idx="264">
                  <c:v>9.9725289384826112</c:v>
                </c:pt>
                <c:pt idx="265">
                  <c:v>9.9728506163229476</c:v>
                </c:pt>
                <c:pt idx="266">
                  <c:v>9.973039036453871</c:v>
                </c:pt>
                <c:pt idx="267">
                  <c:v>9.9765514154517376</c:v>
                </c:pt>
                <c:pt idx="268">
                  <c:v>9.9797193361961707</c:v>
                </c:pt>
                <c:pt idx="269">
                  <c:v>9.9768902501014889</c:v>
                </c:pt>
                <c:pt idx="270">
                  <c:v>9.9729687389120425</c:v>
                </c:pt>
                <c:pt idx="271">
                  <c:v>9.9755951608938993</c:v>
                </c:pt>
                <c:pt idx="272">
                  <c:v>9.9761085970305832</c:v>
                </c:pt>
                <c:pt idx="273">
                  <c:v>9.9783904514837811</c:v>
                </c:pt>
                <c:pt idx="274">
                  <c:v>9.9792907914115077</c:v>
                </c:pt>
                <c:pt idx="275">
                  <c:v>9.9769727731064819</c:v>
                </c:pt>
                <c:pt idx="276">
                  <c:v>9.9759984669834854</c:v>
                </c:pt>
                <c:pt idx="277">
                  <c:v>9.9747889866605348</c:v>
                </c:pt>
                <c:pt idx="278">
                  <c:v>9.9710624939277661</c:v>
                </c:pt>
                <c:pt idx="279">
                  <c:v>9.9786275204460431</c:v>
                </c:pt>
                <c:pt idx="280">
                  <c:v>9.9770982219481752</c:v>
                </c:pt>
                <c:pt idx="281">
                  <c:v>9.9711343387527247</c:v>
                </c:pt>
                <c:pt idx="282">
                  <c:v>9.9778590150925481</c:v>
                </c:pt>
                <c:pt idx="283">
                  <c:v>9.9696745737260706</c:v>
                </c:pt>
                <c:pt idx="284">
                  <c:v>9.9720483466890393</c:v>
                </c:pt>
                <c:pt idx="285">
                  <c:v>9.9728312368572301</c:v>
                </c:pt>
                <c:pt idx="286">
                  <c:v>9.9774985184708243</c:v>
                </c:pt>
                <c:pt idx="287">
                  <c:v>9.9745007177113028</c:v>
                </c:pt>
                <c:pt idx="288">
                  <c:v>9.9767194214391157</c:v>
                </c:pt>
                <c:pt idx="289">
                  <c:v>9.9737763057998823</c:v>
                </c:pt>
                <c:pt idx="290">
                  <c:v>9.9772616448996132</c:v>
                </c:pt>
                <c:pt idx="291">
                  <c:v>9.9805974408420859</c:v>
                </c:pt>
                <c:pt idx="292">
                  <c:v>9.9796339065775541</c:v>
                </c:pt>
                <c:pt idx="293">
                  <c:v>9.9776076198233454</c:v>
                </c:pt>
                <c:pt idx="294">
                  <c:v>9.9745433879519858</c:v>
                </c:pt>
                <c:pt idx="295">
                  <c:v>9.9820023540998069</c:v>
                </c:pt>
                <c:pt idx="296">
                  <c:v>9.9810586476988448</c:v>
                </c:pt>
                <c:pt idx="297">
                  <c:v>9.9827581744947054</c:v>
                </c:pt>
                <c:pt idx="298">
                  <c:v>9.9848217407011433</c:v>
                </c:pt>
                <c:pt idx="299">
                  <c:v>9.9842123170601571</c:v>
                </c:pt>
                <c:pt idx="300">
                  <c:v>9.9770796355349365</c:v>
                </c:pt>
                <c:pt idx="301">
                  <c:v>9.9789235649166432</c:v>
                </c:pt>
                <c:pt idx="302">
                  <c:v>9.9770588822425044</c:v>
                </c:pt>
                <c:pt idx="303">
                  <c:v>9.9861076625293723</c:v>
                </c:pt>
                <c:pt idx="304">
                  <c:v>9.9827299365358595</c:v>
                </c:pt>
                <c:pt idx="305">
                  <c:v>9.9794563588374707</c:v>
                </c:pt>
                <c:pt idx="306">
                  <c:v>9.984895759132872</c:v>
                </c:pt>
                <c:pt idx="307">
                  <c:v>9.981635231130797</c:v>
                </c:pt>
                <c:pt idx="308">
                  <c:v>9.9882471096693148</c:v>
                </c:pt>
                <c:pt idx="309">
                  <c:v>9.9846074743539415</c:v>
                </c:pt>
                <c:pt idx="310">
                  <c:v>9.9803146386828097</c:v>
                </c:pt>
                <c:pt idx="311">
                  <c:v>9.9878432735235965</c:v>
                </c:pt>
                <c:pt idx="312">
                  <c:v>9.9822787556684727</c:v>
                </c:pt>
                <c:pt idx="313">
                  <c:v>9.9837244731433117</c:v>
                </c:pt>
                <c:pt idx="314">
                  <c:v>9.9908713058831857</c:v>
                </c:pt>
                <c:pt idx="315">
                  <c:v>9.9837779178691672</c:v>
                </c:pt>
                <c:pt idx="316">
                  <c:v>9.9911992672988905</c:v>
                </c:pt>
                <c:pt idx="317">
                  <c:v>9.9832413492098731</c:v>
                </c:pt>
                <c:pt idx="318">
                  <c:v>9.9895052297540943</c:v>
                </c:pt>
                <c:pt idx="319">
                  <c:v>9.9909667616572211</c:v>
                </c:pt>
                <c:pt idx="320">
                  <c:v>9.9932869753152449</c:v>
                </c:pt>
                <c:pt idx="321">
                  <c:v>9.9939119835290384</c:v>
                </c:pt>
                <c:pt idx="322">
                  <c:v>10.021849378330423</c:v>
                </c:pt>
                <c:pt idx="323">
                  <c:v>10.061779576280195</c:v>
                </c:pt>
                <c:pt idx="324">
                  <c:v>10.1150046957874</c:v>
                </c:pt>
                <c:pt idx="325">
                  <c:v>10.169637771639064</c:v>
                </c:pt>
                <c:pt idx="326">
                  <c:v>10.243852946247342</c:v>
                </c:pt>
                <c:pt idx="327">
                  <c:v>10.312668944193293</c:v>
                </c:pt>
                <c:pt idx="328">
                  <c:v>10.400680510142958</c:v>
                </c:pt>
                <c:pt idx="329">
                  <c:v>10.48836249309498</c:v>
                </c:pt>
                <c:pt idx="330">
                  <c:v>10.574105844253745</c:v>
                </c:pt>
                <c:pt idx="331">
                  <c:v>10.668469898025869</c:v>
                </c:pt>
                <c:pt idx="332">
                  <c:v>10.769641549013985</c:v>
                </c:pt>
                <c:pt idx="333">
                  <c:v>10.860514427492021</c:v>
                </c:pt>
                <c:pt idx="334">
                  <c:v>10.95955628003053</c:v>
                </c:pt>
                <c:pt idx="335">
                  <c:v>11.062234351333807</c:v>
                </c:pt>
                <c:pt idx="336">
                  <c:v>11.154758135570569</c:v>
                </c:pt>
                <c:pt idx="337">
                  <c:v>11.252358522708835</c:v>
                </c:pt>
                <c:pt idx="338">
                  <c:v>11.353504563952125</c:v>
                </c:pt>
                <c:pt idx="339">
                  <c:v>11.446452168609317</c:v>
                </c:pt>
                <c:pt idx="340">
                  <c:v>11.54761379305388</c:v>
                </c:pt>
                <c:pt idx="341">
                  <c:v>11.635058074518014</c:v>
                </c:pt>
                <c:pt idx="342">
                  <c:v>11.723914151884845</c:v>
                </c:pt>
                <c:pt idx="343">
                  <c:v>11.780210623012758</c:v>
                </c:pt>
                <c:pt idx="344">
                  <c:v>11.833688526605931</c:v>
                </c:pt>
                <c:pt idx="345">
                  <c:v>11.870255203488476</c:v>
                </c:pt>
                <c:pt idx="346">
                  <c:v>11.887119352036418</c:v>
                </c:pt>
                <c:pt idx="347">
                  <c:v>11.895167055599696</c:v>
                </c:pt>
                <c:pt idx="348">
                  <c:v>11.888789985198883</c:v>
                </c:pt>
                <c:pt idx="349">
                  <c:v>11.880937946015139</c:v>
                </c:pt>
                <c:pt idx="350">
                  <c:v>11.854049969158897</c:v>
                </c:pt>
                <c:pt idx="351">
                  <c:v>11.821920949139464</c:v>
                </c:pt>
                <c:pt idx="352">
                  <c:v>11.786276578545264</c:v>
                </c:pt>
                <c:pt idx="353">
                  <c:v>11.739618466955317</c:v>
                </c:pt>
                <c:pt idx="354">
                  <c:v>11.677899874613983</c:v>
                </c:pt>
                <c:pt idx="355">
                  <c:v>11.621196810078299</c:v>
                </c:pt>
                <c:pt idx="356">
                  <c:v>11.552026677333199</c:v>
                </c:pt>
                <c:pt idx="357">
                  <c:v>11.488453273165453</c:v>
                </c:pt>
                <c:pt idx="358">
                  <c:v>11.406621724383355</c:v>
                </c:pt>
                <c:pt idx="359">
                  <c:v>11.333085351110567</c:v>
                </c:pt>
                <c:pt idx="360">
                  <c:v>11.252102738002293</c:v>
                </c:pt>
                <c:pt idx="361">
                  <c:v>11.159007541287719</c:v>
                </c:pt>
                <c:pt idx="362">
                  <c:v>11.077767324587551</c:v>
                </c:pt>
                <c:pt idx="363">
                  <c:v>10.988796759148167</c:v>
                </c:pt>
                <c:pt idx="364">
                  <c:v>10.894589120050828</c:v>
                </c:pt>
                <c:pt idx="365">
                  <c:v>10.791847334687043</c:v>
                </c:pt>
                <c:pt idx="366">
                  <c:v>10.703284263737705</c:v>
                </c:pt>
                <c:pt idx="367">
                  <c:v>10.602225639441883</c:v>
                </c:pt>
                <c:pt idx="368">
                  <c:v>10.503724185453354</c:v>
                </c:pt>
                <c:pt idx="369">
                  <c:v>10.407801317911263</c:v>
                </c:pt>
                <c:pt idx="370">
                  <c:v>10.320805202799072</c:v>
                </c:pt>
                <c:pt idx="371">
                  <c:v>10.220130491224948</c:v>
                </c:pt>
                <c:pt idx="372">
                  <c:v>10.135852045658002</c:v>
                </c:pt>
                <c:pt idx="373">
                  <c:v>10.045551099123642</c:v>
                </c:pt>
                <c:pt idx="374">
                  <c:v>9.9609678401734634</c:v>
                </c:pt>
                <c:pt idx="375">
                  <c:v>9.8744214881342405</c:v>
                </c:pt>
                <c:pt idx="376">
                  <c:v>9.797516280498991</c:v>
                </c:pt>
                <c:pt idx="377">
                  <c:v>9.7213014138270513</c:v>
                </c:pt>
                <c:pt idx="378">
                  <c:v>9.6435269646870498</c:v>
                </c:pt>
                <c:pt idx="379">
                  <c:v>9.5819166190629392</c:v>
                </c:pt>
                <c:pt idx="380">
                  <c:v>9.5173157454274175</c:v>
                </c:pt>
                <c:pt idx="381">
                  <c:v>9.4462605749792647</c:v>
                </c:pt>
                <c:pt idx="382">
                  <c:v>9.3879480559470938</c:v>
                </c:pt>
                <c:pt idx="383">
                  <c:v>9.3304909365229189</c:v>
                </c:pt>
                <c:pt idx="384">
                  <c:v>9.2822471332815972</c:v>
                </c:pt>
                <c:pt idx="385">
                  <c:v>9.2357622384357736</c:v>
                </c:pt>
                <c:pt idx="386">
                  <c:v>9.1947694298040314</c:v>
                </c:pt>
                <c:pt idx="387">
                  <c:v>9.1442176150747319</c:v>
                </c:pt>
                <c:pt idx="388">
                  <c:v>9.114406906145371</c:v>
                </c:pt>
                <c:pt idx="389">
                  <c:v>9.0770016615357498</c:v>
                </c:pt>
                <c:pt idx="390">
                  <c:v>9.0471394141868586</c:v>
                </c:pt>
                <c:pt idx="391">
                  <c:v>9.0214544473505889</c:v>
                </c:pt>
                <c:pt idx="392">
                  <c:v>8.9978335462437187</c:v>
                </c:pt>
                <c:pt idx="393">
                  <c:v>8.9782172262691287</c:v>
                </c:pt>
                <c:pt idx="394">
                  <c:v>8.9641319001966817</c:v>
                </c:pt>
                <c:pt idx="395">
                  <c:v>8.9426880045311492</c:v>
                </c:pt>
                <c:pt idx="396">
                  <c:v>8.9320626959688827</c:v>
                </c:pt>
                <c:pt idx="397">
                  <c:v>8.9238602384154184</c:v>
                </c:pt>
                <c:pt idx="398">
                  <c:v>8.9227899097789098</c:v>
                </c:pt>
                <c:pt idx="399">
                  <c:v>8.9167921098836551</c:v>
                </c:pt>
                <c:pt idx="400">
                  <c:v>8.9139587411766783</c:v>
                </c:pt>
                <c:pt idx="401">
                  <c:v>8.9155079947322911</c:v>
                </c:pt>
                <c:pt idx="402">
                  <c:v>8.9168420789928735</c:v>
                </c:pt>
                <c:pt idx="403">
                  <c:v>8.924397570928992</c:v>
                </c:pt>
                <c:pt idx="404">
                  <c:v>8.9298390771205547</c:v>
                </c:pt>
                <c:pt idx="405">
                  <c:v>8.938262517946777</c:v>
                </c:pt>
                <c:pt idx="406">
                  <c:v>8.9457057849876325</c:v>
                </c:pt>
                <c:pt idx="407">
                  <c:v>8.9582004171838943</c:v>
                </c:pt>
                <c:pt idx="408">
                  <c:v>8.9730736185795585</c:v>
                </c:pt>
                <c:pt idx="409">
                  <c:v>8.989702431315397</c:v>
                </c:pt>
                <c:pt idx="410">
                  <c:v>9.0067698682147626</c:v>
                </c:pt>
                <c:pt idx="411">
                  <c:v>9.0141346298009086</c:v>
                </c:pt>
                <c:pt idx="412">
                  <c:v>9.0386176201875212</c:v>
                </c:pt>
                <c:pt idx="413">
                  <c:v>9.051676646594947</c:v>
                </c:pt>
                <c:pt idx="414">
                  <c:v>9.0745842333865721</c:v>
                </c:pt>
                <c:pt idx="415">
                  <c:v>9.0923699533436118</c:v>
                </c:pt>
                <c:pt idx="416">
                  <c:v>9.1110756485263362</c:v>
                </c:pt>
                <c:pt idx="417">
                  <c:v>9.1298450887627283</c:v>
                </c:pt>
                <c:pt idx="418">
                  <c:v>9.1541661339261697</c:v>
                </c:pt>
                <c:pt idx="419">
                  <c:v>9.1669397150055563</c:v>
                </c:pt>
                <c:pt idx="420">
                  <c:v>9.1958797141922624</c:v>
                </c:pt>
                <c:pt idx="421">
                  <c:v>9.2099423262105748</c:v>
                </c:pt>
                <c:pt idx="422">
                  <c:v>9.2380939116201439</c:v>
                </c:pt>
                <c:pt idx="423">
                  <c:v>9.2531031849953997</c:v>
                </c:pt>
                <c:pt idx="424">
                  <c:v>9.2778483551233197</c:v>
                </c:pt>
                <c:pt idx="425">
                  <c:v>9.2951172260817927</c:v>
                </c:pt>
                <c:pt idx="426">
                  <c:v>9.321490856267836</c:v>
                </c:pt>
                <c:pt idx="427">
                  <c:v>9.3426172994455712</c:v>
                </c:pt>
                <c:pt idx="428">
                  <c:v>9.3567234279325948</c:v>
                </c:pt>
                <c:pt idx="429">
                  <c:v>9.3765988389784454</c:v>
                </c:pt>
                <c:pt idx="430">
                  <c:v>9.3970712632205089</c:v>
                </c:pt>
                <c:pt idx="431">
                  <c:v>9.4176489524735665</c:v>
                </c:pt>
                <c:pt idx="432">
                  <c:v>9.4387681592566643</c:v>
                </c:pt>
                <c:pt idx="433">
                  <c:v>9.4563244835291851</c:v>
                </c:pt>
                <c:pt idx="434">
                  <c:v>9.4826723686979637</c:v>
                </c:pt>
                <c:pt idx="435">
                  <c:v>9.5030092475277534</c:v>
                </c:pt>
                <c:pt idx="436">
                  <c:v>9.513389997790707</c:v>
                </c:pt>
                <c:pt idx="437">
                  <c:v>9.5311137222422531</c:v>
                </c:pt>
                <c:pt idx="438">
                  <c:v>9.5513810548827305</c:v>
                </c:pt>
                <c:pt idx="439">
                  <c:v>9.5688373851845103</c:v>
                </c:pt>
                <c:pt idx="440">
                  <c:v>9.5882106167546279</c:v>
                </c:pt>
                <c:pt idx="441">
                  <c:v>9.6034497150776055</c:v>
                </c:pt>
                <c:pt idx="442">
                  <c:v>9.6204571358654789</c:v>
                </c:pt>
                <c:pt idx="443">
                  <c:v>9.6366446116886877</c:v>
                </c:pt>
                <c:pt idx="444">
                  <c:v>9.6546376388717619</c:v>
                </c:pt>
                <c:pt idx="445">
                  <c:v>9.6690487994546679</c:v>
                </c:pt>
                <c:pt idx="446">
                  <c:v>9.6768084538304642</c:v>
                </c:pt>
                <c:pt idx="447">
                  <c:v>9.6976209104863234</c:v>
                </c:pt>
                <c:pt idx="448">
                  <c:v>9.7052928168502728</c:v>
                </c:pt>
                <c:pt idx="449">
                  <c:v>9.726556610632608</c:v>
                </c:pt>
                <c:pt idx="450">
                  <c:v>9.7331699197249879</c:v>
                </c:pt>
                <c:pt idx="451">
                  <c:v>9.7450508558412938</c:v>
                </c:pt>
                <c:pt idx="452">
                  <c:v>9.7626347197947201</c:v>
                </c:pt>
                <c:pt idx="453">
                  <c:v>9.7704069982615671</c:v>
                </c:pt>
                <c:pt idx="454">
                  <c:v>9.7817398013977979</c:v>
                </c:pt>
                <c:pt idx="455">
                  <c:v>9.7982290523595985</c:v>
                </c:pt>
                <c:pt idx="456">
                  <c:v>9.8104813241919171</c:v>
                </c:pt>
                <c:pt idx="457">
                  <c:v>9.8129984424140329</c:v>
                </c:pt>
                <c:pt idx="458">
                  <c:v>9.8287578486935701</c:v>
                </c:pt>
                <c:pt idx="459">
                  <c:v>9.8333451751512282</c:v>
                </c:pt>
                <c:pt idx="460">
                  <c:v>9.8463071135573639</c:v>
                </c:pt>
                <c:pt idx="461">
                  <c:v>9.8520824308894337</c:v>
                </c:pt>
                <c:pt idx="462">
                  <c:v>9.8681047140661082</c:v>
                </c:pt>
                <c:pt idx="463">
                  <c:v>9.8769022111672484</c:v>
                </c:pt>
                <c:pt idx="464">
                  <c:v>9.8841559304948348</c:v>
                </c:pt>
                <c:pt idx="465">
                  <c:v>9.8924017875632018</c:v>
                </c:pt>
                <c:pt idx="466">
                  <c:v>9.8959634445509224</c:v>
                </c:pt>
                <c:pt idx="467">
                  <c:v>9.9024379848088504</c:v>
                </c:pt>
                <c:pt idx="468">
                  <c:v>9.9145151916984293</c:v>
                </c:pt>
                <c:pt idx="469">
                  <c:v>9.9215437827959363</c:v>
                </c:pt>
                <c:pt idx="470">
                  <c:v>9.9277423474881008</c:v>
                </c:pt>
                <c:pt idx="471">
                  <c:v>9.935342442045199</c:v>
                </c:pt>
                <c:pt idx="472">
                  <c:v>9.9447570313815703</c:v>
                </c:pt>
                <c:pt idx="473">
                  <c:v>9.9485260569868004</c:v>
                </c:pt>
                <c:pt idx="474">
                  <c:v>9.9525330137423964</c:v>
                </c:pt>
                <c:pt idx="475">
                  <c:v>9.9613295579714958</c:v>
                </c:pt>
                <c:pt idx="476">
                  <c:v>9.9662476408482661</c:v>
                </c:pt>
                <c:pt idx="477">
                  <c:v>9.972584017713876</c:v>
                </c:pt>
                <c:pt idx="478">
                  <c:v>9.9729934932827753</c:v>
                </c:pt>
                <c:pt idx="479">
                  <c:v>9.9764393721043056</c:v>
                </c:pt>
                <c:pt idx="480">
                  <c:v>9.97903981066721</c:v>
                </c:pt>
                <c:pt idx="481">
                  <c:v>9.9904154160714409</c:v>
                </c:pt>
                <c:pt idx="482">
                  <c:v>9.9919075107663744</c:v>
                </c:pt>
                <c:pt idx="483">
                  <c:v>9.9931669674344086</c:v>
                </c:pt>
                <c:pt idx="484">
                  <c:v>9.9986276353130439</c:v>
                </c:pt>
                <c:pt idx="485">
                  <c:v>10.002392779881383</c:v>
                </c:pt>
                <c:pt idx="486">
                  <c:v>10.009831066590579</c:v>
                </c:pt>
                <c:pt idx="487">
                  <c:v>10.010889154536352</c:v>
                </c:pt>
                <c:pt idx="488">
                  <c:v>10.008949498486709</c:v>
                </c:pt>
                <c:pt idx="489">
                  <c:v>10.015246316677038</c:v>
                </c:pt>
                <c:pt idx="490">
                  <c:v>10.014017931562169</c:v>
                </c:pt>
                <c:pt idx="491">
                  <c:v>10.026327197115739</c:v>
                </c:pt>
                <c:pt idx="492">
                  <c:v>10.026668622574727</c:v>
                </c:pt>
                <c:pt idx="493">
                  <c:v>10.027888448906529</c:v>
                </c:pt>
                <c:pt idx="494">
                  <c:v>10.030799539365052</c:v>
                </c:pt>
                <c:pt idx="495">
                  <c:v>10.033214103422573</c:v>
                </c:pt>
                <c:pt idx="496">
                  <c:v>10.029416270118192</c:v>
                </c:pt>
                <c:pt idx="497">
                  <c:v>10.032790476101075</c:v>
                </c:pt>
                <c:pt idx="498">
                  <c:v>10.031488778597215</c:v>
                </c:pt>
                <c:pt idx="499">
                  <c:v>10.035912641036806</c:v>
                </c:pt>
                <c:pt idx="500">
                  <c:v>10.038723549220462</c:v>
                </c:pt>
                <c:pt idx="501">
                  <c:v>10.039213431655567</c:v>
                </c:pt>
                <c:pt idx="502">
                  <c:v>10.046077769778323</c:v>
                </c:pt>
                <c:pt idx="503">
                  <c:v>10.038367220825496</c:v>
                </c:pt>
                <c:pt idx="504">
                  <c:v>10.043314891787803</c:v>
                </c:pt>
                <c:pt idx="505">
                  <c:v>10.044157551437049</c:v>
                </c:pt>
                <c:pt idx="506">
                  <c:v>10.049062417099131</c:v>
                </c:pt>
                <c:pt idx="507">
                  <c:v>10.050816067049407</c:v>
                </c:pt>
                <c:pt idx="508">
                  <c:v>10.04463713308475</c:v>
                </c:pt>
                <c:pt idx="509">
                  <c:v>10.05174330388647</c:v>
                </c:pt>
                <c:pt idx="510">
                  <c:v>10.052234215934678</c:v>
                </c:pt>
                <c:pt idx="511">
                  <c:v>10.046909602277886</c:v>
                </c:pt>
                <c:pt idx="512">
                  <c:v>10.046886485706283</c:v>
                </c:pt>
                <c:pt idx="513">
                  <c:v>10.052970451617359</c:v>
                </c:pt>
                <c:pt idx="514">
                  <c:v>10.04787012057224</c:v>
                </c:pt>
                <c:pt idx="515">
                  <c:v>10.047230117162449</c:v>
                </c:pt>
                <c:pt idx="516">
                  <c:v>10.047599124067117</c:v>
                </c:pt>
                <c:pt idx="517">
                  <c:v>10.050177933956951</c:v>
                </c:pt>
                <c:pt idx="518">
                  <c:v>10.045120863133304</c:v>
                </c:pt>
                <c:pt idx="519">
                  <c:v>10.045114953739548</c:v>
                </c:pt>
                <c:pt idx="520">
                  <c:v>10.051894251260407</c:v>
                </c:pt>
                <c:pt idx="521">
                  <c:v>10.046010034619531</c:v>
                </c:pt>
                <c:pt idx="522">
                  <c:v>10.052311655004358</c:v>
                </c:pt>
                <c:pt idx="523">
                  <c:v>10.048782749654924</c:v>
                </c:pt>
                <c:pt idx="524">
                  <c:v>10.051140032450316</c:v>
                </c:pt>
                <c:pt idx="525">
                  <c:v>10.042324677020577</c:v>
                </c:pt>
                <c:pt idx="526">
                  <c:v>10.044280025769428</c:v>
                </c:pt>
                <c:pt idx="527">
                  <c:v>10.042225680469905</c:v>
                </c:pt>
                <c:pt idx="528">
                  <c:v>10.042167899990025</c:v>
                </c:pt>
                <c:pt idx="529">
                  <c:v>10.041394707987678</c:v>
                </c:pt>
                <c:pt idx="530">
                  <c:v>10.047521433946081</c:v>
                </c:pt>
                <c:pt idx="531">
                  <c:v>10.046369046328111</c:v>
                </c:pt>
                <c:pt idx="532">
                  <c:v>10.037797886670914</c:v>
                </c:pt>
                <c:pt idx="533">
                  <c:v>10.039015546659609</c:v>
                </c:pt>
                <c:pt idx="534">
                  <c:v>10.038756041230448</c:v>
                </c:pt>
                <c:pt idx="535">
                  <c:v>10.038327268708217</c:v>
                </c:pt>
                <c:pt idx="536">
                  <c:v>10.034099452686746</c:v>
                </c:pt>
                <c:pt idx="537">
                  <c:v>10.039096176642158</c:v>
                </c:pt>
                <c:pt idx="538">
                  <c:v>10.037623077470668</c:v>
                </c:pt>
                <c:pt idx="539">
                  <c:v>10.037600377093678</c:v>
                </c:pt>
                <c:pt idx="540">
                  <c:v>10.032700787530885</c:v>
                </c:pt>
                <c:pt idx="541">
                  <c:v>10.037434933123713</c:v>
                </c:pt>
                <c:pt idx="542">
                  <c:v>10.034174036076568</c:v>
                </c:pt>
                <c:pt idx="543">
                  <c:v>10.034995879319769</c:v>
                </c:pt>
                <c:pt idx="544">
                  <c:v>10.037474490633315</c:v>
                </c:pt>
                <c:pt idx="545">
                  <c:v>10.027104408662398</c:v>
                </c:pt>
                <c:pt idx="546">
                  <c:v>10.028123874167356</c:v>
                </c:pt>
                <c:pt idx="547">
                  <c:v>10.026496203170952</c:v>
                </c:pt>
                <c:pt idx="548">
                  <c:v>10.031563932260719</c:v>
                </c:pt>
                <c:pt idx="549">
                  <c:v>10.02798596854964</c:v>
                </c:pt>
                <c:pt idx="550">
                  <c:v>10.026845138156363</c:v>
                </c:pt>
                <c:pt idx="551">
                  <c:v>10.029976918213528</c:v>
                </c:pt>
                <c:pt idx="552">
                  <c:v>10.026861087789618</c:v>
                </c:pt>
                <c:pt idx="553">
                  <c:v>10.020517417609016</c:v>
                </c:pt>
                <c:pt idx="554">
                  <c:v>10.019760813614058</c:v>
                </c:pt>
                <c:pt idx="555">
                  <c:v>10.025335156827675</c:v>
                </c:pt>
                <c:pt idx="556">
                  <c:v>10.024152324435869</c:v>
                </c:pt>
                <c:pt idx="557">
                  <c:v>10.022617196949811</c:v>
                </c:pt>
                <c:pt idx="558">
                  <c:v>10.024737672872153</c:v>
                </c:pt>
                <c:pt idx="559">
                  <c:v>10.017059910363679</c:v>
                </c:pt>
                <c:pt idx="560">
                  <c:v>10.019150308462592</c:v>
                </c:pt>
                <c:pt idx="561">
                  <c:v>10.017763831777117</c:v>
                </c:pt>
                <c:pt idx="562">
                  <c:v>10.014686254482909</c:v>
                </c:pt>
                <c:pt idx="563">
                  <c:v>10.020226104929547</c:v>
                </c:pt>
                <c:pt idx="564">
                  <c:v>10.019792813047765</c:v>
                </c:pt>
                <c:pt idx="565">
                  <c:v>10.016087207603338</c:v>
                </c:pt>
                <c:pt idx="566">
                  <c:v>10.014774538943806</c:v>
                </c:pt>
                <c:pt idx="567">
                  <c:v>10.011626888256275</c:v>
                </c:pt>
                <c:pt idx="568">
                  <c:v>10.01222888587643</c:v>
                </c:pt>
                <c:pt idx="569">
                  <c:v>10.016691301097238</c:v>
                </c:pt>
                <c:pt idx="570">
                  <c:v>10.014520319226158</c:v>
                </c:pt>
                <c:pt idx="571">
                  <c:v>10.015607253835622</c:v>
                </c:pt>
                <c:pt idx="572">
                  <c:v>10.013354577898387</c:v>
                </c:pt>
                <c:pt idx="573">
                  <c:v>10.016667951955258</c:v>
                </c:pt>
                <c:pt idx="574">
                  <c:v>10.013607481458727</c:v>
                </c:pt>
                <c:pt idx="575">
                  <c:v>10.013042042785019</c:v>
                </c:pt>
                <c:pt idx="576">
                  <c:v>10.013109495505056</c:v>
                </c:pt>
                <c:pt idx="577">
                  <c:v>10.01407833473616</c:v>
                </c:pt>
                <c:pt idx="578">
                  <c:v>10.010578224902529</c:v>
                </c:pt>
                <c:pt idx="579">
                  <c:v>10.012580203739759</c:v>
                </c:pt>
                <c:pt idx="580">
                  <c:v>10.008897785062482</c:v>
                </c:pt>
                <c:pt idx="581">
                  <c:v>10.005331247474201</c:v>
                </c:pt>
                <c:pt idx="582">
                  <c:v>10.009521902449436</c:v>
                </c:pt>
                <c:pt idx="583">
                  <c:v>10.009451999065309</c:v>
                </c:pt>
                <c:pt idx="584">
                  <c:v>10.003093748991857</c:v>
                </c:pt>
                <c:pt idx="585">
                  <c:v>10.00051981995686</c:v>
                </c:pt>
                <c:pt idx="586">
                  <c:v>10.002882741911845</c:v>
                </c:pt>
                <c:pt idx="587">
                  <c:v>10.006289416476925</c:v>
                </c:pt>
                <c:pt idx="588">
                  <c:v>10.000847811900668</c:v>
                </c:pt>
                <c:pt idx="589">
                  <c:v>10.005092745835121</c:v>
                </c:pt>
                <c:pt idx="590">
                  <c:v>10.000186667410299</c:v>
                </c:pt>
                <c:pt idx="591">
                  <c:v>9.9988179508592658</c:v>
                </c:pt>
                <c:pt idx="592">
                  <c:v>9.9988488279357739</c:v>
                </c:pt>
                <c:pt idx="593">
                  <c:v>10.0033996198602</c:v>
                </c:pt>
                <c:pt idx="594">
                  <c:v>9.9983516152496339</c:v>
                </c:pt>
                <c:pt idx="595">
                  <c:v>10.004353104693742</c:v>
                </c:pt>
                <c:pt idx="596">
                  <c:v>9.9990443744105999</c:v>
                </c:pt>
                <c:pt idx="597">
                  <c:v>9.9984090772856025</c:v>
                </c:pt>
                <c:pt idx="598">
                  <c:v>9.999949410241797</c:v>
                </c:pt>
                <c:pt idx="599">
                  <c:v>9.9955376098173137</c:v>
                </c:pt>
                <c:pt idx="600">
                  <c:v>9.99514455976081</c:v>
                </c:pt>
                <c:pt idx="601">
                  <c:v>10.002329246164413</c:v>
                </c:pt>
                <c:pt idx="602">
                  <c:v>9.9989602569027749</c:v>
                </c:pt>
                <c:pt idx="603">
                  <c:v>9.9996159648042813</c:v>
                </c:pt>
                <c:pt idx="604">
                  <c:v>10.002778436026048</c:v>
                </c:pt>
                <c:pt idx="605">
                  <c:v>9.9956387967563014</c:v>
                </c:pt>
                <c:pt idx="606">
                  <c:v>10.002325355249633</c:v>
                </c:pt>
                <c:pt idx="607">
                  <c:v>9.9995395351280632</c:v>
                </c:pt>
                <c:pt idx="608">
                  <c:v>10.000660943924602</c:v>
                </c:pt>
                <c:pt idx="609">
                  <c:v>9.999211805441913</c:v>
                </c:pt>
                <c:pt idx="610">
                  <c:v>10.000971418646724</c:v>
                </c:pt>
                <c:pt idx="611">
                  <c:v>9.9959392917956791</c:v>
                </c:pt>
                <c:pt idx="612">
                  <c:v>9.9964480047635149</c:v>
                </c:pt>
                <c:pt idx="613">
                  <c:v>10.002034857099616</c:v>
                </c:pt>
                <c:pt idx="614">
                  <c:v>10.001020847537642</c:v>
                </c:pt>
                <c:pt idx="615">
                  <c:v>9.997851649213862</c:v>
                </c:pt>
                <c:pt idx="616">
                  <c:v>10.002854906783313</c:v>
                </c:pt>
                <c:pt idx="617">
                  <c:v>10.001937794782339</c:v>
                </c:pt>
                <c:pt idx="618">
                  <c:v>9.9954599274853599</c:v>
                </c:pt>
                <c:pt idx="619">
                  <c:v>10.000471224194138</c:v>
                </c:pt>
                <c:pt idx="620">
                  <c:v>10.000528029417319</c:v>
                </c:pt>
                <c:pt idx="621">
                  <c:v>9.9351128287539723</c:v>
                </c:pt>
                <c:pt idx="622">
                  <c:v>9.7598506630565236</c:v>
                </c:pt>
                <c:pt idx="623">
                  <c:v>9.4944684615290047</c:v>
                </c:pt>
                <c:pt idx="624">
                  <c:v>9.1829868413174545</c:v>
                </c:pt>
                <c:pt idx="625">
                  <c:v>8.8893886729866693</c:v>
                </c:pt>
                <c:pt idx="626">
                  <c:v>8.5999992839241255</c:v>
                </c:pt>
                <c:pt idx="627">
                  <c:v>8.3141058839312727</c:v>
                </c:pt>
                <c:pt idx="628">
                  <c:v>8.044821134083822</c:v>
                </c:pt>
                <c:pt idx="629">
                  <c:v>7.7846192320512477</c:v>
                </c:pt>
                <c:pt idx="630">
                  <c:v>7.5225204638178598</c:v>
                </c:pt>
                <c:pt idx="631">
                  <c:v>7.2734666708903228</c:v>
                </c:pt>
                <c:pt idx="632">
                  <c:v>7.0272305396875563</c:v>
                </c:pt>
                <c:pt idx="633">
                  <c:v>6.7829113020853322</c:v>
                </c:pt>
                <c:pt idx="634">
                  <c:v>6.5502432741731127</c:v>
                </c:pt>
                <c:pt idx="635">
                  <c:v>6.3100921268550092</c:v>
                </c:pt>
                <c:pt idx="636">
                  <c:v>6.0835810806661232</c:v>
                </c:pt>
                <c:pt idx="637">
                  <c:v>5.8505887878556271</c:v>
                </c:pt>
                <c:pt idx="638">
                  <c:v>5.6270207705703852</c:v>
                </c:pt>
                <c:pt idx="639">
                  <c:v>5.4021260409075778</c:v>
                </c:pt>
                <c:pt idx="640">
                  <c:v>5.1740265002649286</c:v>
                </c:pt>
                <c:pt idx="641">
                  <c:v>4.9592573806676583</c:v>
                </c:pt>
                <c:pt idx="642">
                  <c:v>4.7361671876028453</c:v>
                </c:pt>
                <c:pt idx="643">
                  <c:v>4.5127734623410731</c:v>
                </c:pt>
                <c:pt idx="644">
                  <c:v>4.2969010131866936</c:v>
                </c:pt>
                <c:pt idx="645">
                  <c:v>4.0901888097772563</c:v>
                </c:pt>
                <c:pt idx="646">
                  <c:v>3.8859613859716942</c:v>
                </c:pt>
                <c:pt idx="647">
                  <c:v>3.6938782936239569</c:v>
                </c:pt>
                <c:pt idx="648">
                  <c:v>3.5091733923634019</c:v>
                </c:pt>
                <c:pt idx="649">
                  <c:v>3.3324390810821698</c:v>
                </c:pt>
                <c:pt idx="650">
                  <c:v>3.1703670019631125</c:v>
                </c:pt>
                <c:pt idx="651">
                  <c:v>3.0195422240808663</c:v>
                </c:pt>
                <c:pt idx="652">
                  <c:v>2.8650103930020374</c:v>
                </c:pt>
                <c:pt idx="653">
                  <c:v>2.7249198355441364</c:v>
                </c:pt>
                <c:pt idx="654">
                  <c:v>2.5857130480955992</c:v>
                </c:pt>
                <c:pt idx="655">
                  <c:v>2.4589190818103215</c:v>
                </c:pt>
                <c:pt idx="656">
                  <c:v>2.3338639232065992</c:v>
                </c:pt>
                <c:pt idx="657">
                  <c:v>2.219202010347324</c:v>
                </c:pt>
                <c:pt idx="658">
                  <c:v>2.1069728709963993</c:v>
                </c:pt>
                <c:pt idx="659">
                  <c:v>1.9994547165475245</c:v>
                </c:pt>
                <c:pt idx="660">
                  <c:v>1.9020213020858627</c:v>
                </c:pt>
                <c:pt idx="661">
                  <c:v>1.7970955670889752</c:v>
                </c:pt>
                <c:pt idx="662">
                  <c:v>1.7071271422824319</c:v>
                </c:pt>
                <c:pt idx="663">
                  <c:v>1.6266002335912548</c:v>
                </c:pt>
                <c:pt idx="664">
                  <c:v>1.5371453756766449</c:v>
                </c:pt>
                <c:pt idx="665">
                  <c:v>1.4672020520310292</c:v>
                </c:pt>
                <c:pt idx="666">
                  <c:v>1.3874810788928016</c:v>
                </c:pt>
                <c:pt idx="667">
                  <c:v>1.3218571700072357</c:v>
                </c:pt>
                <c:pt idx="668">
                  <c:v>1.2588690762903649</c:v>
                </c:pt>
                <c:pt idx="669">
                  <c:v>1.1955155161034758</c:v>
                </c:pt>
                <c:pt idx="670">
                  <c:v>1.1462580363361345</c:v>
                </c:pt>
                <c:pt idx="671">
                  <c:v>1.0929990072407554</c:v>
                </c:pt>
                <c:pt idx="672">
                  <c:v>1.0418421818809731</c:v>
                </c:pt>
                <c:pt idx="673">
                  <c:v>0.99768610138266034</c:v>
                </c:pt>
                <c:pt idx="674">
                  <c:v>0.96010364849134422</c:v>
                </c:pt>
                <c:pt idx="675">
                  <c:v>0.9234359305661145</c:v>
                </c:pt>
                <c:pt idx="676">
                  <c:v>0.88712919194738016</c:v>
                </c:pt>
                <c:pt idx="677">
                  <c:v>0.84532466121797822</c:v>
                </c:pt>
                <c:pt idx="678">
                  <c:v>0.81698472724220994</c:v>
                </c:pt>
                <c:pt idx="679">
                  <c:v>0.78205154907250896</c:v>
                </c:pt>
                <c:pt idx="680">
                  <c:v>0.75898834881918464</c:v>
                </c:pt>
                <c:pt idx="681">
                  <c:v>0.73396186327755109</c:v>
                </c:pt>
                <c:pt idx="682">
                  <c:v>0.70784793172674554</c:v>
                </c:pt>
                <c:pt idx="683">
                  <c:v>0.69081209654553299</c:v>
                </c:pt>
                <c:pt idx="684">
                  <c:v>0.6620880003326105</c:v>
                </c:pt>
                <c:pt idx="685">
                  <c:v>0.6507428640311651</c:v>
                </c:pt>
                <c:pt idx="686">
                  <c:v>0.6320069831108116</c:v>
                </c:pt>
                <c:pt idx="687">
                  <c:v>0.60946525812289132</c:v>
                </c:pt>
                <c:pt idx="688">
                  <c:v>0.5935027834992066</c:v>
                </c:pt>
                <c:pt idx="689">
                  <c:v>0.58083338188572087</c:v>
                </c:pt>
                <c:pt idx="690">
                  <c:v>0.56751261195113945</c:v>
                </c:pt>
                <c:pt idx="691">
                  <c:v>0.55861588553257269</c:v>
                </c:pt>
                <c:pt idx="692">
                  <c:v>0.55297825840484716</c:v>
                </c:pt>
                <c:pt idx="693">
                  <c:v>0.54505187332804395</c:v>
                </c:pt>
                <c:pt idx="694">
                  <c:v>0.53110700341660055</c:v>
                </c:pt>
                <c:pt idx="695">
                  <c:v>0.52328695478025589</c:v>
                </c:pt>
                <c:pt idx="696">
                  <c:v>0.51903891179825745</c:v>
                </c:pt>
                <c:pt idx="697">
                  <c:v>0.51654870425732335</c:v>
                </c:pt>
                <c:pt idx="698">
                  <c:v>0.50599548756117096</c:v>
                </c:pt>
                <c:pt idx="699">
                  <c:v>0.50271099095720462</c:v>
                </c:pt>
                <c:pt idx="700">
                  <c:v>0.50053992450063334</c:v>
                </c:pt>
                <c:pt idx="701">
                  <c:v>0.49877414361205119</c:v>
                </c:pt>
                <c:pt idx="702">
                  <c:v>0.49615408274291806</c:v>
                </c:pt>
                <c:pt idx="703">
                  <c:v>0.49303182307818033</c:v>
                </c:pt>
                <c:pt idx="704">
                  <c:v>0.49356357688101654</c:v>
                </c:pt>
                <c:pt idx="705">
                  <c:v>0.49186073374664663</c:v>
                </c:pt>
                <c:pt idx="706">
                  <c:v>0.48888969192340676</c:v>
                </c:pt>
                <c:pt idx="707">
                  <c:v>0.49062577801297014</c:v>
                </c:pt>
                <c:pt idx="708">
                  <c:v>0.49076679626046671</c:v>
                </c:pt>
                <c:pt idx="709">
                  <c:v>0.49149742098588944</c:v>
                </c:pt>
                <c:pt idx="710">
                  <c:v>0.48924547415849845</c:v>
                </c:pt>
                <c:pt idx="711">
                  <c:v>0.49035656063894717</c:v>
                </c:pt>
                <c:pt idx="712">
                  <c:v>0.49671835879336851</c:v>
                </c:pt>
                <c:pt idx="713">
                  <c:v>0.50456616584895819</c:v>
                </c:pt>
                <c:pt idx="714">
                  <c:v>0.50779160480828944</c:v>
                </c:pt>
                <c:pt idx="715">
                  <c:v>0.50448816870627544</c:v>
                </c:pt>
                <c:pt idx="716">
                  <c:v>0.5053523587236024</c:v>
                </c:pt>
                <c:pt idx="717">
                  <c:v>0.51292069486220826</c:v>
                </c:pt>
                <c:pt idx="718">
                  <c:v>0.5182539664738115</c:v>
                </c:pt>
                <c:pt idx="719">
                  <c:v>0.51989352729312166</c:v>
                </c:pt>
                <c:pt idx="720">
                  <c:v>0.52410320961450896</c:v>
                </c:pt>
                <c:pt idx="721">
                  <c:v>0.53213710485184285</c:v>
                </c:pt>
                <c:pt idx="722">
                  <c:v>0.53878610808140792</c:v>
                </c:pt>
                <c:pt idx="723">
                  <c:v>0.54617603668317916</c:v>
                </c:pt>
                <c:pt idx="724">
                  <c:v>0.55056579228431901</c:v>
                </c:pt>
                <c:pt idx="725">
                  <c:v>0.55631606219812468</c:v>
                </c:pt>
                <c:pt idx="726">
                  <c:v>0.56596519941247092</c:v>
                </c:pt>
                <c:pt idx="727">
                  <c:v>0.57083778919800343</c:v>
                </c:pt>
                <c:pt idx="728">
                  <c:v>0.57685578099290746</c:v>
                </c:pt>
                <c:pt idx="729">
                  <c:v>0.58221545164203126</c:v>
                </c:pt>
                <c:pt idx="730">
                  <c:v>0.59144825889649677</c:v>
                </c:pt>
                <c:pt idx="731">
                  <c:v>0.6053326794375713</c:v>
                </c:pt>
                <c:pt idx="732">
                  <c:v>0.60474428756249132</c:v>
                </c:pt>
                <c:pt idx="733">
                  <c:v>0.61386190359874482</c:v>
                </c:pt>
                <c:pt idx="734">
                  <c:v>0.62149217440064375</c:v>
                </c:pt>
                <c:pt idx="735">
                  <c:v>0.63818442898284833</c:v>
                </c:pt>
                <c:pt idx="736">
                  <c:v>0.64000319540552619</c:v>
                </c:pt>
                <c:pt idx="737">
                  <c:v>0.64573851830297924</c:v>
                </c:pt>
                <c:pt idx="738">
                  <c:v>0.65795538897847361</c:v>
                </c:pt>
                <c:pt idx="739">
                  <c:v>0.66651836773611906</c:v>
                </c:pt>
                <c:pt idx="740">
                  <c:v>0.674170531866083</c:v>
                </c:pt>
                <c:pt idx="741">
                  <c:v>0.67839824805345295</c:v>
                </c:pt>
                <c:pt idx="742">
                  <c:v>0.68714430900299661</c:v>
                </c:pt>
                <c:pt idx="743">
                  <c:v>0.70454982127003518</c:v>
                </c:pt>
                <c:pt idx="744">
                  <c:v>0.70379857327347939</c:v>
                </c:pt>
                <c:pt idx="745">
                  <c:v>0.71617700334780732</c:v>
                </c:pt>
                <c:pt idx="746">
                  <c:v>0.72158029034190252</c:v>
                </c:pt>
                <c:pt idx="747">
                  <c:v>0.73507775784939966</c:v>
                </c:pt>
                <c:pt idx="748">
                  <c:v>0.74648898323171908</c:v>
                </c:pt>
                <c:pt idx="749">
                  <c:v>0.7465334024307938</c:v>
                </c:pt>
                <c:pt idx="750">
                  <c:v>0.76319119829338833</c:v>
                </c:pt>
                <c:pt idx="751">
                  <c:v>0.76420958936819827</c:v>
                </c:pt>
                <c:pt idx="752">
                  <c:v>0.77068976725895011</c:v>
                </c:pt>
                <c:pt idx="753">
                  <c:v>0.78635852868324352</c:v>
                </c:pt>
                <c:pt idx="754">
                  <c:v>0.7936300398417574</c:v>
                </c:pt>
                <c:pt idx="755">
                  <c:v>0.79795459744701691</c:v>
                </c:pt>
                <c:pt idx="756">
                  <c:v>0.81036284768402267</c:v>
                </c:pt>
                <c:pt idx="757">
                  <c:v>0.81619019566177498</c:v>
                </c:pt>
                <c:pt idx="758">
                  <c:v>0.82483507322663818</c:v>
                </c:pt>
                <c:pt idx="759">
                  <c:v>0.83140099247050037</c:v>
                </c:pt>
                <c:pt idx="760">
                  <c:v>0.83617434908264965</c:v>
                </c:pt>
                <c:pt idx="761">
                  <c:v>0.84013159642050284</c:v>
                </c:pt>
                <c:pt idx="762">
                  <c:v>0.84445627615680185</c:v>
                </c:pt>
                <c:pt idx="763">
                  <c:v>0.85893933637127329</c:v>
                </c:pt>
                <c:pt idx="764">
                  <c:v>0.86315637378395449</c:v>
                </c:pt>
                <c:pt idx="765">
                  <c:v>0.87042703978648073</c:v>
                </c:pt>
                <c:pt idx="766">
                  <c:v>0.87316605962382388</c:v>
                </c:pt>
                <c:pt idx="767">
                  <c:v>0.88267948804028562</c:v>
                </c:pt>
                <c:pt idx="768">
                  <c:v>0.8889517443018935</c:v>
                </c:pt>
                <c:pt idx="769">
                  <c:v>0.8983654799232148</c:v>
                </c:pt>
                <c:pt idx="770">
                  <c:v>0.89559933223747457</c:v>
                </c:pt>
                <c:pt idx="771">
                  <c:v>0.90779111410257129</c:v>
                </c:pt>
                <c:pt idx="772">
                  <c:v>0.91180985793786284</c:v>
                </c:pt>
                <c:pt idx="773">
                  <c:v>0.91728427335240292</c:v>
                </c:pt>
                <c:pt idx="774">
                  <c:v>0.92351672882728653</c:v>
                </c:pt>
                <c:pt idx="775">
                  <c:v>0.92569603659117738</c:v>
                </c:pt>
                <c:pt idx="776">
                  <c:v>0.93133265823544942</c:v>
                </c:pt>
                <c:pt idx="777">
                  <c:v>0.93444568617843149</c:v>
                </c:pt>
                <c:pt idx="778">
                  <c:v>0.94016058685208914</c:v>
                </c:pt>
                <c:pt idx="779">
                  <c:v>0.94391616189087646</c:v>
                </c:pt>
                <c:pt idx="780">
                  <c:v>0.94678507255676625</c:v>
                </c:pt>
                <c:pt idx="781">
                  <c:v>0.95316612200735273</c:v>
                </c:pt>
                <c:pt idx="782">
                  <c:v>0.95261675986064187</c:v>
                </c:pt>
                <c:pt idx="783">
                  <c:v>0.96297998465126089</c:v>
                </c:pt>
                <c:pt idx="784">
                  <c:v>0.9648130879035427</c:v>
                </c:pt>
                <c:pt idx="785">
                  <c:v>0.96752980701215574</c:v>
                </c:pt>
                <c:pt idx="786">
                  <c:v>0.97212960179692975</c:v>
                </c:pt>
                <c:pt idx="787">
                  <c:v>0.97899995624664204</c:v>
                </c:pt>
                <c:pt idx="788">
                  <c:v>0.98015006059156762</c:v>
                </c:pt>
                <c:pt idx="789">
                  <c:v>0.97786048877245024</c:v>
                </c:pt>
                <c:pt idx="790">
                  <c:v>0.982311569797227</c:v>
                </c:pt>
                <c:pt idx="791">
                  <c:v>0.98728481498326859</c:v>
                </c:pt>
                <c:pt idx="792">
                  <c:v>0.99041659449730035</c:v>
                </c:pt>
                <c:pt idx="793">
                  <c:v>0.9878088719352156</c:v>
                </c:pt>
                <c:pt idx="794">
                  <c:v>0.99800398416880964</c:v>
                </c:pt>
                <c:pt idx="795">
                  <c:v>0.99921094632527618</c:v>
                </c:pt>
                <c:pt idx="796">
                  <c:v>0.99570478032896559</c:v>
                </c:pt>
                <c:pt idx="797">
                  <c:v>0.99882529045267709</c:v>
                </c:pt>
                <c:pt idx="798">
                  <c:v>0.99716007318219502</c:v>
                </c:pt>
                <c:pt idx="799">
                  <c:v>1.0021975949475874</c:v>
                </c:pt>
                <c:pt idx="800">
                  <c:v>1.0033260167804852</c:v>
                </c:pt>
                <c:pt idx="801">
                  <c:v>1.0037497144829566</c:v>
                </c:pt>
                <c:pt idx="802">
                  <c:v>1.0058962589163172</c:v>
                </c:pt>
                <c:pt idx="803">
                  <c:v>1.0135243765452364</c:v>
                </c:pt>
                <c:pt idx="804">
                  <c:v>1.0090169757112304</c:v>
                </c:pt>
                <c:pt idx="805">
                  <c:v>1.0081164117504242</c:v>
                </c:pt>
                <c:pt idx="806">
                  <c:v>1.0151541826760115</c:v>
                </c:pt>
                <c:pt idx="807">
                  <c:v>1.0143158568070294</c:v>
                </c:pt>
                <c:pt idx="808">
                  <c:v>1.0160677497763182</c:v>
                </c:pt>
                <c:pt idx="809">
                  <c:v>1.0214660641981153</c:v>
                </c:pt>
                <c:pt idx="810">
                  <c:v>1.0188272358293329</c:v>
                </c:pt>
                <c:pt idx="811">
                  <c:v>1.0165506798720847</c:v>
                </c:pt>
                <c:pt idx="812">
                  <c:v>1.0193783281356601</c:v>
                </c:pt>
                <c:pt idx="813">
                  <c:v>1.0190360354869217</c:v>
                </c:pt>
                <c:pt idx="814">
                  <c:v>1.0234113477131115</c:v>
                </c:pt>
                <c:pt idx="815">
                  <c:v>1.0173758328373621</c:v>
                </c:pt>
                <c:pt idx="816">
                  <c:v>1.019397041671259</c:v>
                </c:pt>
                <c:pt idx="817">
                  <c:v>1.0270324916998077</c:v>
                </c:pt>
                <c:pt idx="818">
                  <c:v>1.025445618148711</c:v>
                </c:pt>
                <c:pt idx="819">
                  <c:v>1.0264131589304182</c:v>
                </c:pt>
                <c:pt idx="820">
                  <c:v>1.0231696584589007</c:v>
                </c:pt>
                <c:pt idx="821">
                  <c:v>1.0217415177544491</c:v>
                </c:pt>
                <c:pt idx="822">
                  <c:v>1.0265650297571007</c:v>
                </c:pt>
                <c:pt idx="823">
                  <c:v>1.0287811628538659</c:v>
                </c:pt>
                <c:pt idx="824">
                  <c:v>1.021465338891099</c:v>
                </c:pt>
                <c:pt idx="825">
                  <c:v>1.0223128781501578</c:v>
                </c:pt>
                <c:pt idx="826">
                  <c:v>1.0243371898526841</c:v>
                </c:pt>
                <c:pt idx="827">
                  <c:v>1.0221758198227089</c:v>
                </c:pt>
                <c:pt idx="828">
                  <c:v>1.0223480760469428</c:v>
                </c:pt>
                <c:pt idx="829">
                  <c:v>1.0226788455763227</c:v>
                </c:pt>
                <c:pt idx="830">
                  <c:v>1.0225919960381864</c:v>
                </c:pt>
                <c:pt idx="831">
                  <c:v>1.027358536418838</c:v>
                </c:pt>
                <c:pt idx="832">
                  <c:v>1.0234055414604701</c:v>
                </c:pt>
                <c:pt idx="833">
                  <c:v>1.0249528456318384</c:v>
                </c:pt>
                <c:pt idx="834">
                  <c:v>1.0219045380968599</c:v>
                </c:pt>
                <c:pt idx="835">
                  <c:v>1.025523519886574</c:v>
                </c:pt>
                <c:pt idx="836">
                  <c:v>1.0260232980751207</c:v>
                </c:pt>
                <c:pt idx="837">
                  <c:v>1.0223407119722956</c:v>
                </c:pt>
                <c:pt idx="838">
                  <c:v>1.024980235051979</c:v>
                </c:pt>
                <c:pt idx="839">
                  <c:v>1.0209459361079452</c:v>
                </c:pt>
                <c:pt idx="840">
                  <c:v>1.0250104718818189</c:v>
                </c:pt>
                <c:pt idx="841">
                  <c:v>1.0288957835635368</c:v>
                </c:pt>
                <c:pt idx="842">
                  <c:v>1.0235956462783822</c:v>
                </c:pt>
                <c:pt idx="843">
                  <c:v>1.0207411061064666</c:v>
                </c:pt>
                <c:pt idx="844">
                  <c:v>1.0260638571607779</c:v>
                </c:pt>
                <c:pt idx="845">
                  <c:v>1.0173898077755426</c:v>
                </c:pt>
                <c:pt idx="846">
                  <c:v>1.0170877622016883</c:v>
                </c:pt>
                <c:pt idx="847">
                  <c:v>1.0184962413222898</c:v>
                </c:pt>
                <c:pt idx="848">
                  <c:v>1.0208891055179825</c:v>
                </c:pt>
                <c:pt idx="849">
                  <c:v>1.0205411266113638</c:v>
                </c:pt>
                <c:pt idx="850">
                  <c:v>1.0234266118788524</c:v>
                </c:pt>
                <c:pt idx="851">
                  <c:v>1.0240639714483111</c:v>
                </c:pt>
                <c:pt idx="852">
                  <c:v>1.0160030936788396</c:v>
                </c:pt>
                <c:pt idx="853">
                  <c:v>1.0172458851632609</c:v>
                </c:pt>
                <c:pt idx="854">
                  <c:v>1.0182752649438498</c:v>
                </c:pt>
                <c:pt idx="855">
                  <c:v>1.0233756539256342</c:v>
                </c:pt>
                <c:pt idx="856">
                  <c:v>1.021702118545919</c:v>
                </c:pt>
                <c:pt idx="857">
                  <c:v>1.0131821325716273</c:v>
                </c:pt>
                <c:pt idx="858">
                  <c:v>1.0129899040842203</c:v>
                </c:pt>
                <c:pt idx="859">
                  <c:v>1.0151230288373061</c:v>
                </c:pt>
                <c:pt idx="860">
                  <c:v>1.0148560864326412</c:v>
                </c:pt>
                <c:pt idx="861">
                  <c:v>1.0192529554397409</c:v>
                </c:pt>
                <c:pt idx="862">
                  <c:v>1.0185875368729485</c:v>
                </c:pt>
                <c:pt idx="863">
                  <c:v>1.0148589938170056</c:v>
                </c:pt>
                <c:pt idx="864">
                  <c:v>1.0152121352650043</c:v>
                </c:pt>
                <c:pt idx="865">
                  <c:v>1.0128523875950448</c:v>
                </c:pt>
                <c:pt idx="866">
                  <c:v>1.0136383244969713</c:v>
                </c:pt>
                <c:pt idx="867">
                  <c:v>1.0187231274882034</c:v>
                </c:pt>
                <c:pt idx="868">
                  <c:v>1.0179715136244611</c:v>
                </c:pt>
                <c:pt idx="869">
                  <c:v>1.0094168687195739</c:v>
                </c:pt>
                <c:pt idx="870">
                  <c:v>1.0125787700955431</c:v>
                </c:pt>
                <c:pt idx="871">
                  <c:v>1.0133770482062336</c:v>
                </c:pt>
                <c:pt idx="872">
                  <c:v>1.0075489705937628</c:v>
                </c:pt>
                <c:pt idx="873">
                  <c:v>1.0088362362838528</c:v>
                </c:pt>
                <c:pt idx="874">
                  <c:v>1.0102983472506122</c:v>
                </c:pt>
                <c:pt idx="875">
                  <c:v>1.0123693564214356</c:v>
                </c:pt>
                <c:pt idx="876">
                  <c:v>1.0111986968462845</c:v>
                </c:pt>
                <c:pt idx="877">
                  <c:v>1.008286709467128</c:v>
                </c:pt>
                <c:pt idx="878">
                  <c:v>1.009259913795328</c:v>
                </c:pt>
                <c:pt idx="879">
                  <c:v>1.0133029623113032</c:v>
                </c:pt>
                <c:pt idx="880">
                  <c:v>1.0060490668789186</c:v>
                </c:pt>
                <c:pt idx="881">
                  <c:v>1.0100918633063523</c:v>
                </c:pt>
                <c:pt idx="882">
                  <c:v>1.0121518875343352</c:v>
                </c:pt>
                <c:pt idx="883">
                  <c:v>1.0046902892084035</c:v>
                </c:pt>
                <c:pt idx="884">
                  <c:v>1.0102939726847044</c:v>
                </c:pt>
                <c:pt idx="885">
                  <c:v>1.0036392491114225</c:v>
                </c:pt>
                <c:pt idx="886">
                  <c:v>1.0029995406245928</c:v>
                </c:pt>
                <c:pt idx="887">
                  <c:v>1.0027687248588515</c:v>
                </c:pt>
                <c:pt idx="888">
                  <c:v>1.0031065980764342</c:v>
                </c:pt>
                <c:pt idx="889">
                  <c:v>1.0095244286263196</c:v>
                </c:pt>
                <c:pt idx="890">
                  <c:v>1.0032996459185701</c:v>
                </c:pt>
                <c:pt idx="891">
                  <c:v>1.0060184352856547</c:v>
                </c:pt>
                <c:pt idx="892">
                  <c:v>1.0030566905712732</c:v>
                </c:pt>
                <c:pt idx="893">
                  <c:v>1.0003522286731132</c:v>
                </c:pt>
                <c:pt idx="894">
                  <c:v>1.0011969793604936</c:v>
                </c:pt>
                <c:pt idx="895">
                  <c:v>1.0042465340382956</c:v>
                </c:pt>
                <c:pt idx="896">
                  <c:v>1.0064677869496343</c:v>
                </c:pt>
                <c:pt idx="897">
                  <c:v>1.0026896386912856</c:v>
                </c:pt>
                <c:pt idx="898">
                  <c:v>1.0057754429136638</c:v>
                </c:pt>
                <c:pt idx="899">
                  <c:v>1.001437477842958</c:v>
                </c:pt>
                <c:pt idx="900">
                  <c:v>1.0043393501535236</c:v>
                </c:pt>
                <c:pt idx="901">
                  <c:v>1.0056157516251996</c:v>
                </c:pt>
                <c:pt idx="902">
                  <c:v>1.0013818587499272</c:v>
                </c:pt>
                <c:pt idx="903">
                  <c:v>1.0067946675306321</c:v>
                </c:pt>
                <c:pt idx="904">
                  <c:v>0.99822551407985471</c:v>
                </c:pt>
                <c:pt idx="905">
                  <c:v>1.0027701614867923</c:v>
                </c:pt>
                <c:pt idx="906">
                  <c:v>1.003349635969953</c:v>
                </c:pt>
                <c:pt idx="907">
                  <c:v>1.0032014617598235</c:v>
                </c:pt>
                <c:pt idx="908">
                  <c:v>0.99617217100308064</c:v>
                </c:pt>
                <c:pt idx="909">
                  <c:v>0.99784314552073516</c:v>
                </c:pt>
                <c:pt idx="910">
                  <c:v>1.0023095189379811</c:v>
                </c:pt>
                <c:pt idx="911">
                  <c:v>0.9963697537506816</c:v>
                </c:pt>
                <c:pt idx="912">
                  <c:v>1.0026964521927066</c:v>
                </c:pt>
                <c:pt idx="913">
                  <c:v>1.0049781665526765</c:v>
                </c:pt>
                <c:pt idx="914">
                  <c:v>0.99838415735131059</c:v>
                </c:pt>
                <c:pt idx="915">
                  <c:v>0.99842927107292734</c:v>
                </c:pt>
                <c:pt idx="916">
                  <c:v>0.99995808233545747</c:v>
                </c:pt>
                <c:pt idx="917">
                  <c:v>1.0027474385694419</c:v>
                </c:pt>
                <c:pt idx="918">
                  <c:v>0.99589235496831741</c:v>
                </c:pt>
                <c:pt idx="919">
                  <c:v>1.0033118359847264</c:v>
                </c:pt>
                <c:pt idx="920">
                  <c:v>0.99964999475284599</c:v>
                </c:pt>
                <c:pt idx="921">
                  <c:v>0.99689785027657407</c:v>
                </c:pt>
                <c:pt idx="922">
                  <c:v>1.0035154400186728</c:v>
                </c:pt>
                <c:pt idx="923">
                  <c:v>1.0046502807363098</c:v>
                </c:pt>
                <c:pt idx="924">
                  <c:v>1.0041432813973408</c:v>
                </c:pt>
                <c:pt idx="925">
                  <c:v>1.0012239500622375</c:v>
                </c:pt>
                <c:pt idx="926">
                  <c:v>0.99962954502677759</c:v>
                </c:pt>
                <c:pt idx="927">
                  <c:v>1.0028112085342238</c:v>
                </c:pt>
                <c:pt idx="928">
                  <c:v>0.9939142474168069</c:v>
                </c:pt>
                <c:pt idx="929">
                  <c:v>0.99608988082538885</c:v>
                </c:pt>
                <c:pt idx="930">
                  <c:v>1.0036453067321718</c:v>
                </c:pt>
                <c:pt idx="931">
                  <c:v>1.002091122292744</c:v>
                </c:pt>
                <c:pt idx="932">
                  <c:v>0.99691308724473404</c:v>
                </c:pt>
                <c:pt idx="933">
                  <c:v>0.99505748994286891</c:v>
                </c:pt>
                <c:pt idx="934">
                  <c:v>0.99541025871379796</c:v>
                </c:pt>
                <c:pt idx="935">
                  <c:v>0.99827985125566521</c:v>
                </c:pt>
                <c:pt idx="936">
                  <c:v>0.9976217764449743</c:v>
                </c:pt>
                <c:pt idx="937">
                  <c:v>1.0016651232552631</c:v>
                </c:pt>
                <c:pt idx="938">
                  <c:v>0.99887242273280219</c:v>
                </c:pt>
                <c:pt idx="939">
                  <c:v>0.99579898913950704</c:v>
                </c:pt>
                <c:pt idx="940">
                  <c:v>0.99465545231360564</c:v>
                </c:pt>
                <c:pt idx="941">
                  <c:v>1.0034814444295872</c:v>
                </c:pt>
                <c:pt idx="942">
                  <c:v>0.99548619916771741</c:v>
                </c:pt>
                <c:pt idx="943">
                  <c:v>1.0023774308292586</c:v>
                </c:pt>
                <c:pt idx="944">
                  <c:v>0.99447710981929172</c:v>
                </c:pt>
                <c:pt idx="945">
                  <c:v>0.99630438326673332</c:v>
                </c:pt>
                <c:pt idx="946">
                  <c:v>1.0027690425563438</c:v>
                </c:pt>
                <c:pt idx="947">
                  <c:v>1.0014103030445674</c:v>
                </c:pt>
                <c:pt idx="948">
                  <c:v>0.99888599414528978</c:v>
                </c:pt>
                <c:pt idx="949">
                  <c:v>1.0030793796708859</c:v>
                </c:pt>
                <c:pt idx="950">
                  <c:v>1.002504837782052</c:v>
                </c:pt>
                <c:pt idx="951">
                  <c:v>1.0014522404868196</c:v>
                </c:pt>
                <c:pt idx="952">
                  <c:v>0.99998253953306737</c:v>
                </c:pt>
                <c:pt idx="953">
                  <c:v>0.99357319136177857</c:v>
                </c:pt>
                <c:pt idx="954">
                  <c:v>0.99499439224769604</c:v>
                </c:pt>
                <c:pt idx="955">
                  <c:v>0.99854838760241227</c:v>
                </c:pt>
                <c:pt idx="956">
                  <c:v>0.99819595408656703</c:v>
                </c:pt>
                <c:pt idx="957">
                  <c:v>0.99638933063257129</c:v>
                </c:pt>
                <c:pt idx="958">
                  <c:v>0.99983430051769673</c:v>
                </c:pt>
                <c:pt idx="959">
                  <c:v>1.0028819769278545</c:v>
                </c:pt>
                <c:pt idx="960">
                  <c:v>1.0021282066448671</c:v>
                </c:pt>
                <c:pt idx="961">
                  <c:v>0.99639947379366622</c:v>
                </c:pt>
                <c:pt idx="962">
                  <c:v>0.99519663166266803</c:v>
                </c:pt>
                <c:pt idx="963">
                  <c:v>0.99467428068863883</c:v>
                </c:pt>
                <c:pt idx="964">
                  <c:v>0.99822052757079072</c:v>
                </c:pt>
                <c:pt idx="965">
                  <c:v>1.0004759194850465</c:v>
                </c:pt>
                <c:pt idx="966">
                  <c:v>1.0001542402762635</c:v>
                </c:pt>
                <c:pt idx="967">
                  <c:v>1.0039374384938076</c:v>
                </c:pt>
                <c:pt idx="968">
                  <c:v>1.0011390063141905</c:v>
                </c:pt>
                <c:pt idx="969">
                  <c:v>1.0029667142661765</c:v>
                </c:pt>
                <c:pt idx="970">
                  <c:v>1.0027437150533443</c:v>
                </c:pt>
                <c:pt idx="971">
                  <c:v>0.99475905208895365</c:v>
                </c:pt>
                <c:pt idx="972">
                  <c:v>0.99882759177207436</c:v>
                </c:pt>
                <c:pt idx="973">
                  <c:v>0.99501172819219175</c:v>
                </c:pt>
                <c:pt idx="974">
                  <c:v>1.0016318086907687</c:v>
                </c:pt>
                <c:pt idx="975">
                  <c:v>0.99776325008520061</c:v>
                </c:pt>
                <c:pt idx="976">
                  <c:v>1.0022998224056119</c:v>
                </c:pt>
                <c:pt idx="977">
                  <c:v>1.0041470022764762</c:v>
                </c:pt>
                <c:pt idx="978">
                  <c:v>1.0029110337438489</c:v>
                </c:pt>
                <c:pt idx="979">
                  <c:v>0.99605833522528509</c:v>
                </c:pt>
                <c:pt idx="980">
                  <c:v>1.0044934401315084</c:v>
                </c:pt>
                <c:pt idx="981">
                  <c:v>1.001258641465633</c:v>
                </c:pt>
                <c:pt idx="982">
                  <c:v>0.99631030670307985</c:v>
                </c:pt>
                <c:pt idx="983">
                  <c:v>0.99722885989583987</c:v>
                </c:pt>
                <c:pt idx="984">
                  <c:v>0.99711781774206232</c:v>
                </c:pt>
                <c:pt idx="985">
                  <c:v>1.0018172991746903</c:v>
                </c:pt>
                <c:pt idx="986">
                  <c:v>0.99577627778379063</c:v>
                </c:pt>
                <c:pt idx="987">
                  <c:v>0.99923871599672998</c:v>
                </c:pt>
                <c:pt idx="988">
                  <c:v>1.0050679144960839</c:v>
                </c:pt>
                <c:pt idx="989">
                  <c:v>0.9976769692632983</c:v>
                </c:pt>
                <c:pt idx="990">
                  <c:v>0.99650459447880468</c:v>
                </c:pt>
                <c:pt idx="991">
                  <c:v>0.99565816391745388</c:v>
                </c:pt>
                <c:pt idx="992">
                  <c:v>0.99756255352152456</c:v>
                </c:pt>
                <c:pt idx="993">
                  <c:v>0.99983221205484296</c:v>
                </c:pt>
                <c:pt idx="994">
                  <c:v>0.99570996911730136</c:v>
                </c:pt>
                <c:pt idx="995">
                  <c:v>1.0001643936274656</c:v>
                </c:pt>
                <c:pt idx="996">
                  <c:v>1.0017297334395536</c:v>
                </c:pt>
                <c:pt idx="997">
                  <c:v>1.0011270803708705</c:v>
                </c:pt>
                <c:pt idx="998">
                  <c:v>0.99883614240071228</c:v>
                </c:pt>
                <c:pt idx="999">
                  <c:v>1.0026220784605857</c:v>
                </c:pt>
                <c:pt idx="1000">
                  <c:v>1.0009303072365001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1-439C-959C-E2E19D836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7574879"/>
        <c:axId val="1527573215"/>
      </c:lineChart>
      <c:catAx>
        <c:axId val="15275748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27573215"/>
        <c:crosses val="autoZero"/>
        <c:auto val="1"/>
        <c:lblAlgn val="ctr"/>
        <c:lblOffset val="100"/>
        <c:noMultiLvlLbl val="0"/>
      </c:catAx>
      <c:valAx>
        <c:axId val="152757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27574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Лист3!$V$1</c:f>
              <c:strCache>
                <c:ptCount val="1"/>
                <c:pt idx="0">
                  <c:v>y(nT0)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Лист3!$V$2:$V$1002</c:f>
              <c:numCache>
                <c:formatCode>0.000</c:formatCode>
                <c:ptCount val="1001"/>
                <c:pt idx="0">
                  <c:v>1.0031845190104061</c:v>
                </c:pt>
                <c:pt idx="1">
                  <c:v>1.0055057473959181</c:v>
                </c:pt>
                <c:pt idx="2">
                  <c:v>1.0060265429797643</c:v>
                </c:pt>
                <c:pt idx="3">
                  <c:v>1.0058843300225875</c:v>
                </c:pt>
                <c:pt idx="4">
                  <c:v>1.0008891348263458</c:v>
                </c:pt>
                <c:pt idx="5">
                  <c:v>1.0014863221443924</c:v>
                </c:pt>
                <c:pt idx="6">
                  <c:v>1.0053565495194301</c:v>
                </c:pt>
                <c:pt idx="7">
                  <c:v>1.0018128671221931</c:v>
                </c:pt>
                <c:pt idx="8">
                  <c:v>1.0068211939667402</c:v>
                </c:pt>
                <c:pt idx="9">
                  <c:v>1.0026044913108005</c:v>
                </c:pt>
                <c:pt idx="10">
                  <c:v>1.008586096812176</c:v>
                </c:pt>
                <c:pt idx="11">
                  <c:v>1.0012136774606102</c:v>
                </c:pt>
                <c:pt idx="12">
                  <c:v>1.0039118353752214</c:v>
                </c:pt>
                <c:pt idx="13">
                  <c:v>1.008734782461248</c:v>
                </c:pt>
                <c:pt idx="14">
                  <c:v>1.0070303224509187</c:v>
                </c:pt>
                <c:pt idx="15">
                  <c:v>1.0051943829760874</c:v>
                </c:pt>
                <c:pt idx="16">
                  <c:v>1.0037859205631041</c:v>
                </c:pt>
                <c:pt idx="17">
                  <c:v>1.0087874953189837</c:v>
                </c:pt>
                <c:pt idx="18">
                  <c:v>1.0093068007867101</c:v>
                </c:pt>
                <c:pt idx="19">
                  <c:v>1.0062120857197354</c:v>
                </c:pt>
                <c:pt idx="20">
                  <c:v>1.0026485195855257</c:v>
                </c:pt>
                <c:pt idx="21">
                  <c:v>1.0012464134491157</c:v>
                </c:pt>
                <c:pt idx="22">
                  <c:v>1.0048243918001707</c:v>
                </c:pt>
                <c:pt idx="23">
                  <c:v>1.0038884824616574</c:v>
                </c:pt>
                <c:pt idx="24">
                  <c:v>1.006438676502192</c:v>
                </c:pt>
                <c:pt idx="25">
                  <c:v>1.008237921867575</c:v>
                </c:pt>
                <c:pt idx="26">
                  <c:v>1.0018791307233923</c:v>
                </c:pt>
                <c:pt idx="27">
                  <c:v>1.0001229124609667</c:v>
                </c:pt>
                <c:pt idx="28">
                  <c:v>1.0038719747690186</c:v>
                </c:pt>
                <c:pt idx="29">
                  <c:v>1.0045184756174028</c:v>
                </c:pt>
                <c:pt idx="30">
                  <c:v>1.0003647070844577</c:v>
                </c:pt>
                <c:pt idx="31">
                  <c:v>1.0092259619872146</c:v>
                </c:pt>
                <c:pt idx="32">
                  <c:v>1.0048778497159663</c:v>
                </c:pt>
                <c:pt idx="33">
                  <c:v>1.0066639867161085</c:v>
                </c:pt>
                <c:pt idx="34">
                  <c:v>1.0062384188655387</c:v>
                </c:pt>
                <c:pt idx="35">
                  <c:v>1.0012893707028798</c:v>
                </c:pt>
                <c:pt idx="36">
                  <c:v>1.0018830422782068</c:v>
                </c:pt>
                <c:pt idx="37">
                  <c:v>1.0033734377947108</c:v>
                </c:pt>
                <c:pt idx="38">
                  <c:v>1.0066356512267691</c:v>
                </c:pt>
                <c:pt idx="39">
                  <c:v>1.0085930118822943</c:v>
                </c:pt>
                <c:pt idx="40">
                  <c:v>1.0005781429355447</c:v>
                </c:pt>
                <c:pt idx="41">
                  <c:v>1.0061435403782277</c:v>
                </c:pt>
                <c:pt idx="42">
                  <c:v>1.0016140530355309</c:v>
                </c:pt>
                <c:pt idx="43">
                  <c:v>0.99068444710939296</c:v>
                </c:pt>
                <c:pt idx="44">
                  <c:v>0.98149487771594313</c:v>
                </c:pt>
                <c:pt idx="45">
                  <c:v>0.97206770465058912</c:v>
                </c:pt>
                <c:pt idx="46">
                  <c:v>0.9550068064022359</c:v>
                </c:pt>
                <c:pt idx="47">
                  <c:v>0.92923704090743264</c:v>
                </c:pt>
                <c:pt idx="48">
                  <c:v>0.91376798248704716</c:v>
                </c:pt>
                <c:pt idx="49">
                  <c:v>0.89619688244913631</c:v>
                </c:pt>
                <c:pt idx="50">
                  <c:v>0.87462745161601985</c:v>
                </c:pt>
                <c:pt idx="51">
                  <c:v>0.84784859811138558</c:v>
                </c:pt>
                <c:pt idx="52">
                  <c:v>0.82886158507989283</c:v>
                </c:pt>
                <c:pt idx="53">
                  <c:v>0.80030846893794572</c:v>
                </c:pt>
                <c:pt idx="54">
                  <c:v>0.77324351313832296</c:v>
                </c:pt>
                <c:pt idx="55">
                  <c:v>0.74660286790379393</c:v>
                </c:pt>
                <c:pt idx="56">
                  <c:v>0.72978560364101674</c:v>
                </c:pt>
                <c:pt idx="57">
                  <c:v>0.69972081126173047</c:v>
                </c:pt>
                <c:pt idx="58">
                  <c:v>0.67482944593644456</c:v>
                </c:pt>
                <c:pt idx="59">
                  <c:v>0.65446423847565061</c:v>
                </c:pt>
                <c:pt idx="60">
                  <c:v>0.63459645040207457</c:v>
                </c:pt>
                <c:pt idx="61">
                  <c:v>0.60521683204109245</c:v>
                </c:pt>
                <c:pt idx="62">
                  <c:v>0.58707932489623305</c:v>
                </c:pt>
                <c:pt idx="63">
                  <c:v>0.62727597556712011</c:v>
                </c:pt>
                <c:pt idx="64">
                  <c:v>0.77800857852632377</c:v>
                </c:pt>
                <c:pt idx="65">
                  <c:v>1.0215344608345847</c:v>
                </c:pt>
                <c:pt idx="66">
                  <c:v>1.3099660168657932</c:v>
                </c:pt>
                <c:pt idx="67">
                  <c:v>1.5887823890868533</c:v>
                </c:pt>
                <c:pt idx="68">
                  <c:v>1.8599790990957943</c:v>
                </c:pt>
                <c:pt idx="69">
                  <c:v>2.1197200990560745</c:v>
                </c:pt>
                <c:pt idx="70">
                  <c:v>2.37695421147555</c:v>
                </c:pt>
                <c:pt idx="71">
                  <c:v>2.6270530658371403</c:v>
                </c:pt>
                <c:pt idx="72">
                  <c:v>2.8733697959392726</c:v>
                </c:pt>
                <c:pt idx="73">
                  <c:v>3.1112628530504329</c:v>
                </c:pt>
                <c:pt idx="74">
                  <c:v>3.3499861376709275</c:v>
                </c:pt>
                <c:pt idx="75">
                  <c:v>3.5818387296939829</c:v>
                </c:pt>
                <c:pt idx="76">
                  <c:v>3.8088312381433398</c:v>
                </c:pt>
                <c:pt idx="77">
                  <c:v>4.0353985279880922</c:v>
                </c:pt>
                <c:pt idx="78">
                  <c:v>4.2571178880187492</c:v>
                </c:pt>
                <c:pt idx="79">
                  <c:v>4.4833509494744597</c:v>
                </c:pt>
                <c:pt idx="80">
                  <c:v>4.7081201813901119</c:v>
                </c:pt>
                <c:pt idx="81">
                  <c:v>4.93061584535302</c:v>
                </c:pt>
                <c:pt idx="82">
                  <c:v>5.1544457220366331</c:v>
                </c:pt>
                <c:pt idx="83">
                  <c:v>5.377275451407133</c:v>
                </c:pt>
                <c:pt idx="84">
                  <c:v>5.5932812405734511</c:v>
                </c:pt>
                <c:pt idx="85">
                  <c:v>5.8178940102965324</c:v>
                </c:pt>
                <c:pt idx="86">
                  <c:v>6.0404705829081289</c:v>
                </c:pt>
                <c:pt idx="87">
                  <c:v>6.2555899858138506</c:v>
                </c:pt>
                <c:pt idx="88">
                  <c:v>6.4572546646132265</c:v>
                </c:pt>
                <c:pt idx="89">
                  <c:v>6.6553551952017829</c:v>
                </c:pt>
                <c:pt idx="90">
                  <c:v>6.8458492185095903</c:v>
                </c:pt>
                <c:pt idx="91">
                  <c:v>7.0253004569153541</c:v>
                </c:pt>
                <c:pt idx="92">
                  <c:v>7.203045675345475</c:v>
                </c:pt>
                <c:pt idx="93">
                  <c:v>7.3655902658043404</c:v>
                </c:pt>
                <c:pt idx="94">
                  <c:v>7.5246504059817294</c:v>
                </c:pt>
                <c:pt idx="95">
                  <c:v>7.6768980612226061</c:v>
                </c:pt>
                <c:pt idx="96">
                  <c:v>7.8268011118813412</c:v>
                </c:pt>
                <c:pt idx="97">
                  <c:v>7.9642591783693666</c:v>
                </c:pt>
                <c:pt idx="98">
                  <c:v>8.102709895023775</c:v>
                </c:pt>
                <c:pt idx="99">
                  <c:v>8.2327099070494789</c:v>
                </c:pt>
                <c:pt idx="100">
                  <c:v>8.3559057229095846</c:v>
                </c:pt>
                <c:pt idx="101">
                  <c:v>8.4737812188625767</c:v>
                </c:pt>
                <c:pt idx="102">
                  <c:v>8.588990128736242</c:v>
                </c:pt>
                <c:pt idx="103">
                  <c:v>8.6975188014790241</c:v>
                </c:pt>
                <c:pt idx="104">
                  <c:v>8.7974678978318046</c:v>
                </c:pt>
                <c:pt idx="105">
                  <c:v>8.8969517985584563</c:v>
                </c:pt>
                <c:pt idx="106">
                  <c:v>8.9941756355096985</c:v>
                </c:pt>
                <c:pt idx="107">
                  <c:v>9.0806448387635506</c:v>
                </c:pt>
                <c:pt idx="108">
                  <c:v>9.170064984161888</c:v>
                </c:pt>
                <c:pt idx="109">
                  <c:v>9.2552304522262965</c:v>
                </c:pt>
                <c:pt idx="110">
                  <c:v>9.3253752936900991</c:v>
                </c:pt>
                <c:pt idx="111">
                  <c:v>9.4028029612737729</c:v>
                </c:pt>
                <c:pt idx="112">
                  <c:v>9.4678877642070614</c:v>
                </c:pt>
                <c:pt idx="113">
                  <c:v>9.5380981474970685</c:v>
                </c:pt>
                <c:pt idx="114">
                  <c:v>9.5912800425643283</c:v>
                </c:pt>
                <c:pt idx="115">
                  <c:v>9.649405770387828</c:v>
                </c:pt>
                <c:pt idx="116">
                  <c:v>9.7028379351140082</c:v>
                </c:pt>
                <c:pt idx="117">
                  <c:v>9.7633539954580719</c:v>
                </c:pt>
                <c:pt idx="118">
                  <c:v>9.8117260983706736</c:v>
                </c:pt>
                <c:pt idx="119">
                  <c:v>9.8565933783204738</c:v>
                </c:pt>
                <c:pt idx="120">
                  <c:v>9.9004529439612412</c:v>
                </c:pt>
                <c:pt idx="121">
                  <c:v>9.9440497369375205</c:v>
                </c:pt>
                <c:pt idx="122">
                  <c:v>9.9751254799717852</c:v>
                </c:pt>
                <c:pt idx="123">
                  <c:v>10.012044410689743</c:v>
                </c:pt>
                <c:pt idx="124">
                  <c:v>10.054556468980051</c:v>
                </c:pt>
                <c:pt idx="125">
                  <c:v>10.080801930763014</c:v>
                </c:pt>
                <c:pt idx="126">
                  <c:v>10.113437545977867</c:v>
                </c:pt>
                <c:pt idx="127">
                  <c:v>10.149246875697106</c:v>
                </c:pt>
                <c:pt idx="128">
                  <c:v>10.174485344946032</c:v>
                </c:pt>
                <c:pt idx="129">
                  <c:v>10.199389376258337</c:v>
                </c:pt>
                <c:pt idx="130">
                  <c:v>10.220699876132585</c:v>
                </c:pt>
                <c:pt idx="131">
                  <c:v>10.248378969321116</c:v>
                </c:pt>
                <c:pt idx="132">
                  <c:v>10.270541885465043</c:v>
                </c:pt>
                <c:pt idx="133">
                  <c:v>10.282657810087004</c:v>
                </c:pt>
                <c:pt idx="134">
                  <c:v>10.309215660744629</c:v>
                </c:pt>
                <c:pt idx="135">
                  <c:v>10.32047469874855</c:v>
                </c:pt>
                <c:pt idx="136">
                  <c:v>10.335032038934305</c:v>
                </c:pt>
                <c:pt idx="137">
                  <c:v>10.356865965378672</c:v>
                </c:pt>
                <c:pt idx="138">
                  <c:v>10.370010186538568</c:v>
                </c:pt>
                <c:pt idx="139">
                  <c:v>10.387162284550062</c:v>
                </c:pt>
                <c:pt idx="140">
                  <c:v>10.393958168661678</c:v>
                </c:pt>
                <c:pt idx="141">
                  <c:v>10.403245946020643</c:v>
                </c:pt>
                <c:pt idx="142">
                  <c:v>10.41750088576635</c:v>
                </c:pt>
                <c:pt idx="143">
                  <c:v>10.427738099924227</c:v>
                </c:pt>
                <c:pt idx="144">
                  <c:v>10.429480278498836</c:v>
                </c:pt>
                <c:pt idx="145">
                  <c:v>10.44576619994961</c:v>
                </c:pt>
                <c:pt idx="146">
                  <c:v>10.453321065393585</c:v>
                </c:pt>
                <c:pt idx="147">
                  <c:v>10.451867038023627</c:v>
                </c:pt>
                <c:pt idx="148">
                  <c:v>10.457662844671324</c:v>
                </c:pt>
                <c:pt idx="149">
                  <c:v>10.467963900991707</c:v>
                </c:pt>
                <c:pt idx="150">
                  <c:v>10.468562578425873</c:v>
                </c:pt>
                <c:pt idx="151">
                  <c:v>10.474201410653581</c:v>
                </c:pt>
                <c:pt idx="152">
                  <c:v>10.473496748710399</c:v>
                </c:pt>
                <c:pt idx="153">
                  <c:v>10.476916448789861</c:v>
                </c:pt>
                <c:pt idx="154">
                  <c:v>10.484780303781102</c:v>
                </c:pt>
                <c:pt idx="155">
                  <c:v>10.483200152051449</c:v>
                </c:pt>
                <c:pt idx="156">
                  <c:v>10.481947220508463</c:v>
                </c:pt>
                <c:pt idx="157">
                  <c:v>10.482674536873278</c:v>
                </c:pt>
                <c:pt idx="158">
                  <c:v>10.47793766727623</c:v>
                </c:pt>
                <c:pt idx="159">
                  <c:v>10.475763727555929</c:v>
                </c:pt>
                <c:pt idx="160">
                  <c:v>10.482896773722697</c:v>
                </c:pt>
                <c:pt idx="161">
                  <c:v>10.472685473615464</c:v>
                </c:pt>
                <c:pt idx="162">
                  <c:v>10.477839133347814</c:v>
                </c:pt>
                <c:pt idx="163">
                  <c:v>10.468724535421638</c:v>
                </c:pt>
                <c:pt idx="164">
                  <c:v>10.46824374014238</c:v>
                </c:pt>
                <c:pt idx="165">
                  <c:v>10.459464907287495</c:v>
                </c:pt>
                <c:pt idx="166">
                  <c:v>10.461471278793521</c:v>
                </c:pt>
                <c:pt idx="167">
                  <c:v>10.450571917568</c:v>
                </c:pt>
                <c:pt idx="168">
                  <c:v>10.454594788713054</c:v>
                </c:pt>
                <c:pt idx="169">
                  <c:v>10.441959675038689</c:v>
                </c:pt>
                <c:pt idx="170">
                  <c:v>10.439846038455109</c:v>
                </c:pt>
                <c:pt idx="171">
                  <c:v>10.434502854578779</c:v>
                </c:pt>
                <c:pt idx="172">
                  <c:v>10.425467838166623</c:v>
                </c:pt>
                <c:pt idx="173">
                  <c:v>10.420448358734243</c:v>
                </c:pt>
                <c:pt idx="174">
                  <c:v>10.417554762777304</c:v>
                </c:pt>
                <c:pt idx="175">
                  <c:v>10.405456160755236</c:v>
                </c:pt>
                <c:pt idx="176">
                  <c:v>10.401078362576914</c:v>
                </c:pt>
                <c:pt idx="177">
                  <c:v>10.397548417187656</c:v>
                </c:pt>
                <c:pt idx="178">
                  <c:v>10.388068996925854</c:v>
                </c:pt>
                <c:pt idx="179">
                  <c:v>10.378085079225267</c:v>
                </c:pt>
                <c:pt idx="180">
                  <c:v>10.369054952256628</c:v>
                </c:pt>
                <c:pt idx="181">
                  <c:v>10.361454731403258</c:v>
                </c:pt>
                <c:pt idx="182">
                  <c:v>10.360784248998572</c:v>
                </c:pt>
                <c:pt idx="183">
                  <c:v>10.34974211602233</c:v>
                </c:pt>
                <c:pt idx="184">
                  <c:v>10.340398668856453</c:v>
                </c:pt>
                <c:pt idx="185">
                  <c:v>10.330349674990948</c:v>
                </c:pt>
                <c:pt idx="186">
                  <c:v>10.33061971197152</c:v>
                </c:pt>
                <c:pt idx="187">
                  <c:v>10.323386315797313</c:v>
                </c:pt>
                <c:pt idx="188">
                  <c:v>10.308177375772077</c:v>
                </c:pt>
                <c:pt idx="189">
                  <c:v>10.301524752355535</c:v>
                </c:pt>
                <c:pt idx="190">
                  <c:v>10.298287638066869</c:v>
                </c:pt>
                <c:pt idx="191">
                  <c:v>10.287668861050081</c:v>
                </c:pt>
                <c:pt idx="192">
                  <c:v>10.275058031611858</c:v>
                </c:pt>
                <c:pt idx="193">
                  <c:v>10.268554862185511</c:v>
                </c:pt>
                <c:pt idx="194">
                  <c:v>10.263607071308328</c:v>
                </c:pt>
                <c:pt idx="195">
                  <c:v>10.252826337295778</c:v>
                </c:pt>
                <c:pt idx="196">
                  <c:v>10.242916808985852</c:v>
                </c:pt>
                <c:pt idx="197">
                  <c:v>10.233141507542026</c:v>
                </c:pt>
                <c:pt idx="198">
                  <c:v>10.22561812080108</c:v>
                </c:pt>
                <c:pt idx="199">
                  <c:v>10.221522164116967</c:v>
                </c:pt>
                <c:pt idx="200">
                  <c:v>10.210538122386332</c:v>
                </c:pt>
                <c:pt idx="201">
                  <c:v>10.208292191430994</c:v>
                </c:pt>
                <c:pt idx="202">
                  <c:v>10.196786329661679</c:v>
                </c:pt>
                <c:pt idx="203">
                  <c:v>10.196262996223817</c:v>
                </c:pt>
                <c:pt idx="204">
                  <c:v>10.1836858806628</c:v>
                </c:pt>
                <c:pt idx="205">
                  <c:v>10.173930276691431</c:v>
                </c:pt>
                <c:pt idx="206">
                  <c:v>10.16742803858766</c:v>
                </c:pt>
                <c:pt idx="207">
                  <c:v>10.160936976354787</c:v>
                </c:pt>
                <c:pt idx="208">
                  <c:v>10.156773917879159</c:v>
                </c:pt>
                <c:pt idx="209">
                  <c:v>10.149154395365425</c:v>
                </c:pt>
                <c:pt idx="210">
                  <c:v>10.139612762755625</c:v>
                </c:pt>
                <c:pt idx="211">
                  <c:v>10.139062420963091</c:v>
                </c:pt>
                <c:pt idx="212">
                  <c:v>10.134806509626751</c:v>
                </c:pt>
                <c:pt idx="213">
                  <c:v>10.125951960246534</c:v>
                </c:pt>
                <c:pt idx="214">
                  <c:v>10.117343559422844</c:v>
                </c:pt>
                <c:pt idx="215">
                  <c:v>10.109476351670335</c:v>
                </c:pt>
                <c:pt idx="216">
                  <c:v>10.111030961878372</c:v>
                </c:pt>
                <c:pt idx="217">
                  <c:v>10.098130654100824</c:v>
                </c:pt>
                <c:pt idx="218">
                  <c:v>10.095795386027497</c:v>
                </c:pt>
                <c:pt idx="219">
                  <c:v>10.094732258025262</c:v>
                </c:pt>
                <c:pt idx="220">
                  <c:v>10.084628106580261</c:v>
                </c:pt>
                <c:pt idx="221">
                  <c:v>10.084389920831748</c:v>
                </c:pt>
                <c:pt idx="222">
                  <c:v>10.079302734248177</c:v>
                </c:pt>
                <c:pt idx="223">
                  <c:v>10.076276261842875</c:v>
                </c:pt>
                <c:pt idx="224">
                  <c:v>10.069422286485654</c:v>
                </c:pt>
                <c:pt idx="225">
                  <c:v>10.059820257606875</c:v>
                </c:pt>
                <c:pt idx="226">
                  <c:v>10.054671068222884</c:v>
                </c:pt>
                <c:pt idx="227">
                  <c:v>10.053529476293718</c:v>
                </c:pt>
                <c:pt idx="228">
                  <c:v>10.054809416191375</c:v>
                </c:pt>
                <c:pt idx="229">
                  <c:v>10.046206952549101</c:v>
                </c:pt>
                <c:pt idx="230">
                  <c:v>10.038732204129625</c:v>
                </c:pt>
                <c:pt idx="231">
                  <c:v>10.042071414655556</c:v>
                </c:pt>
                <c:pt idx="232">
                  <c:v>10.03281639656816</c:v>
                </c:pt>
                <c:pt idx="233">
                  <c:v>10.036572932739876</c:v>
                </c:pt>
                <c:pt idx="234">
                  <c:v>10.032741378534759</c:v>
                </c:pt>
                <c:pt idx="235">
                  <c:v>10.029515929061342</c:v>
                </c:pt>
                <c:pt idx="236">
                  <c:v>10.023637514101257</c:v>
                </c:pt>
                <c:pt idx="237">
                  <c:v>10.017031037718297</c:v>
                </c:pt>
                <c:pt idx="238">
                  <c:v>10.015311187602419</c:v>
                </c:pt>
                <c:pt idx="239">
                  <c:v>10.016959419012293</c:v>
                </c:pt>
                <c:pt idx="240">
                  <c:v>10.015755009375455</c:v>
                </c:pt>
                <c:pt idx="241">
                  <c:v>10.008149689530988</c:v>
                </c:pt>
                <c:pt idx="242">
                  <c:v>10.002049875911803</c:v>
                </c:pt>
                <c:pt idx="243">
                  <c:v>10.001256086398207</c:v>
                </c:pt>
                <c:pt idx="244">
                  <c:v>9.9992644065057998</c:v>
                </c:pt>
                <c:pt idx="245">
                  <c:v>10.001830665860751</c:v>
                </c:pt>
                <c:pt idx="246">
                  <c:v>9.9993874109348724</c:v>
                </c:pt>
                <c:pt idx="247">
                  <c:v>9.9953790451389217</c:v>
                </c:pt>
                <c:pt idx="248">
                  <c:v>9.9994657351634153</c:v>
                </c:pt>
                <c:pt idx="249">
                  <c:v>9.9958235886869549</c:v>
                </c:pt>
                <c:pt idx="250">
                  <c:v>9.9948265147383388</c:v>
                </c:pt>
                <c:pt idx="251">
                  <c:v>9.9950584373425375</c:v>
                </c:pt>
                <c:pt idx="252">
                  <c:v>9.9933624290845735</c:v>
                </c:pt>
                <c:pt idx="253">
                  <c:v>9.9900127877458029</c:v>
                </c:pt>
                <c:pt idx="254">
                  <c:v>9.982290586918193</c:v>
                </c:pt>
                <c:pt idx="255">
                  <c:v>9.989058880598531</c:v>
                </c:pt>
                <c:pt idx="256">
                  <c:v>9.9806624720759363</c:v>
                </c:pt>
                <c:pt idx="257">
                  <c:v>9.9812166555740909</c:v>
                </c:pt>
                <c:pt idx="258">
                  <c:v>9.9848149833234068</c:v>
                </c:pt>
                <c:pt idx="259">
                  <c:v>9.9829924083275241</c:v>
                </c:pt>
                <c:pt idx="260">
                  <c:v>9.979844212061689</c:v>
                </c:pt>
                <c:pt idx="261">
                  <c:v>9.9758423422406999</c:v>
                </c:pt>
                <c:pt idx="262">
                  <c:v>9.9786283471571817</c:v>
                </c:pt>
                <c:pt idx="263">
                  <c:v>9.977661937004342</c:v>
                </c:pt>
                <c:pt idx="264">
                  <c:v>9.9725289293500907</c:v>
                </c:pt>
                <c:pt idx="265">
                  <c:v>9.9728506081674375</c:v>
                </c:pt>
                <c:pt idx="266">
                  <c:v>9.9730390147243249</c:v>
                </c:pt>
                <c:pt idx="267">
                  <c:v>9.9765514046830486</c:v>
                </c:pt>
                <c:pt idx="268">
                  <c:v>9.9797193217044047</c:v>
                </c:pt>
                <c:pt idx="269">
                  <c:v>9.9768902431188362</c:v>
                </c:pt>
                <c:pt idx="270">
                  <c:v>9.9729687231529898</c:v>
                </c:pt>
                <c:pt idx="271">
                  <c:v>9.9755951459462739</c:v>
                </c:pt>
                <c:pt idx="272">
                  <c:v>9.9761085840817785</c:v>
                </c:pt>
                <c:pt idx="273">
                  <c:v>9.9783904408054411</c:v>
                </c:pt>
                <c:pt idx="274">
                  <c:v>9.9792907736215941</c:v>
                </c:pt>
                <c:pt idx="275">
                  <c:v>9.9769727582989667</c:v>
                </c:pt>
                <c:pt idx="276">
                  <c:v>9.9759984551873053</c:v>
                </c:pt>
                <c:pt idx="277">
                  <c:v>9.9747889698424359</c:v>
                </c:pt>
                <c:pt idx="278">
                  <c:v>9.9710624921068227</c:v>
                </c:pt>
                <c:pt idx="279">
                  <c:v>9.9786275089668646</c:v>
                </c:pt>
                <c:pt idx="280">
                  <c:v>9.9770982074497958</c:v>
                </c:pt>
                <c:pt idx="281">
                  <c:v>9.9711343203604077</c:v>
                </c:pt>
                <c:pt idx="282">
                  <c:v>9.9778590048611768</c:v>
                </c:pt>
                <c:pt idx="283">
                  <c:v>9.9696745653566143</c:v>
                </c:pt>
                <c:pt idx="284">
                  <c:v>9.9720483436184111</c:v>
                </c:pt>
                <c:pt idx="285">
                  <c:v>9.9728312366578802</c:v>
                </c:pt>
                <c:pt idx="286">
                  <c:v>9.9774985131755223</c:v>
                </c:pt>
                <c:pt idx="287">
                  <c:v>9.9745007022224605</c:v>
                </c:pt>
                <c:pt idx="288">
                  <c:v>9.9767194152755483</c:v>
                </c:pt>
                <c:pt idx="289">
                  <c:v>9.9737762962406915</c:v>
                </c:pt>
                <c:pt idx="290">
                  <c:v>9.9772616312786155</c:v>
                </c:pt>
                <c:pt idx="291">
                  <c:v>9.9805974191940852</c:v>
                </c:pt>
                <c:pt idx="292">
                  <c:v>9.9796338961412285</c:v>
                </c:pt>
                <c:pt idx="293">
                  <c:v>9.9776076176151651</c:v>
                </c:pt>
                <c:pt idx="294">
                  <c:v>9.974543380079453</c:v>
                </c:pt>
                <c:pt idx="295">
                  <c:v>9.9820023425812838</c:v>
                </c:pt>
                <c:pt idx="296">
                  <c:v>9.9810586334162075</c:v>
                </c:pt>
                <c:pt idx="297">
                  <c:v>9.9827581574168889</c:v>
                </c:pt>
                <c:pt idx="298">
                  <c:v>9.9848217354120727</c:v>
                </c:pt>
                <c:pt idx="299">
                  <c:v>9.9842123012021684</c:v>
                </c:pt>
                <c:pt idx="300">
                  <c:v>9.9770796275644287</c:v>
                </c:pt>
                <c:pt idx="301">
                  <c:v>9.9789235531303397</c:v>
                </c:pt>
                <c:pt idx="302">
                  <c:v>9.9770588590710094</c:v>
                </c:pt>
                <c:pt idx="303">
                  <c:v>9.9861076590572733</c:v>
                </c:pt>
                <c:pt idx="304">
                  <c:v>9.9827299150598066</c:v>
                </c:pt>
                <c:pt idx="305">
                  <c:v>9.9794563394923355</c:v>
                </c:pt>
                <c:pt idx="306">
                  <c:v>9.9848957522737098</c:v>
                </c:pt>
                <c:pt idx="307">
                  <c:v>9.9816352152222851</c:v>
                </c:pt>
                <c:pt idx="308">
                  <c:v>9.9882470932761791</c:v>
                </c:pt>
                <c:pt idx="309">
                  <c:v>9.9846074613706683</c:v>
                </c:pt>
                <c:pt idx="310">
                  <c:v>9.9803146230942374</c:v>
                </c:pt>
                <c:pt idx="311">
                  <c:v>9.9878432718077317</c:v>
                </c:pt>
                <c:pt idx="312">
                  <c:v>9.9822787358384293</c:v>
                </c:pt>
                <c:pt idx="313">
                  <c:v>9.9837244511544068</c:v>
                </c:pt>
                <c:pt idx="314">
                  <c:v>9.9908713041783468</c:v>
                </c:pt>
                <c:pt idx="315">
                  <c:v>9.9837779090702021</c:v>
                </c:pt>
                <c:pt idx="316">
                  <c:v>9.9911992461400096</c:v>
                </c:pt>
                <c:pt idx="317">
                  <c:v>9.9832413275687113</c:v>
                </c:pt>
                <c:pt idx="318">
                  <c:v>9.9895052169425202</c:v>
                </c:pt>
                <c:pt idx="319">
                  <c:v>9.9909667414592036</c:v>
                </c:pt>
                <c:pt idx="320">
                  <c:v>9.9932869686729475</c:v>
                </c:pt>
                <c:pt idx="321">
                  <c:v>9.9939119792529176</c:v>
                </c:pt>
                <c:pt idx="322">
                  <c:v>10.021849374757579</c:v>
                </c:pt>
                <c:pt idx="323">
                  <c:v>10.061779574039805</c:v>
                </c:pt>
                <c:pt idx="324">
                  <c:v>10.115004682474538</c:v>
                </c:pt>
                <c:pt idx="325">
                  <c:v>10.169637764377901</c:v>
                </c:pt>
                <c:pt idx="326">
                  <c:v>10.243852927871945</c:v>
                </c:pt>
                <c:pt idx="327">
                  <c:v>10.312668935002915</c:v>
                </c:pt>
                <c:pt idx="328">
                  <c:v>10.400680501572946</c:v>
                </c:pt>
                <c:pt idx="329">
                  <c:v>10.488362473083743</c:v>
                </c:pt>
                <c:pt idx="330">
                  <c:v>10.574105826805837</c:v>
                </c:pt>
                <c:pt idx="331">
                  <c:v>10.668469874809606</c:v>
                </c:pt>
                <c:pt idx="332">
                  <c:v>10.769641541589433</c:v>
                </c:pt>
                <c:pt idx="333">
                  <c:v>10.860514410506122</c:v>
                </c:pt>
                <c:pt idx="334">
                  <c:v>10.959556258972631</c:v>
                </c:pt>
                <c:pt idx="335">
                  <c:v>11.06223434001725</c:v>
                </c:pt>
                <c:pt idx="336">
                  <c:v>11.154758117896217</c:v>
                </c:pt>
                <c:pt idx="337">
                  <c:v>11.252358511847527</c:v>
                </c:pt>
                <c:pt idx="338">
                  <c:v>11.353504543973484</c:v>
                </c:pt>
                <c:pt idx="339">
                  <c:v>11.446452166756254</c:v>
                </c:pt>
                <c:pt idx="340">
                  <c:v>11.547613775252275</c:v>
                </c:pt>
                <c:pt idx="341">
                  <c:v>11.635058073241975</c:v>
                </c:pt>
                <c:pt idx="342">
                  <c:v>11.723914139839801</c:v>
                </c:pt>
                <c:pt idx="343">
                  <c:v>11.780210610427941</c:v>
                </c:pt>
                <c:pt idx="344">
                  <c:v>11.833688526375612</c:v>
                </c:pt>
                <c:pt idx="345">
                  <c:v>11.87025518432964</c:v>
                </c:pt>
                <c:pt idx="346">
                  <c:v>11.887119340684061</c:v>
                </c:pt>
                <c:pt idx="347">
                  <c:v>11.895167038751572</c:v>
                </c:pt>
                <c:pt idx="348">
                  <c:v>11.888789970401859</c:v>
                </c:pt>
                <c:pt idx="349">
                  <c:v>11.88093794320732</c:v>
                </c:pt>
                <c:pt idx="350">
                  <c:v>11.854049961979978</c:v>
                </c:pt>
                <c:pt idx="351">
                  <c:v>11.821920939679705</c:v>
                </c:pt>
                <c:pt idx="352">
                  <c:v>11.786276570471534</c:v>
                </c:pt>
                <c:pt idx="353">
                  <c:v>11.739618450342588</c:v>
                </c:pt>
                <c:pt idx="354">
                  <c:v>11.6778998662899</c:v>
                </c:pt>
                <c:pt idx="355">
                  <c:v>11.621196803548651</c:v>
                </c:pt>
                <c:pt idx="356">
                  <c:v>11.552026661008602</c:v>
                </c:pt>
                <c:pt idx="357">
                  <c:v>11.48845325491588</c:v>
                </c:pt>
                <c:pt idx="358">
                  <c:v>11.406621712121792</c:v>
                </c:pt>
                <c:pt idx="359">
                  <c:v>11.333085343086413</c:v>
                </c:pt>
                <c:pt idx="360">
                  <c:v>11.25210272410235</c:v>
                </c:pt>
                <c:pt idx="361">
                  <c:v>11.159007533257597</c:v>
                </c:pt>
                <c:pt idx="362">
                  <c:v>11.077767310449333</c:v>
                </c:pt>
                <c:pt idx="363">
                  <c:v>10.988796737740932</c:v>
                </c:pt>
                <c:pt idx="364">
                  <c:v>10.894589105363607</c:v>
                </c:pt>
                <c:pt idx="365">
                  <c:v>10.791847321854869</c:v>
                </c:pt>
                <c:pt idx="366">
                  <c:v>10.703284249339086</c:v>
                </c:pt>
                <c:pt idx="367">
                  <c:v>10.602225621836778</c:v>
                </c:pt>
                <c:pt idx="368">
                  <c:v>10.503724173294316</c:v>
                </c:pt>
                <c:pt idx="369">
                  <c:v>10.407801300847856</c:v>
                </c:pt>
                <c:pt idx="370">
                  <c:v>10.320805201847294</c:v>
                </c:pt>
                <c:pt idx="371">
                  <c:v>10.220130488793396</c:v>
                </c:pt>
                <c:pt idx="372">
                  <c:v>10.135852035632324</c:v>
                </c:pt>
                <c:pt idx="373">
                  <c:v>10.045551091908839</c:v>
                </c:pt>
                <c:pt idx="374">
                  <c:v>9.9609678401520867</c:v>
                </c:pt>
                <c:pt idx="375">
                  <c:v>9.8744214768229099</c:v>
                </c:pt>
                <c:pt idx="376">
                  <c:v>9.7975162579206554</c:v>
                </c:pt>
                <c:pt idx="377">
                  <c:v>9.7213014051600606</c:v>
                </c:pt>
                <c:pt idx="378">
                  <c:v>9.6435269596156488</c:v>
                </c:pt>
                <c:pt idx="379">
                  <c:v>9.5819166185292222</c:v>
                </c:pt>
                <c:pt idx="380">
                  <c:v>9.5173157308058158</c:v>
                </c:pt>
                <c:pt idx="381">
                  <c:v>9.4462605680912421</c:v>
                </c:pt>
                <c:pt idx="382">
                  <c:v>9.3879480402422946</c:v>
                </c:pt>
                <c:pt idx="383">
                  <c:v>9.330490932178332</c:v>
                </c:pt>
                <c:pt idx="384">
                  <c:v>9.2822471189504139</c:v>
                </c:pt>
                <c:pt idx="385">
                  <c:v>9.2357622248203874</c:v>
                </c:pt>
                <c:pt idx="386">
                  <c:v>9.1947694097633406</c:v>
                </c:pt>
                <c:pt idx="387">
                  <c:v>9.1442175929304721</c:v>
                </c:pt>
                <c:pt idx="388">
                  <c:v>9.114406888632665</c:v>
                </c:pt>
                <c:pt idx="389">
                  <c:v>9.0770016445491937</c:v>
                </c:pt>
                <c:pt idx="390">
                  <c:v>9.0471393915468692</c:v>
                </c:pt>
                <c:pt idx="391">
                  <c:v>9.0214544462555679</c:v>
                </c:pt>
                <c:pt idx="392">
                  <c:v>8.9978335446207396</c:v>
                </c:pt>
                <c:pt idx="393">
                  <c:v>8.9782172136423686</c:v>
                </c:pt>
                <c:pt idx="394">
                  <c:v>8.9641318910206049</c:v>
                </c:pt>
                <c:pt idx="395">
                  <c:v>8.9426880024705753</c:v>
                </c:pt>
                <c:pt idx="396">
                  <c:v>8.932062682912699</c:v>
                </c:pt>
                <c:pt idx="397">
                  <c:v>8.9238602223163142</c:v>
                </c:pt>
                <c:pt idx="398">
                  <c:v>8.9227898998471886</c:v>
                </c:pt>
                <c:pt idx="399">
                  <c:v>8.9167920893330095</c:v>
                </c:pt>
                <c:pt idx="400">
                  <c:v>8.9139587266635978</c:v>
                </c:pt>
                <c:pt idx="401">
                  <c:v>8.9155079817668312</c:v>
                </c:pt>
                <c:pt idx="402">
                  <c:v>8.9168420780722144</c:v>
                </c:pt>
                <c:pt idx="403">
                  <c:v>8.9243975488758629</c:v>
                </c:pt>
                <c:pt idx="404">
                  <c:v>8.9298390571330302</c:v>
                </c:pt>
                <c:pt idx="405">
                  <c:v>8.9382624972933584</c:v>
                </c:pt>
                <c:pt idx="406">
                  <c:v>8.9457057670098035</c:v>
                </c:pt>
                <c:pt idx="407">
                  <c:v>8.9582004139568205</c:v>
                </c:pt>
                <c:pt idx="408">
                  <c:v>8.9730736121938275</c:v>
                </c:pt>
                <c:pt idx="409">
                  <c:v>8.9897024233335863</c:v>
                </c:pt>
                <c:pt idx="410">
                  <c:v>9.0067698641230276</c:v>
                </c:pt>
                <c:pt idx="411">
                  <c:v>9.0141346233464166</c:v>
                </c:pt>
                <c:pt idx="412">
                  <c:v>9.0386176037226367</c:v>
                </c:pt>
                <c:pt idx="413">
                  <c:v>9.0516766321500004</c:v>
                </c:pt>
                <c:pt idx="414">
                  <c:v>9.0745842105417012</c:v>
                </c:pt>
                <c:pt idx="415">
                  <c:v>9.0923699338669817</c:v>
                </c:pt>
                <c:pt idx="416">
                  <c:v>9.1110756409147466</c:v>
                </c:pt>
                <c:pt idx="417">
                  <c:v>9.1298450737096939</c:v>
                </c:pt>
                <c:pt idx="418">
                  <c:v>9.1541661203732172</c:v>
                </c:pt>
                <c:pt idx="419">
                  <c:v>9.1669396984313938</c:v>
                </c:pt>
                <c:pt idx="420">
                  <c:v>9.1958797092539921</c:v>
                </c:pt>
                <c:pt idx="421">
                  <c:v>9.2099423076049298</c:v>
                </c:pt>
                <c:pt idx="422">
                  <c:v>9.2380939073018009</c:v>
                </c:pt>
                <c:pt idx="423">
                  <c:v>9.2531031717669929</c:v>
                </c:pt>
                <c:pt idx="424">
                  <c:v>9.2778483427310938</c:v>
                </c:pt>
                <c:pt idx="425">
                  <c:v>9.2951172053104081</c:v>
                </c:pt>
                <c:pt idx="426">
                  <c:v>9.321490840362733</c:v>
                </c:pt>
                <c:pt idx="427">
                  <c:v>9.3426172876131286</c:v>
                </c:pt>
                <c:pt idx="428">
                  <c:v>9.356723425294442</c:v>
                </c:pt>
                <c:pt idx="429">
                  <c:v>9.3765988269300653</c:v>
                </c:pt>
                <c:pt idx="430">
                  <c:v>9.397071252902288</c:v>
                </c:pt>
                <c:pt idx="431">
                  <c:v>9.4176489416085296</c:v>
                </c:pt>
                <c:pt idx="432">
                  <c:v>9.4387681478259093</c:v>
                </c:pt>
                <c:pt idx="433">
                  <c:v>9.4563244631179426</c:v>
                </c:pt>
                <c:pt idx="434">
                  <c:v>9.4826723471010723</c:v>
                </c:pt>
                <c:pt idx="435">
                  <c:v>9.5030092423555921</c:v>
                </c:pt>
                <c:pt idx="436">
                  <c:v>9.5133899966053175</c:v>
                </c:pt>
                <c:pt idx="437">
                  <c:v>9.5311137171301787</c:v>
                </c:pt>
                <c:pt idx="438">
                  <c:v>9.5513810425883587</c:v>
                </c:pt>
                <c:pt idx="439">
                  <c:v>9.5688373804019857</c:v>
                </c:pt>
                <c:pt idx="440">
                  <c:v>9.5882106129052609</c:v>
                </c:pt>
                <c:pt idx="441">
                  <c:v>9.6034497044988569</c:v>
                </c:pt>
                <c:pt idx="442">
                  <c:v>9.6204571215483501</c:v>
                </c:pt>
                <c:pt idx="443">
                  <c:v>9.6366446022029617</c:v>
                </c:pt>
                <c:pt idx="444">
                  <c:v>9.6546376379333978</c:v>
                </c:pt>
                <c:pt idx="445">
                  <c:v>9.6690487837579671</c:v>
                </c:pt>
                <c:pt idx="446">
                  <c:v>9.6768084470361497</c:v>
                </c:pt>
                <c:pt idx="447">
                  <c:v>9.6976208988804427</c:v>
                </c:pt>
                <c:pt idx="448">
                  <c:v>9.7052928082890091</c:v>
                </c:pt>
                <c:pt idx="449">
                  <c:v>9.7265566023361298</c:v>
                </c:pt>
                <c:pt idx="450">
                  <c:v>9.7331699006569501</c:v>
                </c:pt>
                <c:pt idx="451">
                  <c:v>9.7450508525932786</c:v>
                </c:pt>
                <c:pt idx="452">
                  <c:v>9.762634711750465</c:v>
                </c:pt>
                <c:pt idx="453">
                  <c:v>9.7704069944495355</c:v>
                </c:pt>
                <c:pt idx="454">
                  <c:v>9.7817397932013819</c:v>
                </c:pt>
                <c:pt idx="455">
                  <c:v>9.7982290456533025</c:v>
                </c:pt>
                <c:pt idx="456">
                  <c:v>9.8104813159002191</c:v>
                </c:pt>
                <c:pt idx="457">
                  <c:v>9.8129984247062811</c:v>
                </c:pt>
                <c:pt idx="458">
                  <c:v>9.8287578462224356</c:v>
                </c:pt>
                <c:pt idx="459">
                  <c:v>9.833345168697031</c:v>
                </c:pt>
                <c:pt idx="460">
                  <c:v>9.8463071067459662</c:v>
                </c:pt>
                <c:pt idx="461">
                  <c:v>9.8520824242970164</c:v>
                </c:pt>
                <c:pt idx="462">
                  <c:v>9.8681047116099165</c:v>
                </c:pt>
                <c:pt idx="463">
                  <c:v>9.8769021941993618</c:v>
                </c:pt>
                <c:pt idx="464">
                  <c:v>9.8841559164887656</c:v>
                </c:pt>
                <c:pt idx="465">
                  <c:v>9.8924017767171382</c:v>
                </c:pt>
                <c:pt idx="466">
                  <c:v>9.8959634336400697</c:v>
                </c:pt>
                <c:pt idx="467">
                  <c:v>9.9024379648972385</c:v>
                </c:pt>
                <c:pt idx="468">
                  <c:v>9.9145151697831508</c:v>
                </c:pt>
                <c:pt idx="469">
                  <c:v>9.9215437681231524</c:v>
                </c:pt>
                <c:pt idx="470">
                  <c:v>9.9277423252183343</c:v>
                </c:pt>
                <c:pt idx="471">
                  <c:v>9.9353424296563819</c:v>
                </c:pt>
                <c:pt idx="472">
                  <c:v>9.9447570298669756</c:v>
                </c:pt>
                <c:pt idx="473">
                  <c:v>9.9485260457611933</c:v>
                </c:pt>
                <c:pt idx="474">
                  <c:v>9.9525329912902158</c:v>
                </c:pt>
                <c:pt idx="475">
                  <c:v>9.9613295425570882</c:v>
                </c:pt>
                <c:pt idx="476">
                  <c:v>9.9662476242441329</c:v>
                </c:pt>
                <c:pt idx="477">
                  <c:v>9.9725840170803917</c:v>
                </c:pt>
                <c:pt idx="478">
                  <c:v>9.9729934730504155</c:v>
                </c:pt>
                <c:pt idx="479">
                  <c:v>9.9764393665772957</c:v>
                </c:pt>
                <c:pt idx="480">
                  <c:v>9.9790398054707428</c:v>
                </c:pt>
                <c:pt idx="481">
                  <c:v>9.9904153984949033</c:v>
                </c:pt>
                <c:pt idx="482">
                  <c:v>9.9919074936751056</c:v>
                </c:pt>
                <c:pt idx="483">
                  <c:v>9.9931669444761155</c:v>
                </c:pt>
                <c:pt idx="484">
                  <c:v>9.9986276146952591</c:v>
                </c:pt>
                <c:pt idx="485">
                  <c:v>10.002392765600792</c:v>
                </c:pt>
                <c:pt idx="486">
                  <c:v>10.009831052741463</c:v>
                </c:pt>
                <c:pt idx="487">
                  <c:v>10.010889151601793</c:v>
                </c:pt>
                <c:pt idx="488">
                  <c:v>10.00894948607519</c:v>
                </c:pt>
                <c:pt idx="489">
                  <c:v>10.015246297702019</c:v>
                </c:pt>
                <c:pt idx="490">
                  <c:v>10.014017929791942</c:v>
                </c:pt>
                <c:pt idx="491">
                  <c:v>10.026327196980438</c:v>
                </c:pt>
                <c:pt idx="492">
                  <c:v>10.026668619836371</c:v>
                </c:pt>
                <c:pt idx="493">
                  <c:v>10.027888442861823</c:v>
                </c:pt>
                <c:pt idx="494">
                  <c:v>10.030799524400104</c:v>
                </c:pt>
                <c:pt idx="495">
                  <c:v>10.033214094590678</c:v>
                </c:pt>
                <c:pt idx="496">
                  <c:v>10.02941625426277</c:v>
                </c:pt>
                <c:pt idx="497">
                  <c:v>10.032790459234452</c:v>
                </c:pt>
                <c:pt idx="498">
                  <c:v>10.031488772954674</c:v>
                </c:pt>
                <c:pt idx="499">
                  <c:v>10.035912625034319</c:v>
                </c:pt>
                <c:pt idx="500">
                  <c:v>10.038723542829677</c:v>
                </c:pt>
                <c:pt idx="501">
                  <c:v>10.03921341850404</c:v>
                </c:pt>
                <c:pt idx="502">
                  <c:v>10.046077754824905</c:v>
                </c:pt>
                <c:pt idx="503">
                  <c:v>10.038367218812548</c:v>
                </c:pt>
                <c:pt idx="504">
                  <c:v>10.043314869991345</c:v>
                </c:pt>
                <c:pt idx="505">
                  <c:v>10.044157530657053</c:v>
                </c:pt>
                <c:pt idx="506">
                  <c:v>10.0490624108466</c:v>
                </c:pt>
                <c:pt idx="507">
                  <c:v>10.050816044688879</c:v>
                </c:pt>
                <c:pt idx="508">
                  <c:v>10.044637115216961</c:v>
                </c:pt>
                <c:pt idx="509">
                  <c:v>10.051743292727448</c:v>
                </c:pt>
                <c:pt idx="510">
                  <c:v>10.052234192856641</c:v>
                </c:pt>
                <c:pt idx="511">
                  <c:v>10.046909588865683</c:v>
                </c:pt>
                <c:pt idx="512">
                  <c:v>10.046886468782763</c:v>
                </c:pt>
                <c:pt idx="513">
                  <c:v>10.052970449918176</c:v>
                </c:pt>
                <c:pt idx="514">
                  <c:v>10.047870108403236</c:v>
                </c:pt>
                <c:pt idx="515">
                  <c:v>10.047230103529809</c:v>
                </c:pt>
                <c:pt idx="516">
                  <c:v>10.047599116817024</c:v>
                </c:pt>
                <c:pt idx="517">
                  <c:v>10.05017792574367</c:v>
                </c:pt>
                <c:pt idx="518">
                  <c:v>10.04512084416233</c:v>
                </c:pt>
                <c:pt idx="519">
                  <c:v>10.045114953547046</c:v>
                </c:pt>
                <c:pt idx="520">
                  <c:v>10.051894236833764</c:v>
                </c:pt>
                <c:pt idx="521">
                  <c:v>10.046010024390652</c:v>
                </c:pt>
                <c:pt idx="522">
                  <c:v>10.05231163232874</c:v>
                </c:pt>
                <c:pt idx="523">
                  <c:v>10.048782734677378</c:v>
                </c:pt>
                <c:pt idx="524">
                  <c:v>10.0511400285296</c:v>
                </c:pt>
                <c:pt idx="525">
                  <c:v>10.042324664546719</c:v>
                </c:pt>
                <c:pt idx="526">
                  <c:v>10.044280022858707</c:v>
                </c:pt>
                <c:pt idx="527">
                  <c:v>10.042225664957014</c:v>
                </c:pt>
                <c:pt idx="528">
                  <c:v>10.042167899674309</c:v>
                </c:pt>
                <c:pt idx="529">
                  <c:v>10.041394692389618</c:v>
                </c:pt>
                <c:pt idx="530">
                  <c:v>10.047521421231217</c:v>
                </c:pt>
                <c:pt idx="531">
                  <c:v>10.046369025960185</c:v>
                </c:pt>
                <c:pt idx="532">
                  <c:v>10.037797878039488</c:v>
                </c:pt>
                <c:pt idx="533">
                  <c:v>10.039015535739953</c:v>
                </c:pt>
                <c:pt idx="534">
                  <c:v>10.038756022704476</c:v>
                </c:pt>
                <c:pt idx="535">
                  <c:v>10.038327265074088</c:v>
                </c:pt>
                <c:pt idx="536">
                  <c:v>10.034099433113379</c:v>
                </c:pt>
                <c:pt idx="537">
                  <c:v>10.03909616499187</c:v>
                </c:pt>
                <c:pt idx="538">
                  <c:v>10.037623068792193</c:v>
                </c:pt>
                <c:pt idx="539">
                  <c:v>10.03760036780443</c:v>
                </c:pt>
                <c:pt idx="540">
                  <c:v>10.032700772870495</c:v>
                </c:pt>
                <c:pt idx="541">
                  <c:v>10.037434918349012</c:v>
                </c:pt>
                <c:pt idx="542">
                  <c:v>10.034174032051622</c:v>
                </c:pt>
                <c:pt idx="543">
                  <c:v>10.034995877657783</c:v>
                </c:pt>
                <c:pt idx="544">
                  <c:v>10.037474476275378</c:v>
                </c:pt>
                <c:pt idx="545">
                  <c:v>10.027104385669135</c:v>
                </c:pt>
                <c:pt idx="546">
                  <c:v>10.028123857925674</c:v>
                </c:pt>
                <c:pt idx="547">
                  <c:v>10.026496185461641</c:v>
                </c:pt>
                <c:pt idx="548">
                  <c:v>10.031563930686461</c:v>
                </c:pt>
                <c:pt idx="549">
                  <c:v>10.027985952335406</c:v>
                </c:pt>
                <c:pt idx="550">
                  <c:v>10.026845128747365</c:v>
                </c:pt>
                <c:pt idx="551">
                  <c:v>10.029976910452818</c:v>
                </c:pt>
                <c:pt idx="552">
                  <c:v>10.02686107764646</c:v>
                </c:pt>
                <c:pt idx="553">
                  <c:v>10.020517397211053</c:v>
                </c:pt>
                <c:pt idx="554">
                  <c:v>10.01976079075126</c:v>
                </c:pt>
                <c:pt idx="555">
                  <c:v>10.025335152173726</c:v>
                </c:pt>
                <c:pt idx="556">
                  <c:v>10.024152302654496</c:v>
                </c:pt>
                <c:pt idx="557">
                  <c:v>10.022617180371334</c:v>
                </c:pt>
                <c:pt idx="558">
                  <c:v>10.024737662175841</c:v>
                </c:pt>
                <c:pt idx="559">
                  <c:v>10.017059908718117</c:v>
                </c:pt>
                <c:pt idx="560">
                  <c:v>10.019150285520393</c:v>
                </c:pt>
                <c:pt idx="561">
                  <c:v>10.01776382560324</c:v>
                </c:pt>
                <c:pt idx="562">
                  <c:v>10.014686246871642</c:v>
                </c:pt>
                <c:pt idx="563">
                  <c:v>10.02022610279271</c:v>
                </c:pt>
                <c:pt idx="564">
                  <c:v>10.019792804964769</c:v>
                </c:pt>
                <c:pt idx="565">
                  <c:v>10.016087188854835</c:v>
                </c:pt>
                <c:pt idx="566">
                  <c:v>10.014774536251736</c:v>
                </c:pt>
                <c:pt idx="567">
                  <c:v>10.011626875496383</c:v>
                </c:pt>
                <c:pt idx="568">
                  <c:v>10.012228882408754</c:v>
                </c:pt>
                <c:pt idx="569">
                  <c:v>10.016691291242999</c:v>
                </c:pt>
                <c:pt idx="570">
                  <c:v>10.014520308471871</c:v>
                </c:pt>
                <c:pt idx="571">
                  <c:v>10.015607231765895</c:v>
                </c:pt>
                <c:pt idx="572">
                  <c:v>10.013354572004953</c:v>
                </c:pt>
                <c:pt idx="573">
                  <c:v>10.016667938329435</c:v>
                </c:pt>
                <c:pt idx="574">
                  <c:v>10.01360747265015</c:v>
                </c:pt>
                <c:pt idx="575">
                  <c:v>10.013042020148841</c:v>
                </c:pt>
                <c:pt idx="576">
                  <c:v>10.013109494469386</c:v>
                </c:pt>
                <c:pt idx="577">
                  <c:v>10.014078326060922</c:v>
                </c:pt>
                <c:pt idx="578">
                  <c:v>10.01057820627712</c:v>
                </c:pt>
                <c:pt idx="579">
                  <c:v>10.012580200567045</c:v>
                </c:pt>
                <c:pt idx="580">
                  <c:v>10.008897774389222</c:v>
                </c:pt>
                <c:pt idx="581">
                  <c:v>10.005331228022774</c:v>
                </c:pt>
                <c:pt idx="582">
                  <c:v>10.009521900212746</c:v>
                </c:pt>
                <c:pt idx="583">
                  <c:v>10.009451981170441</c:v>
                </c:pt>
                <c:pt idx="584">
                  <c:v>10.003093748819804</c:v>
                </c:pt>
                <c:pt idx="585">
                  <c:v>10.00051980605361</c:v>
                </c:pt>
                <c:pt idx="586">
                  <c:v>10.002882734407411</c:v>
                </c:pt>
                <c:pt idx="587">
                  <c:v>10.006289395970827</c:v>
                </c:pt>
                <c:pt idx="588">
                  <c:v>10.000847794581402</c:v>
                </c:pt>
                <c:pt idx="589">
                  <c:v>10.005092739594424</c:v>
                </c:pt>
                <c:pt idx="590">
                  <c:v>10.00018664868553</c:v>
                </c:pt>
                <c:pt idx="591">
                  <c:v>9.9988179304634262</c:v>
                </c:pt>
                <c:pt idx="592">
                  <c:v>9.9988488270898461</c:v>
                </c:pt>
                <c:pt idx="593">
                  <c:v>10.003399618436443</c:v>
                </c:pt>
                <c:pt idx="594">
                  <c:v>9.9983515939671435</c:v>
                </c:pt>
                <c:pt idx="595">
                  <c:v>10.004353083205492</c:v>
                </c:pt>
                <c:pt idx="596">
                  <c:v>9.9990443582644328</c:v>
                </c:pt>
                <c:pt idx="597">
                  <c:v>9.9984090565700114</c:v>
                </c:pt>
                <c:pt idx="598">
                  <c:v>9.9999493942595894</c:v>
                </c:pt>
                <c:pt idx="599">
                  <c:v>9.9955376028072873</c:v>
                </c:pt>
                <c:pt idx="600">
                  <c:v>9.9951445381145803</c:v>
                </c:pt>
                <c:pt idx="601">
                  <c:v>10.002329226118123</c:v>
                </c:pt>
                <c:pt idx="602">
                  <c:v>9.9989602365528611</c:v>
                </c:pt>
                <c:pt idx="603">
                  <c:v>9.9996159574947363</c:v>
                </c:pt>
                <c:pt idx="604">
                  <c:v>10.002778426279029</c:v>
                </c:pt>
                <c:pt idx="605">
                  <c:v>9.9956387910050424</c:v>
                </c:pt>
                <c:pt idx="606">
                  <c:v>10.002325337846374</c:v>
                </c:pt>
                <c:pt idx="607">
                  <c:v>9.9995395191944052</c:v>
                </c:pt>
                <c:pt idx="608">
                  <c:v>10.000660924706761</c:v>
                </c:pt>
                <c:pt idx="609">
                  <c:v>9.9992117867803216</c:v>
                </c:pt>
                <c:pt idx="610">
                  <c:v>10.000971404370148</c:v>
                </c:pt>
                <c:pt idx="611">
                  <c:v>9.9959392822338131</c:v>
                </c:pt>
                <c:pt idx="612">
                  <c:v>9.9964479939072515</c:v>
                </c:pt>
                <c:pt idx="613">
                  <c:v>10.002034835052219</c:v>
                </c:pt>
                <c:pt idx="614">
                  <c:v>10.001020834315806</c:v>
                </c:pt>
                <c:pt idx="615">
                  <c:v>9.9978516367259083</c:v>
                </c:pt>
                <c:pt idx="616">
                  <c:v>10.002854887862425</c:v>
                </c:pt>
                <c:pt idx="617">
                  <c:v>10.001937791239921</c:v>
                </c:pt>
                <c:pt idx="618">
                  <c:v>9.9954599072214823</c:v>
                </c:pt>
                <c:pt idx="619">
                  <c:v>10.000471214298269</c:v>
                </c:pt>
                <c:pt idx="620">
                  <c:v>10.000528024975333</c:v>
                </c:pt>
                <c:pt idx="621">
                  <c:v>9.9351128120755572</c:v>
                </c:pt>
                <c:pt idx="622">
                  <c:v>9.7598506626113899</c:v>
                </c:pt>
                <c:pt idx="623">
                  <c:v>9.4944684555508356</c:v>
                </c:pt>
                <c:pt idx="624">
                  <c:v>9.1829868287739789</c:v>
                </c:pt>
                <c:pt idx="625">
                  <c:v>8.8893886676266298</c:v>
                </c:pt>
                <c:pt idx="626">
                  <c:v>8.5999992696102705</c:v>
                </c:pt>
                <c:pt idx="627">
                  <c:v>8.3141058702753181</c:v>
                </c:pt>
                <c:pt idx="628">
                  <c:v>8.0448211189463787</c:v>
                </c:pt>
                <c:pt idx="629">
                  <c:v>7.7846192307268778</c:v>
                </c:pt>
                <c:pt idx="630">
                  <c:v>7.5225204479700238</c:v>
                </c:pt>
                <c:pt idx="631">
                  <c:v>7.273466653952716</c:v>
                </c:pt>
                <c:pt idx="632">
                  <c:v>7.0272305298194366</c:v>
                </c:pt>
                <c:pt idx="633">
                  <c:v>6.7829113003758046</c:v>
                </c:pt>
                <c:pt idx="634">
                  <c:v>6.5502432655892893</c:v>
                </c:pt>
                <c:pt idx="635">
                  <c:v>6.3100921237631917</c:v>
                </c:pt>
                <c:pt idx="636">
                  <c:v>6.0835810625188937</c:v>
                </c:pt>
                <c:pt idx="637">
                  <c:v>5.8505887877779523</c:v>
                </c:pt>
                <c:pt idx="638">
                  <c:v>5.6270207524362537</c:v>
                </c:pt>
                <c:pt idx="639">
                  <c:v>5.4021260248036418</c:v>
                </c:pt>
                <c:pt idx="640">
                  <c:v>5.1740264997757102</c:v>
                </c:pt>
                <c:pt idx="641">
                  <c:v>4.9592573672903839</c:v>
                </c:pt>
                <c:pt idx="642">
                  <c:v>4.7361671702787671</c:v>
                </c:pt>
                <c:pt idx="643">
                  <c:v>4.5127734552400129</c:v>
                </c:pt>
                <c:pt idx="644">
                  <c:v>4.2969010081833465</c:v>
                </c:pt>
                <c:pt idx="645">
                  <c:v>4.0901887938590233</c:v>
                </c:pt>
                <c:pt idx="646">
                  <c:v>3.8859613714474159</c:v>
                </c:pt>
                <c:pt idx="647">
                  <c:v>3.6938782789963014</c:v>
                </c:pt>
                <c:pt idx="648">
                  <c:v>3.509173380096716</c:v>
                </c:pt>
                <c:pt idx="649">
                  <c:v>3.3324390657554472</c:v>
                </c:pt>
                <c:pt idx="650">
                  <c:v>3.1703669818049223</c:v>
                </c:pt>
                <c:pt idx="651">
                  <c:v>3.019542201193874</c:v>
                </c:pt>
                <c:pt idx="652">
                  <c:v>2.8650103842059642</c:v>
                </c:pt>
                <c:pt idx="653">
                  <c:v>2.7249198180448544</c:v>
                </c:pt>
                <c:pt idx="654">
                  <c:v>2.585713030441132</c:v>
                </c:pt>
                <c:pt idx="655">
                  <c:v>2.4589190730962249</c:v>
                </c:pt>
                <c:pt idx="656">
                  <c:v>2.3338639182815943</c:v>
                </c:pt>
                <c:pt idx="657">
                  <c:v>2.2192019974391912</c:v>
                </c:pt>
                <c:pt idx="658">
                  <c:v>2.1069728541437009</c:v>
                </c:pt>
                <c:pt idx="659">
                  <c:v>1.9994547129607421</c:v>
                </c:pt>
                <c:pt idx="660">
                  <c:v>1.9020212818640334</c:v>
                </c:pt>
                <c:pt idx="661">
                  <c:v>1.7970955469173135</c:v>
                </c:pt>
                <c:pt idx="662">
                  <c:v>1.7071271319191734</c:v>
                </c:pt>
                <c:pt idx="663">
                  <c:v>1.6266002323540394</c:v>
                </c:pt>
                <c:pt idx="664">
                  <c:v>1.5371453719067261</c:v>
                </c:pt>
                <c:pt idx="665">
                  <c:v>1.4672020453650509</c:v>
                </c:pt>
                <c:pt idx="666">
                  <c:v>1.3874810657900483</c:v>
                </c:pt>
                <c:pt idx="667">
                  <c:v>1.3218571667843166</c:v>
                </c:pt>
                <c:pt idx="668">
                  <c:v>1.2588690736468111</c:v>
                </c:pt>
                <c:pt idx="669">
                  <c:v>1.1955155062478771</c:v>
                </c:pt>
                <c:pt idx="670">
                  <c:v>1.1462580182464461</c:v>
                </c:pt>
                <c:pt idx="671">
                  <c:v>1.0929989863869265</c:v>
                </c:pt>
                <c:pt idx="672">
                  <c:v>1.0418421591263829</c:v>
                </c:pt>
                <c:pt idx="673">
                  <c:v>0.99768608366085365</c:v>
                </c:pt>
                <c:pt idx="674">
                  <c:v>0.96010363217445638</c:v>
                </c:pt>
                <c:pt idx="675">
                  <c:v>0.92343592572105959</c:v>
                </c:pt>
                <c:pt idx="676">
                  <c:v>0.88712917661460333</c:v>
                </c:pt>
                <c:pt idx="677">
                  <c:v>0.845324644084397</c:v>
                </c:pt>
                <c:pt idx="678">
                  <c:v>0.81698470767982878</c:v>
                </c:pt>
                <c:pt idx="679">
                  <c:v>0.78205154295592838</c:v>
                </c:pt>
                <c:pt idx="680">
                  <c:v>0.75898834056197395</c:v>
                </c:pt>
                <c:pt idx="681">
                  <c:v>0.73396184033107992</c:v>
                </c:pt>
                <c:pt idx="682">
                  <c:v>0.70784792786181161</c:v>
                </c:pt>
                <c:pt idx="683">
                  <c:v>0.69081208219072132</c:v>
                </c:pt>
                <c:pt idx="684">
                  <c:v>0.66208799850709921</c:v>
                </c:pt>
                <c:pt idx="685">
                  <c:v>0.65074285973113566</c:v>
                </c:pt>
                <c:pt idx="686">
                  <c:v>0.63200697783194648</c:v>
                </c:pt>
                <c:pt idx="687">
                  <c:v>0.60946524623070497</c:v>
                </c:pt>
                <c:pt idx="688">
                  <c:v>0.59350277311017341</c:v>
                </c:pt>
                <c:pt idx="689">
                  <c:v>0.58083336348199133</c:v>
                </c:pt>
                <c:pt idx="690">
                  <c:v>0.56751261012803589</c:v>
                </c:pt>
                <c:pt idx="691">
                  <c:v>0.55861587183517769</c:v>
                </c:pt>
                <c:pt idx="692">
                  <c:v>0.55297825032681658</c:v>
                </c:pt>
                <c:pt idx="693">
                  <c:v>0.54505185702467607</c:v>
                </c:pt>
                <c:pt idx="694">
                  <c:v>0.53110700113026121</c:v>
                </c:pt>
                <c:pt idx="695">
                  <c:v>0.52328694158310229</c:v>
                </c:pt>
                <c:pt idx="696">
                  <c:v>0.51903889992251961</c:v>
                </c:pt>
                <c:pt idx="697">
                  <c:v>0.51654868305580426</c:v>
                </c:pt>
                <c:pt idx="698">
                  <c:v>0.50599547114828491</c:v>
                </c:pt>
                <c:pt idx="699">
                  <c:v>0.5027109758236239</c:v>
                </c:pt>
                <c:pt idx="700">
                  <c:v>0.50053992320330354</c:v>
                </c:pt>
                <c:pt idx="701">
                  <c:v>0.49877413560142142</c:v>
                </c:pt>
                <c:pt idx="702">
                  <c:v>0.49615406908470994</c:v>
                </c:pt>
                <c:pt idx="703">
                  <c:v>0.49303181015258463</c:v>
                </c:pt>
                <c:pt idx="704">
                  <c:v>0.49356357205974954</c:v>
                </c:pt>
                <c:pt idx="705">
                  <c:v>0.49186071858086178</c:v>
                </c:pt>
                <c:pt idx="706">
                  <c:v>0.48888968315182479</c:v>
                </c:pt>
                <c:pt idx="707">
                  <c:v>0.49062576156356974</c:v>
                </c:pt>
                <c:pt idx="708">
                  <c:v>0.4907667870844637</c:v>
                </c:pt>
                <c:pt idx="709">
                  <c:v>0.49149740964441962</c:v>
                </c:pt>
                <c:pt idx="710">
                  <c:v>0.4892454716584751</c:v>
                </c:pt>
                <c:pt idx="711">
                  <c:v>0.4903565394902501</c:v>
                </c:pt>
                <c:pt idx="712">
                  <c:v>0.49671835743280091</c:v>
                </c:pt>
                <c:pt idx="713">
                  <c:v>0.50456614710962544</c:v>
                </c:pt>
                <c:pt idx="714">
                  <c:v>0.50779159658304218</c:v>
                </c:pt>
                <c:pt idx="715">
                  <c:v>0.50448814884398319</c:v>
                </c:pt>
                <c:pt idx="716">
                  <c:v>0.50535234634423454</c:v>
                </c:pt>
                <c:pt idx="717">
                  <c:v>0.51292069268248064</c:v>
                </c:pt>
                <c:pt idx="718">
                  <c:v>0.51825395797338658</c:v>
                </c:pt>
                <c:pt idx="719">
                  <c:v>0.51989350480025021</c:v>
                </c:pt>
                <c:pt idx="720">
                  <c:v>0.5241031992538141</c:v>
                </c:pt>
                <c:pt idx="721">
                  <c:v>0.53213709046415458</c:v>
                </c:pt>
                <c:pt idx="722">
                  <c:v>0.53878610500571922</c:v>
                </c:pt>
                <c:pt idx="723">
                  <c:v>0.54617603322169184</c:v>
                </c:pt>
                <c:pt idx="724">
                  <c:v>0.55056577561203524</c:v>
                </c:pt>
                <c:pt idx="725">
                  <c:v>0.55631604058582251</c:v>
                </c:pt>
                <c:pt idx="726">
                  <c:v>0.56596519438688764</c:v>
                </c:pt>
                <c:pt idx="727">
                  <c:v>0.5708377809661529</c:v>
                </c:pt>
                <c:pt idx="728">
                  <c:v>0.57685577789713993</c:v>
                </c:pt>
                <c:pt idx="729">
                  <c:v>0.58221544618304255</c:v>
                </c:pt>
                <c:pt idx="730">
                  <c:v>0.5914482522270289</c:v>
                </c:pt>
                <c:pt idx="731">
                  <c:v>0.60533266528633722</c:v>
                </c:pt>
                <c:pt idx="732">
                  <c:v>0.60474427896662253</c:v>
                </c:pt>
                <c:pt idx="733">
                  <c:v>0.61386188040810219</c:v>
                </c:pt>
                <c:pt idx="734">
                  <c:v>0.62149215969757454</c:v>
                </c:pt>
                <c:pt idx="735">
                  <c:v>0.63818441718774488</c:v>
                </c:pt>
                <c:pt idx="736">
                  <c:v>0.64000317376107052</c:v>
                </c:pt>
                <c:pt idx="737">
                  <c:v>0.64573851429059603</c:v>
                </c:pt>
                <c:pt idx="738">
                  <c:v>0.65795537099660273</c:v>
                </c:pt>
                <c:pt idx="739">
                  <c:v>0.66651834656170539</c:v>
                </c:pt>
                <c:pt idx="740">
                  <c:v>0.67417051193168631</c:v>
                </c:pt>
                <c:pt idx="741">
                  <c:v>0.67839822747707323</c:v>
                </c:pt>
                <c:pt idx="742">
                  <c:v>0.68714430106038793</c:v>
                </c:pt>
                <c:pt idx="743">
                  <c:v>0.70454981194449351</c:v>
                </c:pt>
                <c:pt idx="744">
                  <c:v>0.70379856058950507</c:v>
                </c:pt>
                <c:pt idx="745">
                  <c:v>0.71617700176224508</c:v>
                </c:pt>
                <c:pt idx="746">
                  <c:v>0.72158027922771406</c:v>
                </c:pt>
                <c:pt idx="747">
                  <c:v>0.73507775104024398</c:v>
                </c:pt>
                <c:pt idx="748">
                  <c:v>0.74648896715289192</c:v>
                </c:pt>
                <c:pt idx="749">
                  <c:v>0.74653339123971141</c:v>
                </c:pt>
                <c:pt idx="750">
                  <c:v>0.76319118979461287</c:v>
                </c:pt>
                <c:pt idx="751">
                  <c:v>0.76420956774712756</c:v>
                </c:pt>
                <c:pt idx="752">
                  <c:v>0.77068975678893969</c:v>
                </c:pt>
                <c:pt idx="753">
                  <c:v>0.78635851405243362</c:v>
                </c:pt>
                <c:pt idx="754">
                  <c:v>0.79363002460301613</c:v>
                </c:pt>
                <c:pt idx="755">
                  <c:v>0.79795457441312145</c:v>
                </c:pt>
                <c:pt idx="756">
                  <c:v>0.81036284119132052</c:v>
                </c:pt>
                <c:pt idx="757">
                  <c:v>0.81619017310817499</c:v>
                </c:pt>
                <c:pt idx="758">
                  <c:v>0.82483505849373417</c:v>
                </c:pt>
                <c:pt idx="759">
                  <c:v>0.83140097577855954</c:v>
                </c:pt>
                <c:pt idx="760">
                  <c:v>0.8361743299374762</c:v>
                </c:pt>
                <c:pt idx="761">
                  <c:v>0.84013158940713195</c:v>
                </c:pt>
                <c:pt idx="762">
                  <c:v>0.84445625563255888</c:v>
                </c:pt>
                <c:pt idx="763">
                  <c:v>0.85893932284296948</c:v>
                </c:pt>
                <c:pt idx="764">
                  <c:v>0.86315635146181013</c:v>
                </c:pt>
                <c:pt idx="765">
                  <c:v>0.87042702382207537</c:v>
                </c:pt>
                <c:pt idx="766">
                  <c:v>0.87316604351465732</c:v>
                </c:pt>
                <c:pt idx="767">
                  <c:v>0.88267948033350496</c:v>
                </c:pt>
                <c:pt idx="768">
                  <c:v>0.88895172832742142</c:v>
                </c:pt>
                <c:pt idx="769">
                  <c:v>0.89836546706463338</c:v>
                </c:pt>
                <c:pt idx="770">
                  <c:v>0.89559932260205954</c:v>
                </c:pt>
                <c:pt idx="771">
                  <c:v>0.90779110344773895</c:v>
                </c:pt>
                <c:pt idx="772">
                  <c:v>0.91180985349039767</c:v>
                </c:pt>
                <c:pt idx="773">
                  <c:v>0.91728426071751956</c:v>
                </c:pt>
                <c:pt idx="774">
                  <c:v>0.92351671795442625</c:v>
                </c:pt>
                <c:pt idx="775">
                  <c:v>0.9256960360625982</c:v>
                </c:pt>
                <c:pt idx="776">
                  <c:v>0.93133265639919161</c:v>
                </c:pt>
                <c:pt idx="777">
                  <c:v>0.93444567195476169</c:v>
                </c:pt>
                <c:pt idx="778">
                  <c:v>0.94016056995376951</c:v>
                </c:pt>
                <c:pt idx="779">
                  <c:v>0.94391615151984531</c:v>
                </c:pt>
                <c:pt idx="780">
                  <c:v>0.94678506742855184</c:v>
                </c:pt>
                <c:pt idx="781">
                  <c:v>0.95316611718227295</c:v>
                </c:pt>
                <c:pt idx="782">
                  <c:v>0.95261675327844386</c:v>
                </c:pt>
                <c:pt idx="783">
                  <c:v>0.96297997538069735</c:v>
                </c:pt>
                <c:pt idx="784">
                  <c:v>0.96481307432167529</c:v>
                </c:pt>
                <c:pt idx="785">
                  <c:v>0.96752978883859009</c:v>
                </c:pt>
                <c:pt idx="786">
                  <c:v>0.97212959103568675</c:v>
                </c:pt>
                <c:pt idx="787">
                  <c:v>0.97899993438716038</c:v>
                </c:pt>
                <c:pt idx="788">
                  <c:v>0.98015004791788518</c:v>
                </c:pt>
                <c:pt idx="789">
                  <c:v>0.97786048449991747</c:v>
                </c:pt>
                <c:pt idx="790">
                  <c:v>0.98231155448181351</c:v>
                </c:pt>
                <c:pt idx="791">
                  <c:v>0.98728479374835376</c:v>
                </c:pt>
                <c:pt idx="792">
                  <c:v>0.9904165754538069</c:v>
                </c:pt>
                <c:pt idx="793">
                  <c:v>0.98780884896121202</c:v>
                </c:pt>
                <c:pt idx="794">
                  <c:v>0.99800396733870822</c:v>
                </c:pt>
                <c:pt idx="795">
                  <c:v>0.99921093811262651</c:v>
                </c:pt>
                <c:pt idx="796">
                  <c:v>0.99570476473209091</c:v>
                </c:pt>
                <c:pt idx="797">
                  <c:v>0.99882527743438854</c:v>
                </c:pt>
                <c:pt idx="798">
                  <c:v>0.99716007267058837</c:v>
                </c:pt>
                <c:pt idx="799">
                  <c:v>1.0021975731947919</c:v>
                </c:pt>
                <c:pt idx="800">
                  <c:v>1.0033260101925874</c:v>
                </c:pt>
                <c:pt idx="801">
                  <c:v>1.0037496921149431</c:v>
                </c:pt>
                <c:pt idx="802">
                  <c:v>1.0058962509515454</c:v>
                </c:pt>
                <c:pt idx="803">
                  <c:v>1.0135243649160313</c:v>
                </c:pt>
                <c:pt idx="804">
                  <c:v>1.0090169732014223</c:v>
                </c:pt>
                <c:pt idx="805">
                  <c:v>1.0081164075546238</c:v>
                </c:pt>
                <c:pt idx="806">
                  <c:v>1.0151541794219878</c:v>
                </c:pt>
                <c:pt idx="807">
                  <c:v>1.0143158494062527</c:v>
                </c:pt>
                <c:pt idx="808">
                  <c:v>1.0160677370187052</c:v>
                </c:pt>
                <c:pt idx="809">
                  <c:v>1.0214660551914634</c:v>
                </c:pt>
                <c:pt idx="810">
                  <c:v>1.0188272225248691</c:v>
                </c:pt>
                <c:pt idx="811">
                  <c:v>1.0165506743398844</c:v>
                </c:pt>
                <c:pt idx="812">
                  <c:v>1.0193783093754616</c:v>
                </c:pt>
                <c:pt idx="813">
                  <c:v>1.0190360250461465</c:v>
                </c:pt>
                <c:pt idx="814">
                  <c:v>1.0234113319365798</c:v>
                </c:pt>
                <c:pt idx="815">
                  <c:v>1.017375826141186</c:v>
                </c:pt>
                <c:pt idx="816">
                  <c:v>1.019397028959216</c:v>
                </c:pt>
                <c:pt idx="817">
                  <c:v>1.0270324770889787</c:v>
                </c:pt>
                <c:pt idx="818">
                  <c:v>1.0254455965537219</c:v>
                </c:pt>
                <c:pt idx="819">
                  <c:v>1.0264131475767151</c:v>
                </c:pt>
                <c:pt idx="820">
                  <c:v>1.023169653728411</c:v>
                </c:pt>
                <c:pt idx="821">
                  <c:v>1.0217415171260342</c:v>
                </c:pt>
                <c:pt idx="822">
                  <c:v>1.0265650230056058</c:v>
                </c:pt>
                <c:pt idx="823">
                  <c:v>1.0287811516385481</c:v>
                </c:pt>
                <c:pt idx="824">
                  <c:v>1.0214653334164678</c:v>
                </c:pt>
                <c:pt idx="825">
                  <c:v>1.0223128602426297</c:v>
                </c:pt>
                <c:pt idx="826">
                  <c:v>1.0243371829912851</c:v>
                </c:pt>
                <c:pt idx="827">
                  <c:v>1.022175816125743</c:v>
                </c:pt>
                <c:pt idx="828">
                  <c:v>1.0223480642359581</c:v>
                </c:pt>
                <c:pt idx="829">
                  <c:v>1.0226788234484099</c:v>
                </c:pt>
                <c:pt idx="830">
                  <c:v>1.022591977618307</c:v>
                </c:pt>
                <c:pt idx="831">
                  <c:v>1.0273585331224273</c:v>
                </c:pt>
                <c:pt idx="832">
                  <c:v>1.0234055344535518</c:v>
                </c:pt>
                <c:pt idx="833">
                  <c:v>1.0249528337793781</c:v>
                </c:pt>
                <c:pt idx="834">
                  <c:v>1.0219045218596945</c:v>
                </c:pt>
                <c:pt idx="835">
                  <c:v>1.0255235016871065</c:v>
                </c:pt>
                <c:pt idx="836">
                  <c:v>1.0260232959468902</c:v>
                </c:pt>
                <c:pt idx="837">
                  <c:v>1.0223407067876171</c:v>
                </c:pt>
                <c:pt idx="838">
                  <c:v>1.0249802146630782</c:v>
                </c:pt>
                <c:pt idx="839">
                  <c:v>1.0209459348164838</c:v>
                </c:pt>
                <c:pt idx="840">
                  <c:v>1.0250104593636959</c:v>
                </c:pt>
                <c:pt idx="841">
                  <c:v>1.0288957741644458</c:v>
                </c:pt>
                <c:pt idx="842">
                  <c:v>1.0235956406741393</c:v>
                </c:pt>
                <c:pt idx="843">
                  <c:v>1.0207410904161496</c:v>
                </c:pt>
                <c:pt idx="844">
                  <c:v>1.0260638550450243</c:v>
                </c:pt>
                <c:pt idx="845">
                  <c:v>1.0173897959798084</c:v>
                </c:pt>
                <c:pt idx="846">
                  <c:v>1.0170877447857261</c:v>
                </c:pt>
                <c:pt idx="847">
                  <c:v>1.0184962304817737</c:v>
                </c:pt>
                <c:pt idx="848">
                  <c:v>1.0208891008563548</c:v>
                </c:pt>
                <c:pt idx="849">
                  <c:v>1.0205411121762686</c:v>
                </c:pt>
                <c:pt idx="850">
                  <c:v>1.0234266056268073</c:v>
                </c:pt>
                <c:pt idx="851">
                  <c:v>1.0240639562308937</c:v>
                </c:pt>
                <c:pt idx="852">
                  <c:v>1.0160030799489475</c:v>
                </c:pt>
                <c:pt idx="853">
                  <c:v>1.0172458833589324</c:v>
                </c:pt>
                <c:pt idx="854">
                  <c:v>1.0182752509178303</c:v>
                </c:pt>
                <c:pt idx="855">
                  <c:v>1.0233756389988997</c:v>
                </c:pt>
                <c:pt idx="856">
                  <c:v>1.0217020988980545</c:v>
                </c:pt>
                <c:pt idx="857">
                  <c:v>1.0131821271528447</c:v>
                </c:pt>
                <c:pt idx="858">
                  <c:v>1.0129899021733995</c:v>
                </c:pt>
                <c:pt idx="859">
                  <c:v>1.0151230266818598</c:v>
                </c:pt>
                <c:pt idx="860">
                  <c:v>1.0148560863488485</c:v>
                </c:pt>
                <c:pt idx="861">
                  <c:v>1.0192529533568893</c:v>
                </c:pt>
                <c:pt idx="862">
                  <c:v>1.0185875233771715</c:v>
                </c:pt>
                <c:pt idx="863">
                  <c:v>1.0148589734488305</c:v>
                </c:pt>
                <c:pt idx="864">
                  <c:v>1.0152121309692068</c:v>
                </c:pt>
                <c:pt idx="865">
                  <c:v>1.0128523691121609</c:v>
                </c:pt>
                <c:pt idx="866">
                  <c:v>1.0136383122330621</c:v>
                </c:pt>
                <c:pt idx="867">
                  <c:v>1.0187231239440673</c:v>
                </c:pt>
                <c:pt idx="868">
                  <c:v>1.0179715000600487</c:v>
                </c:pt>
                <c:pt idx="869">
                  <c:v>1.0094168598319908</c:v>
                </c:pt>
                <c:pt idx="870">
                  <c:v>1.0125787698227398</c:v>
                </c:pt>
                <c:pt idx="871">
                  <c:v>1.0133770296846929</c:v>
                </c:pt>
                <c:pt idx="872">
                  <c:v>1.0075489527097783</c:v>
                </c:pt>
                <c:pt idx="873">
                  <c:v>1.0088362267727116</c:v>
                </c:pt>
                <c:pt idx="874">
                  <c:v>1.0102983333660052</c:v>
                </c:pt>
                <c:pt idx="875">
                  <c:v>1.0123693386587242</c:v>
                </c:pt>
                <c:pt idx="876">
                  <c:v>1.0111986894652245</c:v>
                </c:pt>
                <c:pt idx="877">
                  <c:v>1.008286699887432</c:v>
                </c:pt>
                <c:pt idx="878">
                  <c:v>1.0092599086950673</c:v>
                </c:pt>
                <c:pt idx="879">
                  <c:v>1.0133029429738649</c:v>
                </c:pt>
                <c:pt idx="880">
                  <c:v>1.006049057703011</c:v>
                </c:pt>
                <c:pt idx="881">
                  <c:v>1.010091859151165</c:v>
                </c:pt>
                <c:pt idx="882">
                  <c:v>1.0121518748375009</c:v>
                </c:pt>
                <c:pt idx="883">
                  <c:v>1.004690281349395</c:v>
                </c:pt>
                <c:pt idx="884">
                  <c:v>1.0102939561499036</c:v>
                </c:pt>
                <c:pt idx="885">
                  <c:v>1.003639237257568</c:v>
                </c:pt>
                <c:pt idx="886">
                  <c:v>1.00299953506398</c:v>
                </c:pt>
                <c:pt idx="887">
                  <c:v>1.0027687067638078</c:v>
                </c:pt>
                <c:pt idx="888">
                  <c:v>1.0031065905939571</c:v>
                </c:pt>
                <c:pt idx="889">
                  <c:v>1.009524427589384</c:v>
                </c:pt>
                <c:pt idx="890">
                  <c:v>1.0032996304806554</c:v>
                </c:pt>
                <c:pt idx="891">
                  <c:v>1.0060184171902991</c:v>
                </c:pt>
                <c:pt idx="892">
                  <c:v>1.003056671703946</c:v>
                </c:pt>
                <c:pt idx="893">
                  <c:v>1.0003522273619547</c:v>
                </c:pt>
                <c:pt idx="894">
                  <c:v>1.0011969602203921</c:v>
                </c:pt>
                <c:pt idx="895">
                  <c:v>1.0042465294255518</c:v>
                </c:pt>
                <c:pt idx="896">
                  <c:v>1.0064677803326556</c:v>
                </c:pt>
                <c:pt idx="897">
                  <c:v>1.0026896374772045</c:v>
                </c:pt>
                <c:pt idx="898">
                  <c:v>1.0057754351305253</c:v>
                </c:pt>
                <c:pt idx="899">
                  <c:v>1.0014374742753427</c:v>
                </c:pt>
                <c:pt idx="900">
                  <c:v>1.0043393357201338</c:v>
                </c:pt>
                <c:pt idx="901">
                  <c:v>1.005615736592006</c:v>
                </c:pt>
                <c:pt idx="902">
                  <c:v>1.0013818510345607</c:v>
                </c:pt>
                <c:pt idx="903">
                  <c:v>1.0067946512733574</c:v>
                </c:pt>
                <c:pt idx="904">
                  <c:v>0.9982255056961965</c:v>
                </c:pt>
                <c:pt idx="905">
                  <c:v>1.0027701503137987</c:v>
                </c:pt>
                <c:pt idx="906">
                  <c:v>1.0033496192198594</c:v>
                </c:pt>
                <c:pt idx="907">
                  <c:v>1.0032014457982037</c:v>
                </c:pt>
                <c:pt idx="908">
                  <c:v>0.9961721489662706</c:v>
                </c:pt>
                <c:pt idx="909">
                  <c:v>0.9978431279300346</c:v>
                </c:pt>
                <c:pt idx="910">
                  <c:v>1.0023095181682868</c:v>
                </c:pt>
                <c:pt idx="911">
                  <c:v>0.9963697523335856</c:v>
                </c:pt>
                <c:pt idx="912">
                  <c:v>1.0026964361320008</c:v>
                </c:pt>
                <c:pt idx="913">
                  <c:v>1.0049781531572757</c:v>
                </c:pt>
                <c:pt idx="914">
                  <c:v>0.99838415649681922</c:v>
                </c:pt>
                <c:pt idx="915">
                  <c:v>0.99842925579250541</c:v>
                </c:pt>
                <c:pt idx="916">
                  <c:v>0.99995806836522139</c:v>
                </c:pt>
                <c:pt idx="917">
                  <c:v>1.002747426042973</c:v>
                </c:pt>
                <c:pt idx="918">
                  <c:v>0.99589233309866221</c:v>
                </c:pt>
                <c:pt idx="919">
                  <c:v>1.0033118308063855</c:v>
                </c:pt>
                <c:pt idx="920">
                  <c:v>0.99964998685746698</c:v>
                </c:pt>
                <c:pt idx="921">
                  <c:v>0.99689783551657996</c:v>
                </c:pt>
                <c:pt idx="922">
                  <c:v>1.003515417921244</c:v>
                </c:pt>
                <c:pt idx="923">
                  <c:v>1.0046502577617415</c:v>
                </c:pt>
                <c:pt idx="924">
                  <c:v>1.0041432690350671</c:v>
                </c:pt>
                <c:pt idx="925">
                  <c:v>1.0012239452919978</c:v>
                </c:pt>
                <c:pt idx="926">
                  <c:v>0.99962954432694928</c:v>
                </c:pt>
                <c:pt idx="927">
                  <c:v>1.0028111983562844</c:v>
                </c:pt>
                <c:pt idx="928">
                  <c:v>0.99391422723278267</c:v>
                </c:pt>
                <c:pt idx="929">
                  <c:v>0.99608986661678411</c:v>
                </c:pt>
                <c:pt idx="930">
                  <c:v>1.0036452908543043</c:v>
                </c:pt>
                <c:pt idx="931">
                  <c:v>1.0020910997414243</c:v>
                </c:pt>
                <c:pt idx="932">
                  <c:v>0.99691308592374273</c:v>
                </c:pt>
                <c:pt idx="933">
                  <c:v>0.99505747225951824</c:v>
                </c:pt>
                <c:pt idx="934">
                  <c:v>0.99541025725086463</c:v>
                </c:pt>
                <c:pt idx="935">
                  <c:v>0.99827984836843797</c:v>
                </c:pt>
                <c:pt idx="936">
                  <c:v>0.99762177583706135</c:v>
                </c:pt>
                <c:pt idx="937">
                  <c:v>1.0016651127956959</c:v>
                </c:pt>
                <c:pt idx="938">
                  <c:v>0.99887240235667507</c:v>
                </c:pt>
                <c:pt idx="939">
                  <c:v>0.99579896801053525</c:v>
                </c:pt>
                <c:pt idx="940">
                  <c:v>0.9946554435870274</c:v>
                </c:pt>
                <c:pt idx="941">
                  <c:v>1.0034814246472628</c:v>
                </c:pt>
                <c:pt idx="942">
                  <c:v>0.99548618332377781</c:v>
                </c:pt>
                <c:pt idx="943">
                  <c:v>1.0023774115839921</c:v>
                </c:pt>
                <c:pt idx="944">
                  <c:v>0.99447709531394701</c:v>
                </c:pt>
                <c:pt idx="945">
                  <c:v>0.99630437348883238</c:v>
                </c:pt>
                <c:pt idx="946">
                  <c:v>1.0027690327267091</c:v>
                </c:pt>
                <c:pt idx="947">
                  <c:v>1.0014103029392218</c:v>
                </c:pt>
                <c:pt idx="948">
                  <c:v>0.9988859763832032</c:v>
                </c:pt>
                <c:pt idx="949">
                  <c:v>1.0030793726917075</c:v>
                </c:pt>
                <c:pt idx="950">
                  <c:v>1.002504816512229</c:v>
                </c:pt>
                <c:pt idx="951">
                  <c:v>1.0014522357381535</c:v>
                </c:pt>
                <c:pt idx="952">
                  <c:v>0.99998253886587518</c:v>
                </c:pt>
                <c:pt idx="953">
                  <c:v>0.99357317690587899</c:v>
                </c:pt>
                <c:pt idx="954">
                  <c:v>0.99499437515507327</c:v>
                </c:pt>
                <c:pt idx="955">
                  <c:v>0.99854837194982649</c:v>
                </c:pt>
                <c:pt idx="956">
                  <c:v>0.99819593620444558</c:v>
                </c:pt>
                <c:pt idx="957">
                  <c:v>0.99638931010765708</c:v>
                </c:pt>
                <c:pt idx="958">
                  <c:v>0.99983429559502623</c:v>
                </c:pt>
                <c:pt idx="959">
                  <c:v>1.0028819555889075</c:v>
                </c:pt>
                <c:pt idx="960">
                  <c:v>1.002128189662967</c:v>
                </c:pt>
                <c:pt idx="961">
                  <c:v>0.99639946152372283</c:v>
                </c:pt>
                <c:pt idx="962">
                  <c:v>0.99519661185219799</c:v>
                </c:pt>
                <c:pt idx="963">
                  <c:v>0.99467427958610333</c:v>
                </c:pt>
                <c:pt idx="964">
                  <c:v>0.99822052312042109</c:v>
                </c:pt>
                <c:pt idx="965">
                  <c:v>1.0004759069998925</c:v>
                </c:pt>
                <c:pt idx="966">
                  <c:v>1.0001542281825455</c:v>
                </c:pt>
                <c:pt idx="967">
                  <c:v>1.003937423462965</c:v>
                </c:pt>
                <c:pt idx="968">
                  <c:v>1.0011389853901087</c:v>
                </c:pt>
                <c:pt idx="969">
                  <c:v>1.0029667059432172</c:v>
                </c:pt>
                <c:pt idx="970">
                  <c:v>1.0027437007526736</c:v>
                </c:pt>
                <c:pt idx="971">
                  <c:v>0.9947590299404131</c:v>
                </c:pt>
                <c:pt idx="972">
                  <c:v>0.99882758245776126</c:v>
                </c:pt>
                <c:pt idx="973">
                  <c:v>0.99501172103802948</c:v>
                </c:pt>
                <c:pt idx="974">
                  <c:v>1.0016317947305813</c:v>
                </c:pt>
                <c:pt idx="975">
                  <c:v>0.99776324373617842</c:v>
                </c:pt>
                <c:pt idx="976">
                  <c:v>1.0022998091304443</c:v>
                </c:pt>
                <c:pt idx="977">
                  <c:v>1.0041469943253665</c:v>
                </c:pt>
                <c:pt idx="978">
                  <c:v>1.0029110128532421</c:v>
                </c:pt>
                <c:pt idx="979">
                  <c:v>0.99605831806456169</c:v>
                </c:pt>
                <c:pt idx="980">
                  <c:v>1.0044934230401399</c:v>
                </c:pt>
                <c:pt idx="981">
                  <c:v>1.0012586370579104</c:v>
                </c:pt>
                <c:pt idx="982">
                  <c:v>0.99631028738718252</c:v>
                </c:pt>
                <c:pt idx="983">
                  <c:v>0.99722885084273971</c:v>
                </c:pt>
                <c:pt idx="984">
                  <c:v>0.99711781390875531</c:v>
                </c:pt>
                <c:pt idx="985">
                  <c:v>1.0018172909044234</c:v>
                </c:pt>
                <c:pt idx="986">
                  <c:v>0.99577626702277366</c:v>
                </c:pt>
                <c:pt idx="987">
                  <c:v>0.99923871480842097</c:v>
                </c:pt>
                <c:pt idx="988">
                  <c:v>1.0050679093704251</c:v>
                </c:pt>
                <c:pt idx="989">
                  <c:v>0.9976769566996202</c:v>
                </c:pt>
                <c:pt idx="990">
                  <c:v>0.99650458455935698</c:v>
                </c:pt>
                <c:pt idx="991">
                  <c:v>0.99565815203722063</c:v>
                </c:pt>
                <c:pt idx="992">
                  <c:v>0.99756254372130215</c:v>
                </c:pt>
                <c:pt idx="993">
                  <c:v>0.99983220011923279</c:v>
                </c:pt>
                <c:pt idx="994">
                  <c:v>0.99570995685544561</c:v>
                </c:pt>
                <c:pt idx="995">
                  <c:v>1.000164379598611</c:v>
                </c:pt>
                <c:pt idx="996">
                  <c:v>1.001729723299325</c:v>
                </c:pt>
                <c:pt idx="997">
                  <c:v>1.001127064461151</c:v>
                </c:pt>
                <c:pt idx="998">
                  <c:v>0.99883612734238525</c:v>
                </c:pt>
                <c:pt idx="999">
                  <c:v>1.0026220700244006</c:v>
                </c:pt>
                <c:pt idx="1000">
                  <c:v>1.0009302992841533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21-4917-8850-8B4F4456D11D}"/>
            </c:ext>
          </c:extLst>
        </c:ser>
        <c:ser>
          <c:idx val="1"/>
          <c:order val="1"/>
          <c:tx>
            <c:strRef>
              <c:f>Лист3!$M$1</c:f>
              <c:strCache>
                <c:ptCount val="1"/>
                <c:pt idx="0">
                  <c:v>g(nT0)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Лист3!$M$2:$M$1002</c:f>
              <c:numCache>
                <c:formatCode>0.000</c:formatCode>
                <c:ptCount val="10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10</c:v>
                </c:pt>
                <c:pt idx="77">
                  <c:v>10</c:v>
                </c:pt>
                <c:pt idx="78">
                  <c:v>10</c:v>
                </c:pt>
                <c:pt idx="79">
                  <c:v>10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10</c:v>
                </c:pt>
                <c:pt idx="129">
                  <c:v>10</c:v>
                </c:pt>
                <c:pt idx="130">
                  <c:v>10</c:v>
                </c:pt>
                <c:pt idx="131">
                  <c:v>10</c:v>
                </c:pt>
                <c:pt idx="132">
                  <c:v>10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10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10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10</c:v>
                </c:pt>
                <c:pt idx="203">
                  <c:v>10</c:v>
                </c:pt>
                <c:pt idx="204">
                  <c:v>10</c:v>
                </c:pt>
                <c:pt idx="205">
                  <c:v>10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10</c:v>
                </c:pt>
                <c:pt idx="214">
                  <c:v>10</c:v>
                </c:pt>
                <c:pt idx="215">
                  <c:v>10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10</c:v>
                </c:pt>
                <c:pt idx="241">
                  <c:v>10</c:v>
                </c:pt>
                <c:pt idx="242">
                  <c:v>10</c:v>
                </c:pt>
                <c:pt idx="243">
                  <c:v>10</c:v>
                </c:pt>
                <c:pt idx="244">
                  <c:v>10</c:v>
                </c:pt>
                <c:pt idx="245">
                  <c:v>10</c:v>
                </c:pt>
                <c:pt idx="246">
                  <c:v>10</c:v>
                </c:pt>
                <c:pt idx="247">
                  <c:v>10</c:v>
                </c:pt>
                <c:pt idx="248">
                  <c:v>10</c:v>
                </c:pt>
                <c:pt idx="249">
                  <c:v>10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10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10</c:v>
                </c:pt>
                <c:pt idx="334">
                  <c:v>10</c:v>
                </c:pt>
                <c:pt idx="335">
                  <c:v>10</c:v>
                </c:pt>
                <c:pt idx="336">
                  <c:v>10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10</c:v>
                </c:pt>
                <c:pt idx="347">
                  <c:v>10</c:v>
                </c:pt>
                <c:pt idx="348">
                  <c:v>10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10</c:v>
                </c:pt>
                <c:pt idx="363">
                  <c:v>10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10</c:v>
                </c:pt>
                <c:pt idx="368">
                  <c:v>10</c:v>
                </c:pt>
                <c:pt idx="369">
                  <c:v>10</c:v>
                </c:pt>
                <c:pt idx="370">
                  <c:v>10</c:v>
                </c:pt>
                <c:pt idx="371">
                  <c:v>10</c:v>
                </c:pt>
                <c:pt idx="372">
                  <c:v>10</c:v>
                </c:pt>
                <c:pt idx="373">
                  <c:v>10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10</c:v>
                </c:pt>
                <c:pt idx="378">
                  <c:v>10</c:v>
                </c:pt>
                <c:pt idx="379">
                  <c:v>10</c:v>
                </c:pt>
                <c:pt idx="380">
                  <c:v>10</c:v>
                </c:pt>
                <c:pt idx="381">
                  <c:v>10</c:v>
                </c:pt>
                <c:pt idx="382">
                  <c:v>10</c:v>
                </c:pt>
                <c:pt idx="383">
                  <c:v>10</c:v>
                </c:pt>
                <c:pt idx="384">
                  <c:v>10</c:v>
                </c:pt>
                <c:pt idx="385">
                  <c:v>10</c:v>
                </c:pt>
                <c:pt idx="386">
                  <c:v>10</c:v>
                </c:pt>
                <c:pt idx="387">
                  <c:v>10</c:v>
                </c:pt>
                <c:pt idx="388">
                  <c:v>10</c:v>
                </c:pt>
                <c:pt idx="389">
                  <c:v>10</c:v>
                </c:pt>
                <c:pt idx="390">
                  <c:v>10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10</c:v>
                </c:pt>
                <c:pt idx="405">
                  <c:v>10</c:v>
                </c:pt>
                <c:pt idx="406">
                  <c:v>10</c:v>
                </c:pt>
                <c:pt idx="407">
                  <c:v>10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10</c:v>
                </c:pt>
                <c:pt idx="412">
                  <c:v>10</c:v>
                </c:pt>
                <c:pt idx="413">
                  <c:v>10</c:v>
                </c:pt>
                <c:pt idx="414">
                  <c:v>10</c:v>
                </c:pt>
                <c:pt idx="415">
                  <c:v>10</c:v>
                </c:pt>
                <c:pt idx="416">
                  <c:v>10</c:v>
                </c:pt>
                <c:pt idx="417">
                  <c:v>10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10</c:v>
                </c:pt>
                <c:pt idx="423">
                  <c:v>10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10</c:v>
                </c:pt>
                <c:pt idx="428">
                  <c:v>10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10</c:v>
                </c:pt>
                <c:pt idx="433">
                  <c:v>10</c:v>
                </c:pt>
                <c:pt idx="434">
                  <c:v>10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10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10</c:v>
                </c:pt>
                <c:pt idx="443">
                  <c:v>10</c:v>
                </c:pt>
                <c:pt idx="444">
                  <c:v>10</c:v>
                </c:pt>
                <c:pt idx="445">
                  <c:v>10</c:v>
                </c:pt>
                <c:pt idx="446">
                  <c:v>10</c:v>
                </c:pt>
                <c:pt idx="447">
                  <c:v>10</c:v>
                </c:pt>
                <c:pt idx="448">
                  <c:v>10</c:v>
                </c:pt>
                <c:pt idx="449">
                  <c:v>10</c:v>
                </c:pt>
                <c:pt idx="450">
                  <c:v>10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</c:v>
                </c:pt>
                <c:pt idx="455">
                  <c:v>10</c:v>
                </c:pt>
                <c:pt idx="456">
                  <c:v>10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</c:v>
                </c:pt>
                <c:pt idx="461">
                  <c:v>10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10</c:v>
                </c:pt>
                <c:pt idx="466">
                  <c:v>10</c:v>
                </c:pt>
                <c:pt idx="467">
                  <c:v>10</c:v>
                </c:pt>
                <c:pt idx="468">
                  <c:v>10</c:v>
                </c:pt>
                <c:pt idx="469">
                  <c:v>10</c:v>
                </c:pt>
                <c:pt idx="470">
                  <c:v>10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10</c:v>
                </c:pt>
                <c:pt idx="478">
                  <c:v>10</c:v>
                </c:pt>
                <c:pt idx="479">
                  <c:v>10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10</c:v>
                </c:pt>
                <c:pt idx="499">
                  <c:v>10</c:v>
                </c:pt>
                <c:pt idx="500">
                  <c:v>10</c:v>
                </c:pt>
                <c:pt idx="501">
                  <c:v>10</c:v>
                </c:pt>
                <c:pt idx="502">
                  <c:v>10</c:v>
                </c:pt>
                <c:pt idx="503">
                  <c:v>10</c:v>
                </c:pt>
                <c:pt idx="504">
                  <c:v>10</c:v>
                </c:pt>
                <c:pt idx="505">
                  <c:v>10</c:v>
                </c:pt>
                <c:pt idx="506">
                  <c:v>10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10</c:v>
                </c:pt>
                <c:pt idx="511">
                  <c:v>10</c:v>
                </c:pt>
                <c:pt idx="512">
                  <c:v>10</c:v>
                </c:pt>
                <c:pt idx="513">
                  <c:v>10</c:v>
                </c:pt>
                <c:pt idx="514">
                  <c:v>10</c:v>
                </c:pt>
                <c:pt idx="515">
                  <c:v>10</c:v>
                </c:pt>
                <c:pt idx="516">
                  <c:v>10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</c:v>
                </c:pt>
                <c:pt idx="521">
                  <c:v>10</c:v>
                </c:pt>
                <c:pt idx="522">
                  <c:v>10</c:v>
                </c:pt>
                <c:pt idx="523">
                  <c:v>10</c:v>
                </c:pt>
                <c:pt idx="524">
                  <c:v>10</c:v>
                </c:pt>
                <c:pt idx="525">
                  <c:v>10</c:v>
                </c:pt>
                <c:pt idx="526">
                  <c:v>10</c:v>
                </c:pt>
                <c:pt idx="527">
                  <c:v>10</c:v>
                </c:pt>
                <c:pt idx="528">
                  <c:v>10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10</c:v>
                </c:pt>
                <c:pt idx="535">
                  <c:v>10</c:v>
                </c:pt>
                <c:pt idx="536">
                  <c:v>10</c:v>
                </c:pt>
                <c:pt idx="537">
                  <c:v>10</c:v>
                </c:pt>
                <c:pt idx="538">
                  <c:v>10</c:v>
                </c:pt>
                <c:pt idx="539">
                  <c:v>10</c:v>
                </c:pt>
                <c:pt idx="540">
                  <c:v>10</c:v>
                </c:pt>
                <c:pt idx="541">
                  <c:v>10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10</c:v>
                </c:pt>
                <c:pt idx="551">
                  <c:v>10</c:v>
                </c:pt>
                <c:pt idx="552">
                  <c:v>10</c:v>
                </c:pt>
                <c:pt idx="553">
                  <c:v>10</c:v>
                </c:pt>
                <c:pt idx="554">
                  <c:v>10</c:v>
                </c:pt>
                <c:pt idx="555">
                  <c:v>10</c:v>
                </c:pt>
                <c:pt idx="556">
                  <c:v>10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10</c:v>
                </c:pt>
                <c:pt idx="561">
                  <c:v>10</c:v>
                </c:pt>
                <c:pt idx="562">
                  <c:v>10</c:v>
                </c:pt>
                <c:pt idx="563">
                  <c:v>10</c:v>
                </c:pt>
                <c:pt idx="564">
                  <c:v>10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10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10</c:v>
                </c:pt>
                <c:pt idx="581">
                  <c:v>10</c:v>
                </c:pt>
                <c:pt idx="582">
                  <c:v>10</c:v>
                </c:pt>
                <c:pt idx="583">
                  <c:v>10</c:v>
                </c:pt>
                <c:pt idx="584">
                  <c:v>10</c:v>
                </c:pt>
                <c:pt idx="585">
                  <c:v>10</c:v>
                </c:pt>
                <c:pt idx="586">
                  <c:v>10</c:v>
                </c:pt>
                <c:pt idx="587">
                  <c:v>10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10</c:v>
                </c:pt>
                <c:pt idx="597">
                  <c:v>10</c:v>
                </c:pt>
                <c:pt idx="598">
                  <c:v>10</c:v>
                </c:pt>
                <c:pt idx="599">
                  <c:v>10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21-4917-8850-8B4F4456D11D}"/>
            </c:ext>
          </c:extLst>
        </c:ser>
        <c:ser>
          <c:idx val="2"/>
          <c:order val="2"/>
          <c:tx>
            <c:strRef>
              <c:f>Лист3!$Q$1</c:f>
              <c:strCache>
                <c:ptCount val="1"/>
                <c:pt idx="0">
                  <c:v>f(t)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Лист3!$Q$2:$Q$1002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21-4917-8850-8B4F4456D11D}"/>
            </c:ext>
          </c:extLst>
        </c:ser>
        <c:ser>
          <c:idx val="3"/>
          <c:order val="3"/>
          <c:tx>
            <c:strRef>
              <c:f>Лист3!$X$1</c:f>
              <c:strCache>
                <c:ptCount val="1"/>
                <c:pt idx="0">
                  <c:v>Граница верх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Лист3!$X$2:$X$1002</c:f>
              <c:numCache>
                <c:formatCode>0.000</c:formatCode>
                <c:ptCount val="1001"/>
                <c:pt idx="0">
                  <c:v>1.05</c:v>
                </c:pt>
                <c:pt idx="1">
                  <c:v>1.05</c:v>
                </c:pt>
                <c:pt idx="2">
                  <c:v>1.05</c:v>
                </c:pt>
                <c:pt idx="3">
                  <c:v>1.05</c:v>
                </c:pt>
                <c:pt idx="4">
                  <c:v>1.05</c:v>
                </c:pt>
                <c:pt idx="5">
                  <c:v>1.05</c:v>
                </c:pt>
                <c:pt idx="6">
                  <c:v>1.05</c:v>
                </c:pt>
                <c:pt idx="7">
                  <c:v>1.05</c:v>
                </c:pt>
                <c:pt idx="8">
                  <c:v>1.05</c:v>
                </c:pt>
                <c:pt idx="9">
                  <c:v>1.05</c:v>
                </c:pt>
                <c:pt idx="10">
                  <c:v>1.05</c:v>
                </c:pt>
                <c:pt idx="11">
                  <c:v>1.05</c:v>
                </c:pt>
                <c:pt idx="12">
                  <c:v>1.05</c:v>
                </c:pt>
                <c:pt idx="13">
                  <c:v>1.05</c:v>
                </c:pt>
                <c:pt idx="14">
                  <c:v>1.05</c:v>
                </c:pt>
                <c:pt idx="15">
                  <c:v>1.05</c:v>
                </c:pt>
                <c:pt idx="16">
                  <c:v>1.05</c:v>
                </c:pt>
                <c:pt idx="17">
                  <c:v>1.05</c:v>
                </c:pt>
                <c:pt idx="18">
                  <c:v>1.05</c:v>
                </c:pt>
                <c:pt idx="19">
                  <c:v>1.05</c:v>
                </c:pt>
                <c:pt idx="20">
                  <c:v>1.05</c:v>
                </c:pt>
                <c:pt idx="21">
                  <c:v>1.05</c:v>
                </c:pt>
                <c:pt idx="22">
                  <c:v>1.05</c:v>
                </c:pt>
                <c:pt idx="23">
                  <c:v>1.05</c:v>
                </c:pt>
                <c:pt idx="24">
                  <c:v>1.05</c:v>
                </c:pt>
                <c:pt idx="25">
                  <c:v>1.05</c:v>
                </c:pt>
                <c:pt idx="26">
                  <c:v>1.05</c:v>
                </c:pt>
                <c:pt idx="27">
                  <c:v>1.05</c:v>
                </c:pt>
                <c:pt idx="28">
                  <c:v>1.05</c:v>
                </c:pt>
                <c:pt idx="29">
                  <c:v>1.05</c:v>
                </c:pt>
                <c:pt idx="30">
                  <c:v>1.05</c:v>
                </c:pt>
                <c:pt idx="31">
                  <c:v>1.05</c:v>
                </c:pt>
                <c:pt idx="32">
                  <c:v>1.05</c:v>
                </c:pt>
                <c:pt idx="33">
                  <c:v>1.05</c:v>
                </c:pt>
                <c:pt idx="34">
                  <c:v>1.05</c:v>
                </c:pt>
                <c:pt idx="35">
                  <c:v>1.05</c:v>
                </c:pt>
                <c:pt idx="36">
                  <c:v>1.05</c:v>
                </c:pt>
                <c:pt idx="37">
                  <c:v>1.05</c:v>
                </c:pt>
                <c:pt idx="38">
                  <c:v>1.05</c:v>
                </c:pt>
                <c:pt idx="39">
                  <c:v>1.05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10.5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10.5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10.5</c:v>
                </c:pt>
                <c:pt idx="78">
                  <c:v>10.5</c:v>
                </c:pt>
                <c:pt idx="79">
                  <c:v>10.5</c:v>
                </c:pt>
                <c:pt idx="80">
                  <c:v>10.5</c:v>
                </c:pt>
                <c:pt idx="81">
                  <c:v>10.5</c:v>
                </c:pt>
                <c:pt idx="82">
                  <c:v>10.5</c:v>
                </c:pt>
                <c:pt idx="83">
                  <c:v>10.5</c:v>
                </c:pt>
                <c:pt idx="84">
                  <c:v>10.5</c:v>
                </c:pt>
                <c:pt idx="85">
                  <c:v>10.5</c:v>
                </c:pt>
                <c:pt idx="86">
                  <c:v>10.5</c:v>
                </c:pt>
                <c:pt idx="87">
                  <c:v>10.5</c:v>
                </c:pt>
                <c:pt idx="88">
                  <c:v>10.5</c:v>
                </c:pt>
                <c:pt idx="89">
                  <c:v>10.5</c:v>
                </c:pt>
                <c:pt idx="90">
                  <c:v>10.5</c:v>
                </c:pt>
                <c:pt idx="91">
                  <c:v>10.5</c:v>
                </c:pt>
                <c:pt idx="92">
                  <c:v>10.5</c:v>
                </c:pt>
                <c:pt idx="93">
                  <c:v>10.5</c:v>
                </c:pt>
                <c:pt idx="94">
                  <c:v>10.5</c:v>
                </c:pt>
                <c:pt idx="95">
                  <c:v>10.5</c:v>
                </c:pt>
                <c:pt idx="96">
                  <c:v>10.5</c:v>
                </c:pt>
                <c:pt idx="97">
                  <c:v>10.5</c:v>
                </c:pt>
                <c:pt idx="98">
                  <c:v>10.5</c:v>
                </c:pt>
                <c:pt idx="99">
                  <c:v>10.5</c:v>
                </c:pt>
                <c:pt idx="100">
                  <c:v>10.5</c:v>
                </c:pt>
                <c:pt idx="101">
                  <c:v>10.5</c:v>
                </c:pt>
                <c:pt idx="102">
                  <c:v>10.5</c:v>
                </c:pt>
                <c:pt idx="103">
                  <c:v>10.5</c:v>
                </c:pt>
                <c:pt idx="104">
                  <c:v>10.5</c:v>
                </c:pt>
                <c:pt idx="105">
                  <c:v>10.5</c:v>
                </c:pt>
                <c:pt idx="106">
                  <c:v>10.5</c:v>
                </c:pt>
                <c:pt idx="107">
                  <c:v>10.5</c:v>
                </c:pt>
                <c:pt idx="108">
                  <c:v>10.5</c:v>
                </c:pt>
                <c:pt idx="109">
                  <c:v>10.5</c:v>
                </c:pt>
                <c:pt idx="110">
                  <c:v>10.5</c:v>
                </c:pt>
                <c:pt idx="111">
                  <c:v>10.5</c:v>
                </c:pt>
                <c:pt idx="112">
                  <c:v>10.5</c:v>
                </c:pt>
                <c:pt idx="113">
                  <c:v>10.5</c:v>
                </c:pt>
                <c:pt idx="114">
                  <c:v>10.5</c:v>
                </c:pt>
                <c:pt idx="115">
                  <c:v>10.5</c:v>
                </c:pt>
                <c:pt idx="116">
                  <c:v>10.5</c:v>
                </c:pt>
                <c:pt idx="117">
                  <c:v>10.5</c:v>
                </c:pt>
                <c:pt idx="118">
                  <c:v>10.5</c:v>
                </c:pt>
                <c:pt idx="119">
                  <c:v>10.5</c:v>
                </c:pt>
                <c:pt idx="120">
                  <c:v>10.5</c:v>
                </c:pt>
                <c:pt idx="121">
                  <c:v>10.5</c:v>
                </c:pt>
                <c:pt idx="122">
                  <c:v>10.5</c:v>
                </c:pt>
                <c:pt idx="123">
                  <c:v>10.5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10.5</c:v>
                </c:pt>
                <c:pt idx="143">
                  <c:v>10.5</c:v>
                </c:pt>
                <c:pt idx="144">
                  <c:v>10.5</c:v>
                </c:pt>
                <c:pt idx="145">
                  <c:v>10.5</c:v>
                </c:pt>
                <c:pt idx="146">
                  <c:v>10.5</c:v>
                </c:pt>
                <c:pt idx="147">
                  <c:v>10.5</c:v>
                </c:pt>
                <c:pt idx="148">
                  <c:v>10.5</c:v>
                </c:pt>
                <c:pt idx="149">
                  <c:v>10.5</c:v>
                </c:pt>
                <c:pt idx="150">
                  <c:v>10.5</c:v>
                </c:pt>
                <c:pt idx="151">
                  <c:v>10.5</c:v>
                </c:pt>
                <c:pt idx="152">
                  <c:v>10.5</c:v>
                </c:pt>
                <c:pt idx="153">
                  <c:v>10.5</c:v>
                </c:pt>
                <c:pt idx="154">
                  <c:v>10.5</c:v>
                </c:pt>
                <c:pt idx="155">
                  <c:v>10.5</c:v>
                </c:pt>
                <c:pt idx="156">
                  <c:v>10.5</c:v>
                </c:pt>
                <c:pt idx="157">
                  <c:v>10.5</c:v>
                </c:pt>
                <c:pt idx="158">
                  <c:v>10.5</c:v>
                </c:pt>
                <c:pt idx="159">
                  <c:v>10.5</c:v>
                </c:pt>
                <c:pt idx="160">
                  <c:v>10.5</c:v>
                </c:pt>
                <c:pt idx="161">
                  <c:v>10.5</c:v>
                </c:pt>
                <c:pt idx="162">
                  <c:v>10.5</c:v>
                </c:pt>
                <c:pt idx="163">
                  <c:v>10.5</c:v>
                </c:pt>
                <c:pt idx="164">
                  <c:v>10.5</c:v>
                </c:pt>
                <c:pt idx="165">
                  <c:v>10.5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10.5</c:v>
                </c:pt>
                <c:pt idx="177">
                  <c:v>10.5</c:v>
                </c:pt>
                <c:pt idx="178">
                  <c:v>10.5</c:v>
                </c:pt>
                <c:pt idx="179">
                  <c:v>10.5</c:v>
                </c:pt>
                <c:pt idx="180">
                  <c:v>10.5</c:v>
                </c:pt>
                <c:pt idx="181">
                  <c:v>10.5</c:v>
                </c:pt>
                <c:pt idx="182">
                  <c:v>10.5</c:v>
                </c:pt>
                <c:pt idx="183">
                  <c:v>10.5</c:v>
                </c:pt>
                <c:pt idx="184">
                  <c:v>10.5</c:v>
                </c:pt>
                <c:pt idx="185">
                  <c:v>10.5</c:v>
                </c:pt>
                <c:pt idx="186">
                  <c:v>10.5</c:v>
                </c:pt>
                <c:pt idx="187">
                  <c:v>10.5</c:v>
                </c:pt>
                <c:pt idx="188">
                  <c:v>10.5</c:v>
                </c:pt>
                <c:pt idx="189">
                  <c:v>10.5</c:v>
                </c:pt>
                <c:pt idx="190">
                  <c:v>10.5</c:v>
                </c:pt>
                <c:pt idx="191">
                  <c:v>10.5</c:v>
                </c:pt>
                <c:pt idx="192">
                  <c:v>10.5</c:v>
                </c:pt>
                <c:pt idx="193">
                  <c:v>10.5</c:v>
                </c:pt>
                <c:pt idx="194">
                  <c:v>10.5</c:v>
                </c:pt>
                <c:pt idx="195">
                  <c:v>10.5</c:v>
                </c:pt>
                <c:pt idx="196">
                  <c:v>10.5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10.5</c:v>
                </c:pt>
                <c:pt idx="203">
                  <c:v>10.5</c:v>
                </c:pt>
                <c:pt idx="204">
                  <c:v>10.5</c:v>
                </c:pt>
                <c:pt idx="205">
                  <c:v>10.5</c:v>
                </c:pt>
                <c:pt idx="206">
                  <c:v>10.5</c:v>
                </c:pt>
                <c:pt idx="207">
                  <c:v>10.5</c:v>
                </c:pt>
                <c:pt idx="208">
                  <c:v>10.5</c:v>
                </c:pt>
                <c:pt idx="209">
                  <c:v>10.5</c:v>
                </c:pt>
                <c:pt idx="210">
                  <c:v>10.5</c:v>
                </c:pt>
                <c:pt idx="211">
                  <c:v>10.5</c:v>
                </c:pt>
                <c:pt idx="212">
                  <c:v>10.5</c:v>
                </c:pt>
                <c:pt idx="213">
                  <c:v>10.5</c:v>
                </c:pt>
                <c:pt idx="214">
                  <c:v>10.5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10.5</c:v>
                </c:pt>
                <c:pt idx="232">
                  <c:v>10.5</c:v>
                </c:pt>
                <c:pt idx="233">
                  <c:v>10.5</c:v>
                </c:pt>
                <c:pt idx="234">
                  <c:v>10.5</c:v>
                </c:pt>
                <c:pt idx="235">
                  <c:v>10.5</c:v>
                </c:pt>
                <c:pt idx="236">
                  <c:v>10.5</c:v>
                </c:pt>
                <c:pt idx="237">
                  <c:v>10.5</c:v>
                </c:pt>
                <c:pt idx="238">
                  <c:v>10.5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10.5</c:v>
                </c:pt>
                <c:pt idx="243">
                  <c:v>10.5</c:v>
                </c:pt>
                <c:pt idx="244">
                  <c:v>10.5</c:v>
                </c:pt>
                <c:pt idx="245">
                  <c:v>10.5</c:v>
                </c:pt>
                <c:pt idx="246">
                  <c:v>10.5</c:v>
                </c:pt>
                <c:pt idx="247">
                  <c:v>10.5</c:v>
                </c:pt>
                <c:pt idx="248">
                  <c:v>10.5</c:v>
                </c:pt>
                <c:pt idx="249">
                  <c:v>10.5</c:v>
                </c:pt>
                <c:pt idx="250">
                  <c:v>10.5</c:v>
                </c:pt>
                <c:pt idx="251">
                  <c:v>10.5</c:v>
                </c:pt>
                <c:pt idx="252">
                  <c:v>10.5</c:v>
                </c:pt>
                <c:pt idx="253">
                  <c:v>10.5</c:v>
                </c:pt>
                <c:pt idx="254">
                  <c:v>10.5</c:v>
                </c:pt>
                <c:pt idx="255">
                  <c:v>10.5</c:v>
                </c:pt>
                <c:pt idx="256">
                  <c:v>10.5</c:v>
                </c:pt>
                <c:pt idx="257">
                  <c:v>10.5</c:v>
                </c:pt>
                <c:pt idx="258">
                  <c:v>10.5</c:v>
                </c:pt>
                <c:pt idx="259">
                  <c:v>10.5</c:v>
                </c:pt>
                <c:pt idx="260">
                  <c:v>10.5</c:v>
                </c:pt>
                <c:pt idx="261">
                  <c:v>10.5</c:v>
                </c:pt>
                <c:pt idx="262">
                  <c:v>10.5</c:v>
                </c:pt>
                <c:pt idx="263">
                  <c:v>10.5</c:v>
                </c:pt>
                <c:pt idx="264">
                  <c:v>10.5</c:v>
                </c:pt>
                <c:pt idx="265">
                  <c:v>10.5</c:v>
                </c:pt>
                <c:pt idx="266">
                  <c:v>10.5</c:v>
                </c:pt>
                <c:pt idx="267">
                  <c:v>10.5</c:v>
                </c:pt>
                <c:pt idx="268">
                  <c:v>10.5</c:v>
                </c:pt>
                <c:pt idx="269">
                  <c:v>10.5</c:v>
                </c:pt>
                <c:pt idx="270">
                  <c:v>10.5</c:v>
                </c:pt>
                <c:pt idx="271">
                  <c:v>10.5</c:v>
                </c:pt>
                <c:pt idx="272">
                  <c:v>10.5</c:v>
                </c:pt>
                <c:pt idx="273">
                  <c:v>10.5</c:v>
                </c:pt>
                <c:pt idx="274">
                  <c:v>10.5</c:v>
                </c:pt>
                <c:pt idx="275">
                  <c:v>10.5</c:v>
                </c:pt>
                <c:pt idx="276">
                  <c:v>10.5</c:v>
                </c:pt>
                <c:pt idx="277">
                  <c:v>10.5</c:v>
                </c:pt>
                <c:pt idx="278">
                  <c:v>10.5</c:v>
                </c:pt>
                <c:pt idx="279">
                  <c:v>10.5</c:v>
                </c:pt>
                <c:pt idx="280">
                  <c:v>10.5</c:v>
                </c:pt>
                <c:pt idx="281">
                  <c:v>10.5</c:v>
                </c:pt>
                <c:pt idx="282">
                  <c:v>10.5</c:v>
                </c:pt>
                <c:pt idx="283">
                  <c:v>10.5</c:v>
                </c:pt>
                <c:pt idx="284">
                  <c:v>10.5</c:v>
                </c:pt>
                <c:pt idx="285">
                  <c:v>10.5</c:v>
                </c:pt>
                <c:pt idx="286">
                  <c:v>10.5</c:v>
                </c:pt>
                <c:pt idx="287">
                  <c:v>10.5</c:v>
                </c:pt>
                <c:pt idx="288">
                  <c:v>10.5</c:v>
                </c:pt>
                <c:pt idx="289">
                  <c:v>10.5</c:v>
                </c:pt>
                <c:pt idx="290">
                  <c:v>10.5</c:v>
                </c:pt>
                <c:pt idx="291">
                  <c:v>10.5</c:v>
                </c:pt>
                <c:pt idx="292">
                  <c:v>10.5</c:v>
                </c:pt>
                <c:pt idx="293">
                  <c:v>10.5</c:v>
                </c:pt>
                <c:pt idx="294">
                  <c:v>10.5</c:v>
                </c:pt>
                <c:pt idx="295">
                  <c:v>10.5</c:v>
                </c:pt>
                <c:pt idx="296">
                  <c:v>10.5</c:v>
                </c:pt>
                <c:pt idx="297">
                  <c:v>10.5</c:v>
                </c:pt>
                <c:pt idx="298">
                  <c:v>10.5</c:v>
                </c:pt>
                <c:pt idx="299">
                  <c:v>10.5</c:v>
                </c:pt>
                <c:pt idx="300">
                  <c:v>10.5</c:v>
                </c:pt>
                <c:pt idx="301">
                  <c:v>10.5</c:v>
                </c:pt>
                <c:pt idx="302">
                  <c:v>10.5</c:v>
                </c:pt>
                <c:pt idx="303">
                  <c:v>10.5</c:v>
                </c:pt>
                <c:pt idx="304">
                  <c:v>10.5</c:v>
                </c:pt>
                <c:pt idx="305">
                  <c:v>10.5</c:v>
                </c:pt>
                <c:pt idx="306">
                  <c:v>10.5</c:v>
                </c:pt>
                <c:pt idx="307">
                  <c:v>10.5</c:v>
                </c:pt>
                <c:pt idx="308">
                  <c:v>10.5</c:v>
                </c:pt>
                <c:pt idx="309">
                  <c:v>10.5</c:v>
                </c:pt>
                <c:pt idx="310">
                  <c:v>10.5</c:v>
                </c:pt>
                <c:pt idx="311">
                  <c:v>10.5</c:v>
                </c:pt>
                <c:pt idx="312">
                  <c:v>10.5</c:v>
                </c:pt>
                <c:pt idx="313">
                  <c:v>10.5</c:v>
                </c:pt>
                <c:pt idx="314">
                  <c:v>10.5</c:v>
                </c:pt>
                <c:pt idx="315">
                  <c:v>10.5</c:v>
                </c:pt>
                <c:pt idx="316">
                  <c:v>10.5</c:v>
                </c:pt>
                <c:pt idx="317">
                  <c:v>10.5</c:v>
                </c:pt>
                <c:pt idx="318">
                  <c:v>10.5</c:v>
                </c:pt>
                <c:pt idx="319">
                  <c:v>10.5</c:v>
                </c:pt>
                <c:pt idx="320">
                  <c:v>10.5</c:v>
                </c:pt>
                <c:pt idx="321">
                  <c:v>10.5</c:v>
                </c:pt>
                <c:pt idx="322">
                  <c:v>10.5</c:v>
                </c:pt>
                <c:pt idx="323">
                  <c:v>10.5</c:v>
                </c:pt>
                <c:pt idx="324">
                  <c:v>10.5</c:v>
                </c:pt>
                <c:pt idx="325">
                  <c:v>10.5</c:v>
                </c:pt>
                <c:pt idx="326">
                  <c:v>10.5</c:v>
                </c:pt>
                <c:pt idx="327">
                  <c:v>10.5</c:v>
                </c:pt>
                <c:pt idx="328">
                  <c:v>10.5</c:v>
                </c:pt>
                <c:pt idx="329">
                  <c:v>10.5</c:v>
                </c:pt>
                <c:pt idx="330">
                  <c:v>10.5</c:v>
                </c:pt>
                <c:pt idx="331">
                  <c:v>10.5</c:v>
                </c:pt>
                <c:pt idx="332">
                  <c:v>10.5</c:v>
                </c:pt>
                <c:pt idx="333">
                  <c:v>10.5</c:v>
                </c:pt>
                <c:pt idx="334">
                  <c:v>10.5</c:v>
                </c:pt>
                <c:pt idx="335">
                  <c:v>10.5</c:v>
                </c:pt>
                <c:pt idx="336">
                  <c:v>10.5</c:v>
                </c:pt>
                <c:pt idx="337">
                  <c:v>10.5</c:v>
                </c:pt>
                <c:pt idx="338">
                  <c:v>10.5</c:v>
                </c:pt>
                <c:pt idx="339">
                  <c:v>10.5</c:v>
                </c:pt>
                <c:pt idx="340">
                  <c:v>10.5</c:v>
                </c:pt>
                <c:pt idx="341">
                  <c:v>10.5</c:v>
                </c:pt>
                <c:pt idx="342">
                  <c:v>10.5</c:v>
                </c:pt>
                <c:pt idx="343">
                  <c:v>10.5</c:v>
                </c:pt>
                <c:pt idx="344">
                  <c:v>10.5</c:v>
                </c:pt>
                <c:pt idx="345">
                  <c:v>10.5</c:v>
                </c:pt>
                <c:pt idx="346">
                  <c:v>10.5</c:v>
                </c:pt>
                <c:pt idx="347">
                  <c:v>10.5</c:v>
                </c:pt>
                <c:pt idx="348">
                  <c:v>10.5</c:v>
                </c:pt>
                <c:pt idx="349">
                  <c:v>10.5</c:v>
                </c:pt>
                <c:pt idx="350">
                  <c:v>10.5</c:v>
                </c:pt>
                <c:pt idx="351">
                  <c:v>10.5</c:v>
                </c:pt>
                <c:pt idx="352">
                  <c:v>10.5</c:v>
                </c:pt>
                <c:pt idx="353">
                  <c:v>10.5</c:v>
                </c:pt>
                <c:pt idx="354">
                  <c:v>10.5</c:v>
                </c:pt>
                <c:pt idx="355">
                  <c:v>10.5</c:v>
                </c:pt>
                <c:pt idx="356">
                  <c:v>10.5</c:v>
                </c:pt>
                <c:pt idx="357">
                  <c:v>10.5</c:v>
                </c:pt>
                <c:pt idx="358">
                  <c:v>10.5</c:v>
                </c:pt>
                <c:pt idx="359">
                  <c:v>10.5</c:v>
                </c:pt>
                <c:pt idx="360">
                  <c:v>10.5</c:v>
                </c:pt>
                <c:pt idx="361">
                  <c:v>10.5</c:v>
                </c:pt>
                <c:pt idx="362">
                  <c:v>10.5</c:v>
                </c:pt>
                <c:pt idx="363">
                  <c:v>10.5</c:v>
                </c:pt>
                <c:pt idx="364">
                  <c:v>10.5</c:v>
                </c:pt>
                <c:pt idx="365">
                  <c:v>10.5</c:v>
                </c:pt>
                <c:pt idx="366">
                  <c:v>10.5</c:v>
                </c:pt>
                <c:pt idx="367">
                  <c:v>10.5</c:v>
                </c:pt>
                <c:pt idx="368">
                  <c:v>10.5</c:v>
                </c:pt>
                <c:pt idx="369">
                  <c:v>10.5</c:v>
                </c:pt>
                <c:pt idx="370">
                  <c:v>10.5</c:v>
                </c:pt>
                <c:pt idx="371">
                  <c:v>10.5</c:v>
                </c:pt>
                <c:pt idx="372">
                  <c:v>10.5</c:v>
                </c:pt>
                <c:pt idx="373">
                  <c:v>10.5</c:v>
                </c:pt>
                <c:pt idx="374">
                  <c:v>10.5</c:v>
                </c:pt>
                <c:pt idx="375">
                  <c:v>10.5</c:v>
                </c:pt>
                <c:pt idx="376">
                  <c:v>10.5</c:v>
                </c:pt>
                <c:pt idx="377">
                  <c:v>10.5</c:v>
                </c:pt>
                <c:pt idx="378">
                  <c:v>10.5</c:v>
                </c:pt>
                <c:pt idx="379">
                  <c:v>10.5</c:v>
                </c:pt>
                <c:pt idx="380">
                  <c:v>10.5</c:v>
                </c:pt>
                <c:pt idx="381">
                  <c:v>10.5</c:v>
                </c:pt>
                <c:pt idx="382">
                  <c:v>10.5</c:v>
                </c:pt>
                <c:pt idx="383">
                  <c:v>10.5</c:v>
                </c:pt>
                <c:pt idx="384">
                  <c:v>10.5</c:v>
                </c:pt>
                <c:pt idx="385">
                  <c:v>10.5</c:v>
                </c:pt>
                <c:pt idx="386">
                  <c:v>10.5</c:v>
                </c:pt>
                <c:pt idx="387">
                  <c:v>10.5</c:v>
                </c:pt>
                <c:pt idx="388">
                  <c:v>10.5</c:v>
                </c:pt>
                <c:pt idx="389">
                  <c:v>10.5</c:v>
                </c:pt>
                <c:pt idx="390">
                  <c:v>10.5</c:v>
                </c:pt>
                <c:pt idx="391">
                  <c:v>10.5</c:v>
                </c:pt>
                <c:pt idx="392">
                  <c:v>10.5</c:v>
                </c:pt>
                <c:pt idx="393">
                  <c:v>10.5</c:v>
                </c:pt>
                <c:pt idx="394">
                  <c:v>10.5</c:v>
                </c:pt>
                <c:pt idx="395">
                  <c:v>10.5</c:v>
                </c:pt>
                <c:pt idx="396">
                  <c:v>10.5</c:v>
                </c:pt>
                <c:pt idx="397">
                  <c:v>10.5</c:v>
                </c:pt>
                <c:pt idx="398">
                  <c:v>10.5</c:v>
                </c:pt>
                <c:pt idx="399">
                  <c:v>10.5</c:v>
                </c:pt>
                <c:pt idx="400">
                  <c:v>10.5</c:v>
                </c:pt>
                <c:pt idx="401">
                  <c:v>10.5</c:v>
                </c:pt>
                <c:pt idx="402">
                  <c:v>10.5</c:v>
                </c:pt>
                <c:pt idx="403">
                  <c:v>10.5</c:v>
                </c:pt>
                <c:pt idx="404">
                  <c:v>10.5</c:v>
                </c:pt>
                <c:pt idx="405">
                  <c:v>10.5</c:v>
                </c:pt>
                <c:pt idx="406">
                  <c:v>10.5</c:v>
                </c:pt>
                <c:pt idx="407">
                  <c:v>10.5</c:v>
                </c:pt>
                <c:pt idx="408">
                  <c:v>10.5</c:v>
                </c:pt>
                <c:pt idx="409">
                  <c:v>10.5</c:v>
                </c:pt>
                <c:pt idx="410">
                  <c:v>10.5</c:v>
                </c:pt>
                <c:pt idx="411">
                  <c:v>10.5</c:v>
                </c:pt>
                <c:pt idx="412">
                  <c:v>10.5</c:v>
                </c:pt>
                <c:pt idx="413">
                  <c:v>10.5</c:v>
                </c:pt>
                <c:pt idx="414">
                  <c:v>10.5</c:v>
                </c:pt>
                <c:pt idx="415">
                  <c:v>10.5</c:v>
                </c:pt>
                <c:pt idx="416">
                  <c:v>10.5</c:v>
                </c:pt>
                <c:pt idx="417">
                  <c:v>10.5</c:v>
                </c:pt>
                <c:pt idx="418">
                  <c:v>10.5</c:v>
                </c:pt>
                <c:pt idx="419">
                  <c:v>10.5</c:v>
                </c:pt>
                <c:pt idx="420">
                  <c:v>10.5</c:v>
                </c:pt>
                <c:pt idx="421">
                  <c:v>10.5</c:v>
                </c:pt>
                <c:pt idx="422">
                  <c:v>10.5</c:v>
                </c:pt>
                <c:pt idx="423">
                  <c:v>10.5</c:v>
                </c:pt>
                <c:pt idx="424">
                  <c:v>10.5</c:v>
                </c:pt>
                <c:pt idx="425">
                  <c:v>10.5</c:v>
                </c:pt>
                <c:pt idx="426">
                  <c:v>10.5</c:v>
                </c:pt>
                <c:pt idx="427">
                  <c:v>10.5</c:v>
                </c:pt>
                <c:pt idx="428">
                  <c:v>10.5</c:v>
                </c:pt>
                <c:pt idx="429">
                  <c:v>10.5</c:v>
                </c:pt>
                <c:pt idx="430">
                  <c:v>10.5</c:v>
                </c:pt>
                <c:pt idx="431">
                  <c:v>10.5</c:v>
                </c:pt>
                <c:pt idx="432">
                  <c:v>10.5</c:v>
                </c:pt>
                <c:pt idx="433">
                  <c:v>10.5</c:v>
                </c:pt>
                <c:pt idx="434">
                  <c:v>10.5</c:v>
                </c:pt>
                <c:pt idx="435">
                  <c:v>10.5</c:v>
                </c:pt>
                <c:pt idx="436">
                  <c:v>10.5</c:v>
                </c:pt>
                <c:pt idx="437">
                  <c:v>10.5</c:v>
                </c:pt>
                <c:pt idx="438">
                  <c:v>10.5</c:v>
                </c:pt>
                <c:pt idx="439">
                  <c:v>10.5</c:v>
                </c:pt>
                <c:pt idx="440">
                  <c:v>10.5</c:v>
                </c:pt>
                <c:pt idx="441">
                  <c:v>10.5</c:v>
                </c:pt>
                <c:pt idx="442">
                  <c:v>10.5</c:v>
                </c:pt>
                <c:pt idx="443">
                  <c:v>10.5</c:v>
                </c:pt>
                <c:pt idx="444">
                  <c:v>10.5</c:v>
                </c:pt>
                <c:pt idx="445">
                  <c:v>10.5</c:v>
                </c:pt>
                <c:pt idx="446">
                  <c:v>10.5</c:v>
                </c:pt>
                <c:pt idx="447">
                  <c:v>10.5</c:v>
                </c:pt>
                <c:pt idx="448">
                  <c:v>10.5</c:v>
                </c:pt>
                <c:pt idx="449">
                  <c:v>10.5</c:v>
                </c:pt>
                <c:pt idx="450">
                  <c:v>10.5</c:v>
                </c:pt>
                <c:pt idx="451">
                  <c:v>10.5</c:v>
                </c:pt>
                <c:pt idx="452">
                  <c:v>10.5</c:v>
                </c:pt>
                <c:pt idx="453">
                  <c:v>10.5</c:v>
                </c:pt>
                <c:pt idx="454">
                  <c:v>10.5</c:v>
                </c:pt>
                <c:pt idx="455">
                  <c:v>10.5</c:v>
                </c:pt>
                <c:pt idx="456">
                  <c:v>10.5</c:v>
                </c:pt>
                <c:pt idx="457">
                  <c:v>10.5</c:v>
                </c:pt>
                <c:pt idx="458">
                  <c:v>10.5</c:v>
                </c:pt>
                <c:pt idx="459">
                  <c:v>10.5</c:v>
                </c:pt>
                <c:pt idx="460">
                  <c:v>10.5</c:v>
                </c:pt>
                <c:pt idx="461">
                  <c:v>10.5</c:v>
                </c:pt>
                <c:pt idx="462">
                  <c:v>10.5</c:v>
                </c:pt>
                <c:pt idx="463">
                  <c:v>10.5</c:v>
                </c:pt>
                <c:pt idx="464">
                  <c:v>10.5</c:v>
                </c:pt>
                <c:pt idx="465">
                  <c:v>10.5</c:v>
                </c:pt>
                <c:pt idx="466">
                  <c:v>10.5</c:v>
                </c:pt>
                <c:pt idx="467">
                  <c:v>10.5</c:v>
                </c:pt>
                <c:pt idx="468">
                  <c:v>10.5</c:v>
                </c:pt>
                <c:pt idx="469">
                  <c:v>10.5</c:v>
                </c:pt>
                <c:pt idx="470">
                  <c:v>10.5</c:v>
                </c:pt>
                <c:pt idx="471">
                  <c:v>10.5</c:v>
                </c:pt>
                <c:pt idx="472">
                  <c:v>10.5</c:v>
                </c:pt>
                <c:pt idx="473">
                  <c:v>10.5</c:v>
                </c:pt>
                <c:pt idx="474">
                  <c:v>10.5</c:v>
                </c:pt>
                <c:pt idx="475">
                  <c:v>10.5</c:v>
                </c:pt>
                <c:pt idx="476">
                  <c:v>10.5</c:v>
                </c:pt>
                <c:pt idx="477">
                  <c:v>10.5</c:v>
                </c:pt>
                <c:pt idx="478">
                  <c:v>10.5</c:v>
                </c:pt>
                <c:pt idx="479">
                  <c:v>10.5</c:v>
                </c:pt>
                <c:pt idx="480">
                  <c:v>10.5</c:v>
                </c:pt>
                <c:pt idx="481">
                  <c:v>10.5</c:v>
                </c:pt>
                <c:pt idx="482">
                  <c:v>10.5</c:v>
                </c:pt>
                <c:pt idx="483">
                  <c:v>10.5</c:v>
                </c:pt>
                <c:pt idx="484">
                  <c:v>10.5</c:v>
                </c:pt>
                <c:pt idx="485">
                  <c:v>10.5</c:v>
                </c:pt>
                <c:pt idx="486">
                  <c:v>10.5</c:v>
                </c:pt>
                <c:pt idx="487">
                  <c:v>10.5</c:v>
                </c:pt>
                <c:pt idx="488">
                  <c:v>10.5</c:v>
                </c:pt>
                <c:pt idx="489">
                  <c:v>10.5</c:v>
                </c:pt>
                <c:pt idx="490">
                  <c:v>10.5</c:v>
                </c:pt>
                <c:pt idx="491">
                  <c:v>10.5</c:v>
                </c:pt>
                <c:pt idx="492">
                  <c:v>10.5</c:v>
                </c:pt>
                <c:pt idx="493">
                  <c:v>10.5</c:v>
                </c:pt>
                <c:pt idx="494">
                  <c:v>10.5</c:v>
                </c:pt>
                <c:pt idx="495">
                  <c:v>10.5</c:v>
                </c:pt>
                <c:pt idx="496">
                  <c:v>10.5</c:v>
                </c:pt>
                <c:pt idx="497">
                  <c:v>10.5</c:v>
                </c:pt>
                <c:pt idx="498">
                  <c:v>10.5</c:v>
                </c:pt>
                <c:pt idx="499">
                  <c:v>10.5</c:v>
                </c:pt>
                <c:pt idx="500">
                  <c:v>10.5</c:v>
                </c:pt>
                <c:pt idx="501">
                  <c:v>10.5</c:v>
                </c:pt>
                <c:pt idx="502">
                  <c:v>10.5</c:v>
                </c:pt>
                <c:pt idx="503">
                  <c:v>10.5</c:v>
                </c:pt>
                <c:pt idx="504">
                  <c:v>10.5</c:v>
                </c:pt>
                <c:pt idx="505">
                  <c:v>10.5</c:v>
                </c:pt>
                <c:pt idx="506">
                  <c:v>10.5</c:v>
                </c:pt>
                <c:pt idx="507">
                  <c:v>10.5</c:v>
                </c:pt>
                <c:pt idx="508">
                  <c:v>10.5</c:v>
                </c:pt>
                <c:pt idx="509">
                  <c:v>10.5</c:v>
                </c:pt>
                <c:pt idx="510">
                  <c:v>10.5</c:v>
                </c:pt>
                <c:pt idx="511">
                  <c:v>10.5</c:v>
                </c:pt>
                <c:pt idx="512">
                  <c:v>10.5</c:v>
                </c:pt>
                <c:pt idx="513">
                  <c:v>10.5</c:v>
                </c:pt>
                <c:pt idx="514">
                  <c:v>10.5</c:v>
                </c:pt>
                <c:pt idx="515">
                  <c:v>10.5</c:v>
                </c:pt>
                <c:pt idx="516">
                  <c:v>10.5</c:v>
                </c:pt>
                <c:pt idx="517">
                  <c:v>10.5</c:v>
                </c:pt>
                <c:pt idx="518">
                  <c:v>10.5</c:v>
                </c:pt>
                <c:pt idx="519">
                  <c:v>10.5</c:v>
                </c:pt>
                <c:pt idx="520">
                  <c:v>10.5</c:v>
                </c:pt>
                <c:pt idx="521">
                  <c:v>10.5</c:v>
                </c:pt>
                <c:pt idx="522">
                  <c:v>10.5</c:v>
                </c:pt>
                <c:pt idx="523">
                  <c:v>10.5</c:v>
                </c:pt>
                <c:pt idx="524">
                  <c:v>10.5</c:v>
                </c:pt>
                <c:pt idx="525">
                  <c:v>10.5</c:v>
                </c:pt>
                <c:pt idx="526">
                  <c:v>10.5</c:v>
                </c:pt>
                <c:pt idx="527">
                  <c:v>10.5</c:v>
                </c:pt>
                <c:pt idx="528">
                  <c:v>10.5</c:v>
                </c:pt>
                <c:pt idx="529">
                  <c:v>10.5</c:v>
                </c:pt>
                <c:pt idx="530">
                  <c:v>10.5</c:v>
                </c:pt>
                <c:pt idx="531">
                  <c:v>10.5</c:v>
                </c:pt>
                <c:pt idx="532">
                  <c:v>10.5</c:v>
                </c:pt>
                <c:pt idx="533">
                  <c:v>10.5</c:v>
                </c:pt>
                <c:pt idx="534">
                  <c:v>10.5</c:v>
                </c:pt>
                <c:pt idx="535">
                  <c:v>10.5</c:v>
                </c:pt>
                <c:pt idx="536">
                  <c:v>10.5</c:v>
                </c:pt>
                <c:pt idx="537">
                  <c:v>10.5</c:v>
                </c:pt>
                <c:pt idx="538">
                  <c:v>10.5</c:v>
                </c:pt>
                <c:pt idx="539">
                  <c:v>10.5</c:v>
                </c:pt>
                <c:pt idx="540">
                  <c:v>10.5</c:v>
                </c:pt>
                <c:pt idx="541">
                  <c:v>10.5</c:v>
                </c:pt>
                <c:pt idx="542">
                  <c:v>10.5</c:v>
                </c:pt>
                <c:pt idx="543">
                  <c:v>10.5</c:v>
                </c:pt>
                <c:pt idx="544">
                  <c:v>10.5</c:v>
                </c:pt>
                <c:pt idx="545">
                  <c:v>10.5</c:v>
                </c:pt>
                <c:pt idx="546">
                  <c:v>10.5</c:v>
                </c:pt>
                <c:pt idx="547">
                  <c:v>10.5</c:v>
                </c:pt>
                <c:pt idx="548">
                  <c:v>10.5</c:v>
                </c:pt>
                <c:pt idx="549">
                  <c:v>10.5</c:v>
                </c:pt>
                <c:pt idx="550">
                  <c:v>10.5</c:v>
                </c:pt>
                <c:pt idx="551">
                  <c:v>10.5</c:v>
                </c:pt>
                <c:pt idx="552">
                  <c:v>10.5</c:v>
                </c:pt>
                <c:pt idx="553">
                  <c:v>10.5</c:v>
                </c:pt>
                <c:pt idx="554">
                  <c:v>10.5</c:v>
                </c:pt>
                <c:pt idx="555">
                  <c:v>10.5</c:v>
                </c:pt>
                <c:pt idx="556">
                  <c:v>10.5</c:v>
                </c:pt>
                <c:pt idx="557">
                  <c:v>10.5</c:v>
                </c:pt>
                <c:pt idx="558">
                  <c:v>10.5</c:v>
                </c:pt>
                <c:pt idx="559">
                  <c:v>10.5</c:v>
                </c:pt>
                <c:pt idx="560">
                  <c:v>10.5</c:v>
                </c:pt>
                <c:pt idx="561">
                  <c:v>10.5</c:v>
                </c:pt>
                <c:pt idx="562">
                  <c:v>10.5</c:v>
                </c:pt>
                <c:pt idx="563">
                  <c:v>10.5</c:v>
                </c:pt>
                <c:pt idx="564">
                  <c:v>10.5</c:v>
                </c:pt>
                <c:pt idx="565">
                  <c:v>10.5</c:v>
                </c:pt>
                <c:pt idx="566">
                  <c:v>10.5</c:v>
                </c:pt>
                <c:pt idx="567">
                  <c:v>10.5</c:v>
                </c:pt>
                <c:pt idx="568">
                  <c:v>10.5</c:v>
                </c:pt>
                <c:pt idx="569">
                  <c:v>10.5</c:v>
                </c:pt>
                <c:pt idx="570">
                  <c:v>10.5</c:v>
                </c:pt>
                <c:pt idx="571">
                  <c:v>10.5</c:v>
                </c:pt>
                <c:pt idx="572">
                  <c:v>10.5</c:v>
                </c:pt>
                <c:pt idx="573">
                  <c:v>10.5</c:v>
                </c:pt>
                <c:pt idx="574">
                  <c:v>10.5</c:v>
                </c:pt>
                <c:pt idx="575">
                  <c:v>10.5</c:v>
                </c:pt>
                <c:pt idx="576">
                  <c:v>10.5</c:v>
                </c:pt>
                <c:pt idx="577">
                  <c:v>10.5</c:v>
                </c:pt>
                <c:pt idx="578">
                  <c:v>10.5</c:v>
                </c:pt>
                <c:pt idx="579">
                  <c:v>10.5</c:v>
                </c:pt>
                <c:pt idx="580">
                  <c:v>10.5</c:v>
                </c:pt>
                <c:pt idx="581">
                  <c:v>10.5</c:v>
                </c:pt>
                <c:pt idx="582">
                  <c:v>10.5</c:v>
                </c:pt>
                <c:pt idx="583">
                  <c:v>10.5</c:v>
                </c:pt>
                <c:pt idx="584">
                  <c:v>10.5</c:v>
                </c:pt>
                <c:pt idx="585">
                  <c:v>10.5</c:v>
                </c:pt>
                <c:pt idx="586">
                  <c:v>10.5</c:v>
                </c:pt>
                <c:pt idx="587">
                  <c:v>10.5</c:v>
                </c:pt>
                <c:pt idx="588">
                  <c:v>10.5</c:v>
                </c:pt>
                <c:pt idx="589">
                  <c:v>10.5</c:v>
                </c:pt>
                <c:pt idx="590">
                  <c:v>10.5</c:v>
                </c:pt>
                <c:pt idx="591">
                  <c:v>10.5</c:v>
                </c:pt>
                <c:pt idx="592">
                  <c:v>10.5</c:v>
                </c:pt>
                <c:pt idx="593">
                  <c:v>10.5</c:v>
                </c:pt>
                <c:pt idx="594">
                  <c:v>10.5</c:v>
                </c:pt>
                <c:pt idx="595">
                  <c:v>10.5</c:v>
                </c:pt>
                <c:pt idx="596">
                  <c:v>10.5</c:v>
                </c:pt>
                <c:pt idx="597">
                  <c:v>10.5</c:v>
                </c:pt>
                <c:pt idx="598">
                  <c:v>10.5</c:v>
                </c:pt>
                <c:pt idx="599">
                  <c:v>10.5</c:v>
                </c:pt>
                <c:pt idx="600">
                  <c:v>1.05</c:v>
                </c:pt>
                <c:pt idx="601">
                  <c:v>1.05</c:v>
                </c:pt>
                <c:pt idx="602">
                  <c:v>1.05</c:v>
                </c:pt>
                <c:pt idx="603">
                  <c:v>1.05</c:v>
                </c:pt>
                <c:pt idx="604">
                  <c:v>1.05</c:v>
                </c:pt>
                <c:pt idx="605">
                  <c:v>1.05</c:v>
                </c:pt>
                <c:pt idx="606">
                  <c:v>1.05</c:v>
                </c:pt>
                <c:pt idx="607">
                  <c:v>1.05</c:v>
                </c:pt>
                <c:pt idx="608">
                  <c:v>1.05</c:v>
                </c:pt>
                <c:pt idx="609">
                  <c:v>1.05</c:v>
                </c:pt>
                <c:pt idx="610">
                  <c:v>1.05</c:v>
                </c:pt>
                <c:pt idx="611">
                  <c:v>1.05</c:v>
                </c:pt>
                <c:pt idx="612">
                  <c:v>1.05</c:v>
                </c:pt>
                <c:pt idx="613">
                  <c:v>1.05</c:v>
                </c:pt>
                <c:pt idx="614">
                  <c:v>1.05</c:v>
                </c:pt>
                <c:pt idx="615">
                  <c:v>1.05</c:v>
                </c:pt>
                <c:pt idx="616">
                  <c:v>1.05</c:v>
                </c:pt>
                <c:pt idx="617">
                  <c:v>1.05</c:v>
                </c:pt>
                <c:pt idx="618">
                  <c:v>1.05</c:v>
                </c:pt>
                <c:pt idx="619">
                  <c:v>1.05</c:v>
                </c:pt>
                <c:pt idx="620">
                  <c:v>1.05</c:v>
                </c:pt>
                <c:pt idx="621">
                  <c:v>1.05</c:v>
                </c:pt>
                <c:pt idx="622">
                  <c:v>1.05</c:v>
                </c:pt>
                <c:pt idx="623">
                  <c:v>1.05</c:v>
                </c:pt>
                <c:pt idx="624">
                  <c:v>1.05</c:v>
                </c:pt>
                <c:pt idx="625">
                  <c:v>1.05</c:v>
                </c:pt>
                <c:pt idx="626">
                  <c:v>1.05</c:v>
                </c:pt>
                <c:pt idx="627">
                  <c:v>1.05</c:v>
                </c:pt>
                <c:pt idx="628">
                  <c:v>1.05</c:v>
                </c:pt>
                <c:pt idx="629">
                  <c:v>1.05</c:v>
                </c:pt>
                <c:pt idx="630">
                  <c:v>1.05</c:v>
                </c:pt>
                <c:pt idx="631">
                  <c:v>1.05</c:v>
                </c:pt>
                <c:pt idx="632">
                  <c:v>1.05</c:v>
                </c:pt>
                <c:pt idx="633">
                  <c:v>1.05</c:v>
                </c:pt>
                <c:pt idx="634">
                  <c:v>1.05</c:v>
                </c:pt>
                <c:pt idx="635">
                  <c:v>1.05</c:v>
                </c:pt>
                <c:pt idx="636">
                  <c:v>1.05</c:v>
                </c:pt>
                <c:pt idx="637">
                  <c:v>1.05</c:v>
                </c:pt>
                <c:pt idx="638">
                  <c:v>1.05</c:v>
                </c:pt>
                <c:pt idx="639">
                  <c:v>1.05</c:v>
                </c:pt>
                <c:pt idx="640">
                  <c:v>1.05</c:v>
                </c:pt>
                <c:pt idx="641">
                  <c:v>1.05</c:v>
                </c:pt>
                <c:pt idx="642">
                  <c:v>1.05</c:v>
                </c:pt>
                <c:pt idx="643">
                  <c:v>1.05</c:v>
                </c:pt>
                <c:pt idx="644">
                  <c:v>1.05</c:v>
                </c:pt>
                <c:pt idx="645">
                  <c:v>1.05</c:v>
                </c:pt>
                <c:pt idx="646">
                  <c:v>1.05</c:v>
                </c:pt>
                <c:pt idx="647">
                  <c:v>1.05</c:v>
                </c:pt>
                <c:pt idx="648">
                  <c:v>1.05</c:v>
                </c:pt>
                <c:pt idx="649">
                  <c:v>1.05</c:v>
                </c:pt>
                <c:pt idx="650">
                  <c:v>1.05</c:v>
                </c:pt>
                <c:pt idx="651">
                  <c:v>1.05</c:v>
                </c:pt>
                <c:pt idx="652">
                  <c:v>1.05</c:v>
                </c:pt>
                <c:pt idx="653">
                  <c:v>1.05</c:v>
                </c:pt>
                <c:pt idx="654">
                  <c:v>1.05</c:v>
                </c:pt>
                <c:pt idx="655">
                  <c:v>1.05</c:v>
                </c:pt>
                <c:pt idx="656">
                  <c:v>1.05</c:v>
                </c:pt>
                <c:pt idx="657">
                  <c:v>1.05</c:v>
                </c:pt>
                <c:pt idx="658">
                  <c:v>1.05</c:v>
                </c:pt>
                <c:pt idx="659">
                  <c:v>1.05</c:v>
                </c:pt>
                <c:pt idx="660">
                  <c:v>1.05</c:v>
                </c:pt>
                <c:pt idx="661">
                  <c:v>1.05</c:v>
                </c:pt>
                <c:pt idx="662">
                  <c:v>1.05</c:v>
                </c:pt>
                <c:pt idx="663">
                  <c:v>1.05</c:v>
                </c:pt>
                <c:pt idx="664">
                  <c:v>1.05</c:v>
                </c:pt>
                <c:pt idx="665">
                  <c:v>1.05</c:v>
                </c:pt>
                <c:pt idx="666">
                  <c:v>1.05</c:v>
                </c:pt>
                <c:pt idx="667">
                  <c:v>1.05</c:v>
                </c:pt>
                <c:pt idx="668">
                  <c:v>1.05</c:v>
                </c:pt>
                <c:pt idx="669">
                  <c:v>1.05</c:v>
                </c:pt>
                <c:pt idx="670">
                  <c:v>1.05</c:v>
                </c:pt>
                <c:pt idx="671">
                  <c:v>1.05</c:v>
                </c:pt>
                <c:pt idx="672">
                  <c:v>1.05</c:v>
                </c:pt>
                <c:pt idx="673">
                  <c:v>1.05</c:v>
                </c:pt>
                <c:pt idx="674">
                  <c:v>1.05</c:v>
                </c:pt>
                <c:pt idx="675">
                  <c:v>1.05</c:v>
                </c:pt>
                <c:pt idx="676">
                  <c:v>1.05</c:v>
                </c:pt>
                <c:pt idx="677">
                  <c:v>1.05</c:v>
                </c:pt>
                <c:pt idx="678">
                  <c:v>1.05</c:v>
                </c:pt>
                <c:pt idx="679">
                  <c:v>1.05</c:v>
                </c:pt>
                <c:pt idx="680">
                  <c:v>1.05</c:v>
                </c:pt>
                <c:pt idx="681">
                  <c:v>1.05</c:v>
                </c:pt>
                <c:pt idx="682">
                  <c:v>1.05</c:v>
                </c:pt>
                <c:pt idx="683">
                  <c:v>1.05</c:v>
                </c:pt>
                <c:pt idx="684">
                  <c:v>1.05</c:v>
                </c:pt>
                <c:pt idx="685">
                  <c:v>1.05</c:v>
                </c:pt>
                <c:pt idx="686">
                  <c:v>1.05</c:v>
                </c:pt>
                <c:pt idx="687">
                  <c:v>1.05</c:v>
                </c:pt>
                <c:pt idx="688">
                  <c:v>1.05</c:v>
                </c:pt>
                <c:pt idx="689">
                  <c:v>1.05</c:v>
                </c:pt>
                <c:pt idx="690">
                  <c:v>1.05</c:v>
                </c:pt>
                <c:pt idx="691">
                  <c:v>1.05</c:v>
                </c:pt>
                <c:pt idx="692">
                  <c:v>1.05</c:v>
                </c:pt>
                <c:pt idx="693">
                  <c:v>1.05</c:v>
                </c:pt>
                <c:pt idx="694">
                  <c:v>1.05</c:v>
                </c:pt>
                <c:pt idx="695">
                  <c:v>1.05</c:v>
                </c:pt>
                <c:pt idx="696">
                  <c:v>1.05</c:v>
                </c:pt>
                <c:pt idx="697">
                  <c:v>1.05</c:v>
                </c:pt>
                <c:pt idx="698">
                  <c:v>1.05</c:v>
                </c:pt>
                <c:pt idx="699">
                  <c:v>1.05</c:v>
                </c:pt>
                <c:pt idx="700">
                  <c:v>1.05</c:v>
                </c:pt>
                <c:pt idx="701">
                  <c:v>1.05</c:v>
                </c:pt>
                <c:pt idx="702">
                  <c:v>1.05</c:v>
                </c:pt>
                <c:pt idx="703">
                  <c:v>1.05</c:v>
                </c:pt>
                <c:pt idx="704">
                  <c:v>1.05</c:v>
                </c:pt>
                <c:pt idx="705">
                  <c:v>1.05</c:v>
                </c:pt>
                <c:pt idx="706">
                  <c:v>1.05</c:v>
                </c:pt>
                <c:pt idx="707">
                  <c:v>1.05</c:v>
                </c:pt>
                <c:pt idx="708">
                  <c:v>1.05</c:v>
                </c:pt>
                <c:pt idx="709">
                  <c:v>1.05</c:v>
                </c:pt>
                <c:pt idx="710">
                  <c:v>1.05</c:v>
                </c:pt>
                <c:pt idx="711">
                  <c:v>1.05</c:v>
                </c:pt>
                <c:pt idx="712">
                  <c:v>1.05</c:v>
                </c:pt>
                <c:pt idx="713">
                  <c:v>1.05</c:v>
                </c:pt>
                <c:pt idx="714">
                  <c:v>1.05</c:v>
                </c:pt>
                <c:pt idx="715">
                  <c:v>1.05</c:v>
                </c:pt>
                <c:pt idx="716">
                  <c:v>1.05</c:v>
                </c:pt>
                <c:pt idx="717">
                  <c:v>1.05</c:v>
                </c:pt>
                <c:pt idx="718">
                  <c:v>1.05</c:v>
                </c:pt>
                <c:pt idx="719">
                  <c:v>1.05</c:v>
                </c:pt>
                <c:pt idx="720">
                  <c:v>1.05</c:v>
                </c:pt>
                <c:pt idx="721">
                  <c:v>1.05</c:v>
                </c:pt>
                <c:pt idx="722">
                  <c:v>1.05</c:v>
                </c:pt>
                <c:pt idx="723">
                  <c:v>1.05</c:v>
                </c:pt>
                <c:pt idx="724">
                  <c:v>1.05</c:v>
                </c:pt>
                <c:pt idx="725">
                  <c:v>1.05</c:v>
                </c:pt>
                <c:pt idx="726">
                  <c:v>1.05</c:v>
                </c:pt>
                <c:pt idx="727">
                  <c:v>1.05</c:v>
                </c:pt>
                <c:pt idx="728">
                  <c:v>1.05</c:v>
                </c:pt>
                <c:pt idx="729">
                  <c:v>1.05</c:v>
                </c:pt>
                <c:pt idx="730">
                  <c:v>1.05</c:v>
                </c:pt>
                <c:pt idx="731">
                  <c:v>1.05</c:v>
                </c:pt>
                <c:pt idx="732">
                  <c:v>1.05</c:v>
                </c:pt>
                <c:pt idx="733">
                  <c:v>1.05</c:v>
                </c:pt>
                <c:pt idx="734">
                  <c:v>1.05</c:v>
                </c:pt>
                <c:pt idx="735">
                  <c:v>1.05</c:v>
                </c:pt>
                <c:pt idx="736">
                  <c:v>1.05</c:v>
                </c:pt>
                <c:pt idx="737">
                  <c:v>1.05</c:v>
                </c:pt>
                <c:pt idx="738">
                  <c:v>1.05</c:v>
                </c:pt>
                <c:pt idx="739">
                  <c:v>1.05</c:v>
                </c:pt>
                <c:pt idx="740">
                  <c:v>1.05</c:v>
                </c:pt>
                <c:pt idx="741">
                  <c:v>1.05</c:v>
                </c:pt>
                <c:pt idx="742">
                  <c:v>1.05</c:v>
                </c:pt>
                <c:pt idx="743">
                  <c:v>1.05</c:v>
                </c:pt>
                <c:pt idx="744">
                  <c:v>1.05</c:v>
                </c:pt>
                <c:pt idx="745">
                  <c:v>1.05</c:v>
                </c:pt>
                <c:pt idx="746">
                  <c:v>1.05</c:v>
                </c:pt>
                <c:pt idx="747">
                  <c:v>1.05</c:v>
                </c:pt>
                <c:pt idx="748">
                  <c:v>1.05</c:v>
                </c:pt>
                <c:pt idx="749">
                  <c:v>1.05</c:v>
                </c:pt>
                <c:pt idx="750">
                  <c:v>1.05</c:v>
                </c:pt>
                <c:pt idx="751">
                  <c:v>1.05</c:v>
                </c:pt>
                <c:pt idx="752">
                  <c:v>1.05</c:v>
                </c:pt>
                <c:pt idx="753">
                  <c:v>1.05</c:v>
                </c:pt>
                <c:pt idx="754">
                  <c:v>1.05</c:v>
                </c:pt>
                <c:pt idx="755">
                  <c:v>1.05</c:v>
                </c:pt>
                <c:pt idx="756">
                  <c:v>1.05</c:v>
                </c:pt>
                <c:pt idx="757">
                  <c:v>1.05</c:v>
                </c:pt>
                <c:pt idx="758">
                  <c:v>1.05</c:v>
                </c:pt>
                <c:pt idx="759">
                  <c:v>1.05</c:v>
                </c:pt>
                <c:pt idx="760">
                  <c:v>1.05</c:v>
                </c:pt>
                <c:pt idx="761">
                  <c:v>1.05</c:v>
                </c:pt>
                <c:pt idx="762">
                  <c:v>1.05</c:v>
                </c:pt>
                <c:pt idx="763">
                  <c:v>1.05</c:v>
                </c:pt>
                <c:pt idx="764">
                  <c:v>1.05</c:v>
                </c:pt>
                <c:pt idx="765">
                  <c:v>1.05</c:v>
                </c:pt>
                <c:pt idx="766">
                  <c:v>1.05</c:v>
                </c:pt>
                <c:pt idx="767">
                  <c:v>1.05</c:v>
                </c:pt>
                <c:pt idx="768">
                  <c:v>1.05</c:v>
                </c:pt>
                <c:pt idx="769">
                  <c:v>1.05</c:v>
                </c:pt>
                <c:pt idx="770">
                  <c:v>1.05</c:v>
                </c:pt>
                <c:pt idx="771">
                  <c:v>1.05</c:v>
                </c:pt>
                <c:pt idx="772">
                  <c:v>1.05</c:v>
                </c:pt>
                <c:pt idx="773">
                  <c:v>1.05</c:v>
                </c:pt>
                <c:pt idx="774">
                  <c:v>1.05</c:v>
                </c:pt>
                <c:pt idx="775">
                  <c:v>1.05</c:v>
                </c:pt>
                <c:pt idx="776">
                  <c:v>1.05</c:v>
                </c:pt>
                <c:pt idx="777">
                  <c:v>1.05</c:v>
                </c:pt>
                <c:pt idx="778">
                  <c:v>1.05</c:v>
                </c:pt>
                <c:pt idx="779">
                  <c:v>1.05</c:v>
                </c:pt>
                <c:pt idx="780">
                  <c:v>1.05</c:v>
                </c:pt>
                <c:pt idx="781">
                  <c:v>1.05</c:v>
                </c:pt>
                <c:pt idx="782">
                  <c:v>1.05</c:v>
                </c:pt>
                <c:pt idx="783">
                  <c:v>1.05</c:v>
                </c:pt>
                <c:pt idx="784">
                  <c:v>1.05</c:v>
                </c:pt>
                <c:pt idx="785">
                  <c:v>1.05</c:v>
                </c:pt>
                <c:pt idx="786">
                  <c:v>1.05</c:v>
                </c:pt>
                <c:pt idx="787">
                  <c:v>1.05</c:v>
                </c:pt>
                <c:pt idx="788">
                  <c:v>1.05</c:v>
                </c:pt>
                <c:pt idx="789">
                  <c:v>1.05</c:v>
                </c:pt>
                <c:pt idx="790">
                  <c:v>1.05</c:v>
                </c:pt>
                <c:pt idx="791">
                  <c:v>1.05</c:v>
                </c:pt>
                <c:pt idx="792">
                  <c:v>1.05</c:v>
                </c:pt>
                <c:pt idx="793">
                  <c:v>1.05</c:v>
                </c:pt>
                <c:pt idx="794">
                  <c:v>1.05</c:v>
                </c:pt>
                <c:pt idx="795">
                  <c:v>1.05</c:v>
                </c:pt>
                <c:pt idx="796">
                  <c:v>1.05</c:v>
                </c:pt>
                <c:pt idx="797">
                  <c:v>1.05</c:v>
                </c:pt>
                <c:pt idx="798">
                  <c:v>1.05</c:v>
                </c:pt>
                <c:pt idx="799">
                  <c:v>1.05</c:v>
                </c:pt>
                <c:pt idx="800">
                  <c:v>1.05</c:v>
                </c:pt>
                <c:pt idx="801">
                  <c:v>1.05</c:v>
                </c:pt>
                <c:pt idx="802">
                  <c:v>1.05</c:v>
                </c:pt>
                <c:pt idx="803">
                  <c:v>1.05</c:v>
                </c:pt>
                <c:pt idx="804">
                  <c:v>1.05</c:v>
                </c:pt>
                <c:pt idx="805">
                  <c:v>1.05</c:v>
                </c:pt>
                <c:pt idx="806">
                  <c:v>1.05</c:v>
                </c:pt>
                <c:pt idx="807">
                  <c:v>1.05</c:v>
                </c:pt>
                <c:pt idx="808">
                  <c:v>1.05</c:v>
                </c:pt>
                <c:pt idx="809">
                  <c:v>1.05</c:v>
                </c:pt>
                <c:pt idx="810">
                  <c:v>1.05</c:v>
                </c:pt>
                <c:pt idx="811">
                  <c:v>1.05</c:v>
                </c:pt>
                <c:pt idx="812">
                  <c:v>1.05</c:v>
                </c:pt>
                <c:pt idx="813">
                  <c:v>1.05</c:v>
                </c:pt>
                <c:pt idx="814">
                  <c:v>1.05</c:v>
                </c:pt>
                <c:pt idx="815">
                  <c:v>1.05</c:v>
                </c:pt>
                <c:pt idx="816">
                  <c:v>1.05</c:v>
                </c:pt>
                <c:pt idx="817">
                  <c:v>1.05</c:v>
                </c:pt>
                <c:pt idx="818">
                  <c:v>1.05</c:v>
                </c:pt>
                <c:pt idx="819">
                  <c:v>1.05</c:v>
                </c:pt>
                <c:pt idx="820">
                  <c:v>1.05</c:v>
                </c:pt>
                <c:pt idx="821">
                  <c:v>1.05</c:v>
                </c:pt>
                <c:pt idx="822">
                  <c:v>1.05</c:v>
                </c:pt>
                <c:pt idx="823">
                  <c:v>1.05</c:v>
                </c:pt>
                <c:pt idx="824">
                  <c:v>1.05</c:v>
                </c:pt>
                <c:pt idx="825">
                  <c:v>1.05</c:v>
                </c:pt>
                <c:pt idx="826">
                  <c:v>1.05</c:v>
                </c:pt>
                <c:pt idx="827">
                  <c:v>1.05</c:v>
                </c:pt>
                <c:pt idx="828">
                  <c:v>1.05</c:v>
                </c:pt>
                <c:pt idx="829">
                  <c:v>1.05</c:v>
                </c:pt>
                <c:pt idx="830">
                  <c:v>1.05</c:v>
                </c:pt>
                <c:pt idx="831">
                  <c:v>1.05</c:v>
                </c:pt>
                <c:pt idx="832">
                  <c:v>1.05</c:v>
                </c:pt>
                <c:pt idx="833">
                  <c:v>1.05</c:v>
                </c:pt>
                <c:pt idx="834">
                  <c:v>1.05</c:v>
                </c:pt>
                <c:pt idx="835">
                  <c:v>1.05</c:v>
                </c:pt>
                <c:pt idx="836">
                  <c:v>1.05</c:v>
                </c:pt>
                <c:pt idx="837">
                  <c:v>1.05</c:v>
                </c:pt>
                <c:pt idx="838">
                  <c:v>1.05</c:v>
                </c:pt>
                <c:pt idx="839">
                  <c:v>1.05</c:v>
                </c:pt>
                <c:pt idx="840">
                  <c:v>1.05</c:v>
                </c:pt>
                <c:pt idx="841">
                  <c:v>1.05</c:v>
                </c:pt>
                <c:pt idx="842">
                  <c:v>1.05</c:v>
                </c:pt>
                <c:pt idx="843">
                  <c:v>1.05</c:v>
                </c:pt>
                <c:pt idx="844">
                  <c:v>1.05</c:v>
                </c:pt>
                <c:pt idx="845">
                  <c:v>1.05</c:v>
                </c:pt>
                <c:pt idx="846">
                  <c:v>1.05</c:v>
                </c:pt>
                <c:pt idx="847">
                  <c:v>1.05</c:v>
                </c:pt>
                <c:pt idx="848">
                  <c:v>1.05</c:v>
                </c:pt>
                <c:pt idx="849">
                  <c:v>1.05</c:v>
                </c:pt>
                <c:pt idx="850">
                  <c:v>1.05</c:v>
                </c:pt>
                <c:pt idx="851">
                  <c:v>1.05</c:v>
                </c:pt>
                <c:pt idx="852">
                  <c:v>1.05</c:v>
                </c:pt>
                <c:pt idx="853">
                  <c:v>1.05</c:v>
                </c:pt>
                <c:pt idx="854">
                  <c:v>1.05</c:v>
                </c:pt>
                <c:pt idx="855">
                  <c:v>1.05</c:v>
                </c:pt>
                <c:pt idx="856">
                  <c:v>1.05</c:v>
                </c:pt>
                <c:pt idx="857">
                  <c:v>1.05</c:v>
                </c:pt>
                <c:pt idx="858">
                  <c:v>1.05</c:v>
                </c:pt>
                <c:pt idx="859">
                  <c:v>1.05</c:v>
                </c:pt>
                <c:pt idx="860">
                  <c:v>1.05</c:v>
                </c:pt>
                <c:pt idx="861">
                  <c:v>1.05</c:v>
                </c:pt>
                <c:pt idx="862">
                  <c:v>1.05</c:v>
                </c:pt>
                <c:pt idx="863">
                  <c:v>1.05</c:v>
                </c:pt>
                <c:pt idx="864">
                  <c:v>1.05</c:v>
                </c:pt>
                <c:pt idx="865">
                  <c:v>1.05</c:v>
                </c:pt>
                <c:pt idx="866">
                  <c:v>1.05</c:v>
                </c:pt>
                <c:pt idx="867">
                  <c:v>1.05</c:v>
                </c:pt>
                <c:pt idx="868">
                  <c:v>1.05</c:v>
                </c:pt>
                <c:pt idx="869">
                  <c:v>1.05</c:v>
                </c:pt>
                <c:pt idx="870">
                  <c:v>1.05</c:v>
                </c:pt>
                <c:pt idx="871">
                  <c:v>1.05</c:v>
                </c:pt>
                <c:pt idx="872">
                  <c:v>1.05</c:v>
                </c:pt>
                <c:pt idx="873">
                  <c:v>1.05</c:v>
                </c:pt>
                <c:pt idx="874">
                  <c:v>1.05</c:v>
                </c:pt>
                <c:pt idx="875">
                  <c:v>1.05</c:v>
                </c:pt>
                <c:pt idx="876">
                  <c:v>1.05</c:v>
                </c:pt>
                <c:pt idx="877">
                  <c:v>1.05</c:v>
                </c:pt>
                <c:pt idx="878">
                  <c:v>1.05</c:v>
                </c:pt>
                <c:pt idx="879">
                  <c:v>1.05</c:v>
                </c:pt>
                <c:pt idx="880">
                  <c:v>1.05</c:v>
                </c:pt>
                <c:pt idx="881">
                  <c:v>1.05</c:v>
                </c:pt>
                <c:pt idx="882">
                  <c:v>1.05</c:v>
                </c:pt>
                <c:pt idx="883">
                  <c:v>1.05</c:v>
                </c:pt>
                <c:pt idx="884">
                  <c:v>1.05</c:v>
                </c:pt>
                <c:pt idx="885">
                  <c:v>1.05</c:v>
                </c:pt>
                <c:pt idx="886">
                  <c:v>1.05</c:v>
                </c:pt>
                <c:pt idx="887">
                  <c:v>1.05</c:v>
                </c:pt>
                <c:pt idx="888">
                  <c:v>1.05</c:v>
                </c:pt>
                <c:pt idx="889">
                  <c:v>1.05</c:v>
                </c:pt>
                <c:pt idx="890">
                  <c:v>1.05</c:v>
                </c:pt>
                <c:pt idx="891">
                  <c:v>1.05</c:v>
                </c:pt>
                <c:pt idx="892">
                  <c:v>1.05</c:v>
                </c:pt>
                <c:pt idx="893">
                  <c:v>1.05</c:v>
                </c:pt>
                <c:pt idx="894">
                  <c:v>1.05</c:v>
                </c:pt>
                <c:pt idx="895">
                  <c:v>1.05</c:v>
                </c:pt>
                <c:pt idx="896">
                  <c:v>1.05</c:v>
                </c:pt>
                <c:pt idx="897">
                  <c:v>1.05</c:v>
                </c:pt>
                <c:pt idx="898">
                  <c:v>1.05</c:v>
                </c:pt>
                <c:pt idx="899">
                  <c:v>1.05</c:v>
                </c:pt>
                <c:pt idx="900">
                  <c:v>1.05</c:v>
                </c:pt>
                <c:pt idx="901">
                  <c:v>1.05</c:v>
                </c:pt>
                <c:pt idx="902">
                  <c:v>1.05</c:v>
                </c:pt>
                <c:pt idx="903">
                  <c:v>1.05</c:v>
                </c:pt>
                <c:pt idx="904">
                  <c:v>1.05</c:v>
                </c:pt>
                <c:pt idx="905">
                  <c:v>1.05</c:v>
                </c:pt>
                <c:pt idx="906">
                  <c:v>1.05</c:v>
                </c:pt>
                <c:pt idx="907">
                  <c:v>1.05</c:v>
                </c:pt>
                <c:pt idx="908">
                  <c:v>1.05</c:v>
                </c:pt>
                <c:pt idx="909">
                  <c:v>1.05</c:v>
                </c:pt>
                <c:pt idx="910">
                  <c:v>1.05</c:v>
                </c:pt>
                <c:pt idx="911">
                  <c:v>1.05</c:v>
                </c:pt>
                <c:pt idx="912">
                  <c:v>1.05</c:v>
                </c:pt>
                <c:pt idx="913">
                  <c:v>1.05</c:v>
                </c:pt>
                <c:pt idx="914">
                  <c:v>1.05</c:v>
                </c:pt>
                <c:pt idx="915">
                  <c:v>1.05</c:v>
                </c:pt>
                <c:pt idx="916">
                  <c:v>1.05</c:v>
                </c:pt>
                <c:pt idx="917">
                  <c:v>1.05</c:v>
                </c:pt>
                <c:pt idx="918">
                  <c:v>1.05</c:v>
                </c:pt>
                <c:pt idx="919">
                  <c:v>1.05</c:v>
                </c:pt>
                <c:pt idx="920">
                  <c:v>1.05</c:v>
                </c:pt>
                <c:pt idx="921">
                  <c:v>1.05</c:v>
                </c:pt>
                <c:pt idx="922">
                  <c:v>1.05</c:v>
                </c:pt>
                <c:pt idx="923">
                  <c:v>1.05</c:v>
                </c:pt>
                <c:pt idx="924">
                  <c:v>1.05</c:v>
                </c:pt>
                <c:pt idx="925">
                  <c:v>1.05</c:v>
                </c:pt>
                <c:pt idx="926">
                  <c:v>1.05</c:v>
                </c:pt>
                <c:pt idx="927">
                  <c:v>1.05</c:v>
                </c:pt>
                <c:pt idx="928">
                  <c:v>1.05</c:v>
                </c:pt>
                <c:pt idx="929">
                  <c:v>1.05</c:v>
                </c:pt>
                <c:pt idx="930">
                  <c:v>1.05</c:v>
                </c:pt>
                <c:pt idx="931">
                  <c:v>1.05</c:v>
                </c:pt>
                <c:pt idx="932">
                  <c:v>1.05</c:v>
                </c:pt>
                <c:pt idx="933">
                  <c:v>1.05</c:v>
                </c:pt>
                <c:pt idx="934">
                  <c:v>1.05</c:v>
                </c:pt>
                <c:pt idx="935">
                  <c:v>1.05</c:v>
                </c:pt>
                <c:pt idx="936">
                  <c:v>1.05</c:v>
                </c:pt>
                <c:pt idx="937">
                  <c:v>1.05</c:v>
                </c:pt>
                <c:pt idx="938">
                  <c:v>1.05</c:v>
                </c:pt>
                <c:pt idx="939">
                  <c:v>1.05</c:v>
                </c:pt>
                <c:pt idx="940">
                  <c:v>1.05</c:v>
                </c:pt>
                <c:pt idx="941">
                  <c:v>1.05</c:v>
                </c:pt>
                <c:pt idx="942">
                  <c:v>1.05</c:v>
                </c:pt>
                <c:pt idx="943">
                  <c:v>1.05</c:v>
                </c:pt>
                <c:pt idx="944">
                  <c:v>1.05</c:v>
                </c:pt>
                <c:pt idx="945">
                  <c:v>1.05</c:v>
                </c:pt>
                <c:pt idx="946">
                  <c:v>1.05</c:v>
                </c:pt>
                <c:pt idx="947">
                  <c:v>1.05</c:v>
                </c:pt>
                <c:pt idx="948">
                  <c:v>1.05</c:v>
                </c:pt>
                <c:pt idx="949">
                  <c:v>1.05</c:v>
                </c:pt>
                <c:pt idx="950">
                  <c:v>1.05</c:v>
                </c:pt>
                <c:pt idx="951">
                  <c:v>1.05</c:v>
                </c:pt>
                <c:pt idx="952">
                  <c:v>1.05</c:v>
                </c:pt>
                <c:pt idx="953">
                  <c:v>1.05</c:v>
                </c:pt>
                <c:pt idx="954">
                  <c:v>1.05</c:v>
                </c:pt>
                <c:pt idx="955">
                  <c:v>1.05</c:v>
                </c:pt>
                <c:pt idx="956">
                  <c:v>1.05</c:v>
                </c:pt>
                <c:pt idx="957">
                  <c:v>1.05</c:v>
                </c:pt>
                <c:pt idx="958">
                  <c:v>1.05</c:v>
                </c:pt>
                <c:pt idx="959">
                  <c:v>1.05</c:v>
                </c:pt>
                <c:pt idx="960">
                  <c:v>1.05</c:v>
                </c:pt>
                <c:pt idx="961">
                  <c:v>1.05</c:v>
                </c:pt>
                <c:pt idx="962">
                  <c:v>1.05</c:v>
                </c:pt>
                <c:pt idx="963">
                  <c:v>1.05</c:v>
                </c:pt>
                <c:pt idx="964">
                  <c:v>1.05</c:v>
                </c:pt>
                <c:pt idx="965">
                  <c:v>1.05</c:v>
                </c:pt>
                <c:pt idx="966">
                  <c:v>1.05</c:v>
                </c:pt>
                <c:pt idx="967">
                  <c:v>1.05</c:v>
                </c:pt>
                <c:pt idx="968">
                  <c:v>1.05</c:v>
                </c:pt>
                <c:pt idx="969">
                  <c:v>1.05</c:v>
                </c:pt>
                <c:pt idx="970">
                  <c:v>1.05</c:v>
                </c:pt>
                <c:pt idx="971">
                  <c:v>1.05</c:v>
                </c:pt>
                <c:pt idx="972">
                  <c:v>1.05</c:v>
                </c:pt>
                <c:pt idx="973">
                  <c:v>1.05</c:v>
                </c:pt>
                <c:pt idx="974">
                  <c:v>1.05</c:v>
                </c:pt>
                <c:pt idx="975">
                  <c:v>1.05</c:v>
                </c:pt>
                <c:pt idx="976">
                  <c:v>1.05</c:v>
                </c:pt>
                <c:pt idx="977">
                  <c:v>1.05</c:v>
                </c:pt>
                <c:pt idx="978">
                  <c:v>1.05</c:v>
                </c:pt>
                <c:pt idx="979">
                  <c:v>1.05</c:v>
                </c:pt>
                <c:pt idx="980">
                  <c:v>1.05</c:v>
                </c:pt>
                <c:pt idx="981">
                  <c:v>1.05</c:v>
                </c:pt>
                <c:pt idx="982">
                  <c:v>1.05</c:v>
                </c:pt>
                <c:pt idx="983">
                  <c:v>1.05</c:v>
                </c:pt>
                <c:pt idx="984">
                  <c:v>1.05</c:v>
                </c:pt>
                <c:pt idx="985">
                  <c:v>1.05</c:v>
                </c:pt>
                <c:pt idx="986">
                  <c:v>1.05</c:v>
                </c:pt>
                <c:pt idx="987">
                  <c:v>1.05</c:v>
                </c:pt>
                <c:pt idx="988">
                  <c:v>1.05</c:v>
                </c:pt>
                <c:pt idx="989">
                  <c:v>1.05</c:v>
                </c:pt>
                <c:pt idx="990">
                  <c:v>1.05</c:v>
                </c:pt>
                <c:pt idx="991">
                  <c:v>1.05</c:v>
                </c:pt>
                <c:pt idx="992">
                  <c:v>1.05</c:v>
                </c:pt>
                <c:pt idx="993">
                  <c:v>1.05</c:v>
                </c:pt>
                <c:pt idx="994">
                  <c:v>1.05</c:v>
                </c:pt>
                <c:pt idx="995">
                  <c:v>1.05</c:v>
                </c:pt>
                <c:pt idx="996">
                  <c:v>1.05</c:v>
                </c:pt>
                <c:pt idx="997">
                  <c:v>1.05</c:v>
                </c:pt>
                <c:pt idx="998">
                  <c:v>1.05</c:v>
                </c:pt>
                <c:pt idx="999">
                  <c:v>1.05</c:v>
                </c:pt>
                <c:pt idx="1000">
                  <c:v>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EE-46B4-81F2-41D09821E0CB}"/>
            </c:ext>
          </c:extLst>
        </c:ser>
        <c:ser>
          <c:idx val="4"/>
          <c:order val="4"/>
          <c:tx>
            <c:strRef>
              <c:f>Лист3!$Y$1</c:f>
              <c:strCache>
                <c:ptCount val="1"/>
                <c:pt idx="0">
                  <c:v>Граница низ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Лист3!$Y$2:$Y$1002</c:f>
              <c:numCache>
                <c:formatCode>0.000</c:formatCode>
                <c:ptCount val="1001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9.5</c:v>
                </c:pt>
                <c:pt idx="41">
                  <c:v>9.5</c:v>
                </c:pt>
                <c:pt idx="42">
                  <c:v>9.5</c:v>
                </c:pt>
                <c:pt idx="43">
                  <c:v>9.5</c:v>
                </c:pt>
                <c:pt idx="44">
                  <c:v>9.5</c:v>
                </c:pt>
                <c:pt idx="45">
                  <c:v>9.5</c:v>
                </c:pt>
                <c:pt idx="46">
                  <c:v>9.5</c:v>
                </c:pt>
                <c:pt idx="47">
                  <c:v>9.5</c:v>
                </c:pt>
                <c:pt idx="48">
                  <c:v>9.5</c:v>
                </c:pt>
                <c:pt idx="49">
                  <c:v>9.5</c:v>
                </c:pt>
                <c:pt idx="50">
                  <c:v>9.5</c:v>
                </c:pt>
                <c:pt idx="51">
                  <c:v>9.5</c:v>
                </c:pt>
                <c:pt idx="52">
                  <c:v>9.5</c:v>
                </c:pt>
                <c:pt idx="53">
                  <c:v>9.5</c:v>
                </c:pt>
                <c:pt idx="54">
                  <c:v>9.5</c:v>
                </c:pt>
                <c:pt idx="55">
                  <c:v>9.5</c:v>
                </c:pt>
                <c:pt idx="56">
                  <c:v>9.5</c:v>
                </c:pt>
                <c:pt idx="57">
                  <c:v>9.5</c:v>
                </c:pt>
                <c:pt idx="58">
                  <c:v>9.5</c:v>
                </c:pt>
                <c:pt idx="59">
                  <c:v>9.5</c:v>
                </c:pt>
                <c:pt idx="60">
                  <c:v>9.5</c:v>
                </c:pt>
                <c:pt idx="61">
                  <c:v>9.5</c:v>
                </c:pt>
                <c:pt idx="62">
                  <c:v>9.5</c:v>
                </c:pt>
                <c:pt idx="63">
                  <c:v>9.5</c:v>
                </c:pt>
                <c:pt idx="64">
                  <c:v>9.5</c:v>
                </c:pt>
                <c:pt idx="65">
                  <c:v>9.5</c:v>
                </c:pt>
                <c:pt idx="66">
                  <c:v>9.5</c:v>
                </c:pt>
                <c:pt idx="67">
                  <c:v>9.5</c:v>
                </c:pt>
                <c:pt idx="68">
                  <c:v>9.5</c:v>
                </c:pt>
                <c:pt idx="69">
                  <c:v>9.5</c:v>
                </c:pt>
                <c:pt idx="70">
                  <c:v>9.5</c:v>
                </c:pt>
                <c:pt idx="71">
                  <c:v>9.5</c:v>
                </c:pt>
                <c:pt idx="72">
                  <c:v>9.5</c:v>
                </c:pt>
                <c:pt idx="73">
                  <c:v>9.5</c:v>
                </c:pt>
                <c:pt idx="74">
                  <c:v>9.5</c:v>
                </c:pt>
                <c:pt idx="75">
                  <c:v>9.5</c:v>
                </c:pt>
                <c:pt idx="76">
                  <c:v>9.5</c:v>
                </c:pt>
                <c:pt idx="77">
                  <c:v>9.5</c:v>
                </c:pt>
                <c:pt idx="78">
                  <c:v>9.5</c:v>
                </c:pt>
                <c:pt idx="79">
                  <c:v>9.5</c:v>
                </c:pt>
                <c:pt idx="80">
                  <c:v>9.5</c:v>
                </c:pt>
                <c:pt idx="81">
                  <c:v>9.5</c:v>
                </c:pt>
                <c:pt idx="82">
                  <c:v>9.5</c:v>
                </c:pt>
                <c:pt idx="83">
                  <c:v>9.5</c:v>
                </c:pt>
                <c:pt idx="84">
                  <c:v>9.5</c:v>
                </c:pt>
                <c:pt idx="85">
                  <c:v>9.5</c:v>
                </c:pt>
                <c:pt idx="86">
                  <c:v>9.5</c:v>
                </c:pt>
                <c:pt idx="87">
                  <c:v>9.5</c:v>
                </c:pt>
                <c:pt idx="88">
                  <c:v>9.5</c:v>
                </c:pt>
                <c:pt idx="89">
                  <c:v>9.5</c:v>
                </c:pt>
                <c:pt idx="90">
                  <c:v>9.5</c:v>
                </c:pt>
                <c:pt idx="91">
                  <c:v>9.5</c:v>
                </c:pt>
                <c:pt idx="92">
                  <c:v>9.5</c:v>
                </c:pt>
                <c:pt idx="93">
                  <c:v>9.5</c:v>
                </c:pt>
                <c:pt idx="94">
                  <c:v>9.5</c:v>
                </c:pt>
                <c:pt idx="95">
                  <c:v>9.5</c:v>
                </c:pt>
                <c:pt idx="96">
                  <c:v>9.5</c:v>
                </c:pt>
                <c:pt idx="97">
                  <c:v>9.5</c:v>
                </c:pt>
                <c:pt idx="98">
                  <c:v>9.5</c:v>
                </c:pt>
                <c:pt idx="99">
                  <c:v>9.5</c:v>
                </c:pt>
                <c:pt idx="100">
                  <c:v>9.5</c:v>
                </c:pt>
                <c:pt idx="101">
                  <c:v>9.5</c:v>
                </c:pt>
                <c:pt idx="102">
                  <c:v>9.5</c:v>
                </c:pt>
                <c:pt idx="103">
                  <c:v>9.5</c:v>
                </c:pt>
                <c:pt idx="104">
                  <c:v>9.5</c:v>
                </c:pt>
                <c:pt idx="105">
                  <c:v>9.5</c:v>
                </c:pt>
                <c:pt idx="106">
                  <c:v>9.5</c:v>
                </c:pt>
                <c:pt idx="107">
                  <c:v>9.5</c:v>
                </c:pt>
                <c:pt idx="108">
                  <c:v>9.5</c:v>
                </c:pt>
                <c:pt idx="109">
                  <c:v>9.5</c:v>
                </c:pt>
                <c:pt idx="110">
                  <c:v>9.5</c:v>
                </c:pt>
                <c:pt idx="111">
                  <c:v>9.5</c:v>
                </c:pt>
                <c:pt idx="112">
                  <c:v>9.5</c:v>
                </c:pt>
                <c:pt idx="113">
                  <c:v>9.5</c:v>
                </c:pt>
                <c:pt idx="114">
                  <c:v>9.5</c:v>
                </c:pt>
                <c:pt idx="115">
                  <c:v>9.5</c:v>
                </c:pt>
                <c:pt idx="116">
                  <c:v>9.5</c:v>
                </c:pt>
                <c:pt idx="117">
                  <c:v>9.5</c:v>
                </c:pt>
                <c:pt idx="118">
                  <c:v>9.5</c:v>
                </c:pt>
                <c:pt idx="119">
                  <c:v>9.5</c:v>
                </c:pt>
                <c:pt idx="120">
                  <c:v>9.5</c:v>
                </c:pt>
                <c:pt idx="121">
                  <c:v>9.5</c:v>
                </c:pt>
                <c:pt idx="122">
                  <c:v>9.5</c:v>
                </c:pt>
                <c:pt idx="123">
                  <c:v>9.5</c:v>
                </c:pt>
                <c:pt idx="124">
                  <c:v>9.5</c:v>
                </c:pt>
                <c:pt idx="125">
                  <c:v>9.5</c:v>
                </c:pt>
                <c:pt idx="126">
                  <c:v>9.5</c:v>
                </c:pt>
                <c:pt idx="127">
                  <c:v>9.5</c:v>
                </c:pt>
                <c:pt idx="128">
                  <c:v>9.5</c:v>
                </c:pt>
                <c:pt idx="129">
                  <c:v>9.5</c:v>
                </c:pt>
                <c:pt idx="130">
                  <c:v>9.5</c:v>
                </c:pt>
                <c:pt idx="131">
                  <c:v>9.5</c:v>
                </c:pt>
                <c:pt idx="132">
                  <c:v>9.5</c:v>
                </c:pt>
                <c:pt idx="133">
                  <c:v>9.5</c:v>
                </c:pt>
                <c:pt idx="134">
                  <c:v>9.5</c:v>
                </c:pt>
                <c:pt idx="135">
                  <c:v>9.5</c:v>
                </c:pt>
                <c:pt idx="136">
                  <c:v>9.5</c:v>
                </c:pt>
                <c:pt idx="137">
                  <c:v>9.5</c:v>
                </c:pt>
                <c:pt idx="138">
                  <c:v>9.5</c:v>
                </c:pt>
                <c:pt idx="139">
                  <c:v>9.5</c:v>
                </c:pt>
                <c:pt idx="140">
                  <c:v>9.5</c:v>
                </c:pt>
                <c:pt idx="141">
                  <c:v>9.5</c:v>
                </c:pt>
                <c:pt idx="142">
                  <c:v>9.5</c:v>
                </c:pt>
                <c:pt idx="143">
                  <c:v>9.5</c:v>
                </c:pt>
                <c:pt idx="144">
                  <c:v>9.5</c:v>
                </c:pt>
                <c:pt idx="145">
                  <c:v>9.5</c:v>
                </c:pt>
                <c:pt idx="146">
                  <c:v>9.5</c:v>
                </c:pt>
                <c:pt idx="147">
                  <c:v>9.5</c:v>
                </c:pt>
                <c:pt idx="148">
                  <c:v>9.5</c:v>
                </c:pt>
                <c:pt idx="149">
                  <c:v>9.5</c:v>
                </c:pt>
                <c:pt idx="150">
                  <c:v>9.5</c:v>
                </c:pt>
                <c:pt idx="151">
                  <c:v>9.5</c:v>
                </c:pt>
                <c:pt idx="152">
                  <c:v>9.5</c:v>
                </c:pt>
                <c:pt idx="153">
                  <c:v>9.5</c:v>
                </c:pt>
                <c:pt idx="154">
                  <c:v>9.5</c:v>
                </c:pt>
                <c:pt idx="155">
                  <c:v>9.5</c:v>
                </c:pt>
                <c:pt idx="156">
                  <c:v>9.5</c:v>
                </c:pt>
                <c:pt idx="157">
                  <c:v>9.5</c:v>
                </c:pt>
                <c:pt idx="158">
                  <c:v>9.5</c:v>
                </c:pt>
                <c:pt idx="159">
                  <c:v>9.5</c:v>
                </c:pt>
                <c:pt idx="160">
                  <c:v>9.5</c:v>
                </c:pt>
                <c:pt idx="161">
                  <c:v>9.5</c:v>
                </c:pt>
                <c:pt idx="162">
                  <c:v>9.5</c:v>
                </c:pt>
                <c:pt idx="163">
                  <c:v>9.5</c:v>
                </c:pt>
                <c:pt idx="164">
                  <c:v>9.5</c:v>
                </c:pt>
                <c:pt idx="165">
                  <c:v>9.5</c:v>
                </c:pt>
                <c:pt idx="166">
                  <c:v>9.5</c:v>
                </c:pt>
                <c:pt idx="167">
                  <c:v>9.5</c:v>
                </c:pt>
                <c:pt idx="168">
                  <c:v>9.5</c:v>
                </c:pt>
                <c:pt idx="169">
                  <c:v>9.5</c:v>
                </c:pt>
                <c:pt idx="170">
                  <c:v>9.5</c:v>
                </c:pt>
                <c:pt idx="171">
                  <c:v>9.5</c:v>
                </c:pt>
                <c:pt idx="172">
                  <c:v>9.5</c:v>
                </c:pt>
                <c:pt idx="173">
                  <c:v>9.5</c:v>
                </c:pt>
                <c:pt idx="174">
                  <c:v>9.5</c:v>
                </c:pt>
                <c:pt idx="175">
                  <c:v>9.5</c:v>
                </c:pt>
                <c:pt idx="176">
                  <c:v>9.5</c:v>
                </c:pt>
                <c:pt idx="177">
                  <c:v>9.5</c:v>
                </c:pt>
                <c:pt idx="178">
                  <c:v>9.5</c:v>
                </c:pt>
                <c:pt idx="179">
                  <c:v>9.5</c:v>
                </c:pt>
                <c:pt idx="180">
                  <c:v>9.5</c:v>
                </c:pt>
                <c:pt idx="181">
                  <c:v>9.5</c:v>
                </c:pt>
                <c:pt idx="182">
                  <c:v>9.5</c:v>
                </c:pt>
                <c:pt idx="183">
                  <c:v>9.5</c:v>
                </c:pt>
                <c:pt idx="184">
                  <c:v>9.5</c:v>
                </c:pt>
                <c:pt idx="185">
                  <c:v>9.5</c:v>
                </c:pt>
                <c:pt idx="186">
                  <c:v>9.5</c:v>
                </c:pt>
                <c:pt idx="187">
                  <c:v>9.5</c:v>
                </c:pt>
                <c:pt idx="188">
                  <c:v>9.5</c:v>
                </c:pt>
                <c:pt idx="189">
                  <c:v>9.5</c:v>
                </c:pt>
                <c:pt idx="190">
                  <c:v>9.5</c:v>
                </c:pt>
                <c:pt idx="191">
                  <c:v>9.5</c:v>
                </c:pt>
                <c:pt idx="192">
                  <c:v>9.5</c:v>
                </c:pt>
                <c:pt idx="193">
                  <c:v>9.5</c:v>
                </c:pt>
                <c:pt idx="194">
                  <c:v>9.5</c:v>
                </c:pt>
                <c:pt idx="195">
                  <c:v>9.5</c:v>
                </c:pt>
                <c:pt idx="196">
                  <c:v>9.5</c:v>
                </c:pt>
                <c:pt idx="197">
                  <c:v>9.5</c:v>
                </c:pt>
                <c:pt idx="198">
                  <c:v>9.5</c:v>
                </c:pt>
                <c:pt idx="199">
                  <c:v>9.5</c:v>
                </c:pt>
                <c:pt idx="200">
                  <c:v>9.5</c:v>
                </c:pt>
                <c:pt idx="201">
                  <c:v>9.5</c:v>
                </c:pt>
                <c:pt idx="202">
                  <c:v>9.5</c:v>
                </c:pt>
                <c:pt idx="203">
                  <c:v>9.5</c:v>
                </c:pt>
                <c:pt idx="204">
                  <c:v>9.5</c:v>
                </c:pt>
                <c:pt idx="205">
                  <c:v>9.5</c:v>
                </c:pt>
                <c:pt idx="206">
                  <c:v>9.5</c:v>
                </c:pt>
                <c:pt idx="207">
                  <c:v>9.5</c:v>
                </c:pt>
                <c:pt idx="208">
                  <c:v>9.5</c:v>
                </c:pt>
                <c:pt idx="209">
                  <c:v>9.5</c:v>
                </c:pt>
                <c:pt idx="210">
                  <c:v>9.5</c:v>
                </c:pt>
                <c:pt idx="211">
                  <c:v>9.5</c:v>
                </c:pt>
                <c:pt idx="212">
                  <c:v>9.5</c:v>
                </c:pt>
                <c:pt idx="213">
                  <c:v>9.5</c:v>
                </c:pt>
                <c:pt idx="214">
                  <c:v>9.5</c:v>
                </c:pt>
                <c:pt idx="215">
                  <c:v>9.5</c:v>
                </c:pt>
                <c:pt idx="216">
                  <c:v>9.5</c:v>
                </c:pt>
                <c:pt idx="217">
                  <c:v>9.5</c:v>
                </c:pt>
                <c:pt idx="218">
                  <c:v>9.5</c:v>
                </c:pt>
                <c:pt idx="219">
                  <c:v>9.5</c:v>
                </c:pt>
                <c:pt idx="220">
                  <c:v>9.5</c:v>
                </c:pt>
                <c:pt idx="221">
                  <c:v>9.5</c:v>
                </c:pt>
                <c:pt idx="222">
                  <c:v>9.5</c:v>
                </c:pt>
                <c:pt idx="223">
                  <c:v>9.5</c:v>
                </c:pt>
                <c:pt idx="224">
                  <c:v>9.5</c:v>
                </c:pt>
                <c:pt idx="225">
                  <c:v>9.5</c:v>
                </c:pt>
                <c:pt idx="226">
                  <c:v>9.5</c:v>
                </c:pt>
                <c:pt idx="227">
                  <c:v>9.5</c:v>
                </c:pt>
                <c:pt idx="228">
                  <c:v>9.5</c:v>
                </c:pt>
                <c:pt idx="229">
                  <c:v>9.5</c:v>
                </c:pt>
                <c:pt idx="230">
                  <c:v>9.5</c:v>
                </c:pt>
                <c:pt idx="231">
                  <c:v>9.5</c:v>
                </c:pt>
                <c:pt idx="232">
                  <c:v>9.5</c:v>
                </c:pt>
                <c:pt idx="233">
                  <c:v>9.5</c:v>
                </c:pt>
                <c:pt idx="234">
                  <c:v>9.5</c:v>
                </c:pt>
                <c:pt idx="235">
                  <c:v>9.5</c:v>
                </c:pt>
                <c:pt idx="236">
                  <c:v>9.5</c:v>
                </c:pt>
                <c:pt idx="237">
                  <c:v>9.5</c:v>
                </c:pt>
                <c:pt idx="238">
                  <c:v>9.5</c:v>
                </c:pt>
                <c:pt idx="239">
                  <c:v>9.5</c:v>
                </c:pt>
                <c:pt idx="240">
                  <c:v>9.5</c:v>
                </c:pt>
                <c:pt idx="241">
                  <c:v>9.5</c:v>
                </c:pt>
                <c:pt idx="242">
                  <c:v>9.5</c:v>
                </c:pt>
                <c:pt idx="243">
                  <c:v>9.5</c:v>
                </c:pt>
                <c:pt idx="244">
                  <c:v>9.5</c:v>
                </c:pt>
                <c:pt idx="245">
                  <c:v>9.5</c:v>
                </c:pt>
                <c:pt idx="246">
                  <c:v>9.5</c:v>
                </c:pt>
                <c:pt idx="247">
                  <c:v>9.5</c:v>
                </c:pt>
                <c:pt idx="248">
                  <c:v>9.5</c:v>
                </c:pt>
                <c:pt idx="249">
                  <c:v>9.5</c:v>
                </c:pt>
                <c:pt idx="250">
                  <c:v>9.5</c:v>
                </c:pt>
                <c:pt idx="251">
                  <c:v>9.5</c:v>
                </c:pt>
                <c:pt idx="252">
                  <c:v>9.5</c:v>
                </c:pt>
                <c:pt idx="253">
                  <c:v>9.5</c:v>
                </c:pt>
                <c:pt idx="254">
                  <c:v>9.5</c:v>
                </c:pt>
                <c:pt idx="255">
                  <c:v>9.5</c:v>
                </c:pt>
                <c:pt idx="256">
                  <c:v>9.5</c:v>
                </c:pt>
                <c:pt idx="257">
                  <c:v>9.5</c:v>
                </c:pt>
                <c:pt idx="258">
                  <c:v>9.5</c:v>
                </c:pt>
                <c:pt idx="259">
                  <c:v>9.5</c:v>
                </c:pt>
                <c:pt idx="260">
                  <c:v>9.5</c:v>
                </c:pt>
                <c:pt idx="261">
                  <c:v>9.5</c:v>
                </c:pt>
                <c:pt idx="262">
                  <c:v>9.5</c:v>
                </c:pt>
                <c:pt idx="263">
                  <c:v>9.5</c:v>
                </c:pt>
                <c:pt idx="264">
                  <c:v>9.5</c:v>
                </c:pt>
                <c:pt idx="265">
                  <c:v>9.5</c:v>
                </c:pt>
                <c:pt idx="266">
                  <c:v>9.5</c:v>
                </c:pt>
                <c:pt idx="267">
                  <c:v>9.5</c:v>
                </c:pt>
                <c:pt idx="268">
                  <c:v>9.5</c:v>
                </c:pt>
                <c:pt idx="269">
                  <c:v>9.5</c:v>
                </c:pt>
                <c:pt idx="270">
                  <c:v>9.5</c:v>
                </c:pt>
                <c:pt idx="271">
                  <c:v>9.5</c:v>
                </c:pt>
                <c:pt idx="272">
                  <c:v>9.5</c:v>
                </c:pt>
                <c:pt idx="273">
                  <c:v>9.5</c:v>
                </c:pt>
                <c:pt idx="274">
                  <c:v>9.5</c:v>
                </c:pt>
                <c:pt idx="275">
                  <c:v>9.5</c:v>
                </c:pt>
                <c:pt idx="276">
                  <c:v>9.5</c:v>
                </c:pt>
                <c:pt idx="277">
                  <c:v>9.5</c:v>
                </c:pt>
                <c:pt idx="278">
                  <c:v>9.5</c:v>
                </c:pt>
                <c:pt idx="279">
                  <c:v>9.5</c:v>
                </c:pt>
                <c:pt idx="280">
                  <c:v>9.5</c:v>
                </c:pt>
                <c:pt idx="281">
                  <c:v>9.5</c:v>
                </c:pt>
                <c:pt idx="282">
                  <c:v>9.5</c:v>
                </c:pt>
                <c:pt idx="283">
                  <c:v>9.5</c:v>
                </c:pt>
                <c:pt idx="284">
                  <c:v>9.5</c:v>
                </c:pt>
                <c:pt idx="285">
                  <c:v>9.5</c:v>
                </c:pt>
                <c:pt idx="286">
                  <c:v>9.5</c:v>
                </c:pt>
                <c:pt idx="287">
                  <c:v>9.5</c:v>
                </c:pt>
                <c:pt idx="288">
                  <c:v>9.5</c:v>
                </c:pt>
                <c:pt idx="289">
                  <c:v>9.5</c:v>
                </c:pt>
                <c:pt idx="290">
                  <c:v>9.5</c:v>
                </c:pt>
                <c:pt idx="291">
                  <c:v>9.5</c:v>
                </c:pt>
                <c:pt idx="292">
                  <c:v>9.5</c:v>
                </c:pt>
                <c:pt idx="293">
                  <c:v>9.5</c:v>
                </c:pt>
                <c:pt idx="294">
                  <c:v>9.5</c:v>
                </c:pt>
                <c:pt idx="295">
                  <c:v>9.5</c:v>
                </c:pt>
                <c:pt idx="296">
                  <c:v>9.5</c:v>
                </c:pt>
                <c:pt idx="297">
                  <c:v>9.5</c:v>
                </c:pt>
                <c:pt idx="298">
                  <c:v>9.5</c:v>
                </c:pt>
                <c:pt idx="299">
                  <c:v>9.5</c:v>
                </c:pt>
                <c:pt idx="300">
                  <c:v>9.5</c:v>
                </c:pt>
                <c:pt idx="301">
                  <c:v>9.5</c:v>
                </c:pt>
                <c:pt idx="302">
                  <c:v>9.5</c:v>
                </c:pt>
                <c:pt idx="303">
                  <c:v>9.5</c:v>
                </c:pt>
                <c:pt idx="304">
                  <c:v>9.5</c:v>
                </c:pt>
                <c:pt idx="305">
                  <c:v>9.5</c:v>
                </c:pt>
                <c:pt idx="306">
                  <c:v>9.5</c:v>
                </c:pt>
                <c:pt idx="307">
                  <c:v>9.5</c:v>
                </c:pt>
                <c:pt idx="308">
                  <c:v>9.5</c:v>
                </c:pt>
                <c:pt idx="309">
                  <c:v>9.5</c:v>
                </c:pt>
                <c:pt idx="310">
                  <c:v>9.5</c:v>
                </c:pt>
                <c:pt idx="311">
                  <c:v>9.5</c:v>
                </c:pt>
                <c:pt idx="312">
                  <c:v>9.5</c:v>
                </c:pt>
                <c:pt idx="313">
                  <c:v>9.5</c:v>
                </c:pt>
                <c:pt idx="314">
                  <c:v>9.5</c:v>
                </c:pt>
                <c:pt idx="315">
                  <c:v>9.5</c:v>
                </c:pt>
                <c:pt idx="316">
                  <c:v>9.5</c:v>
                </c:pt>
                <c:pt idx="317">
                  <c:v>9.5</c:v>
                </c:pt>
                <c:pt idx="318">
                  <c:v>9.5</c:v>
                </c:pt>
                <c:pt idx="319">
                  <c:v>9.5</c:v>
                </c:pt>
                <c:pt idx="320">
                  <c:v>9.5</c:v>
                </c:pt>
                <c:pt idx="321">
                  <c:v>9.5</c:v>
                </c:pt>
                <c:pt idx="322">
                  <c:v>9.5</c:v>
                </c:pt>
                <c:pt idx="323">
                  <c:v>9.5</c:v>
                </c:pt>
                <c:pt idx="324">
                  <c:v>9.5</c:v>
                </c:pt>
                <c:pt idx="325">
                  <c:v>9.5</c:v>
                </c:pt>
                <c:pt idx="326">
                  <c:v>9.5</c:v>
                </c:pt>
                <c:pt idx="327">
                  <c:v>9.5</c:v>
                </c:pt>
                <c:pt idx="328">
                  <c:v>9.5</c:v>
                </c:pt>
                <c:pt idx="329">
                  <c:v>9.5</c:v>
                </c:pt>
                <c:pt idx="330">
                  <c:v>9.5</c:v>
                </c:pt>
                <c:pt idx="331">
                  <c:v>9.5</c:v>
                </c:pt>
                <c:pt idx="332">
                  <c:v>9.5</c:v>
                </c:pt>
                <c:pt idx="333">
                  <c:v>9.5</c:v>
                </c:pt>
                <c:pt idx="334">
                  <c:v>9.5</c:v>
                </c:pt>
                <c:pt idx="335">
                  <c:v>9.5</c:v>
                </c:pt>
                <c:pt idx="336">
                  <c:v>9.5</c:v>
                </c:pt>
                <c:pt idx="337">
                  <c:v>9.5</c:v>
                </c:pt>
                <c:pt idx="338">
                  <c:v>9.5</c:v>
                </c:pt>
                <c:pt idx="339">
                  <c:v>9.5</c:v>
                </c:pt>
                <c:pt idx="340">
                  <c:v>9.5</c:v>
                </c:pt>
                <c:pt idx="341">
                  <c:v>9.5</c:v>
                </c:pt>
                <c:pt idx="342">
                  <c:v>9.5</c:v>
                </c:pt>
                <c:pt idx="343">
                  <c:v>9.5</c:v>
                </c:pt>
                <c:pt idx="344">
                  <c:v>9.5</c:v>
                </c:pt>
                <c:pt idx="345">
                  <c:v>9.5</c:v>
                </c:pt>
                <c:pt idx="346">
                  <c:v>9.5</c:v>
                </c:pt>
                <c:pt idx="347">
                  <c:v>9.5</c:v>
                </c:pt>
                <c:pt idx="348">
                  <c:v>9.5</c:v>
                </c:pt>
                <c:pt idx="349">
                  <c:v>9.5</c:v>
                </c:pt>
                <c:pt idx="350">
                  <c:v>9.5</c:v>
                </c:pt>
                <c:pt idx="351">
                  <c:v>9.5</c:v>
                </c:pt>
                <c:pt idx="352">
                  <c:v>9.5</c:v>
                </c:pt>
                <c:pt idx="353">
                  <c:v>9.5</c:v>
                </c:pt>
                <c:pt idx="354">
                  <c:v>9.5</c:v>
                </c:pt>
                <c:pt idx="355">
                  <c:v>9.5</c:v>
                </c:pt>
                <c:pt idx="356">
                  <c:v>9.5</c:v>
                </c:pt>
                <c:pt idx="357">
                  <c:v>9.5</c:v>
                </c:pt>
                <c:pt idx="358">
                  <c:v>9.5</c:v>
                </c:pt>
                <c:pt idx="359">
                  <c:v>9.5</c:v>
                </c:pt>
                <c:pt idx="360">
                  <c:v>9.5</c:v>
                </c:pt>
                <c:pt idx="361">
                  <c:v>9.5</c:v>
                </c:pt>
                <c:pt idx="362">
                  <c:v>9.5</c:v>
                </c:pt>
                <c:pt idx="363">
                  <c:v>9.5</c:v>
                </c:pt>
                <c:pt idx="364">
                  <c:v>9.5</c:v>
                </c:pt>
                <c:pt idx="365">
                  <c:v>9.5</c:v>
                </c:pt>
                <c:pt idx="366">
                  <c:v>9.5</c:v>
                </c:pt>
                <c:pt idx="367">
                  <c:v>9.5</c:v>
                </c:pt>
                <c:pt idx="368">
                  <c:v>9.5</c:v>
                </c:pt>
                <c:pt idx="369">
                  <c:v>9.5</c:v>
                </c:pt>
                <c:pt idx="370">
                  <c:v>9.5</c:v>
                </c:pt>
                <c:pt idx="371">
                  <c:v>9.5</c:v>
                </c:pt>
                <c:pt idx="372">
                  <c:v>9.5</c:v>
                </c:pt>
                <c:pt idx="373">
                  <c:v>9.5</c:v>
                </c:pt>
                <c:pt idx="374">
                  <c:v>9.5</c:v>
                </c:pt>
                <c:pt idx="375">
                  <c:v>9.5</c:v>
                </c:pt>
                <c:pt idx="376">
                  <c:v>9.5</c:v>
                </c:pt>
                <c:pt idx="377">
                  <c:v>9.5</c:v>
                </c:pt>
                <c:pt idx="378">
                  <c:v>9.5</c:v>
                </c:pt>
                <c:pt idx="379">
                  <c:v>9.5</c:v>
                </c:pt>
                <c:pt idx="380">
                  <c:v>9.5</c:v>
                </c:pt>
                <c:pt idx="381">
                  <c:v>9.5</c:v>
                </c:pt>
                <c:pt idx="382">
                  <c:v>9.5</c:v>
                </c:pt>
                <c:pt idx="383">
                  <c:v>9.5</c:v>
                </c:pt>
                <c:pt idx="384">
                  <c:v>9.5</c:v>
                </c:pt>
                <c:pt idx="385">
                  <c:v>9.5</c:v>
                </c:pt>
                <c:pt idx="386">
                  <c:v>9.5</c:v>
                </c:pt>
                <c:pt idx="387">
                  <c:v>9.5</c:v>
                </c:pt>
                <c:pt idx="388">
                  <c:v>9.5</c:v>
                </c:pt>
                <c:pt idx="389">
                  <c:v>9.5</c:v>
                </c:pt>
                <c:pt idx="390">
                  <c:v>9.5</c:v>
                </c:pt>
                <c:pt idx="391">
                  <c:v>9.5</c:v>
                </c:pt>
                <c:pt idx="392">
                  <c:v>9.5</c:v>
                </c:pt>
                <c:pt idx="393">
                  <c:v>9.5</c:v>
                </c:pt>
                <c:pt idx="394">
                  <c:v>9.5</c:v>
                </c:pt>
                <c:pt idx="395">
                  <c:v>9.5</c:v>
                </c:pt>
                <c:pt idx="396">
                  <c:v>9.5</c:v>
                </c:pt>
                <c:pt idx="397">
                  <c:v>9.5</c:v>
                </c:pt>
                <c:pt idx="398">
                  <c:v>9.5</c:v>
                </c:pt>
                <c:pt idx="399">
                  <c:v>9.5</c:v>
                </c:pt>
                <c:pt idx="400">
                  <c:v>9.5</c:v>
                </c:pt>
                <c:pt idx="401">
                  <c:v>9.5</c:v>
                </c:pt>
                <c:pt idx="402">
                  <c:v>9.5</c:v>
                </c:pt>
                <c:pt idx="403">
                  <c:v>9.5</c:v>
                </c:pt>
                <c:pt idx="404">
                  <c:v>9.5</c:v>
                </c:pt>
                <c:pt idx="405">
                  <c:v>9.5</c:v>
                </c:pt>
                <c:pt idx="406">
                  <c:v>9.5</c:v>
                </c:pt>
                <c:pt idx="407">
                  <c:v>9.5</c:v>
                </c:pt>
                <c:pt idx="408">
                  <c:v>9.5</c:v>
                </c:pt>
                <c:pt idx="409">
                  <c:v>9.5</c:v>
                </c:pt>
                <c:pt idx="410">
                  <c:v>9.5</c:v>
                </c:pt>
                <c:pt idx="411">
                  <c:v>9.5</c:v>
                </c:pt>
                <c:pt idx="412">
                  <c:v>9.5</c:v>
                </c:pt>
                <c:pt idx="413">
                  <c:v>9.5</c:v>
                </c:pt>
                <c:pt idx="414">
                  <c:v>9.5</c:v>
                </c:pt>
                <c:pt idx="415">
                  <c:v>9.5</c:v>
                </c:pt>
                <c:pt idx="416">
                  <c:v>9.5</c:v>
                </c:pt>
                <c:pt idx="417">
                  <c:v>9.5</c:v>
                </c:pt>
                <c:pt idx="418">
                  <c:v>9.5</c:v>
                </c:pt>
                <c:pt idx="419">
                  <c:v>9.5</c:v>
                </c:pt>
                <c:pt idx="420">
                  <c:v>9.5</c:v>
                </c:pt>
                <c:pt idx="421">
                  <c:v>9.5</c:v>
                </c:pt>
                <c:pt idx="422">
                  <c:v>9.5</c:v>
                </c:pt>
                <c:pt idx="423">
                  <c:v>9.5</c:v>
                </c:pt>
                <c:pt idx="424">
                  <c:v>9.5</c:v>
                </c:pt>
                <c:pt idx="425">
                  <c:v>9.5</c:v>
                </c:pt>
                <c:pt idx="426">
                  <c:v>9.5</c:v>
                </c:pt>
                <c:pt idx="427">
                  <c:v>9.5</c:v>
                </c:pt>
                <c:pt idx="428">
                  <c:v>9.5</c:v>
                </c:pt>
                <c:pt idx="429">
                  <c:v>9.5</c:v>
                </c:pt>
                <c:pt idx="430">
                  <c:v>9.5</c:v>
                </c:pt>
                <c:pt idx="431">
                  <c:v>9.5</c:v>
                </c:pt>
                <c:pt idx="432">
                  <c:v>9.5</c:v>
                </c:pt>
                <c:pt idx="433">
                  <c:v>9.5</c:v>
                </c:pt>
                <c:pt idx="434">
                  <c:v>9.5</c:v>
                </c:pt>
                <c:pt idx="435">
                  <c:v>9.5</c:v>
                </c:pt>
                <c:pt idx="436">
                  <c:v>9.5</c:v>
                </c:pt>
                <c:pt idx="437">
                  <c:v>9.5</c:v>
                </c:pt>
                <c:pt idx="438">
                  <c:v>9.5</c:v>
                </c:pt>
                <c:pt idx="439">
                  <c:v>9.5</c:v>
                </c:pt>
                <c:pt idx="440">
                  <c:v>9.5</c:v>
                </c:pt>
                <c:pt idx="441">
                  <c:v>9.5</c:v>
                </c:pt>
                <c:pt idx="442">
                  <c:v>9.5</c:v>
                </c:pt>
                <c:pt idx="443">
                  <c:v>9.5</c:v>
                </c:pt>
                <c:pt idx="444">
                  <c:v>9.5</c:v>
                </c:pt>
                <c:pt idx="445">
                  <c:v>9.5</c:v>
                </c:pt>
                <c:pt idx="446">
                  <c:v>9.5</c:v>
                </c:pt>
                <c:pt idx="447">
                  <c:v>9.5</c:v>
                </c:pt>
                <c:pt idx="448">
                  <c:v>9.5</c:v>
                </c:pt>
                <c:pt idx="449">
                  <c:v>9.5</c:v>
                </c:pt>
                <c:pt idx="450">
                  <c:v>9.5</c:v>
                </c:pt>
                <c:pt idx="451">
                  <c:v>9.5</c:v>
                </c:pt>
                <c:pt idx="452">
                  <c:v>9.5</c:v>
                </c:pt>
                <c:pt idx="453">
                  <c:v>9.5</c:v>
                </c:pt>
                <c:pt idx="454">
                  <c:v>9.5</c:v>
                </c:pt>
                <c:pt idx="455">
                  <c:v>9.5</c:v>
                </c:pt>
                <c:pt idx="456">
                  <c:v>9.5</c:v>
                </c:pt>
                <c:pt idx="457">
                  <c:v>9.5</c:v>
                </c:pt>
                <c:pt idx="458">
                  <c:v>9.5</c:v>
                </c:pt>
                <c:pt idx="459">
                  <c:v>9.5</c:v>
                </c:pt>
                <c:pt idx="460">
                  <c:v>9.5</c:v>
                </c:pt>
                <c:pt idx="461">
                  <c:v>9.5</c:v>
                </c:pt>
                <c:pt idx="462">
                  <c:v>9.5</c:v>
                </c:pt>
                <c:pt idx="463">
                  <c:v>9.5</c:v>
                </c:pt>
                <c:pt idx="464">
                  <c:v>9.5</c:v>
                </c:pt>
                <c:pt idx="465">
                  <c:v>9.5</c:v>
                </c:pt>
                <c:pt idx="466">
                  <c:v>9.5</c:v>
                </c:pt>
                <c:pt idx="467">
                  <c:v>9.5</c:v>
                </c:pt>
                <c:pt idx="468">
                  <c:v>9.5</c:v>
                </c:pt>
                <c:pt idx="469">
                  <c:v>9.5</c:v>
                </c:pt>
                <c:pt idx="470">
                  <c:v>9.5</c:v>
                </c:pt>
                <c:pt idx="471">
                  <c:v>9.5</c:v>
                </c:pt>
                <c:pt idx="472">
                  <c:v>9.5</c:v>
                </c:pt>
                <c:pt idx="473">
                  <c:v>9.5</c:v>
                </c:pt>
                <c:pt idx="474">
                  <c:v>9.5</c:v>
                </c:pt>
                <c:pt idx="475">
                  <c:v>9.5</c:v>
                </c:pt>
                <c:pt idx="476">
                  <c:v>9.5</c:v>
                </c:pt>
                <c:pt idx="477">
                  <c:v>9.5</c:v>
                </c:pt>
                <c:pt idx="478">
                  <c:v>9.5</c:v>
                </c:pt>
                <c:pt idx="479">
                  <c:v>9.5</c:v>
                </c:pt>
                <c:pt idx="480">
                  <c:v>9.5</c:v>
                </c:pt>
                <c:pt idx="481">
                  <c:v>9.5</c:v>
                </c:pt>
                <c:pt idx="482">
                  <c:v>9.5</c:v>
                </c:pt>
                <c:pt idx="483">
                  <c:v>9.5</c:v>
                </c:pt>
                <c:pt idx="484">
                  <c:v>9.5</c:v>
                </c:pt>
                <c:pt idx="485">
                  <c:v>9.5</c:v>
                </c:pt>
                <c:pt idx="486">
                  <c:v>9.5</c:v>
                </c:pt>
                <c:pt idx="487">
                  <c:v>9.5</c:v>
                </c:pt>
                <c:pt idx="488">
                  <c:v>9.5</c:v>
                </c:pt>
                <c:pt idx="489">
                  <c:v>9.5</c:v>
                </c:pt>
                <c:pt idx="490">
                  <c:v>9.5</c:v>
                </c:pt>
                <c:pt idx="491">
                  <c:v>9.5</c:v>
                </c:pt>
                <c:pt idx="492">
                  <c:v>9.5</c:v>
                </c:pt>
                <c:pt idx="493">
                  <c:v>9.5</c:v>
                </c:pt>
                <c:pt idx="494">
                  <c:v>9.5</c:v>
                </c:pt>
                <c:pt idx="495">
                  <c:v>9.5</c:v>
                </c:pt>
                <c:pt idx="496">
                  <c:v>9.5</c:v>
                </c:pt>
                <c:pt idx="497">
                  <c:v>9.5</c:v>
                </c:pt>
                <c:pt idx="498">
                  <c:v>9.5</c:v>
                </c:pt>
                <c:pt idx="499">
                  <c:v>9.5</c:v>
                </c:pt>
                <c:pt idx="500">
                  <c:v>9.5</c:v>
                </c:pt>
                <c:pt idx="501">
                  <c:v>9.5</c:v>
                </c:pt>
                <c:pt idx="502">
                  <c:v>9.5</c:v>
                </c:pt>
                <c:pt idx="503">
                  <c:v>9.5</c:v>
                </c:pt>
                <c:pt idx="504">
                  <c:v>9.5</c:v>
                </c:pt>
                <c:pt idx="505">
                  <c:v>9.5</c:v>
                </c:pt>
                <c:pt idx="506">
                  <c:v>9.5</c:v>
                </c:pt>
                <c:pt idx="507">
                  <c:v>9.5</c:v>
                </c:pt>
                <c:pt idx="508">
                  <c:v>9.5</c:v>
                </c:pt>
                <c:pt idx="509">
                  <c:v>9.5</c:v>
                </c:pt>
                <c:pt idx="510">
                  <c:v>9.5</c:v>
                </c:pt>
                <c:pt idx="511">
                  <c:v>9.5</c:v>
                </c:pt>
                <c:pt idx="512">
                  <c:v>9.5</c:v>
                </c:pt>
                <c:pt idx="513">
                  <c:v>9.5</c:v>
                </c:pt>
                <c:pt idx="514">
                  <c:v>9.5</c:v>
                </c:pt>
                <c:pt idx="515">
                  <c:v>9.5</c:v>
                </c:pt>
                <c:pt idx="516">
                  <c:v>9.5</c:v>
                </c:pt>
                <c:pt idx="517">
                  <c:v>9.5</c:v>
                </c:pt>
                <c:pt idx="518">
                  <c:v>9.5</c:v>
                </c:pt>
                <c:pt idx="519">
                  <c:v>9.5</c:v>
                </c:pt>
                <c:pt idx="520">
                  <c:v>9.5</c:v>
                </c:pt>
                <c:pt idx="521">
                  <c:v>9.5</c:v>
                </c:pt>
                <c:pt idx="522">
                  <c:v>9.5</c:v>
                </c:pt>
                <c:pt idx="523">
                  <c:v>9.5</c:v>
                </c:pt>
                <c:pt idx="524">
                  <c:v>9.5</c:v>
                </c:pt>
                <c:pt idx="525">
                  <c:v>9.5</c:v>
                </c:pt>
                <c:pt idx="526">
                  <c:v>9.5</c:v>
                </c:pt>
                <c:pt idx="527">
                  <c:v>9.5</c:v>
                </c:pt>
                <c:pt idx="528">
                  <c:v>9.5</c:v>
                </c:pt>
                <c:pt idx="529">
                  <c:v>9.5</c:v>
                </c:pt>
                <c:pt idx="530">
                  <c:v>9.5</c:v>
                </c:pt>
                <c:pt idx="531">
                  <c:v>9.5</c:v>
                </c:pt>
                <c:pt idx="532">
                  <c:v>9.5</c:v>
                </c:pt>
                <c:pt idx="533">
                  <c:v>9.5</c:v>
                </c:pt>
                <c:pt idx="534">
                  <c:v>9.5</c:v>
                </c:pt>
                <c:pt idx="535">
                  <c:v>9.5</c:v>
                </c:pt>
                <c:pt idx="536">
                  <c:v>9.5</c:v>
                </c:pt>
                <c:pt idx="537">
                  <c:v>9.5</c:v>
                </c:pt>
                <c:pt idx="538">
                  <c:v>9.5</c:v>
                </c:pt>
                <c:pt idx="539">
                  <c:v>9.5</c:v>
                </c:pt>
                <c:pt idx="540">
                  <c:v>9.5</c:v>
                </c:pt>
                <c:pt idx="541">
                  <c:v>9.5</c:v>
                </c:pt>
                <c:pt idx="542">
                  <c:v>9.5</c:v>
                </c:pt>
                <c:pt idx="543">
                  <c:v>9.5</c:v>
                </c:pt>
                <c:pt idx="544">
                  <c:v>9.5</c:v>
                </c:pt>
                <c:pt idx="545">
                  <c:v>9.5</c:v>
                </c:pt>
                <c:pt idx="546">
                  <c:v>9.5</c:v>
                </c:pt>
                <c:pt idx="547">
                  <c:v>9.5</c:v>
                </c:pt>
                <c:pt idx="548">
                  <c:v>9.5</c:v>
                </c:pt>
                <c:pt idx="549">
                  <c:v>9.5</c:v>
                </c:pt>
                <c:pt idx="550">
                  <c:v>9.5</c:v>
                </c:pt>
                <c:pt idx="551">
                  <c:v>9.5</c:v>
                </c:pt>
                <c:pt idx="552">
                  <c:v>9.5</c:v>
                </c:pt>
                <c:pt idx="553">
                  <c:v>9.5</c:v>
                </c:pt>
                <c:pt idx="554">
                  <c:v>9.5</c:v>
                </c:pt>
                <c:pt idx="555">
                  <c:v>9.5</c:v>
                </c:pt>
                <c:pt idx="556">
                  <c:v>9.5</c:v>
                </c:pt>
                <c:pt idx="557">
                  <c:v>9.5</c:v>
                </c:pt>
                <c:pt idx="558">
                  <c:v>9.5</c:v>
                </c:pt>
                <c:pt idx="559">
                  <c:v>9.5</c:v>
                </c:pt>
                <c:pt idx="560">
                  <c:v>9.5</c:v>
                </c:pt>
                <c:pt idx="561">
                  <c:v>9.5</c:v>
                </c:pt>
                <c:pt idx="562">
                  <c:v>9.5</c:v>
                </c:pt>
                <c:pt idx="563">
                  <c:v>9.5</c:v>
                </c:pt>
                <c:pt idx="564">
                  <c:v>9.5</c:v>
                </c:pt>
                <c:pt idx="565">
                  <c:v>9.5</c:v>
                </c:pt>
                <c:pt idx="566">
                  <c:v>9.5</c:v>
                </c:pt>
                <c:pt idx="567">
                  <c:v>9.5</c:v>
                </c:pt>
                <c:pt idx="568">
                  <c:v>9.5</c:v>
                </c:pt>
                <c:pt idx="569">
                  <c:v>9.5</c:v>
                </c:pt>
                <c:pt idx="570">
                  <c:v>9.5</c:v>
                </c:pt>
                <c:pt idx="571">
                  <c:v>9.5</c:v>
                </c:pt>
                <c:pt idx="572">
                  <c:v>9.5</c:v>
                </c:pt>
                <c:pt idx="573">
                  <c:v>9.5</c:v>
                </c:pt>
                <c:pt idx="574">
                  <c:v>9.5</c:v>
                </c:pt>
                <c:pt idx="575">
                  <c:v>9.5</c:v>
                </c:pt>
                <c:pt idx="576">
                  <c:v>9.5</c:v>
                </c:pt>
                <c:pt idx="577">
                  <c:v>9.5</c:v>
                </c:pt>
                <c:pt idx="578">
                  <c:v>9.5</c:v>
                </c:pt>
                <c:pt idx="579">
                  <c:v>9.5</c:v>
                </c:pt>
                <c:pt idx="580">
                  <c:v>9.5</c:v>
                </c:pt>
                <c:pt idx="581">
                  <c:v>9.5</c:v>
                </c:pt>
                <c:pt idx="582">
                  <c:v>9.5</c:v>
                </c:pt>
                <c:pt idx="583">
                  <c:v>9.5</c:v>
                </c:pt>
                <c:pt idx="584">
                  <c:v>9.5</c:v>
                </c:pt>
                <c:pt idx="585">
                  <c:v>9.5</c:v>
                </c:pt>
                <c:pt idx="586">
                  <c:v>9.5</c:v>
                </c:pt>
                <c:pt idx="587">
                  <c:v>9.5</c:v>
                </c:pt>
                <c:pt idx="588">
                  <c:v>9.5</c:v>
                </c:pt>
                <c:pt idx="589">
                  <c:v>9.5</c:v>
                </c:pt>
                <c:pt idx="590">
                  <c:v>9.5</c:v>
                </c:pt>
                <c:pt idx="591">
                  <c:v>9.5</c:v>
                </c:pt>
                <c:pt idx="592">
                  <c:v>9.5</c:v>
                </c:pt>
                <c:pt idx="593">
                  <c:v>9.5</c:v>
                </c:pt>
                <c:pt idx="594">
                  <c:v>9.5</c:v>
                </c:pt>
                <c:pt idx="595">
                  <c:v>9.5</c:v>
                </c:pt>
                <c:pt idx="596">
                  <c:v>9.5</c:v>
                </c:pt>
                <c:pt idx="597">
                  <c:v>9.5</c:v>
                </c:pt>
                <c:pt idx="598">
                  <c:v>9.5</c:v>
                </c:pt>
                <c:pt idx="599">
                  <c:v>9.5</c:v>
                </c:pt>
                <c:pt idx="600">
                  <c:v>0.95</c:v>
                </c:pt>
                <c:pt idx="601">
                  <c:v>0.95</c:v>
                </c:pt>
                <c:pt idx="602">
                  <c:v>0.95</c:v>
                </c:pt>
                <c:pt idx="603">
                  <c:v>0.95</c:v>
                </c:pt>
                <c:pt idx="604">
                  <c:v>0.95</c:v>
                </c:pt>
                <c:pt idx="605">
                  <c:v>0.95</c:v>
                </c:pt>
                <c:pt idx="606">
                  <c:v>0.95</c:v>
                </c:pt>
                <c:pt idx="607">
                  <c:v>0.95</c:v>
                </c:pt>
                <c:pt idx="608">
                  <c:v>0.95</c:v>
                </c:pt>
                <c:pt idx="609">
                  <c:v>0.95</c:v>
                </c:pt>
                <c:pt idx="610">
                  <c:v>0.95</c:v>
                </c:pt>
                <c:pt idx="611">
                  <c:v>0.95</c:v>
                </c:pt>
                <c:pt idx="612">
                  <c:v>0.95</c:v>
                </c:pt>
                <c:pt idx="613">
                  <c:v>0.95</c:v>
                </c:pt>
                <c:pt idx="614">
                  <c:v>0.95</c:v>
                </c:pt>
                <c:pt idx="615">
                  <c:v>0.95</c:v>
                </c:pt>
                <c:pt idx="616">
                  <c:v>0.95</c:v>
                </c:pt>
                <c:pt idx="617">
                  <c:v>0.95</c:v>
                </c:pt>
                <c:pt idx="618">
                  <c:v>0.95</c:v>
                </c:pt>
                <c:pt idx="619">
                  <c:v>0.95</c:v>
                </c:pt>
                <c:pt idx="620">
                  <c:v>0.95</c:v>
                </c:pt>
                <c:pt idx="621">
                  <c:v>0.95</c:v>
                </c:pt>
                <c:pt idx="622">
                  <c:v>0.95</c:v>
                </c:pt>
                <c:pt idx="623">
                  <c:v>0.95</c:v>
                </c:pt>
                <c:pt idx="624">
                  <c:v>0.95</c:v>
                </c:pt>
                <c:pt idx="625">
                  <c:v>0.95</c:v>
                </c:pt>
                <c:pt idx="626">
                  <c:v>0.95</c:v>
                </c:pt>
                <c:pt idx="627">
                  <c:v>0.95</c:v>
                </c:pt>
                <c:pt idx="628">
                  <c:v>0.95</c:v>
                </c:pt>
                <c:pt idx="629">
                  <c:v>0.95</c:v>
                </c:pt>
                <c:pt idx="630">
                  <c:v>0.95</c:v>
                </c:pt>
                <c:pt idx="631">
                  <c:v>0.95</c:v>
                </c:pt>
                <c:pt idx="632">
                  <c:v>0.95</c:v>
                </c:pt>
                <c:pt idx="633">
                  <c:v>0.95</c:v>
                </c:pt>
                <c:pt idx="634">
                  <c:v>0.95</c:v>
                </c:pt>
                <c:pt idx="635">
                  <c:v>0.95</c:v>
                </c:pt>
                <c:pt idx="636">
                  <c:v>0.95</c:v>
                </c:pt>
                <c:pt idx="637">
                  <c:v>0.95</c:v>
                </c:pt>
                <c:pt idx="638">
                  <c:v>0.95</c:v>
                </c:pt>
                <c:pt idx="639">
                  <c:v>0.95</c:v>
                </c:pt>
                <c:pt idx="640">
                  <c:v>0.95</c:v>
                </c:pt>
                <c:pt idx="641">
                  <c:v>0.95</c:v>
                </c:pt>
                <c:pt idx="642">
                  <c:v>0.95</c:v>
                </c:pt>
                <c:pt idx="643">
                  <c:v>0.95</c:v>
                </c:pt>
                <c:pt idx="644">
                  <c:v>0.95</c:v>
                </c:pt>
                <c:pt idx="645">
                  <c:v>0.95</c:v>
                </c:pt>
                <c:pt idx="646">
                  <c:v>0.95</c:v>
                </c:pt>
                <c:pt idx="647">
                  <c:v>0.95</c:v>
                </c:pt>
                <c:pt idx="648">
                  <c:v>0.95</c:v>
                </c:pt>
                <c:pt idx="649">
                  <c:v>0.95</c:v>
                </c:pt>
                <c:pt idx="650">
                  <c:v>0.95</c:v>
                </c:pt>
                <c:pt idx="651">
                  <c:v>0.95</c:v>
                </c:pt>
                <c:pt idx="652">
                  <c:v>0.95</c:v>
                </c:pt>
                <c:pt idx="653">
                  <c:v>0.95</c:v>
                </c:pt>
                <c:pt idx="654">
                  <c:v>0.95</c:v>
                </c:pt>
                <c:pt idx="655">
                  <c:v>0.95</c:v>
                </c:pt>
                <c:pt idx="656">
                  <c:v>0.95</c:v>
                </c:pt>
                <c:pt idx="657">
                  <c:v>0.95</c:v>
                </c:pt>
                <c:pt idx="658">
                  <c:v>0.95</c:v>
                </c:pt>
                <c:pt idx="659">
                  <c:v>0.95</c:v>
                </c:pt>
                <c:pt idx="660">
                  <c:v>0.95</c:v>
                </c:pt>
                <c:pt idx="661">
                  <c:v>0.95</c:v>
                </c:pt>
                <c:pt idx="662">
                  <c:v>0.95</c:v>
                </c:pt>
                <c:pt idx="663">
                  <c:v>0.95</c:v>
                </c:pt>
                <c:pt idx="664">
                  <c:v>0.95</c:v>
                </c:pt>
                <c:pt idx="665">
                  <c:v>0.95</c:v>
                </c:pt>
                <c:pt idx="666">
                  <c:v>0.95</c:v>
                </c:pt>
                <c:pt idx="667">
                  <c:v>0.95</c:v>
                </c:pt>
                <c:pt idx="668">
                  <c:v>0.95</c:v>
                </c:pt>
                <c:pt idx="669">
                  <c:v>0.95</c:v>
                </c:pt>
                <c:pt idx="670">
                  <c:v>0.95</c:v>
                </c:pt>
                <c:pt idx="671">
                  <c:v>0.95</c:v>
                </c:pt>
                <c:pt idx="672">
                  <c:v>0.95</c:v>
                </c:pt>
                <c:pt idx="673">
                  <c:v>0.95</c:v>
                </c:pt>
                <c:pt idx="674">
                  <c:v>0.95</c:v>
                </c:pt>
                <c:pt idx="675">
                  <c:v>0.95</c:v>
                </c:pt>
                <c:pt idx="676">
                  <c:v>0.95</c:v>
                </c:pt>
                <c:pt idx="677">
                  <c:v>0.95</c:v>
                </c:pt>
                <c:pt idx="678">
                  <c:v>0.95</c:v>
                </c:pt>
                <c:pt idx="679">
                  <c:v>0.95</c:v>
                </c:pt>
                <c:pt idx="680">
                  <c:v>0.95</c:v>
                </c:pt>
                <c:pt idx="681">
                  <c:v>0.95</c:v>
                </c:pt>
                <c:pt idx="682">
                  <c:v>0.95</c:v>
                </c:pt>
                <c:pt idx="683">
                  <c:v>0.95</c:v>
                </c:pt>
                <c:pt idx="684">
                  <c:v>0.95</c:v>
                </c:pt>
                <c:pt idx="685">
                  <c:v>0.95</c:v>
                </c:pt>
                <c:pt idx="686">
                  <c:v>0.95</c:v>
                </c:pt>
                <c:pt idx="687">
                  <c:v>0.95</c:v>
                </c:pt>
                <c:pt idx="688">
                  <c:v>0.95</c:v>
                </c:pt>
                <c:pt idx="689">
                  <c:v>0.95</c:v>
                </c:pt>
                <c:pt idx="690">
                  <c:v>0.95</c:v>
                </c:pt>
                <c:pt idx="691">
                  <c:v>0.95</c:v>
                </c:pt>
                <c:pt idx="692">
                  <c:v>0.95</c:v>
                </c:pt>
                <c:pt idx="693">
                  <c:v>0.95</c:v>
                </c:pt>
                <c:pt idx="694">
                  <c:v>0.95</c:v>
                </c:pt>
                <c:pt idx="695">
                  <c:v>0.95</c:v>
                </c:pt>
                <c:pt idx="696">
                  <c:v>0.95</c:v>
                </c:pt>
                <c:pt idx="697">
                  <c:v>0.95</c:v>
                </c:pt>
                <c:pt idx="698">
                  <c:v>0.95</c:v>
                </c:pt>
                <c:pt idx="699">
                  <c:v>0.95</c:v>
                </c:pt>
                <c:pt idx="700">
                  <c:v>0.95</c:v>
                </c:pt>
                <c:pt idx="701">
                  <c:v>0.95</c:v>
                </c:pt>
                <c:pt idx="702">
                  <c:v>0.95</c:v>
                </c:pt>
                <c:pt idx="703">
                  <c:v>0.95</c:v>
                </c:pt>
                <c:pt idx="704">
                  <c:v>0.95</c:v>
                </c:pt>
                <c:pt idx="705">
                  <c:v>0.95</c:v>
                </c:pt>
                <c:pt idx="706">
                  <c:v>0.95</c:v>
                </c:pt>
                <c:pt idx="707">
                  <c:v>0.95</c:v>
                </c:pt>
                <c:pt idx="708">
                  <c:v>0.95</c:v>
                </c:pt>
                <c:pt idx="709">
                  <c:v>0.95</c:v>
                </c:pt>
                <c:pt idx="710">
                  <c:v>0.95</c:v>
                </c:pt>
                <c:pt idx="711">
                  <c:v>0.95</c:v>
                </c:pt>
                <c:pt idx="712">
                  <c:v>0.95</c:v>
                </c:pt>
                <c:pt idx="713">
                  <c:v>0.95</c:v>
                </c:pt>
                <c:pt idx="714">
                  <c:v>0.95</c:v>
                </c:pt>
                <c:pt idx="715">
                  <c:v>0.95</c:v>
                </c:pt>
                <c:pt idx="716">
                  <c:v>0.95</c:v>
                </c:pt>
                <c:pt idx="717">
                  <c:v>0.95</c:v>
                </c:pt>
                <c:pt idx="718">
                  <c:v>0.95</c:v>
                </c:pt>
                <c:pt idx="719">
                  <c:v>0.95</c:v>
                </c:pt>
                <c:pt idx="720">
                  <c:v>0.95</c:v>
                </c:pt>
                <c:pt idx="721">
                  <c:v>0.95</c:v>
                </c:pt>
                <c:pt idx="722">
                  <c:v>0.95</c:v>
                </c:pt>
                <c:pt idx="723">
                  <c:v>0.95</c:v>
                </c:pt>
                <c:pt idx="724">
                  <c:v>0.95</c:v>
                </c:pt>
                <c:pt idx="725">
                  <c:v>0.95</c:v>
                </c:pt>
                <c:pt idx="726">
                  <c:v>0.95</c:v>
                </c:pt>
                <c:pt idx="727">
                  <c:v>0.95</c:v>
                </c:pt>
                <c:pt idx="728">
                  <c:v>0.95</c:v>
                </c:pt>
                <c:pt idx="729">
                  <c:v>0.95</c:v>
                </c:pt>
                <c:pt idx="730">
                  <c:v>0.95</c:v>
                </c:pt>
                <c:pt idx="731">
                  <c:v>0.95</c:v>
                </c:pt>
                <c:pt idx="732">
                  <c:v>0.95</c:v>
                </c:pt>
                <c:pt idx="733">
                  <c:v>0.95</c:v>
                </c:pt>
                <c:pt idx="734">
                  <c:v>0.95</c:v>
                </c:pt>
                <c:pt idx="735">
                  <c:v>0.95</c:v>
                </c:pt>
                <c:pt idx="736">
                  <c:v>0.95</c:v>
                </c:pt>
                <c:pt idx="737">
                  <c:v>0.95</c:v>
                </c:pt>
                <c:pt idx="738">
                  <c:v>0.95</c:v>
                </c:pt>
                <c:pt idx="739">
                  <c:v>0.95</c:v>
                </c:pt>
                <c:pt idx="740">
                  <c:v>0.95</c:v>
                </c:pt>
                <c:pt idx="741">
                  <c:v>0.95</c:v>
                </c:pt>
                <c:pt idx="742">
                  <c:v>0.95</c:v>
                </c:pt>
                <c:pt idx="743">
                  <c:v>0.95</c:v>
                </c:pt>
                <c:pt idx="744">
                  <c:v>0.95</c:v>
                </c:pt>
                <c:pt idx="745">
                  <c:v>0.95</c:v>
                </c:pt>
                <c:pt idx="746">
                  <c:v>0.95</c:v>
                </c:pt>
                <c:pt idx="747">
                  <c:v>0.95</c:v>
                </c:pt>
                <c:pt idx="748">
                  <c:v>0.95</c:v>
                </c:pt>
                <c:pt idx="749">
                  <c:v>0.95</c:v>
                </c:pt>
                <c:pt idx="750">
                  <c:v>0.95</c:v>
                </c:pt>
                <c:pt idx="751">
                  <c:v>0.95</c:v>
                </c:pt>
                <c:pt idx="752">
                  <c:v>0.95</c:v>
                </c:pt>
                <c:pt idx="753">
                  <c:v>0.95</c:v>
                </c:pt>
                <c:pt idx="754">
                  <c:v>0.95</c:v>
                </c:pt>
                <c:pt idx="755">
                  <c:v>0.95</c:v>
                </c:pt>
                <c:pt idx="756">
                  <c:v>0.95</c:v>
                </c:pt>
                <c:pt idx="757">
                  <c:v>0.95</c:v>
                </c:pt>
                <c:pt idx="758">
                  <c:v>0.95</c:v>
                </c:pt>
                <c:pt idx="759">
                  <c:v>0.95</c:v>
                </c:pt>
                <c:pt idx="760">
                  <c:v>0.95</c:v>
                </c:pt>
                <c:pt idx="761">
                  <c:v>0.95</c:v>
                </c:pt>
                <c:pt idx="762">
                  <c:v>0.95</c:v>
                </c:pt>
                <c:pt idx="763">
                  <c:v>0.95</c:v>
                </c:pt>
                <c:pt idx="764">
                  <c:v>0.95</c:v>
                </c:pt>
                <c:pt idx="765">
                  <c:v>0.95</c:v>
                </c:pt>
                <c:pt idx="766">
                  <c:v>0.95</c:v>
                </c:pt>
                <c:pt idx="767">
                  <c:v>0.95</c:v>
                </c:pt>
                <c:pt idx="768">
                  <c:v>0.95</c:v>
                </c:pt>
                <c:pt idx="769">
                  <c:v>0.95</c:v>
                </c:pt>
                <c:pt idx="770">
                  <c:v>0.95</c:v>
                </c:pt>
                <c:pt idx="771">
                  <c:v>0.95</c:v>
                </c:pt>
                <c:pt idx="772">
                  <c:v>0.95</c:v>
                </c:pt>
                <c:pt idx="773">
                  <c:v>0.95</c:v>
                </c:pt>
                <c:pt idx="774">
                  <c:v>0.95</c:v>
                </c:pt>
                <c:pt idx="775">
                  <c:v>0.95</c:v>
                </c:pt>
                <c:pt idx="776">
                  <c:v>0.95</c:v>
                </c:pt>
                <c:pt idx="777">
                  <c:v>0.95</c:v>
                </c:pt>
                <c:pt idx="778">
                  <c:v>0.95</c:v>
                </c:pt>
                <c:pt idx="779">
                  <c:v>0.95</c:v>
                </c:pt>
                <c:pt idx="780">
                  <c:v>0.95</c:v>
                </c:pt>
                <c:pt idx="781">
                  <c:v>0.95</c:v>
                </c:pt>
                <c:pt idx="782">
                  <c:v>0.95</c:v>
                </c:pt>
                <c:pt idx="783">
                  <c:v>0.95</c:v>
                </c:pt>
                <c:pt idx="784">
                  <c:v>0.95</c:v>
                </c:pt>
                <c:pt idx="785">
                  <c:v>0.95</c:v>
                </c:pt>
                <c:pt idx="786">
                  <c:v>0.95</c:v>
                </c:pt>
                <c:pt idx="787">
                  <c:v>0.95</c:v>
                </c:pt>
                <c:pt idx="788">
                  <c:v>0.95</c:v>
                </c:pt>
                <c:pt idx="789">
                  <c:v>0.95</c:v>
                </c:pt>
                <c:pt idx="790">
                  <c:v>0.95</c:v>
                </c:pt>
                <c:pt idx="791">
                  <c:v>0.95</c:v>
                </c:pt>
                <c:pt idx="792">
                  <c:v>0.95</c:v>
                </c:pt>
                <c:pt idx="793">
                  <c:v>0.95</c:v>
                </c:pt>
                <c:pt idx="794">
                  <c:v>0.95</c:v>
                </c:pt>
                <c:pt idx="795">
                  <c:v>0.95</c:v>
                </c:pt>
                <c:pt idx="796">
                  <c:v>0.95</c:v>
                </c:pt>
                <c:pt idx="797">
                  <c:v>0.95</c:v>
                </c:pt>
                <c:pt idx="798">
                  <c:v>0.95</c:v>
                </c:pt>
                <c:pt idx="799">
                  <c:v>0.95</c:v>
                </c:pt>
                <c:pt idx="800">
                  <c:v>0.95</c:v>
                </c:pt>
                <c:pt idx="801">
                  <c:v>0.95</c:v>
                </c:pt>
                <c:pt idx="802">
                  <c:v>0.95</c:v>
                </c:pt>
                <c:pt idx="803">
                  <c:v>0.95</c:v>
                </c:pt>
                <c:pt idx="804">
                  <c:v>0.95</c:v>
                </c:pt>
                <c:pt idx="805">
                  <c:v>0.95</c:v>
                </c:pt>
                <c:pt idx="806">
                  <c:v>0.95</c:v>
                </c:pt>
                <c:pt idx="807">
                  <c:v>0.95</c:v>
                </c:pt>
                <c:pt idx="808">
                  <c:v>0.95</c:v>
                </c:pt>
                <c:pt idx="809">
                  <c:v>0.95</c:v>
                </c:pt>
                <c:pt idx="810">
                  <c:v>0.95</c:v>
                </c:pt>
                <c:pt idx="811">
                  <c:v>0.95</c:v>
                </c:pt>
                <c:pt idx="812">
                  <c:v>0.95</c:v>
                </c:pt>
                <c:pt idx="813">
                  <c:v>0.95</c:v>
                </c:pt>
                <c:pt idx="814">
                  <c:v>0.95</c:v>
                </c:pt>
                <c:pt idx="815">
                  <c:v>0.95</c:v>
                </c:pt>
                <c:pt idx="816">
                  <c:v>0.95</c:v>
                </c:pt>
                <c:pt idx="817">
                  <c:v>0.95</c:v>
                </c:pt>
                <c:pt idx="818">
                  <c:v>0.95</c:v>
                </c:pt>
                <c:pt idx="819">
                  <c:v>0.95</c:v>
                </c:pt>
                <c:pt idx="820">
                  <c:v>0.95</c:v>
                </c:pt>
                <c:pt idx="821">
                  <c:v>0.95</c:v>
                </c:pt>
                <c:pt idx="822">
                  <c:v>0.95</c:v>
                </c:pt>
                <c:pt idx="823">
                  <c:v>0.95</c:v>
                </c:pt>
                <c:pt idx="824">
                  <c:v>0.95</c:v>
                </c:pt>
                <c:pt idx="825">
                  <c:v>0.95</c:v>
                </c:pt>
                <c:pt idx="826">
                  <c:v>0.95</c:v>
                </c:pt>
                <c:pt idx="827">
                  <c:v>0.95</c:v>
                </c:pt>
                <c:pt idx="828">
                  <c:v>0.95</c:v>
                </c:pt>
                <c:pt idx="829">
                  <c:v>0.95</c:v>
                </c:pt>
                <c:pt idx="830">
                  <c:v>0.95</c:v>
                </c:pt>
                <c:pt idx="831">
                  <c:v>0.95</c:v>
                </c:pt>
                <c:pt idx="832">
                  <c:v>0.95</c:v>
                </c:pt>
                <c:pt idx="833">
                  <c:v>0.95</c:v>
                </c:pt>
                <c:pt idx="834">
                  <c:v>0.95</c:v>
                </c:pt>
                <c:pt idx="835">
                  <c:v>0.95</c:v>
                </c:pt>
                <c:pt idx="836">
                  <c:v>0.95</c:v>
                </c:pt>
                <c:pt idx="837">
                  <c:v>0.95</c:v>
                </c:pt>
                <c:pt idx="838">
                  <c:v>0.95</c:v>
                </c:pt>
                <c:pt idx="839">
                  <c:v>0.95</c:v>
                </c:pt>
                <c:pt idx="840">
                  <c:v>0.95</c:v>
                </c:pt>
                <c:pt idx="841">
                  <c:v>0.95</c:v>
                </c:pt>
                <c:pt idx="842">
                  <c:v>0.95</c:v>
                </c:pt>
                <c:pt idx="843">
                  <c:v>0.95</c:v>
                </c:pt>
                <c:pt idx="844">
                  <c:v>0.95</c:v>
                </c:pt>
                <c:pt idx="845">
                  <c:v>0.95</c:v>
                </c:pt>
                <c:pt idx="846">
                  <c:v>0.95</c:v>
                </c:pt>
                <c:pt idx="847">
                  <c:v>0.95</c:v>
                </c:pt>
                <c:pt idx="848">
                  <c:v>0.95</c:v>
                </c:pt>
                <c:pt idx="849">
                  <c:v>0.95</c:v>
                </c:pt>
                <c:pt idx="850">
                  <c:v>0.95</c:v>
                </c:pt>
                <c:pt idx="851">
                  <c:v>0.95</c:v>
                </c:pt>
                <c:pt idx="852">
                  <c:v>0.95</c:v>
                </c:pt>
                <c:pt idx="853">
                  <c:v>0.95</c:v>
                </c:pt>
                <c:pt idx="854">
                  <c:v>0.95</c:v>
                </c:pt>
                <c:pt idx="855">
                  <c:v>0.95</c:v>
                </c:pt>
                <c:pt idx="856">
                  <c:v>0.95</c:v>
                </c:pt>
                <c:pt idx="857">
                  <c:v>0.95</c:v>
                </c:pt>
                <c:pt idx="858">
                  <c:v>0.95</c:v>
                </c:pt>
                <c:pt idx="859">
                  <c:v>0.95</c:v>
                </c:pt>
                <c:pt idx="860">
                  <c:v>0.95</c:v>
                </c:pt>
                <c:pt idx="861">
                  <c:v>0.95</c:v>
                </c:pt>
                <c:pt idx="862">
                  <c:v>0.95</c:v>
                </c:pt>
                <c:pt idx="863">
                  <c:v>0.95</c:v>
                </c:pt>
                <c:pt idx="864">
                  <c:v>0.95</c:v>
                </c:pt>
                <c:pt idx="865">
                  <c:v>0.95</c:v>
                </c:pt>
                <c:pt idx="866">
                  <c:v>0.95</c:v>
                </c:pt>
                <c:pt idx="867">
                  <c:v>0.95</c:v>
                </c:pt>
                <c:pt idx="868">
                  <c:v>0.95</c:v>
                </c:pt>
                <c:pt idx="869">
                  <c:v>0.95</c:v>
                </c:pt>
                <c:pt idx="870">
                  <c:v>0.95</c:v>
                </c:pt>
                <c:pt idx="871">
                  <c:v>0.95</c:v>
                </c:pt>
                <c:pt idx="872">
                  <c:v>0.95</c:v>
                </c:pt>
                <c:pt idx="873">
                  <c:v>0.95</c:v>
                </c:pt>
                <c:pt idx="874">
                  <c:v>0.95</c:v>
                </c:pt>
                <c:pt idx="875">
                  <c:v>0.95</c:v>
                </c:pt>
                <c:pt idx="876">
                  <c:v>0.95</c:v>
                </c:pt>
                <c:pt idx="877">
                  <c:v>0.95</c:v>
                </c:pt>
                <c:pt idx="878">
                  <c:v>0.95</c:v>
                </c:pt>
                <c:pt idx="879">
                  <c:v>0.95</c:v>
                </c:pt>
                <c:pt idx="880">
                  <c:v>0.95</c:v>
                </c:pt>
                <c:pt idx="881">
                  <c:v>0.95</c:v>
                </c:pt>
                <c:pt idx="882">
                  <c:v>0.95</c:v>
                </c:pt>
                <c:pt idx="883">
                  <c:v>0.95</c:v>
                </c:pt>
                <c:pt idx="884">
                  <c:v>0.95</c:v>
                </c:pt>
                <c:pt idx="885">
                  <c:v>0.95</c:v>
                </c:pt>
                <c:pt idx="886">
                  <c:v>0.95</c:v>
                </c:pt>
                <c:pt idx="887">
                  <c:v>0.95</c:v>
                </c:pt>
                <c:pt idx="888">
                  <c:v>0.95</c:v>
                </c:pt>
                <c:pt idx="889">
                  <c:v>0.95</c:v>
                </c:pt>
                <c:pt idx="890">
                  <c:v>0.95</c:v>
                </c:pt>
                <c:pt idx="891">
                  <c:v>0.95</c:v>
                </c:pt>
                <c:pt idx="892">
                  <c:v>0.95</c:v>
                </c:pt>
                <c:pt idx="893">
                  <c:v>0.95</c:v>
                </c:pt>
                <c:pt idx="894">
                  <c:v>0.95</c:v>
                </c:pt>
                <c:pt idx="895">
                  <c:v>0.95</c:v>
                </c:pt>
                <c:pt idx="896">
                  <c:v>0.95</c:v>
                </c:pt>
                <c:pt idx="897">
                  <c:v>0.95</c:v>
                </c:pt>
                <c:pt idx="898">
                  <c:v>0.95</c:v>
                </c:pt>
                <c:pt idx="899">
                  <c:v>0.95</c:v>
                </c:pt>
                <c:pt idx="900">
                  <c:v>0.95</c:v>
                </c:pt>
                <c:pt idx="901">
                  <c:v>0.95</c:v>
                </c:pt>
                <c:pt idx="902">
                  <c:v>0.95</c:v>
                </c:pt>
                <c:pt idx="903">
                  <c:v>0.95</c:v>
                </c:pt>
                <c:pt idx="904">
                  <c:v>0.95</c:v>
                </c:pt>
                <c:pt idx="905">
                  <c:v>0.95</c:v>
                </c:pt>
                <c:pt idx="906">
                  <c:v>0.95</c:v>
                </c:pt>
                <c:pt idx="907">
                  <c:v>0.95</c:v>
                </c:pt>
                <c:pt idx="908">
                  <c:v>0.95</c:v>
                </c:pt>
                <c:pt idx="909">
                  <c:v>0.95</c:v>
                </c:pt>
                <c:pt idx="910">
                  <c:v>0.95</c:v>
                </c:pt>
                <c:pt idx="911">
                  <c:v>0.95</c:v>
                </c:pt>
                <c:pt idx="912">
                  <c:v>0.95</c:v>
                </c:pt>
                <c:pt idx="913">
                  <c:v>0.95</c:v>
                </c:pt>
                <c:pt idx="914">
                  <c:v>0.95</c:v>
                </c:pt>
                <c:pt idx="915">
                  <c:v>0.95</c:v>
                </c:pt>
                <c:pt idx="916">
                  <c:v>0.95</c:v>
                </c:pt>
                <c:pt idx="917">
                  <c:v>0.95</c:v>
                </c:pt>
                <c:pt idx="918">
                  <c:v>0.95</c:v>
                </c:pt>
                <c:pt idx="919">
                  <c:v>0.95</c:v>
                </c:pt>
                <c:pt idx="920">
                  <c:v>0.95</c:v>
                </c:pt>
                <c:pt idx="921">
                  <c:v>0.95</c:v>
                </c:pt>
                <c:pt idx="922">
                  <c:v>0.95</c:v>
                </c:pt>
                <c:pt idx="923">
                  <c:v>0.95</c:v>
                </c:pt>
                <c:pt idx="924">
                  <c:v>0.95</c:v>
                </c:pt>
                <c:pt idx="925">
                  <c:v>0.95</c:v>
                </c:pt>
                <c:pt idx="926">
                  <c:v>0.95</c:v>
                </c:pt>
                <c:pt idx="927">
                  <c:v>0.95</c:v>
                </c:pt>
                <c:pt idx="928">
                  <c:v>0.95</c:v>
                </c:pt>
                <c:pt idx="929">
                  <c:v>0.95</c:v>
                </c:pt>
                <c:pt idx="930">
                  <c:v>0.95</c:v>
                </c:pt>
                <c:pt idx="931">
                  <c:v>0.95</c:v>
                </c:pt>
                <c:pt idx="932">
                  <c:v>0.95</c:v>
                </c:pt>
                <c:pt idx="933">
                  <c:v>0.95</c:v>
                </c:pt>
                <c:pt idx="934">
                  <c:v>0.95</c:v>
                </c:pt>
                <c:pt idx="935">
                  <c:v>0.95</c:v>
                </c:pt>
                <c:pt idx="936">
                  <c:v>0.95</c:v>
                </c:pt>
                <c:pt idx="937">
                  <c:v>0.95</c:v>
                </c:pt>
                <c:pt idx="938">
                  <c:v>0.95</c:v>
                </c:pt>
                <c:pt idx="939">
                  <c:v>0.95</c:v>
                </c:pt>
                <c:pt idx="940">
                  <c:v>0.95</c:v>
                </c:pt>
                <c:pt idx="941">
                  <c:v>0.95</c:v>
                </c:pt>
                <c:pt idx="942">
                  <c:v>0.95</c:v>
                </c:pt>
                <c:pt idx="943">
                  <c:v>0.95</c:v>
                </c:pt>
                <c:pt idx="944">
                  <c:v>0.95</c:v>
                </c:pt>
                <c:pt idx="945">
                  <c:v>0.95</c:v>
                </c:pt>
                <c:pt idx="946">
                  <c:v>0.95</c:v>
                </c:pt>
                <c:pt idx="947">
                  <c:v>0.95</c:v>
                </c:pt>
                <c:pt idx="948">
                  <c:v>0.95</c:v>
                </c:pt>
                <c:pt idx="949">
                  <c:v>0.95</c:v>
                </c:pt>
                <c:pt idx="950">
                  <c:v>0.95</c:v>
                </c:pt>
                <c:pt idx="951">
                  <c:v>0.95</c:v>
                </c:pt>
                <c:pt idx="952">
                  <c:v>0.95</c:v>
                </c:pt>
                <c:pt idx="953">
                  <c:v>0.95</c:v>
                </c:pt>
                <c:pt idx="954">
                  <c:v>0.95</c:v>
                </c:pt>
                <c:pt idx="955">
                  <c:v>0.95</c:v>
                </c:pt>
                <c:pt idx="956">
                  <c:v>0.95</c:v>
                </c:pt>
                <c:pt idx="957">
                  <c:v>0.95</c:v>
                </c:pt>
                <c:pt idx="958">
                  <c:v>0.95</c:v>
                </c:pt>
                <c:pt idx="959">
                  <c:v>0.95</c:v>
                </c:pt>
                <c:pt idx="960">
                  <c:v>0.95</c:v>
                </c:pt>
                <c:pt idx="961">
                  <c:v>0.95</c:v>
                </c:pt>
                <c:pt idx="962">
                  <c:v>0.95</c:v>
                </c:pt>
                <c:pt idx="963">
                  <c:v>0.95</c:v>
                </c:pt>
                <c:pt idx="964">
                  <c:v>0.95</c:v>
                </c:pt>
                <c:pt idx="965">
                  <c:v>0.95</c:v>
                </c:pt>
                <c:pt idx="966">
                  <c:v>0.95</c:v>
                </c:pt>
                <c:pt idx="967">
                  <c:v>0.95</c:v>
                </c:pt>
                <c:pt idx="968">
                  <c:v>0.95</c:v>
                </c:pt>
                <c:pt idx="969">
                  <c:v>0.95</c:v>
                </c:pt>
                <c:pt idx="970">
                  <c:v>0.95</c:v>
                </c:pt>
                <c:pt idx="971">
                  <c:v>0.95</c:v>
                </c:pt>
                <c:pt idx="972">
                  <c:v>0.95</c:v>
                </c:pt>
                <c:pt idx="973">
                  <c:v>0.95</c:v>
                </c:pt>
                <c:pt idx="974">
                  <c:v>0.95</c:v>
                </c:pt>
                <c:pt idx="975">
                  <c:v>0.95</c:v>
                </c:pt>
                <c:pt idx="976">
                  <c:v>0.95</c:v>
                </c:pt>
                <c:pt idx="977">
                  <c:v>0.95</c:v>
                </c:pt>
                <c:pt idx="978">
                  <c:v>0.95</c:v>
                </c:pt>
                <c:pt idx="979">
                  <c:v>0.95</c:v>
                </c:pt>
                <c:pt idx="980">
                  <c:v>0.95</c:v>
                </c:pt>
                <c:pt idx="981">
                  <c:v>0.95</c:v>
                </c:pt>
                <c:pt idx="982">
                  <c:v>0.95</c:v>
                </c:pt>
                <c:pt idx="983">
                  <c:v>0.95</c:v>
                </c:pt>
                <c:pt idx="984">
                  <c:v>0.95</c:v>
                </c:pt>
                <c:pt idx="985">
                  <c:v>0.95</c:v>
                </c:pt>
                <c:pt idx="986">
                  <c:v>0.95</c:v>
                </c:pt>
                <c:pt idx="987">
                  <c:v>0.95</c:v>
                </c:pt>
                <c:pt idx="988">
                  <c:v>0.95</c:v>
                </c:pt>
                <c:pt idx="989">
                  <c:v>0.95</c:v>
                </c:pt>
                <c:pt idx="990">
                  <c:v>0.95</c:v>
                </c:pt>
                <c:pt idx="991">
                  <c:v>0.95</c:v>
                </c:pt>
                <c:pt idx="992">
                  <c:v>0.95</c:v>
                </c:pt>
                <c:pt idx="993">
                  <c:v>0.95</c:v>
                </c:pt>
                <c:pt idx="994">
                  <c:v>0.95</c:v>
                </c:pt>
                <c:pt idx="995">
                  <c:v>0.95</c:v>
                </c:pt>
                <c:pt idx="996">
                  <c:v>0.95</c:v>
                </c:pt>
                <c:pt idx="997">
                  <c:v>0.95</c:v>
                </c:pt>
                <c:pt idx="998">
                  <c:v>0.95</c:v>
                </c:pt>
                <c:pt idx="999">
                  <c:v>0.95</c:v>
                </c:pt>
                <c:pt idx="1000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EE-46B4-81F2-41D09821E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901887"/>
        <c:axId val="1564903967"/>
      </c:lineChart>
      <c:catAx>
        <c:axId val="156490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3967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156490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>
            <a:solidFill>
              <a:schemeClr val="tx1"/>
            </a:solidFill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3983967170241552E-2"/>
          <c:y val="1.6279053623026823E-2"/>
          <c:w val="0.89437609996020673"/>
          <c:h val="0.97788667005463359"/>
        </c:manualLayout>
      </c:layout>
      <c:lineChart>
        <c:grouping val="standard"/>
        <c:varyColors val="0"/>
        <c:ser>
          <c:idx val="0"/>
          <c:order val="0"/>
          <c:tx>
            <c:strRef>
              <c:f>Лист3!$V$1</c:f>
              <c:strCache>
                <c:ptCount val="1"/>
                <c:pt idx="0">
                  <c:v>y(nT0)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Лист3!$V$2:$V$1002</c:f>
              <c:numCache>
                <c:formatCode>0.000</c:formatCode>
                <c:ptCount val="1001"/>
                <c:pt idx="0">
                  <c:v>1.0031845190104061</c:v>
                </c:pt>
                <c:pt idx="1">
                  <c:v>1.0055057473959181</c:v>
                </c:pt>
                <c:pt idx="2">
                  <c:v>1.0060265429797643</c:v>
                </c:pt>
                <c:pt idx="3">
                  <c:v>1.0058843300225875</c:v>
                </c:pt>
                <c:pt idx="4">
                  <c:v>1.0008891348263458</c:v>
                </c:pt>
                <c:pt idx="5">
                  <c:v>1.0014863221443924</c:v>
                </c:pt>
                <c:pt idx="6">
                  <c:v>1.0053565495194301</c:v>
                </c:pt>
                <c:pt idx="7">
                  <c:v>1.0018128671221931</c:v>
                </c:pt>
                <c:pt idx="8">
                  <c:v>1.0068211939667402</c:v>
                </c:pt>
                <c:pt idx="9">
                  <c:v>1.0026044913108005</c:v>
                </c:pt>
                <c:pt idx="10">
                  <c:v>1.008586096812176</c:v>
                </c:pt>
                <c:pt idx="11">
                  <c:v>1.0012136774606102</c:v>
                </c:pt>
                <c:pt idx="12">
                  <c:v>1.0039118353752214</c:v>
                </c:pt>
                <c:pt idx="13">
                  <c:v>1.008734782461248</c:v>
                </c:pt>
                <c:pt idx="14">
                  <c:v>1.0070303224509187</c:v>
                </c:pt>
                <c:pt idx="15">
                  <c:v>1.0051943829760874</c:v>
                </c:pt>
                <c:pt idx="16">
                  <c:v>1.0037859205631041</c:v>
                </c:pt>
                <c:pt idx="17">
                  <c:v>1.0087874953189837</c:v>
                </c:pt>
                <c:pt idx="18">
                  <c:v>1.0093068007867101</c:v>
                </c:pt>
                <c:pt idx="19">
                  <c:v>1.0062120857197354</c:v>
                </c:pt>
                <c:pt idx="20">
                  <c:v>1.0026485195855257</c:v>
                </c:pt>
                <c:pt idx="21">
                  <c:v>1.0012464134491157</c:v>
                </c:pt>
                <c:pt idx="22">
                  <c:v>1.0048243918001707</c:v>
                </c:pt>
                <c:pt idx="23">
                  <c:v>1.0038884824616574</c:v>
                </c:pt>
                <c:pt idx="24">
                  <c:v>1.006438676502192</c:v>
                </c:pt>
                <c:pt idx="25">
                  <c:v>1.008237921867575</c:v>
                </c:pt>
                <c:pt idx="26">
                  <c:v>1.0018791307233923</c:v>
                </c:pt>
                <c:pt idx="27">
                  <c:v>1.0001229124609667</c:v>
                </c:pt>
                <c:pt idx="28">
                  <c:v>1.0038719747690186</c:v>
                </c:pt>
                <c:pt idx="29">
                  <c:v>1.0045184756174028</c:v>
                </c:pt>
                <c:pt idx="30">
                  <c:v>1.0003647070844577</c:v>
                </c:pt>
                <c:pt idx="31">
                  <c:v>1.0092259619872146</c:v>
                </c:pt>
                <c:pt idx="32">
                  <c:v>1.0048778497159663</c:v>
                </c:pt>
                <c:pt idx="33">
                  <c:v>1.0066639867161085</c:v>
                </c:pt>
                <c:pt idx="34">
                  <c:v>1.0062384188655387</c:v>
                </c:pt>
                <c:pt idx="35">
                  <c:v>1.0012893707028798</c:v>
                </c:pt>
                <c:pt idx="36">
                  <c:v>1.0018830422782068</c:v>
                </c:pt>
                <c:pt idx="37">
                  <c:v>1.0033734377947108</c:v>
                </c:pt>
                <c:pt idx="38">
                  <c:v>1.0066356512267691</c:v>
                </c:pt>
                <c:pt idx="39">
                  <c:v>1.0085930118822943</c:v>
                </c:pt>
                <c:pt idx="40">
                  <c:v>1.0005781429355447</c:v>
                </c:pt>
                <c:pt idx="41">
                  <c:v>1.0061435403782277</c:v>
                </c:pt>
                <c:pt idx="42">
                  <c:v>1.0016140530355309</c:v>
                </c:pt>
                <c:pt idx="43">
                  <c:v>0.99068444710939296</c:v>
                </c:pt>
                <c:pt idx="44">
                  <c:v>0.98149487771594313</c:v>
                </c:pt>
                <c:pt idx="45">
                  <c:v>0.97206770465058912</c:v>
                </c:pt>
                <c:pt idx="46">
                  <c:v>0.9550068064022359</c:v>
                </c:pt>
                <c:pt idx="47">
                  <c:v>0.92923704090743264</c:v>
                </c:pt>
                <c:pt idx="48">
                  <c:v>0.91376798248704716</c:v>
                </c:pt>
                <c:pt idx="49">
                  <c:v>0.89619688244913631</c:v>
                </c:pt>
                <c:pt idx="50">
                  <c:v>0.87462745161601985</c:v>
                </c:pt>
                <c:pt idx="51">
                  <c:v>0.84784859811138558</c:v>
                </c:pt>
                <c:pt idx="52">
                  <c:v>0.82886158507989283</c:v>
                </c:pt>
                <c:pt idx="53">
                  <c:v>0.80030846893794572</c:v>
                </c:pt>
                <c:pt idx="54">
                  <c:v>0.77324351313832296</c:v>
                </c:pt>
                <c:pt idx="55">
                  <c:v>0.74660286790379393</c:v>
                </c:pt>
                <c:pt idx="56">
                  <c:v>0.72978560364101674</c:v>
                </c:pt>
                <c:pt idx="57">
                  <c:v>0.69972081126173047</c:v>
                </c:pt>
                <c:pt idx="58">
                  <c:v>0.67482944593644456</c:v>
                </c:pt>
                <c:pt idx="59">
                  <c:v>0.65446423847565061</c:v>
                </c:pt>
                <c:pt idx="60">
                  <c:v>0.63459645040207457</c:v>
                </c:pt>
                <c:pt idx="61">
                  <c:v>0.60521683204109245</c:v>
                </c:pt>
                <c:pt idx="62">
                  <c:v>0.58707932489623305</c:v>
                </c:pt>
                <c:pt idx="63">
                  <c:v>0.62727597556712011</c:v>
                </c:pt>
                <c:pt idx="64">
                  <c:v>0.77800857852632377</c:v>
                </c:pt>
                <c:pt idx="65">
                  <c:v>1.0215344608345847</c:v>
                </c:pt>
                <c:pt idx="66">
                  <c:v>1.3099660168657932</c:v>
                </c:pt>
                <c:pt idx="67">
                  <c:v>1.5887823890868533</c:v>
                </c:pt>
                <c:pt idx="68">
                  <c:v>1.8599790990957943</c:v>
                </c:pt>
                <c:pt idx="69">
                  <c:v>2.1197200990560745</c:v>
                </c:pt>
                <c:pt idx="70">
                  <c:v>2.37695421147555</c:v>
                </c:pt>
                <c:pt idx="71">
                  <c:v>2.6270530658371403</c:v>
                </c:pt>
                <c:pt idx="72">
                  <c:v>2.8733697959392726</c:v>
                </c:pt>
                <c:pt idx="73">
                  <c:v>3.1112628530504329</c:v>
                </c:pt>
                <c:pt idx="74">
                  <c:v>3.3499861376709275</c:v>
                </c:pt>
                <c:pt idx="75">
                  <c:v>3.5818387296939829</c:v>
                </c:pt>
                <c:pt idx="76">
                  <c:v>3.8088312381433398</c:v>
                </c:pt>
                <c:pt idx="77">
                  <c:v>4.0353985279880922</c:v>
                </c:pt>
                <c:pt idx="78">
                  <c:v>4.2571178880187492</c:v>
                </c:pt>
                <c:pt idx="79">
                  <c:v>4.4833509494744597</c:v>
                </c:pt>
                <c:pt idx="80">
                  <c:v>4.7081201813901119</c:v>
                </c:pt>
                <c:pt idx="81">
                  <c:v>4.93061584535302</c:v>
                </c:pt>
                <c:pt idx="82">
                  <c:v>5.1544457220366331</c:v>
                </c:pt>
                <c:pt idx="83">
                  <c:v>5.377275451407133</c:v>
                </c:pt>
                <c:pt idx="84">
                  <c:v>5.5932812405734511</c:v>
                </c:pt>
                <c:pt idx="85">
                  <c:v>5.8178940102965324</c:v>
                </c:pt>
                <c:pt idx="86">
                  <c:v>6.0404705829081289</c:v>
                </c:pt>
                <c:pt idx="87">
                  <c:v>6.2555899858138506</c:v>
                </c:pt>
                <c:pt idx="88">
                  <c:v>6.4572546646132265</c:v>
                </c:pt>
                <c:pt idx="89">
                  <c:v>6.6553551952017829</c:v>
                </c:pt>
                <c:pt idx="90">
                  <c:v>6.8458492185095903</c:v>
                </c:pt>
                <c:pt idx="91">
                  <c:v>7.0253004569153541</c:v>
                </c:pt>
                <c:pt idx="92">
                  <c:v>7.203045675345475</c:v>
                </c:pt>
                <c:pt idx="93">
                  <c:v>7.3655902658043404</c:v>
                </c:pt>
                <c:pt idx="94">
                  <c:v>7.5246504059817294</c:v>
                </c:pt>
                <c:pt idx="95">
                  <c:v>7.6768980612226061</c:v>
                </c:pt>
                <c:pt idx="96">
                  <c:v>7.8268011118813412</c:v>
                </c:pt>
                <c:pt idx="97">
                  <c:v>7.9642591783693666</c:v>
                </c:pt>
                <c:pt idx="98">
                  <c:v>8.102709895023775</c:v>
                </c:pt>
                <c:pt idx="99">
                  <c:v>8.2327099070494789</c:v>
                </c:pt>
                <c:pt idx="100">
                  <c:v>8.3559057229095846</c:v>
                </c:pt>
                <c:pt idx="101">
                  <c:v>8.4737812188625767</c:v>
                </c:pt>
                <c:pt idx="102">
                  <c:v>8.588990128736242</c:v>
                </c:pt>
                <c:pt idx="103">
                  <c:v>8.6975188014790241</c:v>
                </c:pt>
                <c:pt idx="104">
                  <c:v>8.7974678978318046</c:v>
                </c:pt>
                <c:pt idx="105">
                  <c:v>8.8969517985584563</c:v>
                </c:pt>
                <c:pt idx="106">
                  <c:v>8.9941756355096985</c:v>
                </c:pt>
                <c:pt idx="107">
                  <c:v>9.0806448387635506</c:v>
                </c:pt>
                <c:pt idx="108">
                  <c:v>9.170064984161888</c:v>
                </c:pt>
                <c:pt idx="109">
                  <c:v>9.2552304522262965</c:v>
                </c:pt>
                <c:pt idx="110">
                  <c:v>9.3253752936900991</c:v>
                </c:pt>
                <c:pt idx="111">
                  <c:v>9.4028029612737729</c:v>
                </c:pt>
                <c:pt idx="112">
                  <c:v>9.4678877642070614</c:v>
                </c:pt>
                <c:pt idx="113">
                  <c:v>9.5380981474970685</c:v>
                </c:pt>
                <c:pt idx="114">
                  <c:v>9.5912800425643283</c:v>
                </c:pt>
                <c:pt idx="115">
                  <c:v>9.649405770387828</c:v>
                </c:pt>
                <c:pt idx="116">
                  <c:v>9.7028379351140082</c:v>
                </c:pt>
                <c:pt idx="117">
                  <c:v>9.7633539954580719</c:v>
                </c:pt>
                <c:pt idx="118">
                  <c:v>9.8117260983706736</c:v>
                </c:pt>
                <c:pt idx="119">
                  <c:v>9.8565933783204738</c:v>
                </c:pt>
                <c:pt idx="120">
                  <c:v>9.9004529439612412</c:v>
                </c:pt>
                <c:pt idx="121">
                  <c:v>9.9440497369375205</c:v>
                </c:pt>
                <c:pt idx="122">
                  <c:v>9.9751254799717852</c:v>
                </c:pt>
                <c:pt idx="123">
                  <c:v>10.012044410689743</c:v>
                </c:pt>
                <c:pt idx="124">
                  <c:v>10.054556468980051</c:v>
                </c:pt>
                <c:pt idx="125">
                  <c:v>10.080801930763014</c:v>
                </c:pt>
                <c:pt idx="126">
                  <c:v>10.113437545977867</c:v>
                </c:pt>
                <c:pt idx="127">
                  <c:v>10.149246875697106</c:v>
                </c:pt>
                <c:pt idx="128">
                  <c:v>10.174485344946032</c:v>
                </c:pt>
                <c:pt idx="129">
                  <c:v>10.199389376258337</c:v>
                </c:pt>
                <c:pt idx="130">
                  <c:v>10.220699876132585</c:v>
                </c:pt>
                <c:pt idx="131">
                  <c:v>10.248378969321116</c:v>
                </c:pt>
                <c:pt idx="132">
                  <c:v>10.270541885465043</c:v>
                </c:pt>
                <c:pt idx="133">
                  <c:v>10.282657810087004</c:v>
                </c:pt>
                <c:pt idx="134">
                  <c:v>10.309215660744629</c:v>
                </c:pt>
                <c:pt idx="135">
                  <c:v>10.32047469874855</c:v>
                </c:pt>
                <c:pt idx="136">
                  <c:v>10.335032038934305</c:v>
                </c:pt>
                <c:pt idx="137">
                  <c:v>10.356865965378672</c:v>
                </c:pt>
                <c:pt idx="138">
                  <c:v>10.370010186538568</c:v>
                </c:pt>
                <c:pt idx="139">
                  <c:v>10.387162284550062</c:v>
                </c:pt>
                <c:pt idx="140">
                  <c:v>10.393958168661678</c:v>
                </c:pt>
                <c:pt idx="141">
                  <c:v>10.403245946020643</c:v>
                </c:pt>
                <c:pt idx="142">
                  <c:v>10.41750088576635</c:v>
                </c:pt>
                <c:pt idx="143">
                  <c:v>10.427738099924227</c:v>
                </c:pt>
                <c:pt idx="144">
                  <c:v>10.429480278498836</c:v>
                </c:pt>
                <c:pt idx="145">
                  <c:v>10.44576619994961</c:v>
                </c:pt>
                <c:pt idx="146">
                  <c:v>10.453321065393585</c:v>
                </c:pt>
                <c:pt idx="147">
                  <c:v>10.451867038023627</c:v>
                </c:pt>
                <c:pt idx="148">
                  <c:v>10.457662844671324</c:v>
                </c:pt>
                <c:pt idx="149">
                  <c:v>10.467963900991707</c:v>
                </c:pt>
                <c:pt idx="150">
                  <c:v>10.468562578425873</c:v>
                </c:pt>
                <c:pt idx="151">
                  <c:v>10.474201410653581</c:v>
                </c:pt>
                <c:pt idx="152">
                  <c:v>10.473496748710399</c:v>
                </c:pt>
                <c:pt idx="153">
                  <c:v>10.476916448789861</c:v>
                </c:pt>
                <c:pt idx="154">
                  <c:v>10.484780303781102</c:v>
                </c:pt>
                <c:pt idx="155">
                  <c:v>10.483200152051449</c:v>
                </c:pt>
                <c:pt idx="156">
                  <c:v>10.481947220508463</c:v>
                </c:pt>
                <c:pt idx="157">
                  <c:v>10.482674536873278</c:v>
                </c:pt>
                <c:pt idx="158">
                  <c:v>10.47793766727623</c:v>
                </c:pt>
                <c:pt idx="159">
                  <c:v>10.475763727555929</c:v>
                </c:pt>
                <c:pt idx="160">
                  <c:v>10.482896773722697</c:v>
                </c:pt>
                <c:pt idx="161">
                  <c:v>10.472685473615464</c:v>
                </c:pt>
                <c:pt idx="162">
                  <c:v>10.477839133347814</c:v>
                </c:pt>
                <c:pt idx="163">
                  <c:v>10.468724535421638</c:v>
                </c:pt>
                <c:pt idx="164">
                  <c:v>10.46824374014238</c:v>
                </c:pt>
                <c:pt idx="165">
                  <c:v>10.459464907287495</c:v>
                </c:pt>
                <c:pt idx="166">
                  <c:v>10.461471278793521</c:v>
                </c:pt>
                <c:pt idx="167">
                  <c:v>10.450571917568</c:v>
                </c:pt>
                <c:pt idx="168">
                  <c:v>10.454594788713054</c:v>
                </c:pt>
                <c:pt idx="169">
                  <c:v>10.441959675038689</c:v>
                </c:pt>
                <c:pt idx="170">
                  <c:v>10.439846038455109</c:v>
                </c:pt>
                <c:pt idx="171">
                  <c:v>10.434502854578779</c:v>
                </c:pt>
                <c:pt idx="172">
                  <c:v>10.425467838166623</c:v>
                </c:pt>
                <c:pt idx="173">
                  <c:v>10.420448358734243</c:v>
                </c:pt>
                <c:pt idx="174">
                  <c:v>10.417554762777304</c:v>
                </c:pt>
                <c:pt idx="175">
                  <c:v>10.405456160755236</c:v>
                </c:pt>
                <c:pt idx="176">
                  <c:v>10.401078362576914</c:v>
                </c:pt>
                <c:pt idx="177">
                  <c:v>10.397548417187656</c:v>
                </c:pt>
                <c:pt idx="178">
                  <c:v>10.388068996925854</c:v>
                </c:pt>
                <c:pt idx="179">
                  <c:v>10.378085079225267</c:v>
                </c:pt>
                <c:pt idx="180">
                  <c:v>10.369054952256628</c:v>
                </c:pt>
                <c:pt idx="181">
                  <c:v>10.361454731403258</c:v>
                </c:pt>
                <c:pt idx="182">
                  <c:v>10.360784248998572</c:v>
                </c:pt>
                <c:pt idx="183">
                  <c:v>10.34974211602233</c:v>
                </c:pt>
                <c:pt idx="184">
                  <c:v>10.340398668856453</c:v>
                </c:pt>
                <c:pt idx="185">
                  <c:v>10.330349674990948</c:v>
                </c:pt>
                <c:pt idx="186">
                  <c:v>10.33061971197152</c:v>
                </c:pt>
                <c:pt idx="187">
                  <c:v>10.323386315797313</c:v>
                </c:pt>
                <c:pt idx="188">
                  <c:v>10.308177375772077</c:v>
                </c:pt>
                <c:pt idx="189">
                  <c:v>10.301524752355535</c:v>
                </c:pt>
                <c:pt idx="190">
                  <c:v>10.298287638066869</c:v>
                </c:pt>
                <c:pt idx="191">
                  <c:v>10.287668861050081</c:v>
                </c:pt>
                <c:pt idx="192">
                  <c:v>10.275058031611858</c:v>
                </c:pt>
                <c:pt idx="193">
                  <c:v>10.268554862185511</c:v>
                </c:pt>
                <c:pt idx="194">
                  <c:v>10.263607071308328</c:v>
                </c:pt>
                <c:pt idx="195">
                  <c:v>10.252826337295778</c:v>
                </c:pt>
                <c:pt idx="196">
                  <c:v>10.242916808985852</c:v>
                </c:pt>
                <c:pt idx="197">
                  <c:v>10.233141507542026</c:v>
                </c:pt>
                <c:pt idx="198">
                  <c:v>10.22561812080108</c:v>
                </c:pt>
                <c:pt idx="199">
                  <c:v>10.221522164116967</c:v>
                </c:pt>
                <c:pt idx="200">
                  <c:v>10.210538122386332</c:v>
                </c:pt>
                <c:pt idx="201">
                  <c:v>10.208292191430994</c:v>
                </c:pt>
                <c:pt idx="202">
                  <c:v>10.196786329661679</c:v>
                </c:pt>
                <c:pt idx="203">
                  <c:v>10.196262996223817</c:v>
                </c:pt>
                <c:pt idx="204">
                  <c:v>10.1836858806628</c:v>
                </c:pt>
                <c:pt idx="205">
                  <c:v>10.173930276691431</c:v>
                </c:pt>
                <c:pt idx="206">
                  <c:v>10.16742803858766</c:v>
                </c:pt>
                <c:pt idx="207">
                  <c:v>10.160936976354787</c:v>
                </c:pt>
                <c:pt idx="208">
                  <c:v>10.156773917879159</c:v>
                </c:pt>
                <c:pt idx="209">
                  <c:v>10.149154395365425</c:v>
                </c:pt>
                <c:pt idx="210">
                  <c:v>10.139612762755625</c:v>
                </c:pt>
                <c:pt idx="211">
                  <c:v>10.139062420963091</c:v>
                </c:pt>
                <c:pt idx="212">
                  <c:v>10.134806509626751</c:v>
                </c:pt>
                <c:pt idx="213">
                  <c:v>10.125951960246534</c:v>
                </c:pt>
                <c:pt idx="214">
                  <c:v>10.117343559422844</c:v>
                </c:pt>
                <c:pt idx="215">
                  <c:v>10.109476351670335</c:v>
                </c:pt>
                <c:pt idx="216">
                  <c:v>10.111030961878372</c:v>
                </c:pt>
                <c:pt idx="217">
                  <c:v>10.098130654100824</c:v>
                </c:pt>
                <c:pt idx="218">
                  <c:v>10.095795386027497</c:v>
                </c:pt>
                <c:pt idx="219">
                  <c:v>10.094732258025262</c:v>
                </c:pt>
                <c:pt idx="220">
                  <c:v>10.084628106580261</c:v>
                </c:pt>
                <c:pt idx="221">
                  <c:v>10.084389920831748</c:v>
                </c:pt>
                <c:pt idx="222">
                  <c:v>10.079302734248177</c:v>
                </c:pt>
                <c:pt idx="223">
                  <c:v>10.076276261842875</c:v>
                </c:pt>
                <c:pt idx="224">
                  <c:v>10.069422286485654</c:v>
                </c:pt>
                <c:pt idx="225">
                  <c:v>10.059820257606875</c:v>
                </c:pt>
                <c:pt idx="226">
                  <c:v>10.054671068222884</c:v>
                </c:pt>
                <c:pt idx="227">
                  <c:v>10.053529476293718</c:v>
                </c:pt>
                <c:pt idx="228">
                  <c:v>10.054809416191375</c:v>
                </c:pt>
                <c:pt idx="229">
                  <c:v>10.046206952549101</c:v>
                </c:pt>
                <c:pt idx="230">
                  <c:v>10.038732204129625</c:v>
                </c:pt>
                <c:pt idx="231">
                  <c:v>10.042071414655556</c:v>
                </c:pt>
                <c:pt idx="232">
                  <c:v>10.03281639656816</c:v>
                </c:pt>
                <c:pt idx="233">
                  <c:v>10.036572932739876</c:v>
                </c:pt>
                <c:pt idx="234">
                  <c:v>10.032741378534759</c:v>
                </c:pt>
                <c:pt idx="235">
                  <c:v>10.029515929061342</c:v>
                </c:pt>
                <c:pt idx="236">
                  <c:v>10.023637514101257</c:v>
                </c:pt>
                <c:pt idx="237">
                  <c:v>10.017031037718297</c:v>
                </c:pt>
                <c:pt idx="238">
                  <c:v>10.015311187602419</c:v>
                </c:pt>
                <c:pt idx="239">
                  <c:v>10.016959419012293</c:v>
                </c:pt>
                <c:pt idx="240">
                  <c:v>10.015755009375455</c:v>
                </c:pt>
                <c:pt idx="241">
                  <c:v>10.008149689530988</c:v>
                </c:pt>
                <c:pt idx="242">
                  <c:v>10.002049875911803</c:v>
                </c:pt>
                <c:pt idx="243">
                  <c:v>10.001256086398207</c:v>
                </c:pt>
                <c:pt idx="244">
                  <c:v>9.9992644065057998</c:v>
                </c:pt>
                <c:pt idx="245">
                  <c:v>10.001830665860751</c:v>
                </c:pt>
                <c:pt idx="246">
                  <c:v>9.9993874109348724</c:v>
                </c:pt>
                <c:pt idx="247">
                  <c:v>9.9953790451389217</c:v>
                </c:pt>
                <c:pt idx="248">
                  <c:v>9.9994657351634153</c:v>
                </c:pt>
                <c:pt idx="249">
                  <c:v>9.9958235886869549</c:v>
                </c:pt>
                <c:pt idx="250">
                  <c:v>9.9948265147383388</c:v>
                </c:pt>
                <c:pt idx="251">
                  <c:v>9.9950584373425375</c:v>
                </c:pt>
                <c:pt idx="252">
                  <c:v>9.9933624290845735</c:v>
                </c:pt>
                <c:pt idx="253">
                  <c:v>9.9900127877458029</c:v>
                </c:pt>
                <c:pt idx="254">
                  <c:v>9.982290586918193</c:v>
                </c:pt>
                <c:pt idx="255">
                  <c:v>9.989058880598531</c:v>
                </c:pt>
                <c:pt idx="256">
                  <c:v>9.9806624720759363</c:v>
                </c:pt>
                <c:pt idx="257">
                  <c:v>9.9812166555740909</c:v>
                </c:pt>
                <c:pt idx="258">
                  <c:v>9.9848149833234068</c:v>
                </c:pt>
                <c:pt idx="259">
                  <c:v>9.9829924083275241</c:v>
                </c:pt>
                <c:pt idx="260">
                  <c:v>9.979844212061689</c:v>
                </c:pt>
                <c:pt idx="261">
                  <c:v>9.9758423422406999</c:v>
                </c:pt>
                <c:pt idx="262">
                  <c:v>9.9786283471571817</c:v>
                </c:pt>
                <c:pt idx="263">
                  <c:v>9.977661937004342</c:v>
                </c:pt>
                <c:pt idx="264">
                  <c:v>9.9725289293500907</c:v>
                </c:pt>
                <c:pt idx="265">
                  <c:v>9.9728506081674375</c:v>
                </c:pt>
                <c:pt idx="266">
                  <c:v>9.9730390147243249</c:v>
                </c:pt>
                <c:pt idx="267">
                  <c:v>9.9765514046830486</c:v>
                </c:pt>
                <c:pt idx="268">
                  <c:v>9.9797193217044047</c:v>
                </c:pt>
                <c:pt idx="269">
                  <c:v>9.9768902431188362</c:v>
                </c:pt>
                <c:pt idx="270">
                  <c:v>9.9729687231529898</c:v>
                </c:pt>
                <c:pt idx="271">
                  <c:v>9.9755951459462739</c:v>
                </c:pt>
                <c:pt idx="272">
                  <c:v>9.9761085840817785</c:v>
                </c:pt>
                <c:pt idx="273">
                  <c:v>9.9783904408054411</c:v>
                </c:pt>
                <c:pt idx="274">
                  <c:v>9.9792907736215941</c:v>
                </c:pt>
                <c:pt idx="275">
                  <c:v>9.9769727582989667</c:v>
                </c:pt>
                <c:pt idx="276">
                  <c:v>9.9759984551873053</c:v>
                </c:pt>
                <c:pt idx="277">
                  <c:v>9.9747889698424359</c:v>
                </c:pt>
                <c:pt idx="278">
                  <c:v>9.9710624921068227</c:v>
                </c:pt>
                <c:pt idx="279">
                  <c:v>9.9786275089668646</c:v>
                </c:pt>
                <c:pt idx="280">
                  <c:v>9.9770982074497958</c:v>
                </c:pt>
                <c:pt idx="281">
                  <c:v>9.9711343203604077</c:v>
                </c:pt>
                <c:pt idx="282">
                  <c:v>9.9778590048611768</c:v>
                </c:pt>
                <c:pt idx="283">
                  <c:v>9.9696745653566143</c:v>
                </c:pt>
                <c:pt idx="284">
                  <c:v>9.9720483436184111</c:v>
                </c:pt>
                <c:pt idx="285">
                  <c:v>9.9728312366578802</c:v>
                </c:pt>
                <c:pt idx="286">
                  <c:v>9.9774985131755223</c:v>
                </c:pt>
                <c:pt idx="287">
                  <c:v>9.9745007022224605</c:v>
                </c:pt>
                <c:pt idx="288">
                  <c:v>9.9767194152755483</c:v>
                </c:pt>
                <c:pt idx="289">
                  <c:v>9.9737762962406915</c:v>
                </c:pt>
                <c:pt idx="290">
                  <c:v>9.9772616312786155</c:v>
                </c:pt>
                <c:pt idx="291">
                  <c:v>9.9805974191940852</c:v>
                </c:pt>
                <c:pt idx="292">
                  <c:v>9.9796338961412285</c:v>
                </c:pt>
                <c:pt idx="293">
                  <c:v>9.9776076176151651</c:v>
                </c:pt>
                <c:pt idx="294">
                  <c:v>9.974543380079453</c:v>
                </c:pt>
                <c:pt idx="295">
                  <c:v>9.9820023425812838</c:v>
                </c:pt>
                <c:pt idx="296">
                  <c:v>9.9810586334162075</c:v>
                </c:pt>
                <c:pt idx="297">
                  <c:v>9.9827581574168889</c:v>
                </c:pt>
                <c:pt idx="298">
                  <c:v>9.9848217354120727</c:v>
                </c:pt>
                <c:pt idx="299">
                  <c:v>9.9842123012021684</c:v>
                </c:pt>
                <c:pt idx="300">
                  <c:v>9.9770796275644287</c:v>
                </c:pt>
                <c:pt idx="301">
                  <c:v>9.9789235531303397</c:v>
                </c:pt>
                <c:pt idx="302">
                  <c:v>9.9770588590710094</c:v>
                </c:pt>
                <c:pt idx="303">
                  <c:v>9.9861076590572733</c:v>
                </c:pt>
                <c:pt idx="304">
                  <c:v>9.9827299150598066</c:v>
                </c:pt>
                <c:pt idx="305">
                  <c:v>9.9794563394923355</c:v>
                </c:pt>
                <c:pt idx="306">
                  <c:v>9.9848957522737098</c:v>
                </c:pt>
                <c:pt idx="307">
                  <c:v>9.9816352152222851</c:v>
                </c:pt>
                <c:pt idx="308">
                  <c:v>9.9882470932761791</c:v>
                </c:pt>
                <c:pt idx="309">
                  <c:v>9.9846074613706683</c:v>
                </c:pt>
                <c:pt idx="310">
                  <c:v>9.9803146230942374</c:v>
                </c:pt>
                <c:pt idx="311">
                  <c:v>9.9878432718077317</c:v>
                </c:pt>
                <c:pt idx="312">
                  <c:v>9.9822787358384293</c:v>
                </c:pt>
                <c:pt idx="313">
                  <c:v>9.9837244511544068</c:v>
                </c:pt>
                <c:pt idx="314">
                  <c:v>9.9908713041783468</c:v>
                </c:pt>
                <c:pt idx="315">
                  <c:v>9.9837779090702021</c:v>
                </c:pt>
                <c:pt idx="316">
                  <c:v>9.9911992461400096</c:v>
                </c:pt>
                <c:pt idx="317">
                  <c:v>9.9832413275687113</c:v>
                </c:pt>
                <c:pt idx="318">
                  <c:v>9.9895052169425202</c:v>
                </c:pt>
                <c:pt idx="319">
                  <c:v>9.9909667414592036</c:v>
                </c:pt>
                <c:pt idx="320">
                  <c:v>9.9932869686729475</c:v>
                </c:pt>
                <c:pt idx="321">
                  <c:v>9.9939119792529176</c:v>
                </c:pt>
                <c:pt idx="322">
                  <c:v>10.021849374757579</c:v>
                </c:pt>
                <c:pt idx="323">
                  <c:v>10.061779574039805</c:v>
                </c:pt>
                <c:pt idx="324">
                  <c:v>10.115004682474538</c:v>
                </c:pt>
                <c:pt idx="325">
                  <c:v>10.169637764377901</c:v>
                </c:pt>
                <c:pt idx="326">
                  <c:v>10.243852927871945</c:v>
                </c:pt>
                <c:pt idx="327">
                  <c:v>10.312668935002915</c:v>
                </c:pt>
                <c:pt idx="328">
                  <c:v>10.400680501572946</c:v>
                </c:pt>
                <c:pt idx="329">
                  <c:v>10.488362473083743</c:v>
                </c:pt>
                <c:pt idx="330">
                  <c:v>10.574105826805837</c:v>
                </c:pt>
                <c:pt idx="331">
                  <c:v>10.668469874809606</c:v>
                </c:pt>
                <c:pt idx="332">
                  <c:v>10.769641541589433</c:v>
                </c:pt>
                <c:pt idx="333">
                  <c:v>10.860514410506122</c:v>
                </c:pt>
                <c:pt idx="334">
                  <c:v>10.959556258972631</c:v>
                </c:pt>
                <c:pt idx="335">
                  <c:v>11.06223434001725</c:v>
                </c:pt>
                <c:pt idx="336">
                  <c:v>11.154758117896217</c:v>
                </c:pt>
                <c:pt idx="337">
                  <c:v>11.252358511847527</c:v>
                </c:pt>
                <c:pt idx="338">
                  <c:v>11.353504543973484</c:v>
                </c:pt>
                <c:pt idx="339">
                  <c:v>11.446452166756254</c:v>
                </c:pt>
                <c:pt idx="340">
                  <c:v>11.547613775252275</c:v>
                </c:pt>
                <c:pt idx="341">
                  <c:v>11.635058073241975</c:v>
                </c:pt>
                <c:pt idx="342">
                  <c:v>11.723914139839801</c:v>
                </c:pt>
                <c:pt idx="343">
                  <c:v>11.780210610427941</c:v>
                </c:pt>
                <c:pt idx="344">
                  <c:v>11.833688526375612</c:v>
                </c:pt>
                <c:pt idx="345">
                  <c:v>11.87025518432964</c:v>
                </c:pt>
                <c:pt idx="346">
                  <c:v>11.887119340684061</c:v>
                </c:pt>
                <c:pt idx="347">
                  <c:v>11.895167038751572</c:v>
                </c:pt>
                <c:pt idx="348">
                  <c:v>11.888789970401859</c:v>
                </c:pt>
                <c:pt idx="349">
                  <c:v>11.88093794320732</c:v>
                </c:pt>
                <c:pt idx="350">
                  <c:v>11.854049961979978</c:v>
                </c:pt>
                <c:pt idx="351">
                  <c:v>11.821920939679705</c:v>
                </c:pt>
                <c:pt idx="352">
                  <c:v>11.786276570471534</c:v>
                </c:pt>
                <c:pt idx="353">
                  <c:v>11.739618450342588</c:v>
                </c:pt>
                <c:pt idx="354">
                  <c:v>11.6778998662899</c:v>
                </c:pt>
                <c:pt idx="355">
                  <c:v>11.621196803548651</c:v>
                </c:pt>
                <c:pt idx="356">
                  <c:v>11.552026661008602</c:v>
                </c:pt>
                <c:pt idx="357">
                  <c:v>11.48845325491588</c:v>
                </c:pt>
                <c:pt idx="358">
                  <c:v>11.406621712121792</c:v>
                </c:pt>
                <c:pt idx="359">
                  <c:v>11.333085343086413</c:v>
                </c:pt>
                <c:pt idx="360">
                  <c:v>11.25210272410235</c:v>
                </c:pt>
                <c:pt idx="361">
                  <c:v>11.159007533257597</c:v>
                </c:pt>
                <c:pt idx="362">
                  <c:v>11.077767310449333</c:v>
                </c:pt>
                <c:pt idx="363">
                  <c:v>10.988796737740932</c:v>
                </c:pt>
                <c:pt idx="364">
                  <c:v>10.894589105363607</c:v>
                </c:pt>
                <c:pt idx="365">
                  <c:v>10.791847321854869</c:v>
                </c:pt>
                <c:pt idx="366">
                  <c:v>10.703284249339086</c:v>
                </c:pt>
                <c:pt idx="367">
                  <c:v>10.602225621836778</c:v>
                </c:pt>
                <c:pt idx="368">
                  <c:v>10.503724173294316</c:v>
                </c:pt>
                <c:pt idx="369">
                  <c:v>10.407801300847856</c:v>
                </c:pt>
                <c:pt idx="370">
                  <c:v>10.320805201847294</c:v>
                </c:pt>
                <c:pt idx="371">
                  <c:v>10.220130488793396</c:v>
                </c:pt>
                <c:pt idx="372">
                  <c:v>10.135852035632324</c:v>
                </c:pt>
                <c:pt idx="373">
                  <c:v>10.045551091908839</c:v>
                </c:pt>
                <c:pt idx="374">
                  <c:v>9.9609678401520867</c:v>
                </c:pt>
                <c:pt idx="375">
                  <c:v>9.8744214768229099</c:v>
                </c:pt>
                <c:pt idx="376">
                  <c:v>9.7975162579206554</c:v>
                </c:pt>
                <c:pt idx="377">
                  <c:v>9.7213014051600606</c:v>
                </c:pt>
                <c:pt idx="378">
                  <c:v>9.6435269596156488</c:v>
                </c:pt>
                <c:pt idx="379">
                  <c:v>9.5819166185292222</c:v>
                </c:pt>
                <c:pt idx="380">
                  <c:v>9.5173157308058158</c:v>
                </c:pt>
                <c:pt idx="381">
                  <c:v>9.4462605680912421</c:v>
                </c:pt>
                <c:pt idx="382">
                  <c:v>9.3879480402422946</c:v>
                </c:pt>
                <c:pt idx="383">
                  <c:v>9.330490932178332</c:v>
                </c:pt>
                <c:pt idx="384">
                  <c:v>9.2822471189504139</c:v>
                </c:pt>
                <c:pt idx="385">
                  <c:v>9.2357622248203874</c:v>
                </c:pt>
                <c:pt idx="386">
                  <c:v>9.1947694097633406</c:v>
                </c:pt>
                <c:pt idx="387">
                  <c:v>9.1442175929304721</c:v>
                </c:pt>
                <c:pt idx="388">
                  <c:v>9.114406888632665</c:v>
                </c:pt>
                <c:pt idx="389">
                  <c:v>9.0770016445491937</c:v>
                </c:pt>
                <c:pt idx="390">
                  <c:v>9.0471393915468692</c:v>
                </c:pt>
                <c:pt idx="391">
                  <c:v>9.0214544462555679</c:v>
                </c:pt>
                <c:pt idx="392">
                  <c:v>8.9978335446207396</c:v>
                </c:pt>
                <c:pt idx="393">
                  <c:v>8.9782172136423686</c:v>
                </c:pt>
                <c:pt idx="394">
                  <c:v>8.9641318910206049</c:v>
                </c:pt>
                <c:pt idx="395">
                  <c:v>8.9426880024705753</c:v>
                </c:pt>
                <c:pt idx="396">
                  <c:v>8.932062682912699</c:v>
                </c:pt>
                <c:pt idx="397">
                  <c:v>8.9238602223163142</c:v>
                </c:pt>
                <c:pt idx="398">
                  <c:v>8.9227898998471886</c:v>
                </c:pt>
                <c:pt idx="399">
                  <c:v>8.9167920893330095</c:v>
                </c:pt>
                <c:pt idx="400">
                  <c:v>8.9139587266635978</c:v>
                </c:pt>
                <c:pt idx="401">
                  <c:v>8.9155079817668312</c:v>
                </c:pt>
                <c:pt idx="402">
                  <c:v>8.9168420780722144</c:v>
                </c:pt>
                <c:pt idx="403">
                  <c:v>8.9243975488758629</c:v>
                </c:pt>
                <c:pt idx="404">
                  <c:v>8.9298390571330302</c:v>
                </c:pt>
                <c:pt idx="405">
                  <c:v>8.9382624972933584</c:v>
                </c:pt>
                <c:pt idx="406">
                  <c:v>8.9457057670098035</c:v>
                </c:pt>
                <c:pt idx="407">
                  <c:v>8.9582004139568205</c:v>
                </c:pt>
                <c:pt idx="408">
                  <c:v>8.9730736121938275</c:v>
                </c:pt>
                <c:pt idx="409">
                  <c:v>8.9897024233335863</c:v>
                </c:pt>
                <c:pt idx="410">
                  <c:v>9.0067698641230276</c:v>
                </c:pt>
                <c:pt idx="411">
                  <c:v>9.0141346233464166</c:v>
                </c:pt>
                <c:pt idx="412">
                  <c:v>9.0386176037226367</c:v>
                </c:pt>
                <c:pt idx="413">
                  <c:v>9.0516766321500004</c:v>
                </c:pt>
                <c:pt idx="414">
                  <c:v>9.0745842105417012</c:v>
                </c:pt>
                <c:pt idx="415">
                  <c:v>9.0923699338669817</c:v>
                </c:pt>
                <c:pt idx="416">
                  <c:v>9.1110756409147466</c:v>
                </c:pt>
                <c:pt idx="417">
                  <c:v>9.1298450737096939</c:v>
                </c:pt>
                <c:pt idx="418">
                  <c:v>9.1541661203732172</c:v>
                </c:pt>
                <c:pt idx="419">
                  <c:v>9.1669396984313938</c:v>
                </c:pt>
                <c:pt idx="420">
                  <c:v>9.1958797092539921</c:v>
                </c:pt>
                <c:pt idx="421">
                  <c:v>9.2099423076049298</c:v>
                </c:pt>
                <c:pt idx="422">
                  <c:v>9.2380939073018009</c:v>
                </c:pt>
                <c:pt idx="423">
                  <c:v>9.2531031717669929</c:v>
                </c:pt>
                <c:pt idx="424">
                  <c:v>9.2778483427310938</c:v>
                </c:pt>
                <c:pt idx="425">
                  <c:v>9.2951172053104081</c:v>
                </c:pt>
                <c:pt idx="426">
                  <c:v>9.321490840362733</c:v>
                </c:pt>
                <c:pt idx="427">
                  <c:v>9.3426172876131286</c:v>
                </c:pt>
                <c:pt idx="428">
                  <c:v>9.356723425294442</c:v>
                </c:pt>
                <c:pt idx="429">
                  <c:v>9.3765988269300653</c:v>
                </c:pt>
                <c:pt idx="430">
                  <c:v>9.397071252902288</c:v>
                </c:pt>
                <c:pt idx="431">
                  <c:v>9.4176489416085296</c:v>
                </c:pt>
                <c:pt idx="432">
                  <c:v>9.4387681478259093</c:v>
                </c:pt>
                <c:pt idx="433">
                  <c:v>9.4563244631179426</c:v>
                </c:pt>
                <c:pt idx="434">
                  <c:v>9.4826723471010723</c:v>
                </c:pt>
                <c:pt idx="435">
                  <c:v>9.5030092423555921</c:v>
                </c:pt>
                <c:pt idx="436">
                  <c:v>9.5133899966053175</c:v>
                </c:pt>
                <c:pt idx="437">
                  <c:v>9.5311137171301787</c:v>
                </c:pt>
                <c:pt idx="438">
                  <c:v>9.5513810425883587</c:v>
                </c:pt>
                <c:pt idx="439">
                  <c:v>9.5688373804019857</c:v>
                </c:pt>
                <c:pt idx="440">
                  <c:v>9.5882106129052609</c:v>
                </c:pt>
                <c:pt idx="441">
                  <c:v>9.6034497044988569</c:v>
                </c:pt>
                <c:pt idx="442">
                  <c:v>9.6204571215483501</c:v>
                </c:pt>
                <c:pt idx="443">
                  <c:v>9.6366446022029617</c:v>
                </c:pt>
                <c:pt idx="444">
                  <c:v>9.6546376379333978</c:v>
                </c:pt>
                <c:pt idx="445">
                  <c:v>9.6690487837579671</c:v>
                </c:pt>
                <c:pt idx="446">
                  <c:v>9.6768084470361497</c:v>
                </c:pt>
                <c:pt idx="447">
                  <c:v>9.6976208988804427</c:v>
                </c:pt>
                <c:pt idx="448">
                  <c:v>9.7052928082890091</c:v>
                </c:pt>
                <c:pt idx="449">
                  <c:v>9.7265566023361298</c:v>
                </c:pt>
                <c:pt idx="450">
                  <c:v>9.7331699006569501</c:v>
                </c:pt>
                <c:pt idx="451">
                  <c:v>9.7450508525932786</c:v>
                </c:pt>
                <c:pt idx="452">
                  <c:v>9.762634711750465</c:v>
                </c:pt>
                <c:pt idx="453">
                  <c:v>9.7704069944495355</c:v>
                </c:pt>
                <c:pt idx="454">
                  <c:v>9.7817397932013819</c:v>
                </c:pt>
                <c:pt idx="455">
                  <c:v>9.7982290456533025</c:v>
                </c:pt>
                <c:pt idx="456">
                  <c:v>9.8104813159002191</c:v>
                </c:pt>
                <c:pt idx="457">
                  <c:v>9.8129984247062811</c:v>
                </c:pt>
                <c:pt idx="458">
                  <c:v>9.8287578462224356</c:v>
                </c:pt>
                <c:pt idx="459">
                  <c:v>9.833345168697031</c:v>
                </c:pt>
                <c:pt idx="460">
                  <c:v>9.8463071067459662</c:v>
                </c:pt>
                <c:pt idx="461">
                  <c:v>9.8520824242970164</c:v>
                </c:pt>
                <c:pt idx="462">
                  <c:v>9.8681047116099165</c:v>
                </c:pt>
                <c:pt idx="463">
                  <c:v>9.8769021941993618</c:v>
                </c:pt>
                <c:pt idx="464">
                  <c:v>9.8841559164887656</c:v>
                </c:pt>
                <c:pt idx="465">
                  <c:v>9.8924017767171382</c:v>
                </c:pt>
                <c:pt idx="466">
                  <c:v>9.8959634336400697</c:v>
                </c:pt>
                <c:pt idx="467">
                  <c:v>9.9024379648972385</c:v>
                </c:pt>
                <c:pt idx="468">
                  <c:v>9.9145151697831508</c:v>
                </c:pt>
                <c:pt idx="469">
                  <c:v>9.9215437681231524</c:v>
                </c:pt>
                <c:pt idx="470">
                  <c:v>9.9277423252183343</c:v>
                </c:pt>
                <c:pt idx="471">
                  <c:v>9.9353424296563819</c:v>
                </c:pt>
                <c:pt idx="472">
                  <c:v>9.9447570298669756</c:v>
                </c:pt>
                <c:pt idx="473">
                  <c:v>9.9485260457611933</c:v>
                </c:pt>
                <c:pt idx="474">
                  <c:v>9.9525329912902158</c:v>
                </c:pt>
                <c:pt idx="475">
                  <c:v>9.9613295425570882</c:v>
                </c:pt>
                <c:pt idx="476">
                  <c:v>9.9662476242441329</c:v>
                </c:pt>
                <c:pt idx="477">
                  <c:v>9.9725840170803917</c:v>
                </c:pt>
                <c:pt idx="478">
                  <c:v>9.9729934730504155</c:v>
                </c:pt>
                <c:pt idx="479">
                  <c:v>9.9764393665772957</c:v>
                </c:pt>
                <c:pt idx="480">
                  <c:v>9.9790398054707428</c:v>
                </c:pt>
                <c:pt idx="481">
                  <c:v>9.9904153984949033</c:v>
                </c:pt>
                <c:pt idx="482">
                  <c:v>9.9919074936751056</c:v>
                </c:pt>
                <c:pt idx="483">
                  <c:v>9.9931669444761155</c:v>
                </c:pt>
                <c:pt idx="484">
                  <c:v>9.9986276146952591</c:v>
                </c:pt>
                <c:pt idx="485">
                  <c:v>10.002392765600792</c:v>
                </c:pt>
                <c:pt idx="486">
                  <c:v>10.009831052741463</c:v>
                </c:pt>
                <c:pt idx="487">
                  <c:v>10.010889151601793</c:v>
                </c:pt>
                <c:pt idx="488">
                  <c:v>10.00894948607519</c:v>
                </c:pt>
                <c:pt idx="489">
                  <c:v>10.015246297702019</c:v>
                </c:pt>
                <c:pt idx="490">
                  <c:v>10.014017929791942</c:v>
                </c:pt>
                <c:pt idx="491">
                  <c:v>10.026327196980438</c:v>
                </c:pt>
                <c:pt idx="492">
                  <c:v>10.026668619836371</c:v>
                </c:pt>
                <c:pt idx="493">
                  <c:v>10.027888442861823</c:v>
                </c:pt>
                <c:pt idx="494">
                  <c:v>10.030799524400104</c:v>
                </c:pt>
                <c:pt idx="495">
                  <c:v>10.033214094590678</c:v>
                </c:pt>
                <c:pt idx="496">
                  <c:v>10.02941625426277</c:v>
                </c:pt>
                <c:pt idx="497">
                  <c:v>10.032790459234452</c:v>
                </c:pt>
                <c:pt idx="498">
                  <c:v>10.031488772954674</c:v>
                </c:pt>
                <c:pt idx="499">
                  <c:v>10.035912625034319</c:v>
                </c:pt>
                <c:pt idx="500">
                  <c:v>10.038723542829677</c:v>
                </c:pt>
                <c:pt idx="501">
                  <c:v>10.03921341850404</c:v>
                </c:pt>
                <c:pt idx="502">
                  <c:v>10.046077754824905</c:v>
                </c:pt>
                <c:pt idx="503">
                  <c:v>10.038367218812548</c:v>
                </c:pt>
                <c:pt idx="504">
                  <c:v>10.043314869991345</c:v>
                </c:pt>
                <c:pt idx="505">
                  <c:v>10.044157530657053</c:v>
                </c:pt>
                <c:pt idx="506">
                  <c:v>10.0490624108466</c:v>
                </c:pt>
                <c:pt idx="507">
                  <c:v>10.050816044688879</c:v>
                </c:pt>
                <c:pt idx="508">
                  <c:v>10.044637115216961</c:v>
                </c:pt>
                <c:pt idx="509">
                  <c:v>10.051743292727448</c:v>
                </c:pt>
                <c:pt idx="510">
                  <c:v>10.052234192856641</c:v>
                </c:pt>
                <c:pt idx="511">
                  <c:v>10.046909588865683</c:v>
                </c:pt>
                <c:pt idx="512">
                  <c:v>10.046886468782763</c:v>
                </c:pt>
                <c:pt idx="513">
                  <c:v>10.052970449918176</c:v>
                </c:pt>
                <c:pt idx="514">
                  <c:v>10.047870108403236</c:v>
                </c:pt>
                <c:pt idx="515">
                  <c:v>10.047230103529809</c:v>
                </c:pt>
                <c:pt idx="516">
                  <c:v>10.047599116817024</c:v>
                </c:pt>
                <c:pt idx="517">
                  <c:v>10.05017792574367</c:v>
                </c:pt>
                <c:pt idx="518">
                  <c:v>10.04512084416233</c:v>
                </c:pt>
                <c:pt idx="519">
                  <c:v>10.045114953547046</c:v>
                </c:pt>
                <c:pt idx="520">
                  <c:v>10.051894236833764</c:v>
                </c:pt>
                <c:pt idx="521">
                  <c:v>10.046010024390652</c:v>
                </c:pt>
                <c:pt idx="522">
                  <c:v>10.05231163232874</c:v>
                </c:pt>
                <c:pt idx="523">
                  <c:v>10.048782734677378</c:v>
                </c:pt>
                <c:pt idx="524">
                  <c:v>10.0511400285296</c:v>
                </c:pt>
                <c:pt idx="525">
                  <c:v>10.042324664546719</c:v>
                </c:pt>
                <c:pt idx="526">
                  <c:v>10.044280022858707</c:v>
                </c:pt>
                <c:pt idx="527">
                  <c:v>10.042225664957014</c:v>
                </c:pt>
                <c:pt idx="528">
                  <c:v>10.042167899674309</c:v>
                </c:pt>
                <c:pt idx="529">
                  <c:v>10.041394692389618</c:v>
                </c:pt>
                <c:pt idx="530">
                  <c:v>10.047521421231217</c:v>
                </c:pt>
                <c:pt idx="531">
                  <c:v>10.046369025960185</c:v>
                </c:pt>
                <c:pt idx="532">
                  <c:v>10.037797878039488</c:v>
                </c:pt>
                <c:pt idx="533">
                  <c:v>10.039015535739953</c:v>
                </c:pt>
                <c:pt idx="534">
                  <c:v>10.038756022704476</c:v>
                </c:pt>
                <c:pt idx="535">
                  <c:v>10.038327265074088</c:v>
                </c:pt>
                <c:pt idx="536">
                  <c:v>10.034099433113379</c:v>
                </c:pt>
                <c:pt idx="537">
                  <c:v>10.03909616499187</c:v>
                </c:pt>
                <c:pt idx="538">
                  <c:v>10.037623068792193</c:v>
                </c:pt>
                <c:pt idx="539">
                  <c:v>10.03760036780443</c:v>
                </c:pt>
                <c:pt idx="540">
                  <c:v>10.032700772870495</c:v>
                </c:pt>
                <c:pt idx="541">
                  <c:v>10.037434918349012</c:v>
                </c:pt>
                <c:pt idx="542">
                  <c:v>10.034174032051622</c:v>
                </c:pt>
                <c:pt idx="543">
                  <c:v>10.034995877657783</c:v>
                </c:pt>
                <c:pt idx="544">
                  <c:v>10.037474476275378</c:v>
                </c:pt>
                <c:pt idx="545">
                  <c:v>10.027104385669135</c:v>
                </c:pt>
                <c:pt idx="546">
                  <c:v>10.028123857925674</c:v>
                </c:pt>
                <c:pt idx="547">
                  <c:v>10.026496185461641</c:v>
                </c:pt>
                <c:pt idx="548">
                  <c:v>10.031563930686461</c:v>
                </c:pt>
                <c:pt idx="549">
                  <c:v>10.027985952335406</c:v>
                </c:pt>
                <c:pt idx="550">
                  <c:v>10.026845128747365</c:v>
                </c:pt>
                <c:pt idx="551">
                  <c:v>10.029976910452818</c:v>
                </c:pt>
                <c:pt idx="552">
                  <c:v>10.02686107764646</c:v>
                </c:pt>
                <c:pt idx="553">
                  <c:v>10.020517397211053</c:v>
                </c:pt>
                <c:pt idx="554">
                  <c:v>10.01976079075126</c:v>
                </c:pt>
                <c:pt idx="555">
                  <c:v>10.025335152173726</c:v>
                </c:pt>
                <c:pt idx="556">
                  <c:v>10.024152302654496</c:v>
                </c:pt>
                <c:pt idx="557">
                  <c:v>10.022617180371334</c:v>
                </c:pt>
                <c:pt idx="558">
                  <c:v>10.024737662175841</c:v>
                </c:pt>
                <c:pt idx="559">
                  <c:v>10.017059908718117</c:v>
                </c:pt>
                <c:pt idx="560">
                  <c:v>10.019150285520393</c:v>
                </c:pt>
                <c:pt idx="561">
                  <c:v>10.01776382560324</c:v>
                </c:pt>
                <c:pt idx="562">
                  <c:v>10.014686246871642</c:v>
                </c:pt>
                <c:pt idx="563">
                  <c:v>10.02022610279271</c:v>
                </c:pt>
                <c:pt idx="564">
                  <c:v>10.019792804964769</c:v>
                </c:pt>
                <c:pt idx="565">
                  <c:v>10.016087188854835</c:v>
                </c:pt>
                <c:pt idx="566">
                  <c:v>10.014774536251736</c:v>
                </c:pt>
                <c:pt idx="567">
                  <c:v>10.011626875496383</c:v>
                </c:pt>
                <c:pt idx="568">
                  <c:v>10.012228882408754</c:v>
                </c:pt>
                <c:pt idx="569">
                  <c:v>10.016691291242999</c:v>
                </c:pt>
                <c:pt idx="570">
                  <c:v>10.014520308471871</c:v>
                </c:pt>
                <c:pt idx="571">
                  <c:v>10.015607231765895</c:v>
                </c:pt>
                <c:pt idx="572">
                  <c:v>10.013354572004953</c:v>
                </c:pt>
                <c:pt idx="573">
                  <c:v>10.016667938329435</c:v>
                </c:pt>
                <c:pt idx="574">
                  <c:v>10.01360747265015</c:v>
                </c:pt>
                <c:pt idx="575">
                  <c:v>10.013042020148841</c:v>
                </c:pt>
                <c:pt idx="576">
                  <c:v>10.013109494469386</c:v>
                </c:pt>
                <c:pt idx="577">
                  <c:v>10.014078326060922</c:v>
                </c:pt>
                <c:pt idx="578">
                  <c:v>10.01057820627712</c:v>
                </c:pt>
                <c:pt idx="579">
                  <c:v>10.012580200567045</c:v>
                </c:pt>
                <c:pt idx="580">
                  <c:v>10.008897774389222</c:v>
                </c:pt>
                <c:pt idx="581">
                  <c:v>10.005331228022774</c:v>
                </c:pt>
                <c:pt idx="582">
                  <c:v>10.009521900212746</c:v>
                </c:pt>
                <c:pt idx="583">
                  <c:v>10.009451981170441</c:v>
                </c:pt>
                <c:pt idx="584">
                  <c:v>10.003093748819804</c:v>
                </c:pt>
                <c:pt idx="585">
                  <c:v>10.00051980605361</c:v>
                </c:pt>
                <c:pt idx="586">
                  <c:v>10.002882734407411</c:v>
                </c:pt>
                <c:pt idx="587">
                  <c:v>10.006289395970827</c:v>
                </c:pt>
                <c:pt idx="588">
                  <c:v>10.000847794581402</c:v>
                </c:pt>
                <c:pt idx="589">
                  <c:v>10.005092739594424</c:v>
                </c:pt>
                <c:pt idx="590">
                  <c:v>10.00018664868553</c:v>
                </c:pt>
                <c:pt idx="591">
                  <c:v>9.9988179304634262</c:v>
                </c:pt>
                <c:pt idx="592">
                  <c:v>9.9988488270898461</c:v>
                </c:pt>
                <c:pt idx="593">
                  <c:v>10.003399618436443</c:v>
                </c:pt>
                <c:pt idx="594">
                  <c:v>9.9983515939671435</c:v>
                </c:pt>
                <c:pt idx="595">
                  <c:v>10.004353083205492</c:v>
                </c:pt>
                <c:pt idx="596">
                  <c:v>9.9990443582644328</c:v>
                </c:pt>
                <c:pt idx="597">
                  <c:v>9.9984090565700114</c:v>
                </c:pt>
                <c:pt idx="598">
                  <c:v>9.9999493942595894</c:v>
                </c:pt>
                <c:pt idx="599">
                  <c:v>9.9955376028072873</c:v>
                </c:pt>
                <c:pt idx="600">
                  <c:v>9.9951445381145803</c:v>
                </c:pt>
                <c:pt idx="601">
                  <c:v>10.002329226118123</c:v>
                </c:pt>
                <c:pt idx="602">
                  <c:v>9.9989602365528611</c:v>
                </c:pt>
                <c:pt idx="603">
                  <c:v>9.9996159574947363</c:v>
                </c:pt>
                <c:pt idx="604">
                  <c:v>10.002778426279029</c:v>
                </c:pt>
                <c:pt idx="605">
                  <c:v>9.9956387910050424</c:v>
                </c:pt>
                <c:pt idx="606">
                  <c:v>10.002325337846374</c:v>
                </c:pt>
                <c:pt idx="607">
                  <c:v>9.9995395191944052</c:v>
                </c:pt>
                <c:pt idx="608">
                  <c:v>10.000660924706761</c:v>
                </c:pt>
                <c:pt idx="609">
                  <c:v>9.9992117867803216</c:v>
                </c:pt>
                <c:pt idx="610">
                  <c:v>10.000971404370148</c:v>
                </c:pt>
                <c:pt idx="611">
                  <c:v>9.9959392822338131</c:v>
                </c:pt>
                <c:pt idx="612">
                  <c:v>9.9964479939072515</c:v>
                </c:pt>
                <c:pt idx="613">
                  <c:v>10.002034835052219</c:v>
                </c:pt>
                <c:pt idx="614">
                  <c:v>10.001020834315806</c:v>
                </c:pt>
                <c:pt idx="615">
                  <c:v>9.9978516367259083</c:v>
                </c:pt>
                <c:pt idx="616">
                  <c:v>10.002854887862425</c:v>
                </c:pt>
                <c:pt idx="617">
                  <c:v>10.001937791239921</c:v>
                </c:pt>
                <c:pt idx="618">
                  <c:v>9.9954599072214823</c:v>
                </c:pt>
                <c:pt idx="619">
                  <c:v>10.000471214298269</c:v>
                </c:pt>
                <c:pt idx="620">
                  <c:v>10.000528024975333</c:v>
                </c:pt>
                <c:pt idx="621">
                  <c:v>9.9351128120755572</c:v>
                </c:pt>
                <c:pt idx="622">
                  <c:v>9.7598506626113899</c:v>
                </c:pt>
                <c:pt idx="623">
                  <c:v>9.4944684555508356</c:v>
                </c:pt>
                <c:pt idx="624">
                  <c:v>9.1829868287739789</c:v>
                </c:pt>
                <c:pt idx="625">
                  <c:v>8.8893886676266298</c:v>
                </c:pt>
                <c:pt idx="626">
                  <c:v>8.5999992696102705</c:v>
                </c:pt>
                <c:pt idx="627">
                  <c:v>8.3141058702753181</c:v>
                </c:pt>
                <c:pt idx="628">
                  <c:v>8.0448211189463787</c:v>
                </c:pt>
                <c:pt idx="629">
                  <c:v>7.7846192307268778</c:v>
                </c:pt>
                <c:pt idx="630">
                  <c:v>7.5225204479700238</c:v>
                </c:pt>
                <c:pt idx="631">
                  <c:v>7.273466653952716</c:v>
                </c:pt>
                <c:pt idx="632">
                  <c:v>7.0272305298194366</c:v>
                </c:pt>
                <c:pt idx="633">
                  <c:v>6.7829113003758046</c:v>
                </c:pt>
                <c:pt idx="634">
                  <c:v>6.5502432655892893</c:v>
                </c:pt>
                <c:pt idx="635">
                  <c:v>6.3100921237631917</c:v>
                </c:pt>
                <c:pt idx="636">
                  <c:v>6.0835810625188937</c:v>
                </c:pt>
                <c:pt idx="637">
                  <c:v>5.8505887877779523</c:v>
                </c:pt>
                <c:pt idx="638">
                  <c:v>5.6270207524362537</c:v>
                </c:pt>
                <c:pt idx="639">
                  <c:v>5.4021260248036418</c:v>
                </c:pt>
                <c:pt idx="640">
                  <c:v>5.1740264997757102</c:v>
                </c:pt>
                <c:pt idx="641">
                  <c:v>4.9592573672903839</c:v>
                </c:pt>
                <c:pt idx="642">
                  <c:v>4.7361671702787671</c:v>
                </c:pt>
                <c:pt idx="643">
                  <c:v>4.5127734552400129</c:v>
                </c:pt>
                <c:pt idx="644">
                  <c:v>4.2969010081833465</c:v>
                </c:pt>
                <c:pt idx="645">
                  <c:v>4.0901887938590233</c:v>
                </c:pt>
                <c:pt idx="646">
                  <c:v>3.8859613714474159</c:v>
                </c:pt>
                <c:pt idx="647">
                  <c:v>3.6938782789963014</c:v>
                </c:pt>
                <c:pt idx="648">
                  <c:v>3.509173380096716</c:v>
                </c:pt>
                <c:pt idx="649">
                  <c:v>3.3324390657554472</c:v>
                </c:pt>
                <c:pt idx="650">
                  <c:v>3.1703669818049223</c:v>
                </c:pt>
                <c:pt idx="651">
                  <c:v>3.019542201193874</c:v>
                </c:pt>
                <c:pt idx="652">
                  <c:v>2.8650103842059642</c:v>
                </c:pt>
                <c:pt idx="653">
                  <c:v>2.7249198180448544</c:v>
                </c:pt>
                <c:pt idx="654">
                  <c:v>2.585713030441132</c:v>
                </c:pt>
                <c:pt idx="655">
                  <c:v>2.4589190730962249</c:v>
                </c:pt>
                <c:pt idx="656">
                  <c:v>2.3338639182815943</c:v>
                </c:pt>
                <c:pt idx="657">
                  <c:v>2.2192019974391912</c:v>
                </c:pt>
                <c:pt idx="658">
                  <c:v>2.1069728541437009</c:v>
                </c:pt>
                <c:pt idx="659">
                  <c:v>1.9994547129607421</c:v>
                </c:pt>
                <c:pt idx="660">
                  <c:v>1.9020212818640334</c:v>
                </c:pt>
                <c:pt idx="661">
                  <c:v>1.7970955469173135</c:v>
                </c:pt>
                <c:pt idx="662">
                  <c:v>1.7071271319191734</c:v>
                </c:pt>
                <c:pt idx="663">
                  <c:v>1.6266002323540394</c:v>
                </c:pt>
                <c:pt idx="664">
                  <c:v>1.5371453719067261</c:v>
                </c:pt>
                <c:pt idx="665">
                  <c:v>1.4672020453650509</c:v>
                </c:pt>
                <c:pt idx="666">
                  <c:v>1.3874810657900483</c:v>
                </c:pt>
                <c:pt idx="667">
                  <c:v>1.3218571667843166</c:v>
                </c:pt>
                <c:pt idx="668">
                  <c:v>1.2588690736468111</c:v>
                </c:pt>
                <c:pt idx="669">
                  <c:v>1.1955155062478771</c:v>
                </c:pt>
                <c:pt idx="670">
                  <c:v>1.1462580182464461</c:v>
                </c:pt>
                <c:pt idx="671">
                  <c:v>1.0929989863869265</c:v>
                </c:pt>
                <c:pt idx="672">
                  <c:v>1.0418421591263829</c:v>
                </c:pt>
                <c:pt idx="673">
                  <c:v>0.99768608366085365</c:v>
                </c:pt>
                <c:pt idx="674">
                  <c:v>0.96010363217445638</c:v>
                </c:pt>
                <c:pt idx="675">
                  <c:v>0.92343592572105959</c:v>
                </c:pt>
                <c:pt idx="676">
                  <c:v>0.88712917661460333</c:v>
                </c:pt>
                <c:pt idx="677">
                  <c:v>0.845324644084397</c:v>
                </c:pt>
                <c:pt idx="678">
                  <c:v>0.81698470767982878</c:v>
                </c:pt>
                <c:pt idx="679">
                  <c:v>0.78205154295592838</c:v>
                </c:pt>
                <c:pt idx="680">
                  <c:v>0.75898834056197395</c:v>
                </c:pt>
                <c:pt idx="681">
                  <c:v>0.73396184033107992</c:v>
                </c:pt>
                <c:pt idx="682">
                  <c:v>0.70784792786181161</c:v>
                </c:pt>
                <c:pt idx="683">
                  <c:v>0.69081208219072132</c:v>
                </c:pt>
                <c:pt idx="684">
                  <c:v>0.66208799850709921</c:v>
                </c:pt>
                <c:pt idx="685">
                  <c:v>0.65074285973113566</c:v>
                </c:pt>
                <c:pt idx="686">
                  <c:v>0.63200697783194648</c:v>
                </c:pt>
                <c:pt idx="687">
                  <c:v>0.60946524623070497</c:v>
                </c:pt>
                <c:pt idx="688">
                  <c:v>0.59350277311017341</c:v>
                </c:pt>
                <c:pt idx="689">
                  <c:v>0.58083336348199133</c:v>
                </c:pt>
                <c:pt idx="690">
                  <c:v>0.56751261012803589</c:v>
                </c:pt>
                <c:pt idx="691">
                  <c:v>0.55861587183517769</c:v>
                </c:pt>
                <c:pt idx="692">
                  <c:v>0.55297825032681658</c:v>
                </c:pt>
                <c:pt idx="693">
                  <c:v>0.54505185702467607</c:v>
                </c:pt>
                <c:pt idx="694">
                  <c:v>0.53110700113026121</c:v>
                </c:pt>
                <c:pt idx="695">
                  <c:v>0.52328694158310229</c:v>
                </c:pt>
                <c:pt idx="696">
                  <c:v>0.51903889992251961</c:v>
                </c:pt>
                <c:pt idx="697">
                  <c:v>0.51654868305580426</c:v>
                </c:pt>
                <c:pt idx="698">
                  <c:v>0.50599547114828491</c:v>
                </c:pt>
                <c:pt idx="699">
                  <c:v>0.5027109758236239</c:v>
                </c:pt>
                <c:pt idx="700">
                  <c:v>0.50053992320330354</c:v>
                </c:pt>
                <c:pt idx="701">
                  <c:v>0.49877413560142142</c:v>
                </c:pt>
                <c:pt idx="702">
                  <c:v>0.49615406908470994</c:v>
                </c:pt>
                <c:pt idx="703">
                  <c:v>0.49303181015258463</c:v>
                </c:pt>
                <c:pt idx="704">
                  <c:v>0.49356357205974954</c:v>
                </c:pt>
                <c:pt idx="705">
                  <c:v>0.49186071858086178</c:v>
                </c:pt>
                <c:pt idx="706">
                  <c:v>0.48888968315182479</c:v>
                </c:pt>
                <c:pt idx="707">
                  <c:v>0.49062576156356974</c:v>
                </c:pt>
                <c:pt idx="708">
                  <c:v>0.4907667870844637</c:v>
                </c:pt>
                <c:pt idx="709">
                  <c:v>0.49149740964441962</c:v>
                </c:pt>
                <c:pt idx="710">
                  <c:v>0.4892454716584751</c:v>
                </c:pt>
                <c:pt idx="711">
                  <c:v>0.4903565394902501</c:v>
                </c:pt>
                <c:pt idx="712">
                  <c:v>0.49671835743280091</c:v>
                </c:pt>
                <c:pt idx="713">
                  <c:v>0.50456614710962544</c:v>
                </c:pt>
                <c:pt idx="714">
                  <c:v>0.50779159658304218</c:v>
                </c:pt>
                <c:pt idx="715">
                  <c:v>0.50448814884398319</c:v>
                </c:pt>
                <c:pt idx="716">
                  <c:v>0.50535234634423454</c:v>
                </c:pt>
                <c:pt idx="717">
                  <c:v>0.51292069268248064</c:v>
                </c:pt>
                <c:pt idx="718">
                  <c:v>0.51825395797338658</c:v>
                </c:pt>
                <c:pt idx="719">
                  <c:v>0.51989350480025021</c:v>
                </c:pt>
                <c:pt idx="720">
                  <c:v>0.5241031992538141</c:v>
                </c:pt>
                <c:pt idx="721">
                  <c:v>0.53213709046415458</c:v>
                </c:pt>
                <c:pt idx="722">
                  <c:v>0.53878610500571922</c:v>
                </c:pt>
                <c:pt idx="723">
                  <c:v>0.54617603322169184</c:v>
                </c:pt>
                <c:pt idx="724">
                  <c:v>0.55056577561203524</c:v>
                </c:pt>
                <c:pt idx="725">
                  <c:v>0.55631604058582251</c:v>
                </c:pt>
                <c:pt idx="726">
                  <c:v>0.56596519438688764</c:v>
                </c:pt>
                <c:pt idx="727">
                  <c:v>0.5708377809661529</c:v>
                </c:pt>
                <c:pt idx="728">
                  <c:v>0.57685577789713993</c:v>
                </c:pt>
                <c:pt idx="729">
                  <c:v>0.58221544618304255</c:v>
                </c:pt>
                <c:pt idx="730">
                  <c:v>0.5914482522270289</c:v>
                </c:pt>
                <c:pt idx="731">
                  <c:v>0.60533266528633722</c:v>
                </c:pt>
                <c:pt idx="732">
                  <c:v>0.60474427896662253</c:v>
                </c:pt>
                <c:pt idx="733">
                  <c:v>0.61386188040810219</c:v>
                </c:pt>
                <c:pt idx="734">
                  <c:v>0.62149215969757454</c:v>
                </c:pt>
                <c:pt idx="735">
                  <c:v>0.63818441718774488</c:v>
                </c:pt>
                <c:pt idx="736">
                  <c:v>0.64000317376107052</c:v>
                </c:pt>
                <c:pt idx="737">
                  <c:v>0.64573851429059603</c:v>
                </c:pt>
                <c:pt idx="738">
                  <c:v>0.65795537099660273</c:v>
                </c:pt>
                <c:pt idx="739">
                  <c:v>0.66651834656170539</c:v>
                </c:pt>
                <c:pt idx="740">
                  <c:v>0.67417051193168631</c:v>
                </c:pt>
                <c:pt idx="741">
                  <c:v>0.67839822747707323</c:v>
                </c:pt>
                <c:pt idx="742">
                  <c:v>0.68714430106038793</c:v>
                </c:pt>
                <c:pt idx="743">
                  <c:v>0.70454981194449351</c:v>
                </c:pt>
                <c:pt idx="744">
                  <c:v>0.70379856058950507</c:v>
                </c:pt>
                <c:pt idx="745">
                  <c:v>0.71617700176224508</c:v>
                </c:pt>
                <c:pt idx="746">
                  <c:v>0.72158027922771406</c:v>
                </c:pt>
                <c:pt idx="747">
                  <c:v>0.73507775104024398</c:v>
                </c:pt>
                <c:pt idx="748">
                  <c:v>0.74648896715289192</c:v>
                </c:pt>
                <c:pt idx="749">
                  <c:v>0.74653339123971141</c:v>
                </c:pt>
                <c:pt idx="750">
                  <c:v>0.76319118979461287</c:v>
                </c:pt>
                <c:pt idx="751">
                  <c:v>0.76420956774712756</c:v>
                </c:pt>
                <c:pt idx="752">
                  <c:v>0.77068975678893969</c:v>
                </c:pt>
                <c:pt idx="753">
                  <c:v>0.78635851405243362</c:v>
                </c:pt>
                <c:pt idx="754">
                  <c:v>0.79363002460301613</c:v>
                </c:pt>
                <c:pt idx="755">
                  <c:v>0.79795457441312145</c:v>
                </c:pt>
                <c:pt idx="756">
                  <c:v>0.81036284119132052</c:v>
                </c:pt>
                <c:pt idx="757">
                  <c:v>0.81619017310817499</c:v>
                </c:pt>
                <c:pt idx="758">
                  <c:v>0.82483505849373417</c:v>
                </c:pt>
                <c:pt idx="759">
                  <c:v>0.83140097577855954</c:v>
                </c:pt>
                <c:pt idx="760">
                  <c:v>0.8361743299374762</c:v>
                </c:pt>
                <c:pt idx="761">
                  <c:v>0.84013158940713195</c:v>
                </c:pt>
                <c:pt idx="762">
                  <c:v>0.84445625563255888</c:v>
                </c:pt>
                <c:pt idx="763">
                  <c:v>0.85893932284296948</c:v>
                </c:pt>
                <c:pt idx="764">
                  <c:v>0.86315635146181013</c:v>
                </c:pt>
                <c:pt idx="765">
                  <c:v>0.87042702382207537</c:v>
                </c:pt>
                <c:pt idx="766">
                  <c:v>0.87316604351465732</c:v>
                </c:pt>
                <c:pt idx="767">
                  <c:v>0.88267948033350496</c:v>
                </c:pt>
                <c:pt idx="768">
                  <c:v>0.88895172832742142</c:v>
                </c:pt>
                <c:pt idx="769">
                  <c:v>0.89836546706463338</c:v>
                </c:pt>
                <c:pt idx="770">
                  <c:v>0.89559932260205954</c:v>
                </c:pt>
                <c:pt idx="771">
                  <c:v>0.90779110344773895</c:v>
                </c:pt>
                <c:pt idx="772">
                  <c:v>0.91180985349039767</c:v>
                </c:pt>
                <c:pt idx="773">
                  <c:v>0.91728426071751956</c:v>
                </c:pt>
                <c:pt idx="774">
                  <c:v>0.92351671795442625</c:v>
                </c:pt>
                <c:pt idx="775">
                  <c:v>0.9256960360625982</c:v>
                </c:pt>
                <c:pt idx="776">
                  <c:v>0.93133265639919161</c:v>
                </c:pt>
                <c:pt idx="777">
                  <c:v>0.93444567195476169</c:v>
                </c:pt>
                <c:pt idx="778">
                  <c:v>0.94016056995376951</c:v>
                </c:pt>
                <c:pt idx="779">
                  <c:v>0.94391615151984531</c:v>
                </c:pt>
                <c:pt idx="780">
                  <c:v>0.94678506742855184</c:v>
                </c:pt>
                <c:pt idx="781">
                  <c:v>0.95316611718227295</c:v>
                </c:pt>
                <c:pt idx="782">
                  <c:v>0.95261675327844386</c:v>
                </c:pt>
                <c:pt idx="783">
                  <c:v>0.96297997538069735</c:v>
                </c:pt>
                <c:pt idx="784">
                  <c:v>0.96481307432167529</c:v>
                </c:pt>
                <c:pt idx="785">
                  <c:v>0.96752978883859009</c:v>
                </c:pt>
                <c:pt idx="786">
                  <c:v>0.97212959103568675</c:v>
                </c:pt>
                <c:pt idx="787">
                  <c:v>0.97899993438716038</c:v>
                </c:pt>
                <c:pt idx="788">
                  <c:v>0.98015004791788518</c:v>
                </c:pt>
                <c:pt idx="789">
                  <c:v>0.97786048449991747</c:v>
                </c:pt>
                <c:pt idx="790">
                  <c:v>0.98231155448181351</c:v>
                </c:pt>
                <c:pt idx="791">
                  <c:v>0.98728479374835376</c:v>
                </c:pt>
                <c:pt idx="792">
                  <c:v>0.9904165754538069</c:v>
                </c:pt>
                <c:pt idx="793">
                  <c:v>0.98780884896121202</c:v>
                </c:pt>
                <c:pt idx="794">
                  <c:v>0.99800396733870822</c:v>
                </c:pt>
                <c:pt idx="795">
                  <c:v>0.99921093811262651</c:v>
                </c:pt>
                <c:pt idx="796">
                  <c:v>0.99570476473209091</c:v>
                </c:pt>
                <c:pt idx="797">
                  <c:v>0.99882527743438854</c:v>
                </c:pt>
                <c:pt idx="798">
                  <c:v>0.99716007267058837</c:v>
                </c:pt>
                <c:pt idx="799">
                  <c:v>1.0021975731947919</c:v>
                </c:pt>
                <c:pt idx="800">
                  <c:v>1.0033260101925874</c:v>
                </c:pt>
                <c:pt idx="801">
                  <c:v>1.0037496921149431</c:v>
                </c:pt>
                <c:pt idx="802">
                  <c:v>1.0058962509515454</c:v>
                </c:pt>
                <c:pt idx="803">
                  <c:v>1.0135243649160313</c:v>
                </c:pt>
                <c:pt idx="804">
                  <c:v>1.0090169732014223</c:v>
                </c:pt>
                <c:pt idx="805">
                  <c:v>1.0081164075546238</c:v>
                </c:pt>
                <c:pt idx="806">
                  <c:v>1.0151541794219878</c:v>
                </c:pt>
                <c:pt idx="807">
                  <c:v>1.0143158494062527</c:v>
                </c:pt>
                <c:pt idx="808">
                  <c:v>1.0160677370187052</c:v>
                </c:pt>
                <c:pt idx="809">
                  <c:v>1.0214660551914634</c:v>
                </c:pt>
                <c:pt idx="810">
                  <c:v>1.0188272225248691</c:v>
                </c:pt>
                <c:pt idx="811">
                  <c:v>1.0165506743398844</c:v>
                </c:pt>
                <c:pt idx="812">
                  <c:v>1.0193783093754616</c:v>
                </c:pt>
                <c:pt idx="813">
                  <c:v>1.0190360250461465</c:v>
                </c:pt>
                <c:pt idx="814">
                  <c:v>1.0234113319365798</c:v>
                </c:pt>
                <c:pt idx="815">
                  <c:v>1.017375826141186</c:v>
                </c:pt>
                <c:pt idx="816">
                  <c:v>1.019397028959216</c:v>
                </c:pt>
                <c:pt idx="817">
                  <c:v>1.0270324770889787</c:v>
                </c:pt>
                <c:pt idx="818">
                  <c:v>1.0254455965537219</c:v>
                </c:pt>
                <c:pt idx="819">
                  <c:v>1.0264131475767151</c:v>
                </c:pt>
                <c:pt idx="820">
                  <c:v>1.023169653728411</c:v>
                </c:pt>
                <c:pt idx="821">
                  <c:v>1.0217415171260342</c:v>
                </c:pt>
                <c:pt idx="822">
                  <c:v>1.0265650230056058</c:v>
                </c:pt>
                <c:pt idx="823">
                  <c:v>1.0287811516385481</c:v>
                </c:pt>
                <c:pt idx="824">
                  <c:v>1.0214653334164678</c:v>
                </c:pt>
                <c:pt idx="825">
                  <c:v>1.0223128602426297</c:v>
                </c:pt>
                <c:pt idx="826">
                  <c:v>1.0243371829912851</c:v>
                </c:pt>
                <c:pt idx="827">
                  <c:v>1.022175816125743</c:v>
                </c:pt>
                <c:pt idx="828">
                  <c:v>1.0223480642359581</c:v>
                </c:pt>
                <c:pt idx="829">
                  <c:v>1.0226788234484099</c:v>
                </c:pt>
                <c:pt idx="830">
                  <c:v>1.022591977618307</c:v>
                </c:pt>
                <c:pt idx="831">
                  <c:v>1.0273585331224273</c:v>
                </c:pt>
                <c:pt idx="832">
                  <c:v>1.0234055344535518</c:v>
                </c:pt>
                <c:pt idx="833">
                  <c:v>1.0249528337793781</c:v>
                </c:pt>
                <c:pt idx="834">
                  <c:v>1.0219045218596945</c:v>
                </c:pt>
                <c:pt idx="835">
                  <c:v>1.0255235016871065</c:v>
                </c:pt>
                <c:pt idx="836">
                  <c:v>1.0260232959468902</c:v>
                </c:pt>
                <c:pt idx="837">
                  <c:v>1.0223407067876171</c:v>
                </c:pt>
                <c:pt idx="838">
                  <c:v>1.0249802146630782</c:v>
                </c:pt>
                <c:pt idx="839">
                  <c:v>1.0209459348164838</c:v>
                </c:pt>
                <c:pt idx="840">
                  <c:v>1.0250104593636959</c:v>
                </c:pt>
                <c:pt idx="841">
                  <c:v>1.0288957741644458</c:v>
                </c:pt>
                <c:pt idx="842">
                  <c:v>1.0235956406741393</c:v>
                </c:pt>
                <c:pt idx="843">
                  <c:v>1.0207410904161496</c:v>
                </c:pt>
                <c:pt idx="844">
                  <c:v>1.0260638550450243</c:v>
                </c:pt>
                <c:pt idx="845">
                  <c:v>1.0173897959798084</c:v>
                </c:pt>
                <c:pt idx="846">
                  <c:v>1.0170877447857261</c:v>
                </c:pt>
                <c:pt idx="847">
                  <c:v>1.0184962304817737</c:v>
                </c:pt>
                <c:pt idx="848">
                  <c:v>1.0208891008563548</c:v>
                </c:pt>
                <c:pt idx="849">
                  <c:v>1.0205411121762686</c:v>
                </c:pt>
                <c:pt idx="850">
                  <c:v>1.0234266056268073</c:v>
                </c:pt>
                <c:pt idx="851">
                  <c:v>1.0240639562308937</c:v>
                </c:pt>
                <c:pt idx="852">
                  <c:v>1.0160030799489475</c:v>
                </c:pt>
                <c:pt idx="853">
                  <c:v>1.0172458833589324</c:v>
                </c:pt>
                <c:pt idx="854">
                  <c:v>1.0182752509178303</c:v>
                </c:pt>
                <c:pt idx="855">
                  <c:v>1.0233756389988997</c:v>
                </c:pt>
                <c:pt idx="856">
                  <c:v>1.0217020988980545</c:v>
                </c:pt>
                <c:pt idx="857">
                  <c:v>1.0131821271528447</c:v>
                </c:pt>
                <c:pt idx="858">
                  <c:v>1.0129899021733995</c:v>
                </c:pt>
                <c:pt idx="859">
                  <c:v>1.0151230266818598</c:v>
                </c:pt>
                <c:pt idx="860">
                  <c:v>1.0148560863488485</c:v>
                </c:pt>
                <c:pt idx="861">
                  <c:v>1.0192529533568893</c:v>
                </c:pt>
                <c:pt idx="862">
                  <c:v>1.0185875233771715</c:v>
                </c:pt>
                <c:pt idx="863">
                  <c:v>1.0148589734488305</c:v>
                </c:pt>
                <c:pt idx="864">
                  <c:v>1.0152121309692068</c:v>
                </c:pt>
                <c:pt idx="865">
                  <c:v>1.0128523691121609</c:v>
                </c:pt>
                <c:pt idx="866">
                  <c:v>1.0136383122330621</c:v>
                </c:pt>
                <c:pt idx="867">
                  <c:v>1.0187231239440673</c:v>
                </c:pt>
                <c:pt idx="868">
                  <c:v>1.0179715000600487</c:v>
                </c:pt>
                <c:pt idx="869">
                  <c:v>1.0094168598319908</c:v>
                </c:pt>
                <c:pt idx="870">
                  <c:v>1.0125787698227398</c:v>
                </c:pt>
                <c:pt idx="871">
                  <c:v>1.0133770296846929</c:v>
                </c:pt>
                <c:pt idx="872">
                  <c:v>1.0075489527097783</c:v>
                </c:pt>
                <c:pt idx="873">
                  <c:v>1.0088362267727116</c:v>
                </c:pt>
                <c:pt idx="874">
                  <c:v>1.0102983333660052</c:v>
                </c:pt>
                <c:pt idx="875">
                  <c:v>1.0123693386587242</c:v>
                </c:pt>
                <c:pt idx="876">
                  <c:v>1.0111986894652245</c:v>
                </c:pt>
                <c:pt idx="877">
                  <c:v>1.008286699887432</c:v>
                </c:pt>
                <c:pt idx="878">
                  <c:v>1.0092599086950673</c:v>
                </c:pt>
                <c:pt idx="879">
                  <c:v>1.0133029429738649</c:v>
                </c:pt>
                <c:pt idx="880">
                  <c:v>1.006049057703011</c:v>
                </c:pt>
                <c:pt idx="881">
                  <c:v>1.010091859151165</c:v>
                </c:pt>
                <c:pt idx="882">
                  <c:v>1.0121518748375009</c:v>
                </c:pt>
                <c:pt idx="883">
                  <c:v>1.004690281349395</c:v>
                </c:pt>
                <c:pt idx="884">
                  <c:v>1.0102939561499036</c:v>
                </c:pt>
                <c:pt idx="885">
                  <c:v>1.003639237257568</c:v>
                </c:pt>
                <c:pt idx="886">
                  <c:v>1.00299953506398</c:v>
                </c:pt>
                <c:pt idx="887">
                  <c:v>1.0027687067638078</c:v>
                </c:pt>
                <c:pt idx="888">
                  <c:v>1.0031065905939571</c:v>
                </c:pt>
                <c:pt idx="889">
                  <c:v>1.009524427589384</c:v>
                </c:pt>
                <c:pt idx="890">
                  <c:v>1.0032996304806554</c:v>
                </c:pt>
                <c:pt idx="891">
                  <c:v>1.0060184171902991</c:v>
                </c:pt>
                <c:pt idx="892">
                  <c:v>1.003056671703946</c:v>
                </c:pt>
                <c:pt idx="893">
                  <c:v>1.0003522273619547</c:v>
                </c:pt>
                <c:pt idx="894">
                  <c:v>1.0011969602203921</c:v>
                </c:pt>
                <c:pt idx="895">
                  <c:v>1.0042465294255518</c:v>
                </c:pt>
                <c:pt idx="896">
                  <c:v>1.0064677803326556</c:v>
                </c:pt>
                <c:pt idx="897">
                  <c:v>1.0026896374772045</c:v>
                </c:pt>
                <c:pt idx="898">
                  <c:v>1.0057754351305253</c:v>
                </c:pt>
                <c:pt idx="899">
                  <c:v>1.0014374742753427</c:v>
                </c:pt>
                <c:pt idx="900">
                  <c:v>1.0043393357201338</c:v>
                </c:pt>
                <c:pt idx="901">
                  <c:v>1.005615736592006</c:v>
                </c:pt>
                <c:pt idx="902">
                  <c:v>1.0013818510345607</c:v>
                </c:pt>
                <c:pt idx="903">
                  <c:v>1.0067946512733574</c:v>
                </c:pt>
                <c:pt idx="904">
                  <c:v>0.9982255056961965</c:v>
                </c:pt>
                <c:pt idx="905">
                  <c:v>1.0027701503137987</c:v>
                </c:pt>
                <c:pt idx="906">
                  <c:v>1.0033496192198594</c:v>
                </c:pt>
                <c:pt idx="907">
                  <c:v>1.0032014457982037</c:v>
                </c:pt>
                <c:pt idx="908">
                  <c:v>0.9961721489662706</c:v>
                </c:pt>
                <c:pt idx="909">
                  <c:v>0.9978431279300346</c:v>
                </c:pt>
                <c:pt idx="910">
                  <c:v>1.0023095181682868</c:v>
                </c:pt>
                <c:pt idx="911">
                  <c:v>0.9963697523335856</c:v>
                </c:pt>
                <c:pt idx="912">
                  <c:v>1.0026964361320008</c:v>
                </c:pt>
                <c:pt idx="913">
                  <c:v>1.0049781531572757</c:v>
                </c:pt>
                <c:pt idx="914">
                  <c:v>0.99838415649681922</c:v>
                </c:pt>
                <c:pt idx="915">
                  <c:v>0.99842925579250541</c:v>
                </c:pt>
                <c:pt idx="916">
                  <c:v>0.99995806836522139</c:v>
                </c:pt>
                <c:pt idx="917">
                  <c:v>1.002747426042973</c:v>
                </c:pt>
                <c:pt idx="918">
                  <c:v>0.99589233309866221</c:v>
                </c:pt>
                <c:pt idx="919">
                  <c:v>1.0033118308063855</c:v>
                </c:pt>
                <c:pt idx="920">
                  <c:v>0.99964998685746698</c:v>
                </c:pt>
                <c:pt idx="921">
                  <c:v>0.99689783551657996</c:v>
                </c:pt>
                <c:pt idx="922">
                  <c:v>1.003515417921244</c:v>
                </c:pt>
                <c:pt idx="923">
                  <c:v>1.0046502577617415</c:v>
                </c:pt>
                <c:pt idx="924">
                  <c:v>1.0041432690350671</c:v>
                </c:pt>
                <c:pt idx="925">
                  <c:v>1.0012239452919978</c:v>
                </c:pt>
                <c:pt idx="926">
                  <c:v>0.99962954432694928</c:v>
                </c:pt>
                <c:pt idx="927">
                  <c:v>1.0028111983562844</c:v>
                </c:pt>
                <c:pt idx="928">
                  <c:v>0.99391422723278267</c:v>
                </c:pt>
                <c:pt idx="929">
                  <c:v>0.99608986661678411</c:v>
                </c:pt>
                <c:pt idx="930">
                  <c:v>1.0036452908543043</c:v>
                </c:pt>
                <c:pt idx="931">
                  <c:v>1.0020910997414243</c:v>
                </c:pt>
                <c:pt idx="932">
                  <c:v>0.99691308592374273</c:v>
                </c:pt>
                <c:pt idx="933">
                  <c:v>0.99505747225951824</c:v>
                </c:pt>
                <c:pt idx="934">
                  <c:v>0.99541025725086463</c:v>
                </c:pt>
                <c:pt idx="935">
                  <c:v>0.99827984836843797</c:v>
                </c:pt>
                <c:pt idx="936">
                  <c:v>0.99762177583706135</c:v>
                </c:pt>
                <c:pt idx="937">
                  <c:v>1.0016651127956959</c:v>
                </c:pt>
                <c:pt idx="938">
                  <c:v>0.99887240235667507</c:v>
                </c:pt>
                <c:pt idx="939">
                  <c:v>0.99579896801053525</c:v>
                </c:pt>
                <c:pt idx="940">
                  <c:v>0.9946554435870274</c:v>
                </c:pt>
                <c:pt idx="941">
                  <c:v>1.0034814246472628</c:v>
                </c:pt>
                <c:pt idx="942">
                  <c:v>0.99548618332377781</c:v>
                </c:pt>
                <c:pt idx="943">
                  <c:v>1.0023774115839921</c:v>
                </c:pt>
                <c:pt idx="944">
                  <c:v>0.99447709531394701</c:v>
                </c:pt>
                <c:pt idx="945">
                  <c:v>0.99630437348883238</c:v>
                </c:pt>
                <c:pt idx="946">
                  <c:v>1.0027690327267091</c:v>
                </c:pt>
                <c:pt idx="947">
                  <c:v>1.0014103029392218</c:v>
                </c:pt>
                <c:pt idx="948">
                  <c:v>0.9988859763832032</c:v>
                </c:pt>
                <c:pt idx="949">
                  <c:v>1.0030793726917075</c:v>
                </c:pt>
                <c:pt idx="950">
                  <c:v>1.002504816512229</c:v>
                </c:pt>
                <c:pt idx="951">
                  <c:v>1.0014522357381535</c:v>
                </c:pt>
                <c:pt idx="952">
                  <c:v>0.99998253886587518</c:v>
                </c:pt>
                <c:pt idx="953">
                  <c:v>0.99357317690587899</c:v>
                </c:pt>
                <c:pt idx="954">
                  <c:v>0.99499437515507327</c:v>
                </c:pt>
                <c:pt idx="955">
                  <c:v>0.99854837194982649</c:v>
                </c:pt>
                <c:pt idx="956">
                  <c:v>0.99819593620444558</c:v>
                </c:pt>
                <c:pt idx="957">
                  <c:v>0.99638931010765708</c:v>
                </c:pt>
                <c:pt idx="958">
                  <c:v>0.99983429559502623</c:v>
                </c:pt>
                <c:pt idx="959">
                  <c:v>1.0028819555889075</c:v>
                </c:pt>
                <c:pt idx="960">
                  <c:v>1.002128189662967</c:v>
                </c:pt>
                <c:pt idx="961">
                  <c:v>0.99639946152372283</c:v>
                </c:pt>
                <c:pt idx="962">
                  <c:v>0.99519661185219799</c:v>
                </c:pt>
                <c:pt idx="963">
                  <c:v>0.99467427958610333</c:v>
                </c:pt>
                <c:pt idx="964">
                  <c:v>0.99822052312042109</c:v>
                </c:pt>
                <c:pt idx="965">
                  <c:v>1.0004759069998925</c:v>
                </c:pt>
                <c:pt idx="966">
                  <c:v>1.0001542281825455</c:v>
                </c:pt>
                <c:pt idx="967">
                  <c:v>1.003937423462965</c:v>
                </c:pt>
                <c:pt idx="968">
                  <c:v>1.0011389853901087</c:v>
                </c:pt>
                <c:pt idx="969">
                  <c:v>1.0029667059432172</c:v>
                </c:pt>
                <c:pt idx="970">
                  <c:v>1.0027437007526736</c:v>
                </c:pt>
                <c:pt idx="971">
                  <c:v>0.9947590299404131</c:v>
                </c:pt>
                <c:pt idx="972">
                  <c:v>0.99882758245776126</c:v>
                </c:pt>
                <c:pt idx="973">
                  <c:v>0.99501172103802948</c:v>
                </c:pt>
                <c:pt idx="974">
                  <c:v>1.0016317947305813</c:v>
                </c:pt>
                <c:pt idx="975">
                  <c:v>0.99776324373617842</c:v>
                </c:pt>
                <c:pt idx="976">
                  <c:v>1.0022998091304443</c:v>
                </c:pt>
                <c:pt idx="977">
                  <c:v>1.0041469943253665</c:v>
                </c:pt>
                <c:pt idx="978">
                  <c:v>1.0029110128532421</c:v>
                </c:pt>
                <c:pt idx="979">
                  <c:v>0.99605831806456169</c:v>
                </c:pt>
                <c:pt idx="980">
                  <c:v>1.0044934230401399</c:v>
                </c:pt>
                <c:pt idx="981">
                  <c:v>1.0012586370579104</c:v>
                </c:pt>
                <c:pt idx="982">
                  <c:v>0.99631028738718252</c:v>
                </c:pt>
                <c:pt idx="983">
                  <c:v>0.99722885084273971</c:v>
                </c:pt>
                <c:pt idx="984">
                  <c:v>0.99711781390875531</c:v>
                </c:pt>
                <c:pt idx="985">
                  <c:v>1.0018172909044234</c:v>
                </c:pt>
                <c:pt idx="986">
                  <c:v>0.99577626702277366</c:v>
                </c:pt>
                <c:pt idx="987">
                  <c:v>0.99923871480842097</c:v>
                </c:pt>
                <c:pt idx="988">
                  <c:v>1.0050679093704251</c:v>
                </c:pt>
                <c:pt idx="989">
                  <c:v>0.9976769566996202</c:v>
                </c:pt>
                <c:pt idx="990">
                  <c:v>0.99650458455935698</c:v>
                </c:pt>
                <c:pt idx="991">
                  <c:v>0.99565815203722063</c:v>
                </c:pt>
                <c:pt idx="992">
                  <c:v>0.99756254372130215</c:v>
                </c:pt>
                <c:pt idx="993">
                  <c:v>0.99983220011923279</c:v>
                </c:pt>
                <c:pt idx="994">
                  <c:v>0.99570995685544561</c:v>
                </c:pt>
                <c:pt idx="995">
                  <c:v>1.000164379598611</c:v>
                </c:pt>
                <c:pt idx="996">
                  <c:v>1.001729723299325</c:v>
                </c:pt>
                <c:pt idx="997">
                  <c:v>1.001127064461151</c:v>
                </c:pt>
                <c:pt idx="998">
                  <c:v>0.99883612734238525</c:v>
                </c:pt>
                <c:pt idx="999">
                  <c:v>1.0026220700244006</c:v>
                </c:pt>
                <c:pt idx="1000">
                  <c:v>1.0009302992841533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C3-48E5-BD49-F9AB3FC1C110}"/>
            </c:ext>
          </c:extLst>
        </c:ser>
        <c:ser>
          <c:idx val="1"/>
          <c:order val="1"/>
          <c:tx>
            <c:strRef>
              <c:f>Лист3!$M$1</c:f>
              <c:strCache>
                <c:ptCount val="1"/>
                <c:pt idx="0">
                  <c:v>g(nT0)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Лист3!$M$2:$M$1002</c:f>
              <c:numCache>
                <c:formatCode>0.000</c:formatCode>
                <c:ptCount val="10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10</c:v>
                </c:pt>
                <c:pt idx="77">
                  <c:v>10</c:v>
                </c:pt>
                <c:pt idx="78">
                  <c:v>10</c:v>
                </c:pt>
                <c:pt idx="79">
                  <c:v>10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10</c:v>
                </c:pt>
                <c:pt idx="129">
                  <c:v>10</c:v>
                </c:pt>
                <c:pt idx="130">
                  <c:v>10</c:v>
                </c:pt>
                <c:pt idx="131">
                  <c:v>10</c:v>
                </c:pt>
                <c:pt idx="132">
                  <c:v>10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10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10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10</c:v>
                </c:pt>
                <c:pt idx="203">
                  <c:v>10</c:v>
                </c:pt>
                <c:pt idx="204">
                  <c:v>10</c:v>
                </c:pt>
                <c:pt idx="205">
                  <c:v>10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10</c:v>
                </c:pt>
                <c:pt idx="214">
                  <c:v>10</c:v>
                </c:pt>
                <c:pt idx="215">
                  <c:v>10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10</c:v>
                </c:pt>
                <c:pt idx="241">
                  <c:v>10</c:v>
                </c:pt>
                <c:pt idx="242">
                  <c:v>10</c:v>
                </c:pt>
                <c:pt idx="243">
                  <c:v>10</c:v>
                </c:pt>
                <c:pt idx="244">
                  <c:v>10</c:v>
                </c:pt>
                <c:pt idx="245">
                  <c:v>10</c:v>
                </c:pt>
                <c:pt idx="246">
                  <c:v>10</c:v>
                </c:pt>
                <c:pt idx="247">
                  <c:v>10</c:v>
                </c:pt>
                <c:pt idx="248">
                  <c:v>10</c:v>
                </c:pt>
                <c:pt idx="249">
                  <c:v>10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10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10</c:v>
                </c:pt>
                <c:pt idx="334">
                  <c:v>10</c:v>
                </c:pt>
                <c:pt idx="335">
                  <c:v>10</c:v>
                </c:pt>
                <c:pt idx="336">
                  <c:v>10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10</c:v>
                </c:pt>
                <c:pt idx="347">
                  <c:v>10</c:v>
                </c:pt>
                <c:pt idx="348">
                  <c:v>10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10</c:v>
                </c:pt>
                <c:pt idx="363">
                  <c:v>10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10</c:v>
                </c:pt>
                <c:pt idx="368">
                  <c:v>10</c:v>
                </c:pt>
                <c:pt idx="369">
                  <c:v>10</c:v>
                </c:pt>
                <c:pt idx="370">
                  <c:v>10</c:v>
                </c:pt>
                <c:pt idx="371">
                  <c:v>10</c:v>
                </c:pt>
                <c:pt idx="372">
                  <c:v>10</c:v>
                </c:pt>
                <c:pt idx="373">
                  <c:v>10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10</c:v>
                </c:pt>
                <c:pt idx="378">
                  <c:v>10</c:v>
                </c:pt>
                <c:pt idx="379">
                  <c:v>10</c:v>
                </c:pt>
                <c:pt idx="380">
                  <c:v>10</c:v>
                </c:pt>
                <c:pt idx="381">
                  <c:v>10</c:v>
                </c:pt>
                <c:pt idx="382">
                  <c:v>10</c:v>
                </c:pt>
                <c:pt idx="383">
                  <c:v>10</c:v>
                </c:pt>
                <c:pt idx="384">
                  <c:v>10</c:v>
                </c:pt>
                <c:pt idx="385">
                  <c:v>10</c:v>
                </c:pt>
                <c:pt idx="386">
                  <c:v>10</c:v>
                </c:pt>
                <c:pt idx="387">
                  <c:v>10</c:v>
                </c:pt>
                <c:pt idx="388">
                  <c:v>10</c:v>
                </c:pt>
                <c:pt idx="389">
                  <c:v>10</c:v>
                </c:pt>
                <c:pt idx="390">
                  <c:v>10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10</c:v>
                </c:pt>
                <c:pt idx="405">
                  <c:v>10</c:v>
                </c:pt>
                <c:pt idx="406">
                  <c:v>10</c:v>
                </c:pt>
                <c:pt idx="407">
                  <c:v>10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10</c:v>
                </c:pt>
                <c:pt idx="412">
                  <c:v>10</c:v>
                </c:pt>
                <c:pt idx="413">
                  <c:v>10</c:v>
                </c:pt>
                <c:pt idx="414">
                  <c:v>10</c:v>
                </c:pt>
                <c:pt idx="415">
                  <c:v>10</c:v>
                </c:pt>
                <c:pt idx="416">
                  <c:v>10</c:v>
                </c:pt>
                <c:pt idx="417">
                  <c:v>10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10</c:v>
                </c:pt>
                <c:pt idx="423">
                  <c:v>10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10</c:v>
                </c:pt>
                <c:pt idx="428">
                  <c:v>10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10</c:v>
                </c:pt>
                <c:pt idx="433">
                  <c:v>10</c:v>
                </c:pt>
                <c:pt idx="434">
                  <c:v>10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10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10</c:v>
                </c:pt>
                <c:pt idx="443">
                  <c:v>10</c:v>
                </c:pt>
                <c:pt idx="444">
                  <c:v>10</c:v>
                </c:pt>
                <c:pt idx="445">
                  <c:v>10</c:v>
                </c:pt>
                <c:pt idx="446">
                  <c:v>10</c:v>
                </c:pt>
                <c:pt idx="447">
                  <c:v>10</c:v>
                </c:pt>
                <c:pt idx="448">
                  <c:v>10</c:v>
                </c:pt>
                <c:pt idx="449">
                  <c:v>10</c:v>
                </c:pt>
                <c:pt idx="450">
                  <c:v>10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</c:v>
                </c:pt>
                <c:pt idx="455">
                  <c:v>10</c:v>
                </c:pt>
                <c:pt idx="456">
                  <c:v>10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</c:v>
                </c:pt>
                <c:pt idx="461">
                  <c:v>10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10</c:v>
                </c:pt>
                <c:pt idx="466">
                  <c:v>10</c:v>
                </c:pt>
                <c:pt idx="467">
                  <c:v>10</c:v>
                </c:pt>
                <c:pt idx="468">
                  <c:v>10</c:v>
                </c:pt>
                <c:pt idx="469">
                  <c:v>10</c:v>
                </c:pt>
                <c:pt idx="470">
                  <c:v>10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10</c:v>
                </c:pt>
                <c:pt idx="478">
                  <c:v>10</c:v>
                </c:pt>
                <c:pt idx="479">
                  <c:v>10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10</c:v>
                </c:pt>
                <c:pt idx="499">
                  <c:v>10</c:v>
                </c:pt>
                <c:pt idx="500">
                  <c:v>10</c:v>
                </c:pt>
                <c:pt idx="501">
                  <c:v>10</c:v>
                </c:pt>
                <c:pt idx="502">
                  <c:v>10</c:v>
                </c:pt>
                <c:pt idx="503">
                  <c:v>10</c:v>
                </c:pt>
                <c:pt idx="504">
                  <c:v>10</c:v>
                </c:pt>
                <c:pt idx="505">
                  <c:v>10</c:v>
                </c:pt>
                <c:pt idx="506">
                  <c:v>10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10</c:v>
                </c:pt>
                <c:pt idx="511">
                  <c:v>10</c:v>
                </c:pt>
                <c:pt idx="512">
                  <c:v>10</c:v>
                </c:pt>
                <c:pt idx="513">
                  <c:v>10</c:v>
                </c:pt>
                <c:pt idx="514">
                  <c:v>10</c:v>
                </c:pt>
                <c:pt idx="515">
                  <c:v>10</c:v>
                </c:pt>
                <c:pt idx="516">
                  <c:v>10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</c:v>
                </c:pt>
                <c:pt idx="521">
                  <c:v>10</c:v>
                </c:pt>
                <c:pt idx="522">
                  <c:v>10</c:v>
                </c:pt>
                <c:pt idx="523">
                  <c:v>10</c:v>
                </c:pt>
                <c:pt idx="524">
                  <c:v>10</c:v>
                </c:pt>
                <c:pt idx="525">
                  <c:v>10</c:v>
                </c:pt>
                <c:pt idx="526">
                  <c:v>10</c:v>
                </c:pt>
                <c:pt idx="527">
                  <c:v>10</c:v>
                </c:pt>
                <c:pt idx="528">
                  <c:v>10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10</c:v>
                </c:pt>
                <c:pt idx="535">
                  <c:v>10</c:v>
                </c:pt>
                <c:pt idx="536">
                  <c:v>10</c:v>
                </c:pt>
                <c:pt idx="537">
                  <c:v>10</c:v>
                </c:pt>
                <c:pt idx="538">
                  <c:v>10</c:v>
                </c:pt>
                <c:pt idx="539">
                  <c:v>10</c:v>
                </c:pt>
                <c:pt idx="540">
                  <c:v>10</c:v>
                </c:pt>
                <c:pt idx="541">
                  <c:v>10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10</c:v>
                </c:pt>
                <c:pt idx="551">
                  <c:v>10</c:v>
                </c:pt>
                <c:pt idx="552">
                  <c:v>10</c:v>
                </c:pt>
                <c:pt idx="553">
                  <c:v>10</c:v>
                </c:pt>
                <c:pt idx="554">
                  <c:v>10</c:v>
                </c:pt>
                <c:pt idx="555">
                  <c:v>10</c:v>
                </c:pt>
                <c:pt idx="556">
                  <c:v>10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10</c:v>
                </c:pt>
                <c:pt idx="561">
                  <c:v>10</c:v>
                </c:pt>
                <c:pt idx="562">
                  <c:v>10</c:v>
                </c:pt>
                <c:pt idx="563">
                  <c:v>10</c:v>
                </c:pt>
                <c:pt idx="564">
                  <c:v>10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10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10</c:v>
                </c:pt>
                <c:pt idx="581">
                  <c:v>10</c:v>
                </c:pt>
                <c:pt idx="582">
                  <c:v>10</c:v>
                </c:pt>
                <c:pt idx="583">
                  <c:v>10</c:v>
                </c:pt>
                <c:pt idx="584">
                  <c:v>10</c:v>
                </c:pt>
                <c:pt idx="585">
                  <c:v>10</c:v>
                </c:pt>
                <c:pt idx="586">
                  <c:v>10</c:v>
                </c:pt>
                <c:pt idx="587">
                  <c:v>10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10</c:v>
                </c:pt>
                <c:pt idx="597">
                  <c:v>10</c:v>
                </c:pt>
                <c:pt idx="598">
                  <c:v>10</c:v>
                </c:pt>
                <c:pt idx="599">
                  <c:v>10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C3-48E5-BD49-F9AB3FC1C110}"/>
            </c:ext>
          </c:extLst>
        </c:ser>
        <c:ser>
          <c:idx val="2"/>
          <c:order val="2"/>
          <c:tx>
            <c:strRef>
              <c:f>Лист3!$Q$1</c:f>
              <c:strCache>
                <c:ptCount val="1"/>
                <c:pt idx="0">
                  <c:v>f(t)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Лист3!$Q$2:$Q$1002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C3-48E5-BD49-F9AB3FC1C110}"/>
            </c:ext>
          </c:extLst>
        </c:ser>
        <c:ser>
          <c:idx val="3"/>
          <c:order val="3"/>
          <c:tx>
            <c:strRef>
              <c:f>Лист3!$X$1</c:f>
              <c:strCache>
                <c:ptCount val="1"/>
                <c:pt idx="0">
                  <c:v>Граница верх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Лист3!$X$2:$X$1002</c:f>
              <c:numCache>
                <c:formatCode>0.000</c:formatCode>
                <c:ptCount val="1001"/>
                <c:pt idx="0">
                  <c:v>1.05</c:v>
                </c:pt>
                <c:pt idx="1">
                  <c:v>1.05</c:v>
                </c:pt>
                <c:pt idx="2">
                  <c:v>1.05</c:v>
                </c:pt>
                <c:pt idx="3">
                  <c:v>1.05</c:v>
                </c:pt>
                <c:pt idx="4">
                  <c:v>1.05</c:v>
                </c:pt>
                <c:pt idx="5">
                  <c:v>1.05</c:v>
                </c:pt>
                <c:pt idx="6">
                  <c:v>1.05</c:v>
                </c:pt>
                <c:pt idx="7">
                  <c:v>1.05</c:v>
                </c:pt>
                <c:pt idx="8">
                  <c:v>1.05</c:v>
                </c:pt>
                <c:pt idx="9">
                  <c:v>1.05</c:v>
                </c:pt>
                <c:pt idx="10">
                  <c:v>1.05</c:v>
                </c:pt>
                <c:pt idx="11">
                  <c:v>1.05</c:v>
                </c:pt>
                <c:pt idx="12">
                  <c:v>1.05</c:v>
                </c:pt>
                <c:pt idx="13">
                  <c:v>1.05</c:v>
                </c:pt>
                <c:pt idx="14">
                  <c:v>1.05</c:v>
                </c:pt>
                <c:pt idx="15">
                  <c:v>1.05</c:v>
                </c:pt>
                <c:pt idx="16">
                  <c:v>1.05</c:v>
                </c:pt>
                <c:pt idx="17">
                  <c:v>1.05</c:v>
                </c:pt>
                <c:pt idx="18">
                  <c:v>1.05</c:v>
                </c:pt>
                <c:pt idx="19">
                  <c:v>1.05</c:v>
                </c:pt>
                <c:pt idx="20">
                  <c:v>1.05</c:v>
                </c:pt>
                <c:pt idx="21">
                  <c:v>1.05</c:v>
                </c:pt>
                <c:pt idx="22">
                  <c:v>1.05</c:v>
                </c:pt>
                <c:pt idx="23">
                  <c:v>1.05</c:v>
                </c:pt>
                <c:pt idx="24">
                  <c:v>1.05</c:v>
                </c:pt>
                <c:pt idx="25">
                  <c:v>1.05</c:v>
                </c:pt>
                <c:pt idx="26">
                  <c:v>1.05</c:v>
                </c:pt>
                <c:pt idx="27">
                  <c:v>1.05</c:v>
                </c:pt>
                <c:pt idx="28">
                  <c:v>1.05</c:v>
                </c:pt>
                <c:pt idx="29">
                  <c:v>1.05</c:v>
                </c:pt>
                <c:pt idx="30">
                  <c:v>1.05</c:v>
                </c:pt>
                <c:pt idx="31">
                  <c:v>1.05</c:v>
                </c:pt>
                <c:pt idx="32">
                  <c:v>1.05</c:v>
                </c:pt>
                <c:pt idx="33">
                  <c:v>1.05</c:v>
                </c:pt>
                <c:pt idx="34">
                  <c:v>1.05</c:v>
                </c:pt>
                <c:pt idx="35">
                  <c:v>1.05</c:v>
                </c:pt>
                <c:pt idx="36">
                  <c:v>1.05</c:v>
                </c:pt>
                <c:pt idx="37">
                  <c:v>1.05</c:v>
                </c:pt>
                <c:pt idx="38">
                  <c:v>1.05</c:v>
                </c:pt>
                <c:pt idx="39">
                  <c:v>1.05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10.5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10.5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10.5</c:v>
                </c:pt>
                <c:pt idx="78">
                  <c:v>10.5</c:v>
                </c:pt>
                <c:pt idx="79">
                  <c:v>10.5</c:v>
                </c:pt>
                <c:pt idx="80">
                  <c:v>10.5</c:v>
                </c:pt>
                <c:pt idx="81">
                  <c:v>10.5</c:v>
                </c:pt>
                <c:pt idx="82">
                  <c:v>10.5</c:v>
                </c:pt>
                <c:pt idx="83">
                  <c:v>10.5</c:v>
                </c:pt>
                <c:pt idx="84">
                  <c:v>10.5</c:v>
                </c:pt>
                <c:pt idx="85">
                  <c:v>10.5</c:v>
                </c:pt>
                <c:pt idx="86">
                  <c:v>10.5</c:v>
                </c:pt>
                <c:pt idx="87">
                  <c:v>10.5</c:v>
                </c:pt>
                <c:pt idx="88">
                  <c:v>10.5</c:v>
                </c:pt>
                <c:pt idx="89">
                  <c:v>10.5</c:v>
                </c:pt>
                <c:pt idx="90">
                  <c:v>10.5</c:v>
                </c:pt>
                <c:pt idx="91">
                  <c:v>10.5</c:v>
                </c:pt>
                <c:pt idx="92">
                  <c:v>10.5</c:v>
                </c:pt>
                <c:pt idx="93">
                  <c:v>10.5</c:v>
                </c:pt>
                <c:pt idx="94">
                  <c:v>10.5</c:v>
                </c:pt>
                <c:pt idx="95">
                  <c:v>10.5</c:v>
                </c:pt>
                <c:pt idx="96">
                  <c:v>10.5</c:v>
                </c:pt>
                <c:pt idx="97">
                  <c:v>10.5</c:v>
                </c:pt>
                <c:pt idx="98">
                  <c:v>10.5</c:v>
                </c:pt>
                <c:pt idx="99">
                  <c:v>10.5</c:v>
                </c:pt>
                <c:pt idx="100">
                  <c:v>10.5</c:v>
                </c:pt>
                <c:pt idx="101">
                  <c:v>10.5</c:v>
                </c:pt>
                <c:pt idx="102">
                  <c:v>10.5</c:v>
                </c:pt>
                <c:pt idx="103">
                  <c:v>10.5</c:v>
                </c:pt>
                <c:pt idx="104">
                  <c:v>10.5</c:v>
                </c:pt>
                <c:pt idx="105">
                  <c:v>10.5</c:v>
                </c:pt>
                <c:pt idx="106">
                  <c:v>10.5</c:v>
                </c:pt>
                <c:pt idx="107">
                  <c:v>10.5</c:v>
                </c:pt>
                <c:pt idx="108">
                  <c:v>10.5</c:v>
                </c:pt>
                <c:pt idx="109">
                  <c:v>10.5</c:v>
                </c:pt>
                <c:pt idx="110">
                  <c:v>10.5</c:v>
                </c:pt>
                <c:pt idx="111">
                  <c:v>10.5</c:v>
                </c:pt>
                <c:pt idx="112">
                  <c:v>10.5</c:v>
                </c:pt>
                <c:pt idx="113">
                  <c:v>10.5</c:v>
                </c:pt>
                <c:pt idx="114">
                  <c:v>10.5</c:v>
                </c:pt>
                <c:pt idx="115">
                  <c:v>10.5</c:v>
                </c:pt>
                <c:pt idx="116">
                  <c:v>10.5</c:v>
                </c:pt>
                <c:pt idx="117">
                  <c:v>10.5</c:v>
                </c:pt>
                <c:pt idx="118">
                  <c:v>10.5</c:v>
                </c:pt>
                <c:pt idx="119">
                  <c:v>10.5</c:v>
                </c:pt>
                <c:pt idx="120">
                  <c:v>10.5</c:v>
                </c:pt>
                <c:pt idx="121">
                  <c:v>10.5</c:v>
                </c:pt>
                <c:pt idx="122">
                  <c:v>10.5</c:v>
                </c:pt>
                <c:pt idx="123">
                  <c:v>10.5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10.5</c:v>
                </c:pt>
                <c:pt idx="143">
                  <c:v>10.5</c:v>
                </c:pt>
                <c:pt idx="144">
                  <c:v>10.5</c:v>
                </c:pt>
                <c:pt idx="145">
                  <c:v>10.5</c:v>
                </c:pt>
                <c:pt idx="146">
                  <c:v>10.5</c:v>
                </c:pt>
                <c:pt idx="147">
                  <c:v>10.5</c:v>
                </c:pt>
                <c:pt idx="148">
                  <c:v>10.5</c:v>
                </c:pt>
                <c:pt idx="149">
                  <c:v>10.5</c:v>
                </c:pt>
                <c:pt idx="150">
                  <c:v>10.5</c:v>
                </c:pt>
                <c:pt idx="151">
                  <c:v>10.5</c:v>
                </c:pt>
                <c:pt idx="152">
                  <c:v>10.5</c:v>
                </c:pt>
                <c:pt idx="153">
                  <c:v>10.5</c:v>
                </c:pt>
                <c:pt idx="154">
                  <c:v>10.5</c:v>
                </c:pt>
                <c:pt idx="155">
                  <c:v>10.5</c:v>
                </c:pt>
                <c:pt idx="156">
                  <c:v>10.5</c:v>
                </c:pt>
                <c:pt idx="157">
                  <c:v>10.5</c:v>
                </c:pt>
                <c:pt idx="158">
                  <c:v>10.5</c:v>
                </c:pt>
                <c:pt idx="159">
                  <c:v>10.5</c:v>
                </c:pt>
                <c:pt idx="160">
                  <c:v>10.5</c:v>
                </c:pt>
                <c:pt idx="161">
                  <c:v>10.5</c:v>
                </c:pt>
                <c:pt idx="162">
                  <c:v>10.5</c:v>
                </c:pt>
                <c:pt idx="163">
                  <c:v>10.5</c:v>
                </c:pt>
                <c:pt idx="164">
                  <c:v>10.5</c:v>
                </c:pt>
                <c:pt idx="165">
                  <c:v>10.5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10.5</c:v>
                </c:pt>
                <c:pt idx="177">
                  <c:v>10.5</c:v>
                </c:pt>
                <c:pt idx="178">
                  <c:v>10.5</c:v>
                </c:pt>
                <c:pt idx="179">
                  <c:v>10.5</c:v>
                </c:pt>
                <c:pt idx="180">
                  <c:v>10.5</c:v>
                </c:pt>
                <c:pt idx="181">
                  <c:v>10.5</c:v>
                </c:pt>
                <c:pt idx="182">
                  <c:v>10.5</c:v>
                </c:pt>
                <c:pt idx="183">
                  <c:v>10.5</c:v>
                </c:pt>
                <c:pt idx="184">
                  <c:v>10.5</c:v>
                </c:pt>
                <c:pt idx="185">
                  <c:v>10.5</c:v>
                </c:pt>
                <c:pt idx="186">
                  <c:v>10.5</c:v>
                </c:pt>
                <c:pt idx="187">
                  <c:v>10.5</c:v>
                </c:pt>
                <c:pt idx="188">
                  <c:v>10.5</c:v>
                </c:pt>
                <c:pt idx="189">
                  <c:v>10.5</c:v>
                </c:pt>
                <c:pt idx="190">
                  <c:v>10.5</c:v>
                </c:pt>
                <c:pt idx="191">
                  <c:v>10.5</c:v>
                </c:pt>
                <c:pt idx="192">
                  <c:v>10.5</c:v>
                </c:pt>
                <c:pt idx="193">
                  <c:v>10.5</c:v>
                </c:pt>
                <c:pt idx="194">
                  <c:v>10.5</c:v>
                </c:pt>
                <c:pt idx="195">
                  <c:v>10.5</c:v>
                </c:pt>
                <c:pt idx="196">
                  <c:v>10.5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10.5</c:v>
                </c:pt>
                <c:pt idx="203">
                  <c:v>10.5</c:v>
                </c:pt>
                <c:pt idx="204">
                  <c:v>10.5</c:v>
                </c:pt>
                <c:pt idx="205">
                  <c:v>10.5</c:v>
                </c:pt>
                <c:pt idx="206">
                  <c:v>10.5</c:v>
                </c:pt>
                <c:pt idx="207">
                  <c:v>10.5</c:v>
                </c:pt>
                <c:pt idx="208">
                  <c:v>10.5</c:v>
                </c:pt>
                <c:pt idx="209">
                  <c:v>10.5</c:v>
                </c:pt>
                <c:pt idx="210">
                  <c:v>10.5</c:v>
                </c:pt>
                <c:pt idx="211">
                  <c:v>10.5</c:v>
                </c:pt>
                <c:pt idx="212">
                  <c:v>10.5</c:v>
                </c:pt>
                <c:pt idx="213">
                  <c:v>10.5</c:v>
                </c:pt>
                <c:pt idx="214">
                  <c:v>10.5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10.5</c:v>
                </c:pt>
                <c:pt idx="232">
                  <c:v>10.5</c:v>
                </c:pt>
                <c:pt idx="233">
                  <c:v>10.5</c:v>
                </c:pt>
                <c:pt idx="234">
                  <c:v>10.5</c:v>
                </c:pt>
                <c:pt idx="235">
                  <c:v>10.5</c:v>
                </c:pt>
                <c:pt idx="236">
                  <c:v>10.5</c:v>
                </c:pt>
                <c:pt idx="237">
                  <c:v>10.5</c:v>
                </c:pt>
                <c:pt idx="238">
                  <c:v>10.5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10.5</c:v>
                </c:pt>
                <c:pt idx="243">
                  <c:v>10.5</c:v>
                </c:pt>
                <c:pt idx="244">
                  <c:v>10.5</c:v>
                </c:pt>
                <c:pt idx="245">
                  <c:v>10.5</c:v>
                </c:pt>
                <c:pt idx="246">
                  <c:v>10.5</c:v>
                </c:pt>
                <c:pt idx="247">
                  <c:v>10.5</c:v>
                </c:pt>
                <c:pt idx="248">
                  <c:v>10.5</c:v>
                </c:pt>
                <c:pt idx="249">
                  <c:v>10.5</c:v>
                </c:pt>
                <c:pt idx="250">
                  <c:v>10.5</c:v>
                </c:pt>
                <c:pt idx="251">
                  <c:v>10.5</c:v>
                </c:pt>
                <c:pt idx="252">
                  <c:v>10.5</c:v>
                </c:pt>
                <c:pt idx="253">
                  <c:v>10.5</c:v>
                </c:pt>
                <c:pt idx="254">
                  <c:v>10.5</c:v>
                </c:pt>
                <c:pt idx="255">
                  <c:v>10.5</c:v>
                </c:pt>
                <c:pt idx="256">
                  <c:v>10.5</c:v>
                </c:pt>
                <c:pt idx="257">
                  <c:v>10.5</c:v>
                </c:pt>
                <c:pt idx="258">
                  <c:v>10.5</c:v>
                </c:pt>
                <c:pt idx="259">
                  <c:v>10.5</c:v>
                </c:pt>
                <c:pt idx="260">
                  <c:v>10.5</c:v>
                </c:pt>
                <c:pt idx="261">
                  <c:v>10.5</c:v>
                </c:pt>
                <c:pt idx="262">
                  <c:v>10.5</c:v>
                </c:pt>
                <c:pt idx="263">
                  <c:v>10.5</c:v>
                </c:pt>
                <c:pt idx="264">
                  <c:v>10.5</c:v>
                </c:pt>
                <c:pt idx="265">
                  <c:v>10.5</c:v>
                </c:pt>
                <c:pt idx="266">
                  <c:v>10.5</c:v>
                </c:pt>
                <c:pt idx="267">
                  <c:v>10.5</c:v>
                </c:pt>
                <c:pt idx="268">
                  <c:v>10.5</c:v>
                </c:pt>
                <c:pt idx="269">
                  <c:v>10.5</c:v>
                </c:pt>
                <c:pt idx="270">
                  <c:v>10.5</c:v>
                </c:pt>
                <c:pt idx="271">
                  <c:v>10.5</c:v>
                </c:pt>
                <c:pt idx="272">
                  <c:v>10.5</c:v>
                </c:pt>
                <c:pt idx="273">
                  <c:v>10.5</c:v>
                </c:pt>
                <c:pt idx="274">
                  <c:v>10.5</c:v>
                </c:pt>
                <c:pt idx="275">
                  <c:v>10.5</c:v>
                </c:pt>
                <c:pt idx="276">
                  <c:v>10.5</c:v>
                </c:pt>
                <c:pt idx="277">
                  <c:v>10.5</c:v>
                </c:pt>
                <c:pt idx="278">
                  <c:v>10.5</c:v>
                </c:pt>
                <c:pt idx="279">
                  <c:v>10.5</c:v>
                </c:pt>
                <c:pt idx="280">
                  <c:v>10.5</c:v>
                </c:pt>
                <c:pt idx="281">
                  <c:v>10.5</c:v>
                </c:pt>
                <c:pt idx="282">
                  <c:v>10.5</c:v>
                </c:pt>
                <c:pt idx="283">
                  <c:v>10.5</c:v>
                </c:pt>
                <c:pt idx="284">
                  <c:v>10.5</c:v>
                </c:pt>
                <c:pt idx="285">
                  <c:v>10.5</c:v>
                </c:pt>
                <c:pt idx="286">
                  <c:v>10.5</c:v>
                </c:pt>
                <c:pt idx="287">
                  <c:v>10.5</c:v>
                </c:pt>
                <c:pt idx="288">
                  <c:v>10.5</c:v>
                </c:pt>
                <c:pt idx="289">
                  <c:v>10.5</c:v>
                </c:pt>
                <c:pt idx="290">
                  <c:v>10.5</c:v>
                </c:pt>
                <c:pt idx="291">
                  <c:v>10.5</c:v>
                </c:pt>
                <c:pt idx="292">
                  <c:v>10.5</c:v>
                </c:pt>
                <c:pt idx="293">
                  <c:v>10.5</c:v>
                </c:pt>
                <c:pt idx="294">
                  <c:v>10.5</c:v>
                </c:pt>
                <c:pt idx="295">
                  <c:v>10.5</c:v>
                </c:pt>
                <c:pt idx="296">
                  <c:v>10.5</c:v>
                </c:pt>
                <c:pt idx="297">
                  <c:v>10.5</c:v>
                </c:pt>
                <c:pt idx="298">
                  <c:v>10.5</c:v>
                </c:pt>
                <c:pt idx="299">
                  <c:v>10.5</c:v>
                </c:pt>
                <c:pt idx="300">
                  <c:v>10.5</c:v>
                </c:pt>
                <c:pt idx="301">
                  <c:v>10.5</c:v>
                </c:pt>
                <c:pt idx="302">
                  <c:v>10.5</c:v>
                </c:pt>
                <c:pt idx="303">
                  <c:v>10.5</c:v>
                </c:pt>
                <c:pt idx="304">
                  <c:v>10.5</c:v>
                </c:pt>
                <c:pt idx="305">
                  <c:v>10.5</c:v>
                </c:pt>
                <c:pt idx="306">
                  <c:v>10.5</c:v>
                </c:pt>
                <c:pt idx="307">
                  <c:v>10.5</c:v>
                </c:pt>
                <c:pt idx="308">
                  <c:v>10.5</c:v>
                </c:pt>
                <c:pt idx="309">
                  <c:v>10.5</c:v>
                </c:pt>
                <c:pt idx="310">
                  <c:v>10.5</c:v>
                </c:pt>
                <c:pt idx="311">
                  <c:v>10.5</c:v>
                </c:pt>
                <c:pt idx="312">
                  <c:v>10.5</c:v>
                </c:pt>
                <c:pt idx="313">
                  <c:v>10.5</c:v>
                </c:pt>
                <c:pt idx="314">
                  <c:v>10.5</c:v>
                </c:pt>
                <c:pt idx="315">
                  <c:v>10.5</c:v>
                </c:pt>
                <c:pt idx="316">
                  <c:v>10.5</c:v>
                </c:pt>
                <c:pt idx="317">
                  <c:v>10.5</c:v>
                </c:pt>
                <c:pt idx="318">
                  <c:v>10.5</c:v>
                </c:pt>
                <c:pt idx="319">
                  <c:v>10.5</c:v>
                </c:pt>
                <c:pt idx="320">
                  <c:v>10.5</c:v>
                </c:pt>
                <c:pt idx="321">
                  <c:v>10.5</c:v>
                </c:pt>
                <c:pt idx="322">
                  <c:v>10.5</c:v>
                </c:pt>
                <c:pt idx="323">
                  <c:v>10.5</c:v>
                </c:pt>
                <c:pt idx="324">
                  <c:v>10.5</c:v>
                </c:pt>
                <c:pt idx="325">
                  <c:v>10.5</c:v>
                </c:pt>
                <c:pt idx="326">
                  <c:v>10.5</c:v>
                </c:pt>
                <c:pt idx="327">
                  <c:v>10.5</c:v>
                </c:pt>
                <c:pt idx="328">
                  <c:v>10.5</c:v>
                </c:pt>
                <c:pt idx="329">
                  <c:v>10.5</c:v>
                </c:pt>
                <c:pt idx="330">
                  <c:v>10.5</c:v>
                </c:pt>
                <c:pt idx="331">
                  <c:v>10.5</c:v>
                </c:pt>
                <c:pt idx="332">
                  <c:v>10.5</c:v>
                </c:pt>
                <c:pt idx="333">
                  <c:v>10.5</c:v>
                </c:pt>
                <c:pt idx="334">
                  <c:v>10.5</c:v>
                </c:pt>
                <c:pt idx="335">
                  <c:v>10.5</c:v>
                </c:pt>
                <c:pt idx="336">
                  <c:v>10.5</c:v>
                </c:pt>
                <c:pt idx="337">
                  <c:v>10.5</c:v>
                </c:pt>
                <c:pt idx="338">
                  <c:v>10.5</c:v>
                </c:pt>
                <c:pt idx="339">
                  <c:v>10.5</c:v>
                </c:pt>
                <c:pt idx="340">
                  <c:v>10.5</c:v>
                </c:pt>
                <c:pt idx="341">
                  <c:v>10.5</c:v>
                </c:pt>
                <c:pt idx="342">
                  <c:v>10.5</c:v>
                </c:pt>
                <c:pt idx="343">
                  <c:v>10.5</c:v>
                </c:pt>
                <c:pt idx="344">
                  <c:v>10.5</c:v>
                </c:pt>
                <c:pt idx="345">
                  <c:v>10.5</c:v>
                </c:pt>
                <c:pt idx="346">
                  <c:v>10.5</c:v>
                </c:pt>
                <c:pt idx="347">
                  <c:v>10.5</c:v>
                </c:pt>
                <c:pt idx="348">
                  <c:v>10.5</c:v>
                </c:pt>
                <c:pt idx="349">
                  <c:v>10.5</c:v>
                </c:pt>
                <c:pt idx="350">
                  <c:v>10.5</c:v>
                </c:pt>
                <c:pt idx="351">
                  <c:v>10.5</c:v>
                </c:pt>
                <c:pt idx="352">
                  <c:v>10.5</c:v>
                </c:pt>
                <c:pt idx="353">
                  <c:v>10.5</c:v>
                </c:pt>
                <c:pt idx="354">
                  <c:v>10.5</c:v>
                </c:pt>
                <c:pt idx="355">
                  <c:v>10.5</c:v>
                </c:pt>
                <c:pt idx="356">
                  <c:v>10.5</c:v>
                </c:pt>
                <c:pt idx="357">
                  <c:v>10.5</c:v>
                </c:pt>
                <c:pt idx="358">
                  <c:v>10.5</c:v>
                </c:pt>
                <c:pt idx="359">
                  <c:v>10.5</c:v>
                </c:pt>
                <c:pt idx="360">
                  <c:v>10.5</c:v>
                </c:pt>
                <c:pt idx="361">
                  <c:v>10.5</c:v>
                </c:pt>
                <c:pt idx="362">
                  <c:v>10.5</c:v>
                </c:pt>
                <c:pt idx="363">
                  <c:v>10.5</c:v>
                </c:pt>
                <c:pt idx="364">
                  <c:v>10.5</c:v>
                </c:pt>
                <c:pt idx="365">
                  <c:v>10.5</c:v>
                </c:pt>
                <c:pt idx="366">
                  <c:v>10.5</c:v>
                </c:pt>
                <c:pt idx="367">
                  <c:v>10.5</c:v>
                </c:pt>
                <c:pt idx="368">
                  <c:v>10.5</c:v>
                </c:pt>
                <c:pt idx="369">
                  <c:v>10.5</c:v>
                </c:pt>
                <c:pt idx="370">
                  <c:v>10.5</c:v>
                </c:pt>
                <c:pt idx="371">
                  <c:v>10.5</c:v>
                </c:pt>
                <c:pt idx="372">
                  <c:v>10.5</c:v>
                </c:pt>
                <c:pt idx="373">
                  <c:v>10.5</c:v>
                </c:pt>
                <c:pt idx="374">
                  <c:v>10.5</c:v>
                </c:pt>
                <c:pt idx="375">
                  <c:v>10.5</c:v>
                </c:pt>
                <c:pt idx="376">
                  <c:v>10.5</c:v>
                </c:pt>
                <c:pt idx="377">
                  <c:v>10.5</c:v>
                </c:pt>
                <c:pt idx="378">
                  <c:v>10.5</c:v>
                </c:pt>
                <c:pt idx="379">
                  <c:v>10.5</c:v>
                </c:pt>
                <c:pt idx="380">
                  <c:v>10.5</c:v>
                </c:pt>
                <c:pt idx="381">
                  <c:v>10.5</c:v>
                </c:pt>
                <c:pt idx="382">
                  <c:v>10.5</c:v>
                </c:pt>
                <c:pt idx="383">
                  <c:v>10.5</c:v>
                </c:pt>
                <c:pt idx="384">
                  <c:v>10.5</c:v>
                </c:pt>
                <c:pt idx="385">
                  <c:v>10.5</c:v>
                </c:pt>
                <c:pt idx="386">
                  <c:v>10.5</c:v>
                </c:pt>
                <c:pt idx="387">
                  <c:v>10.5</c:v>
                </c:pt>
                <c:pt idx="388">
                  <c:v>10.5</c:v>
                </c:pt>
                <c:pt idx="389">
                  <c:v>10.5</c:v>
                </c:pt>
                <c:pt idx="390">
                  <c:v>10.5</c:v>
                </c:pt>
                <c:pt idx="391">
                  <c:v>10.5</c:v>
                </c:pt>
                <c:pt idx="392">
                  <c:v>10.5</c:v>
                </c:pt>
                <c:pt idx="393">
                  <c:v>10.5</c:v>
                </c:pt>
                <c:pt idx="394">
                  <c:v>10.5</c:v>
                </c:pt>
                <c:pt idx="395">
                  <c:v>10.5</c:v>
                </c:pt>
                <c:pt idx="396">
                  <c:v>10.5</c:v>
                </c:pt>
                <c:pt idx="397">
                  <c:v>10.5</c:v>
                </c:pt>
                <c:pt idx="398">
                  <c:v>10.5</c:v>
                </c:pt>
                <c:pt idx="399">
                  <c:v>10.5</c:v>
                </c:pt>
                <c:pt idx="400">
                  <c:v>10.5</c:v>
                </c:pt>
                <c:pt idx="401">
                  <c:v>10.5</c:v>
                </c:pt>
                <c:pt idx="402">
                  <c:v>10.5</c:v>
                </c:pt>
                <c:pt idx="403">
                  <c:v>10.5</c:v>
                </c:pt>
                <c:pt idx="404">
                  <c:v>10.5</c:v>
                </c:pt>
                <c:pt idx="405">
                  <c:v>10.5</c:v>
                </c:pt>
                <c:pt idx="406">
                  <c:v>10.5</c:v>
                </c:pt>
                <c:pt idx="407">
                  <c:v>10.5</c:v>
                </c:pt>
                <c:pt idx="408">
                  <c:v>10.5</c:v>
                </c:pt>
                <c:pt idx="409">
                  <c:v>10.5</c:v>
                </c:pt>
                <c:pt idx="410">
                  <c:v>10.5</c:v>
                </c:pt>
                <c:pt idx="411">
                  <c:v>10.5</c:v>
                </c:pt>
                <c:pt idx="412">
                  <c:v>10.5</c:v>
                </c:pt>
                <c:pt idx="413">
                  <c:v>10.5</c:v>
                </c:pt>
                <c:pt idx="414">
                  <c:v>10.5</c:v>
                </c:pt>
                <c:pt idx="415">
                  <c:v>10.5</c:v>
                </c:pt>
                <c:pt idx="416">
                  <c:v>10.5</c:v>
                </c:pt>
                <c:pt idx="417">
                  <c:v>10.5</c:v>
                </c:pt>
                <c:pt idx="418">
                  <c:v>10.5</c:v>
                </c:pt>
                <c:pt idx="419">
                  <c:v>10.5</c:v>
                </c:pt>
                <c:pt idx="420">
                  <c:v>10.5</c:v>
                </c:pt>
                <c:pt idx="421">
                  <c:v>10.5</c:v>
                </c:pt>
                <c:pt idx="422">
                  <c:v>10.5</c:v>
                </c:pt>
                <c:pt idx="423">
                  <c:v>10.5</c:v>
                </c:pt>
                <c:pt idx="424">
                  <c:v>10.5</c:v>
                </c:pt>
                <c:pt idx="425">
                  <c:v>10.5</c:v>
                </c:pt>
                <c:pt idx="426">
                  <c:v>10.5</c:v>
                </c:pt>
                <c:pt idx="427">
                  <c:v>10.5</c:v>
                </c:pt>
                <c:pt idx="428">
                  <c:v>10.5</c:v>
                </c:pt>
                <c:pt idx="429">
                  <c:v>10.5</c:v>
                </c:pt>
                <c:pt idx="430">
                  <c:v>10.5</c:v>
                </c:pt>
                <c:pt idx="431">
                  <c:v>10.5</c:v>
                </c:pt>
                <c:pt idx="432">
                  <c:v>10.5</c:v>
                </c:pt>
                <c:pt idx="433">
                  <c:v>10.5</c:v>
                </c:pt>
                <c:pt idx="434">
                  <c:v>10.5</c:v>
                </c:pt>
                <c:pt idx="435">
                  <c:v>10.5</c:v>
                </c:pt>
                <c:pt idx="436">
                  <c:v>10.5</c:v>
                </c:pt>
                <c:pt idx="437">
                  <c:v>10.5</c:v>
                </c:pt>
                <c:pt idx="438">
                  <c:v>10.5</c:v>
                </c:pt>
                <c:pt idx="439">
                  <c:v>10.5</c:v>
                </c:pt>
                <c:pt idx="440">
                  <c:v>10.5</c:v>
                </c:pt>
                <c:pt idx="441">
                  <c:v>10.5</c:v>
                </c:pt>
                <c:pt idx="442">
                  <c:v>10.5</c:v>
                </c:pt>
                <c:pt idx="443">
                  <c:v>10.5</c:v>
                </c:pt>
                <c:pt idx="444">
                  <c:v>10.5</c:v>
                </c:pt>
                <c:pt idx="445">
                  <c:v>10.5</c:v>
                </c:pt>
                <c:pt idx="446">
                  <c:v>10.5</c:v>
                </c:pt>
                <c:pt idx="447">
                  <c:v>10.5</c:v>
                </c:pt>
                <c:pt idx="448">
                  <c:v>10.5</c:v>
                </c:pt>
                <c:pt idx="449">
                  <c:v>10.5</c:v>
                </c:pt>
                <c:pt idx="450">
                  <c:v>10.5</c:v>
                </c:pt>
                <c:pt idx="451">
                  <c:v>10.5</c:v>
                </c:pt>
                <c:pt idx="452">
                  <c:v>10.5</c:v>
                </c:pt>
                <c:pt idx="453">
                  <c:v>10.5</c:v>
                </c:pt>
                <c:pt idx="454">
                  <c:v>10.5</c:v>
                </c:pt>
                <c:pt idx="455">
                  <c:v>10.5</c:v>
                </c:pt>
                <c:pt idx="456">
                  <c:v>10.5</c:v>
                </c:pt>
                <c:pt idx="457">
                  <c:v>10.5</c:v>
                </c:pt>
                <c:pt idx="458">
                  <c:v>10.5</c:v>
                </c:pt>
                <c:pt idx="459">
                  <c:v>10.5</c:v>
                </c:pt>
                <c:pt idx="460">
                  <c:v>10.5</c:v>
                </c:pt>
                <c:pt idx="461">
                  <c:v>10.5</c:v>
                </c:pt>
                <c:pt idx="462">
                  <c:v>10.5</c:v>
                </c:pt>
                <c:pt idx="463">
                  <c:v>10.5</c:v>
                </c:pt>
                <c:pt idx="464">
                  <c:v>10.5</c:v>
                </c:pt>
                <c:pt idx="465">
                  <c:v>10.5</c:v>
                </c:pt>
                <c:pt idx="466">
                  <c:v>10.5</c:v>
                </c:pt>
                <c:pt idx="467">
                  <c:v>10.5</c:v>
                </c:pt>
                <c:pt idx="468">
                  <c:v>10.5</c:v>
                </c:pt>
                <c:pt idx="469">
                  <c:v>10.5</c:v>
                </c:pt>
                <c:pt idx="470">
                  <c:v>10.5</c:v>
                </c:pt>
                <c:pt idx="471">
                  <c:v>10.5</c:v>
                </c:pt>
                <c:pt idx="472">
                  <c:v>10.5</c:v>
                </c:pt>
                <c:pt idx="473">
                  <c:v>10.5</c:v>
                </c:pt>
                <c:pt idx="474">
                  <c:v>10.5</c:v>
                </c:pt>
                <c:pt idx="475">
                  <c:v>10.5</c:v>
                </c:pt>
                <c:pt idx="476">
                  <c:v>10.5</c:v>
                </c:pt>
                <c:pt idx="477">
                  <c:v>10.5</c:v>
                </c:pt>
                <c:pt idx="478">
                  <c:v>10.5</c:v>
                </c:pt>
                <c:pt idx="479">
                  <c:v>10.5</c:v>
                </c:pt>
                <c:pt idx="480">
                  <c:v>10.5</c:v>
                </c:pt>
                <c:pt idx="481">
                  <c:v>10.5</c:v>
                </c:pt>
                <c:pt idx="482">
                  <c:v>10.5</c:v>
                </c:pt>
                <c:pt idx="483">
                  <c:v>10.5</c:v>
                </c:pt>
                <c:pt idx="484">
                  <c:v>10.5</c:v>
                </c:pt>
                <c:pt idx="485">
                  <c:v>10.5</c:v>
                </c:pt>
                <c:pt idx="486">
                  <c:v>10.5</c:v>
                </c:pt>
                <c:pt idx="487">
                  <c:v>10.5</c:v>
                </c:pt>
                <c:pt idx="488">
                  <c:v>10.5</c:v>
                </c:pt>
                <c:pt idx="489">
                  <c:v>10.5</c:v>
                </c:pt>
                <c:pt idx="490">
                  <c:v>10.5</c:v>
                </c:pt>
                <c:pt idx="491">
                  <c:v>10.5</c:v>
                </c:pt>
                <c:pt idx="492">
                  <c:v>10.5</c:v>
                </c:pt>
                <c:pt idx="493">
                  <c:v>10.5</c:v>
                </c:pt>
                <c:pt idx="494">
                  <c:v>10.5</c:v>
                </c:pt>
                <c:pt idx="495">
                  <c:v>10.5</c:v>
                </c:pt>
                <c:pt idx="496">
                  <c:v>10.5</c:v>
                </c:pt>
                <c:pt idx="497">
                  <c:v>10.5</c:v>
                </c:pt>
                <c:pt idx="498">
                  <c:v>10.5</c:v>
                </c:pt>
                <c:pt idx="499">
                  <c:v>10.5</c:v>
                </c:pt>
                <c:pt idx="500">
                  <c:v>10.5</c:v>
                </c:pt>
                <c:pt idx="501">
                  <c:v>10.5</c:v>
                </c:pt>
                <c:pt idx="502">
                  <c:v>10.5</c:v>
                </c:pt>
                <c:pt idx="503">
                  <c:v>10.5</c:v>
                </c:pt>
                <c:pt idx="504">
                  <c:v>10.5</c:v>
                </c:pt>
                <c:pt idx="505">
                  <c:v>10.5</c:v>
                </c:pt>
                <c:pt idx="506">
                  <c:v>10.5</c:v>
                </c:pt>
                <c:pt idx="507">
                  <c:v>10.5</c:v>
                </c:pt>
                <c:pt idx="508">
                  <c:v>10.5</c:v>
                </c:pt>
                <c:pt idx="509">
                  <c:v>10.5</c:v>
                </c:pt>
                <c:pt idx="510">
                  <c:v>10.5</c:v>
                </c:pt>
                <c:pt idx="511">
                  <c:v>10.5</c:v>
                </c:pt>
                <c:pt idx="512">
                  <c:v>10.5</c:v>
                </c:pt>
                <c:pt idx="513">
                  <c:v>10.5</c:v>
                </c:pt>
                <c:pt idx="514">
                  <c:v>10.5</c:v>
                </c:pt>
                <c:pt idx="515">
                  <c:v>10.5</c:v>
                </c:pt>
                <c:pt idx="516">
                  <c:v>10.5</c:v>
                </c:pt>
                <c:pt idx="517">
                  <c:v>10.5</c:v>
                </c:pt>
                <c:pt idx="518">
                  <c:v>10.5</c:v>
                </c:pt>
                <c:pt idx="519">
                  <c:v>10.5</c:v>
                </c:pt>
                <c:pt idx="520">
                  <c:v>10.5</c:v>
                </c:pt>
                <c:pt idx="521">
                  <c:v>10.5</c:v>
                </c:pt>
                <c:pt idx="522">
                  <c:v>10.5</c:v>
                </c:pt>
                <c:pt idx="523">
                  <c:v>10.5</c:v>
                </c:pt>
                <c:pt idx="524">
                  <c:v>10.5</c:v>
                </c:pt>
                <c:pt idx="525">
                  <c:v>10.5</c:v>
                </c:pt>
                <c:pt idx="526">
                  <c:v>10.5</c:v>
                </c:pt>
                <c:pt idx="527">
                  <c:v>10.5</c:v>
                </c:pt>
                <c:pt idx="528">
                  <c:v>10.5</c:v>
                </c:pt>
                <c:pt idx="529">
                  <c:v>10.5</c:v>
                </c:pt>
                <c:pt idx="530">
                  <c:v>10.5</c:v>
                </c:pt>
                <c:pt idx="531">
                  <c:v>10.5</c:v>
                </c:pt>
                <c:pt idx="532">
                  <c:v>10.5</c:v>
                </c:pt>
                <c:pt idx="533">
                  <c:v>10.5</c:v>
                </c:pt>
                <c:pt idx="534">
                  <c:v>10.5</c:v>
                </c:pt>
                <c:pt idx="535">
                  <c:v>10.5</c:v>
                </c:pt>
                <c:pt idx="536">
                  <c:v>10.5</c:v>
                </c:pt>
                <c:pt idx="537">
                  <c:v>10.5</c:v>
                </c:pt>
                <c:pt idx="538">
                  <c:v>10.5</c:v>
                </c:pt>
                <c:pt idx="539">
                  <c:v>10.5</c:v>
                </c:pt>
                <c:pt idx="540">
                  <c:v>10.5</c:v>
                </c:pt>
                <c:pt idx="541">
                  <c:v>10.5</c:v>
                </c:pt>
                <c:pt idx="542">
                  <c:v>10.5</c:v>
                </c:pt>
                <c:pt idx="543">
                  <c:v>10.5</c:v>
                </c:pt>
                <c:pt idx="544">
                  <c:v>10.5</c:v>
                </c:pt>
                <c:pt idx="545">
                  <c:v>10.5</c:v>
                </c:pt>
                <c:pt idx="546">
                  <c:v>10.5</c:v>
                </c:pt>
                <c:pt idx="547">
                  <c:v>10.5</c:v>
                </c:pt>
                <c:pt idx="548">
                  <c:v>10.5</c:v>
                </c:pt>
                <c:pt idx="549">
                  <c:v>10.5</c:v>
                </c:pt>
                <c:pt idx="550">
                  <c:v>10.5</c:v>
                </c:pt>
                <c:pt idx="551">
                  <c:v>10.5</c:v>
                </c:pt>
                <c:pt idx="552">
                  <c:v>10.5</c:v>
                </c:pt>
                <c:pt idx="553">
                  <c:v>10.5</c:v>
                </c:pt>
                <c:pt idx="554">
                  <c:v>10.5</c:v>
                </c:pt>
                <c:pt idx="555">
                  <c:v>10.5</c:v>
                </c:pt>
                <c:pt idx="556">
                  <c:v>10.5</c:v>
                </c:pt>
                <c:pt idx="557">
                  <c:v>10.5</c:v>
                </c:pt>
                <c:pt idx="558">
                  <c:v>10.5</c:v>
                </c:pt>
                <c:pt idx="559">
                  <c:v>10.5</c:v>
                </c:pt>
                <c:pt idx="560">
                  <c:v>10.5</c:v>
                </c:pt>
                <c:pt idx="561">
                  <c:v>10.5</c:v>
                </c:pt>
                <c:pt idx="562">
                  <c:v>10.5</c:v>
                </c:pt>
                <c:pt idx="563">
                  <c:v>10.5</c:v>
                </c:pt>
                <c:pt idx="564">
                  <c:v>10.5</c:v>
                </c:pt>
                <c:pt idx="565">
                  <c:v>10.5</c:v>
                </c:pt>
                <c:pt idx="566">
                  <c:v>10.5</c:v>
                </c:pt>
                <c:pt idx="567">
                  <c:v>10.5</c:v>
                </c:pt>
                <c:pt idx="568">
                  <c:v>10.5</c:v>
                </c:pt>
                <c:pt idx="569">
                  <c:v>10.5</c:v>
                </c:pt>
                <c:pt idx="570">
                  <c:v>10.5</c:v>
                </c:pt>
                <c:pt idx="571">
                  <c:v>10.5</c:v>
                </c:pt>
                <c:pt idx="572">
                  <c:v>10.5</c:v>
                </c:pt>
                <c:pt idx="573">
                  <c:v>10.5</c:v>
                </c:pt>
                <c:pt idx="574">
                  <c:v>10.5</c:v>
                </c:pt>
                <c:pt idx="575">
                  <c:v>10.5</c:v>
                </c:pt>
                <c:pt idx="576">
                  <c:v>10.5</c:v>
                </c:pt>
                <c:pt idx="577">
                  <c:v>10.5</c:v>
                </c:pt>
                <c:pt idx="578">
                  <c:v>10.5</c:v>
                </c:pt>
                <c:pt idx="579">
                  <c:v>10.5</c:v>
                </c:pt>
                <c:pt idx="580">
                  <c:v>10.5</c:v>
                </c:pt>
                <c:pt idx="581">
                  <c:v>10.5</c:v>
                </c:pt>
                <c:pt idx="582">
                  <c:v>10.5</c:v>
                </c:pt>
                <c:pt idx="583">
                  <c:v>10.5</c:v>
                </c:pt>
                <c:pt idx="584">
                  <c:v>10.5</c:v>
                </c:pt>
                <c:pt idx="585">
                  <c:v>10.5</c:v>
                </c:pt>
                <c:pt idx="586">
                  <c:v>10.5</c:v>
                </c:pt>
                <c:pt idx="587">
                  <c:v>10.5</c:v>
                </c:pt>
                <c:pt idx="588">
                  <c:v>10.5</c:v>
                </c:pt>
                <c:pt idx="589">
                  <c:v>10.5</c:v>
                </c:pt>
                <c:pt idx="590">
                  <c:v>10.5</c:v>
                </c:pt>
                <c:pt idx="591">
                  <c:v>10.5</c:v>
                </c:pt>
                <c:pt idx="592">
                  <c:v>10.5</c:v>
                </c:pt>
                <c:pt idx="593">
                  <c:v>10.5</c:v>
                </c:pt>
                <c:pt idx="594">
                  <c:v>10.5</c:v>
                </c:pt>
                <c:pt idx="595">
                  <c:v>10.5</c:v>
                </c:pt>
                <c:pt idx="596">
                  <c:v>10.5</c:v>
                </c:pt>
                <c:pt idx="597">
                  <c:v>10.5</c:v>
                </c:pt>
                <c:pt idx="598">
                  <c:v>10.5</c:v>
                </c:pt>
                <c:pt idx="599">
                  <c:v>10.5</c:v>
                </c:pt>
                <c:pt idx="600">
                  <c:v>1.05</c:v>
                </c:pt>
                <c:pt idx="601">
                  <c:v>1.05</c:v>
                </c:pt>
                <c:pt idx="602">
                  <c:v>1.05</c:v>
                </c:pt>
                <c:pt idx="603">
                  <c:v>1.05</c:v>
                </c:pt>
                <c:pt idx="604">
                  <c:v>1.05</c:v>
                </c:pt>
                <c:pt idx="605">
                  <c:v>1.05</c:v>
                </c:pt>
                <c:pt idx="606">
                  <c:v>1.05</c:v>
                </c:pt>
                <c:pt idx="607">
                  <c:v>1.05</c:v>
                </c:pt>
                <c:pt idx="608">
                  <c:v>1.05</c:v>
                </c:pt>
                <c:pt idx="609">
                  <c:v>1.05</c:v>
                </c:pt>
                <c:pt idx="610">
                  <c:v>1.05</c:v>
                </c:pt>
                <c:pt idx="611">
                  <c:v>1.05</c:v>
                </c:pt>
                <c:pt idx="612">
                  <c:v>1.05</c:v>
                </c:pt>
                <c:pt idx="613">
                  <c:v>1.05</c:v>
                </c:pt>
                <c:pt idx="614">
                  <c:v>1.05</c:v>
                </c:pt>
                <c:pt idx="615">
                  <c:v>1.05</c:v>
                </c:pt>
                <c:pt idx="616">
                  <c:v>1.05</c:v>
                </c:pt>
                <c:pt idx="617">
                  <c:v>1.05</c:v>
                </c:pt>
                <c:pt idx="618">
                  <c:v>1.05</c:v>
                </c:pt>
                <c:pt idx="619">
                  <c:v>1.05</c:v>
                </c:pt>
                <c:pt idx="620">
                  <c:v>1.05</c:v>
                </c:pt>
                <c:pt idx="621">
                  <c:v>1.05</c:v>
                </c:pt>
                <c:pt idx="622">
                  <c:v>1.05</c:v>
                </c:pt>
                <c:pt idx="623">
                  <c:v>1.05</c:v>
                </c:pt>
                <c:pt idx="624">
                  <c:v>1.05</c:v>
                </c:pt>
                <c:pt idx="625">
                  <c:v>1.05</c:v>
                </c:pt>
                <c:pt idx="626">
                  <c:v>1.05</c:v>
                </c:pt>
                <c:pt idx="627">
                  <c:v>1.05</c:v>
                </c:pt>
                <c:pt idx="628">
                  <c:v>1.05</c:v>
                </c:pt>
                <c:pt idx="629">
                  <c:v>1.05</c:v>
                </c:pt>
                <c:pt idx="630">
                  <c:v>1.05</c:v>
                </c:pt>
                <c:pt idx="631">
                  <c:v>1.05</c:v>
                </c:pt>
                <c:pt idx="632">
                  <c:v>1.05</c:v>
                </c:pt>
                <c:pt idx="633">
                  <c:v>1.05</c:v>
                </c:pt>
                <c:pt idx="634">
                  <c:v>1.05</c:v>
                </c:pt>
                <c:pt idx="635">
                  <c:v>1.05</c:v>
                </c:pt>
                <c:pt idx="636">
                  <c:v>1.05</c:v>
                </c:pt>
                <c:pt idx="637">
                  <c:v>1.05</c:v>
                </c:pt>
                <c:pt idx="638">
                  <c:v>1.05</c:v>
                </c:pt>
                <c:pt idx="639">
                  <c:v>1.05</c:v>
                </c:pt>
                <c:pt idx="640">
                  <c:v>1.05</c:v>
                </c:pt>
                <c:pt idx="641">
                  <c:v>1.05</c:v>
                </c:pt>
                <c:pt idx="642">
                  <c:v>1.05</c:v>
                </c:pt>
                <c:pt idx="643">
                  <c:v>1.05</c:v>
                </c:pt>
                <c:pt idx="644">
                  <c:v>1.05</c:v>
                </c:pt>
                <c:pt idx="645">
                  <c:v>1.05</c:v>
                </c:pt>
                <c:pt idx="646">
                  <c:v>1.05</c:v>
                </c:pt>
                <c:pt idx="647">
                  <c:v>1.05</c:v>
                </c:pt>
                <c:pt idx="648">
                  <c:v>1.05</c:v>
                </c:pt>
                <c:pt idx="649">
                  <c:v>1.05</c:v>
                </c:pt>
                <c:pt idx="650">
                  <c:v>1.05</c:v>
                </c:pt>
                <c:pt idx="651">
                  <c:v>1.05</c:v>
                </c:pt>
                <c:pt idx="652">
                  <c:v>1.05</c:v>
                </c:pt>
                <c:pt idx="653">
                  <c:v>1.05</c:v>
                </c:pt>
                <c:pt idx="654">
                  <c:v>1.05</c:v>
                </c:pt>
                <c:pt idx="655">
                  <c:v>1.05</c:v>
                </c:pt>
                <c:pt idx="656">
                  <c:v>1.05</c:v>
                </c:pt>
                <c:pt idx="657">
                  <c:v>1.05</c:v>
                </c:pt>
                <c:pt idx="658">
                  <c:v>1.05</c:v>
                </c:pt>
                <c:pt idx="659">
                  <c:v>1.05</c:v>
                </c:pt>
                <c:pt idx="660">
                  <c:v>1.05</c:v>
                </c:pt>
                <c:pt idx="661">
                  <c:v>1.05</c:v>
                </c:pt>
                <c:pt idx="662">
                  <c:v>1.05</c:v>
                </c:pt>
                <c:pt idx="663">
                  <c:v>1.05</c:v>
                </c:pt>
                <c:pt idx="664">
                  <c:v>1.05</c:v>
                </c:pt>
                <c:pt idx="665">
                  <c:v>1.05</c:v>
                </c:pt>
                <c:pt idx="666">
                  <c:v>1.05</c:v>
                </c:pt>
                <c:pt idx="667">
                  <c:v>1.05</c:v>
                </c:pt>
                <c:pt idx="668">
                  <c:v>1.05</c:v>
                </c:pt>
                <c:pt idx="669">
                  <c:v>1.05</c:v>
                </c:pt>
                <c:pt idx="670">
                  <c:v>1.05</c:v>
                </c:pt>
                <c:pt idx="671">
                  <c:v>1.05</c:v>
                </c:pt>
                <c:pt idx="672">
                  <c:v>1.05</c:v>
                </c:pt>
                <c:pt idx="673">
                  <c:v>1.05</c:v>
                </c:pt>
                <c:pt idx="674">
                  <c:v>1.05</c:v>
                </c:pt>
                <c:pt idx="675">
                  <c:v>1.05</c:v>
                </c:pt>
                <c:pt idx="676">
                  <c:v>1.05</c:v>
                </c:pt>
                <c:pt idx="677">
                  <c:v>1.05</c:v>
                </c:pt>
                <c:pt idx="678">
                  <c:v>1.05</c:v>
                </c:pt>
                <c:pt idx="679">
                  <c:v>1.05</c:v>
                </c:pt>
                <c:pt idx="680">
                  <c:v>1.05</c:v>
                </c:pt>
                <c:pt idx="681">
                  <c:v>1.05</c:v>
                </c:pt>
                <c:pt idx="682">
                  <c:v>1.05</c:v>
                </c:pt>
                <c:pt idx="683">
                  <c:v>1.05</c:v>
                </c:pt>
                <c:pt idx="684">
                  <c:v>1.05</c:v>
                </c:pt>
                <c:pt idx="685">
                  <c:v>1.05</c:v>
                </c:pt>
                <c:pt idx="686">
                  <c:v>1.05</c:v>
                </c:pt>
                <c:pt idx="687">
                  <c:v>1.05</c:v>
                </c:pt>
                <c:pt idx="688">
                  <c:v>1.05</c:v>
                </c:pt>
                <c:pt idx="689">
                  <c:v>1.05</c:v>
                </c:pt>
                <c:pt idx="690">
                  <c:v>1.05</c:v>
                </c:pt>
                <c:pt idx="691">
                  <c:v>1.05</c:v>
                </c:pt>
                <c:pt idx="692">
                  <c:v>1.05</c:v>
                </c:pt>
                <c:pt idx="693">
                  <c:v>1.05</c:v>
                </c:pt>
                <c:pt idx="694">
                  <c:v>1.05</c:v>
                </c:pt>
                <c:pt idx="695">
                  <c:v>1.05</c:v>
                </c:pt>
                <c:pt idx="696">
                  <c:v>1.05</c:v>
                </c:pt>
                <c:pt idx="697">
                  <c:v>1.05</c:v>
                </c:pt>
                <c:pt idx="698">
                  <c:v>1.05</c:v>
                </c:pt>
                <c:pt idx="699">
                  <c:v>1.05</c:v>
                </c:pt>
                <c:pt idx="700">
                  <c:v>1.05</c:v>
                </c:pt>
                <c:pt idx="701">
                  <c:v>1.05</c:v>
                </c:pt>
                <c:pt idx="702">
                  <c:v>1.05</c:v>
                </c:pt>
                <c:pt idx="703">
                  <c:v>1.05</c:v>
                </c:pt>
                <c:pt idx="704">
                  <c:v>1.05</c:v>
                </c:pt>
                <c:pt idx="705">
                  <c:v>1.05</c:v>
                </c:pt>
                <c:pt idx="706">
                  <c:v>1.05</c:v>
                </c:pt>
                <c:pt idx="707">
                  <c:v>1.05</c:v>
                </c:pt>
                <c:pt idx="708">
                  <c:v>1.05</c:v>
                </c:pt>
                <c:pt idx="709">
                  <c:v>1.05</c:v>
                </c:pt>
                <c:pt idx="710">
                  <c:v>1.05</c:v>
                </c:pt>
                <c:pt idx="711">
                  <c:v>1.05</c:v>
                </c:pt>
                <c:pt idx="712">
                  <c:v>1.05</c:v>
                </c:pt>
                <c:pt idx="713">
                  <c:v>1.05</c:v>
                </c:pt>
                <c:pt idx="714">
                  <c:v>1.05</c:v>
                </c:pt>
                <c:pt idx="715">
                  <c:v>1.05</c:v>
                </c:pt>
                <c:pt idx="716">
                  <c:v>1.05</c:v>
                </c:pt>
                <c:pt idx="717">
                  <c:v>1.05</c:v>
                </c:pt>
                <c:pt idx="718">
                  <c:v>1.05</c:v>
                </c:pt>
                <c:pt idx="719">
                  <c:v>1.05</c:v>
                </c:pt>
                <c:pt idx="720">
                  <c:v>1.05</c:v>
                </c:pt>
                <c:pt idx="721">
                  <c:v>1.05</c:v>
                </c:pt>
                <c:pt idx="722">
                  <c:v>1.05</c:v>
                </c:pt>
                <c:pt idx="723">
                  <c:v>1.05</c:v>
                </c:pt>
                <c:pt idx="724">
                  <c:v>1.05</c:v>
                </c:pt>
                <c:pt idx="725">
                  <c:v>1.05</c:v>
                </c:pt>
                <c:pt idx="726">
                  <c:v>1.05</c:v>
                </c:pt>
                <c:pt idx="727">
                  <c:v>1.05</c:v>
                </c:pt>
                <c:pt idx="728">
                  <c:v>1.05</c:v>
                </c:pt>
                <c:pt idx="729">
                  <c:v>1.05</c:v>
                </c:pt>
                <c:pt idx="730">
                  <c:v>1.05</c:v>
                </c:pt>
                <c:pt idx="731">
                  <c:v>1.05</c:v>
                </c:pt>
                <c:pt idx="732">
                  <c:v>1.05</c:v>
                </c:pt>
                <c:pt idx="733">
                  <c:v>1.05</c:v>
                </c:pt>
                <c:pt idx="734">
                  <c:v>1.05</c:v>
                </c:pt>
                <c:pt idx="735">
                  <c:v>1.05</c:v>
                </c:pt>
                <c:pt idx="736">
                  <c:v>1.05</c:v>
                </c:pt>
                <c:pt idx="737">
                  <c:v>1.05</c:v>
                </c:pt>
                <c:pt idx="738">
                  <c:v>1.05</c:v>
                </c:pt>
                <c:pt idx="739">
                  <c:v>1.05</c:v>
                </c:pt>
                <c:pt idx="740">
                  <c:v>1.05</c:v>
                </c:pt>
                <c:pt idx="741">
                  <c:v>1.05</c:v>
                </c:pt>
                <c:pt idx="742">
                  <c:v>1.05</c:v>
                </c:pt>
                <c:pt idx="743">
                  <c:v>1.05</c:v>
                </c:pt>
                <c:pt idx="744">
                  <c:v>1.05</c:v>
                </c:pt>
                <c:pt idx="745">
                  <c:v>1.05</c:v>
                </c:pt>
                <c:pt idx="746">
                  <c:v>1.05</c:v>
                </c:pt>
                <c:pt idx="747">
                  <c:v>1.05</c:v>
                </c:pt>
                <c:pt idx="748">
                  <c:v>1.05</c:v>
                </c:pt>
                <c:pt idx="749">
                  <c:v>1.05</c:v>
                </c:pt>
                <c:pt idx="750">
                  <c:v>1.05</c:v>
                </c:pt>
                <c:pt idx="751">
                  <c:v>1.05</c:v>
                </c:pt>
                <c:pt idx="752">
                  <c:v>1.05</c:v>
                </c:pt>
                <c:pt idx="753">
                  <c:v>1.05</c:v>
                </c:pt>
                <c:pt idx="754">
                  <c:v>1.05</c:v>
                </c:pt>
                <c:pt idx="755">
                  <c:v>1.05</c:v>
                </c:pt>
                <c:pt idx="756">
                  <c:v>1.05</c:v>
                </c:pt>
                <c:pt idx="757">
                  <c:v>1.05</c:v>
                </c:pt>
                <c:pt idx="758">
                  <c:v>1.05</c:v>
                </c:pt>
                <c:pt idx="759">
                  <c:v>1.05</c:v>
                </c:pt>
                <c:pt idx="760">
                  <c:v>1.05</c:v>
                </c:pt>
                <c:pt idx="761">
                  <c:v>1.05</c:v>
                </c:pt>
                <c:pt idx="762">
                  <c:v>1.05</c:v>
                </c:pt>
                <c:pt idx="763">
                  <c:v>1.05</c:v>
                </c:pt>
                <c:pt idx="764">
                  <c:v>1.05</c:v>
                </c:pt>
                <c:pt idx="765">
                  <c:v>1.05</c:v>
                </c:pt>
                <c:pt idx="766">
                  <c:v>1.05</c:v>
                </c:pt>
                <c:pt idx="767">
                  <c:v>1.05</c:v>
                </c:pt>
                <c:pt idx="768">
                  <c:v>1.05</c:v>
                </c:pt>
                <c:pt idx="769">
                  <c:v>1.05</c:v>
                </c:pt>
                <c:pt idx="770">
                  <c:v>1.05</c:v>
                </c:pt>
                <c:pt idx="771">
                  <c:v>1.05</c:v>
                </c:pt>
                <c:pt idx="772">
                  <c:v>1.05</c:v>
                </c:pt>
                <c:pt idx="773">
                  <c:v>1.05</c:v>
                </c:pt>
                <c:pt idx="774">
                  <c:v>1.05</c:v>
                </c:pt>
                <c:pt idx="775">
                  <c:v>1.05</c:v>
                </c:pt>
                <c:pt idx="776">
                  <c:v>1.05</c:v>
                </c:pt>
                <c:pt idx="777">
                  <c:v>1.05</c:v>
                </c:pt>
                <c:pt idx="778">
                  <c:v>1.05</c:v>
                </c:pt>
                <c:pt idx="779">
                  <c:v>1.05</c:v>
                </c:pt>
                <c:pt idx="780">
                  <c:v>1.05</c:v>
                </c:pt>
                <c:pt idx="781">
                  <c:v>1.05</c:v>
                </c:pt>
                <c:pt idx="782">
                  <c:v>1.05</c:v>
                </c:pt>
                <c:pt idx="783">
                  <c:v>1.05</c:v>
                </c:pt>
                <c:pt idx="784">
                  <c:v>1.05</c:v>
                </c:pt>
                <c:pt idx="785">
                  <c:v>1.05</c:v>
                </c:pt>
                <c:pt idx="786">
                  <c:v>1.05</c:v>
                </c:pt>
                <c:pt idx="787">
                  <c:v>1.05</c:v>
                </c:pt>
                <c:pt idx="788">
                  <c:v>1.05</c:v>
                </c:pt>
                <c:pt idx="789">
                  <c:v>1.05</c:v>
                </c:pt>
                <c:pt idx="790">
                  <c:v>1.05</c:v>
                </c:pt>
                <c:pt idx="791">
                  <c:v>1.05</c:v>
                </c:pt>
                <c:pt idx="792">
                  <c:v>1.05</c:v>
                </c:pt>
                <c:pt idx="793">
                  <c:v>1.05</c:v>
                </c:pt>
                <c:pt idx="794">
                  <c:v>1.05</c:v>
                </c:pt>
                <c:pt idx="795">
                  <c:v>1.05</c:v>
                </c:pt>
                <c:pt idx="796">
                  <c:v>1.05</c:v>
                </c:pt>
                <c:pt idx="797">
                  <c:v>1.05</c:v>
                </c:pt>
                <c:pt idx="798">
                  <c:v>1.05</c:v>
                </c:pt>
                <c:pt idx="799">
                  <c:v>1.05</c:v>
                </c:pt>
                <c:pt idx="800">
                  <c:v>1.05</c:v>
                </c:pt>
                <c:pt idx="801">
                  <c:v>1.05</c:v>
                </c:pt>
                <c:pt idx="802">
                  <c:v>1.05</c:v>
                </c:pt>
                <c:pt idx="803">
                  <c:v>1.05</c:v>
                </c:pt>
                <c:pt idx="804">
                  <c:v>1.05</c:v>
                </c:pt>
                <c:pt idx="805">
                  <c:v>1.05</c:v>
                </c:pt>
                <c:pt idx="806">
                  <c:v>1.05</c:v>
                </c:pt>
                <c:pt idx="807">
                  <c:v>1.05</c:v>
                </c:pt>
                <c:pt idx="808">
                  <c:v>1.05</c:v>
                </c:pt>
                <c:pt idx="809">
                  <c:v>1.05</c:v>
                </c:pt>
                <c:pt idx="810">
                  <c:v>1.05</c:v>
                </c:pt>
                <c:pt idx="811">
                  <c:v>1.05</c:v>
                </c:pt>
                <c:pt idx="812">
                  <c:v>1.05</c:v>
                </c:pt>
                <c:pt idx="813">
                  <c:v>1.05</c:v>
                </c:pt>
                <c:pt idx="814">
                  <c:v>1.05</c:v>
                </c:pt>
                <c:pt idx="815">
                  <c:v>1.05</c:v>
                </c:pt>
                <c:pt idx="816">
                  <c:v>1.05</c:v>
                </c:pt>
                <c:pt idx="817">
                  <c:v>1.05</c:v>
                </c:pt>
                <c:pt idx="818">
                  <c:v>1.05</c:v>
                </c:pt>
                <c:pt idx="819">
                  <c:v>1.05</c:v>
                </c:pt>
                <c:pt idx="820">
                  <c:v>1.05</c:v>
                </c:pt>
                <c:pt idx="821">
                  <c:v>1.05</c:v>
                </c:pt>
                <c:pt idx="822">
                  <c:v>1.05</c:v>
                </c:pt>
                <c:pt idx="823">
                  <c:v>1.05</c:v>
                </c:pt>
                <c:pt idx="824">
                  <c:v>1.05</c:v>
                </c:pt>
                <c:pt idx="825">
                  <c:v>1.05</c:v>
                </c:pt>
                <c:pt idx="826">
                  <c:v>1.05</c:v>
                </c:pt>
                <c:pt idx="827">
                  <c:v>1.05</c:v>
                </c:pt>
                <c:pt idx="828">
                  <c:v>1.05</c:v>
                </c:pt>
                <c:pt idx="829">
                  <c:v>1.05</c:v>
                </c:pt>
                <c:pt idx="830">
                  <c:v>1.05</c:v>
                </c:pt>
                <c:pt idx="831">
                  <c:v>1.05</c:v>
                </c:pt>
                <c:pt idx="832">
                  <c:v>1.05</c:v>
                </c:pt>
                <c:pt idx="833">
                  <c:v>1.05</c:v>
                </c:pt>
                <c:pt idx="834">
                  <c:v>1.05</c:v>
                </c:pt>
                <c:pt idx="835">
                  <c:v>1.05</c:v>
                </c:pt>
                <c:pt idx="836">
                  <c:v>1.05</c:v>
                </c:pt>
                <c:pt idx="837">
                  <c:v>1.05</c:v>
                </c:pt>
                <c:pt idx="838">
                  <c:v>1.05</c:v>
                </c:pt>
                <c:pt idx="839">
                  <c:v>1.05</c:v>
                </c:pt>
                <c:pt idx="840">
                  <c:v>1.05</c:v>
                </c:pt>
                <c:pt idx="841">
                  <c:v>1.05</c:v>
                </c:pt>
                <c:pt idx="842">
                  <c:v>1.05</c:v>
                </c:pt>
                <c:pt idx="843">
                  <c:v>1.05</c:v>
                </c:pt>
                <c:pt idx="844">
                  <c:v>1.05</c:v>
                </c:pt>
                <c:pt idx="845">
                  <c:v>1.05</c:v>
                </c:pt>
                <c:pt idx="846">
                  <c:v>1.05</c:v>
                </c:pt>
                <c:pt idx="847">
                  <c:v>1.05</c:v>
                </c:pt>
                <c:pt idx="848">
                  <c:v>1.05</c:v>
                </c:pt>
                <c:pt idx="849">
                  <c:v>1.05</c:v>
                </c:pt>
                <c:pt idx="850">
                  <c:v>1.05</c:v>
                </c:pt>
                <c:pt idx="851">
                  <c:v>1.05</c:v>
                </c:pt>
                <c:pt idx="852">
                  <c:v>1.05</c:v>
                </c:pt>
                <c:pt idx="853">
                  <c:v>1.05</c:v>
                </c:pt>
                <c:pt idx="854">
                  <c:v>1.05</c:v>
                </c:pt>
                <c:pt idx="855">
                  <c:v>1.05</c:v>
                </c:pt>
                <c:pt idx="856">
                  <c:v>1.05</c:v>
                </c:pt>
                <c:pt idx="857">
                  <c:v>1.05</c:v>
                </c:pt>
                <c:pt idx="858">
                  <c:v>1.05</c:v>
                </c:pt>
                <c:pt idx="859">
                  <c:v>1.05</c:v>
                </c:pt>
                <c:pt idx="860">
                  <c:v>1.05</c:v>
                </c:pt>
                <c:pt idx="861">
                  <c:v>1.05</c:v>
                </c:pt>
                <c:pt idx="862">
                  <c:v>1.05</c:v>
                </c:pt>
                <c:pt idx="863">
                  <c:v>1.05</c:v>
                </c:pt>
                <c:pt idx="864">
                  <c:v>1.05</c:v>
                </c:pt>
                <c:pt idx="865">
                  <c:v>1.05</c:v>
                </c:pt>
                <c:pt idx="866">
                  <c:v>1.05</c:v>
                </c:pt>
                <c:pt idx="867">
                  <c:v>1.05</c:v>
                </c:pt>
                <c:pt idx="868">
                  <c:v>1.05</c:v>
                </c:pt>
                <c:pt idx="869">
                  <c:v>1.05</c:v>
                </c:pt>
                <c:pt idx="870">
                  <c:v>1.05</c:v>
                </c:pt>
                <c:pt idx="871">
                  <c:v>1.05</c:v>
                </c:pt>
                <c:pt idx="872">
                  <c:v>1.05</c:v>
                </c:pt>
                <c:pt idx="873">
                  <c:v>1.05</c:v>
                </c:pt>
                <c:pt idx="874">
                  <c:v>1.05</c:v>
                </c:pt>
                <c:pt idx="875">
                  <c:v>1.05</c:v>
                </c:pt>
                <c:pt idx="876">
                  <c:v>1.05</c:v>
                </c:pt>
                <c:pt idx="877">
                  <c:v>1.05</c:v>
                </c:pt>
                <c:pt idx="878">
                  <c:v>1.05</c:v>
                </c:pt>
                <c:pt idx="879">
                  <c:v>1.05</c:v>
                </c:pt>
                <c:pt idx="880">
                  <c:v>1.05</c:v>
                </c:pt>
                <c:pt idx="881">
                  <c:v>1.05</c:v>
                </c:pt>
                <c:pt idx="882">
                  <c:v>1.05</c:v>
                </c:pt>
                <c:pt idx="883">
                  <c:v>1.05</c:v>
                </c:pt>
                <c:pt idx="884">
                  <c:v>1.05</c:v>
                </c:pt>
                <c:pt idx="885">
                  <c:v>1.05</c:v>
                </c:pt>
                <c:pt idx="886">
                  <c:v>1.05</c:v>
                </c:pt>
                <c:pt idx="887">
                  <c:v>1.05</c:v>
                </c:pt>
                <c:pt idx="888">
                  <c:v>1.05</c:v>
                </c:pt>
                <c:pt idx="889">
                  <c:v>1.05</c:v>
                </c:pt>
                <c:pt idx="890">
                  <c:v>1.05</c:v>
                </c:pt>
                <c:pt idx="891">
                  <c:v>1.05</c:v>
                </c:pt>
                <c:pt idx="892">
                  <c:v>1.05</c:v>
                </c:pt>
                <c:pt idx="893">
                  <c:v>1.05</c:v>
                </c:pt>
                <c:pt idx="894">
                  <c:v>1.05</c:v>
                </c:pt>
                <c:pt idx="895">
                  <c:v>1.05</c:v>
                </c:pt>
                <c:pt idx="896">
                  <c:v>1.05</c:v>
                </c:pt>
                <c:pt idx="897">
                  <c:v>1.05</c:v>
                </c:pt>
                <c:pt idx="898">
                  <c:v>1.05</c:v>
                </c:pt>
                <c:pt idx="899">
                  <c:v>1.05</c:v>
                </c:pt>
                <c:pt idx="900">
                  <c:v>1.05</c:v>
                </c:pt>
                <c:pt idx="901">
                  <c:v>1.05</c:v>
                </c:pt>
                <c:pt idx="902">
                  <c:v>1.05</c:v>
                </c:pt>
                <c:pt idx="903">
                  <c:v>1.05</c:v>
                </c:pt>
                <c:pt idx="904">
                  <c:v>1.05</c:v>
                </c:pt>
                <c:pt idx="905">
                  <c:v>1.05</c:v>
                </c:pt>
                <c:pt idx="906">
                  <c:v>1.05</c:v>
                </c:pt>
                <c:pt idx="907">
                  <c:v>1.05</c:v>
                </c:pt>
                <c:pt idx="908">
                  <c:v>1.05</c:v>
                </c:pt>
                <c:pt idx="909">
                  <c:v>1.05</c:v>
                </c:pt>
                <c:pt idx="910">
                  <c:v>1.05</c:v>
                </c:pt>
                <c:pt idx="911">
                  <c:v>1.05</c:v>
                </c:pt>
                <c:pt idx="912">
                  <c:v>1.05</c:v>
                </c:pt>
                <c:pt idx="913">
                  <c:v>1.05</c:v>
                </c:pt>
                <c:pt idx="914">
                  <c:v>1.05</c:v>
                </c:pt>
                <c:pt idx="915">
                  <c:v>1.05</c:v>
                </c:pt>
                <c:pt idx="916">
                  <c:v>1.05</c:v>
                </c:pt>
                <c:pt idx="917">
                  <c:v>1.05</c:v>
                </c:pt>
                <c:pt idx="918">
                  <c:v>1.05</c:v>
                </c:pt>
                <c:pt idx="919">
                  <c:v>1.05</c:v>
                </c:pt>
                <c:pt idx="920">
                  <c:v>1.05</c:v>
                </c:pt>
                <c:pt idx="921">
                  <c:v>1.05</c:v>
                </c:pt>
                <c:pt idx="922">
                  <c:v>1.05</c:v>
                </c:pt>
                <c:pt idx="923">
                  <c:v>1.05</c:v>
                </c:pt>
                <c:pt idx="924">
                  <c:v>1.05</c:v>
                </c:pt>
                <c:pt idx="925">
                  <c:v>1.05</c:v>
                </c:pt>
                <c:pt idx="926">
                  <c:v>1.05</c:v>
                </c:pt>
                <c:pt idx="927">
                  <c:v>1.05</c:v>
                </c:pt>
                <c:pt idx="928">
                  <c:v>1.05</c:v>
                </c:pt>
                <c:pt idx="929">
                  <c:v>1.05</c:v>
                </c:pt>
                <c:pt idx="930">
                  <c:v>1.05</c:v>
                </c:pt>
                <c:pt idx="931">
                  <c:v>1.05</c:v>
                </c:pt>
                <c:pt idx="932">
                  <c:v>1.05</c:v>
                </c:pt>
                <c:pt idx="933">
                  <c:v>1.05</c:v>
                </c:pt>
                <c:pt idx="934">
                  <c:v>1.05</c:v>
                </c:pt>
                <c:pt idx="935">
                  <c:v>1.05</c:v>
                </c:pt>
                <c:pt idx="936">
                  <c:v>1.05</c:v>
                </c:pt>
                <c:pt idx="937">
                  <c:v>1.05</c:v>
                </c:pt>
                <c:pt idx="938">
                  <c:v>1.05</c:v>
                </c:pt>
                <c:pt idx="939">
                  <c:v>1.05</c:v>
                </c:pt>
                <c:pt idx="940">
                  <c:v>1.05</c:v>
                </c:pt>
                <c:pt idx="941">
                  <c:v>1.05</c:v>
                </c:pt>
                <c:pt idx="942">
                  <c:v>1.05</c:v>
                </c:pt>
                <c:pt idx="943">
                  <c:v>1.05</c:v>
                </c:pt>
                <c:pt idx="944">
                  <c:v>1.05</c:v>
                </c:pt>
                <c:pt idx="945">
                  <c:v>1.05</c:v>
                </c:pt>
                <c:pt idx="946">
                  <c:v>1.05</c:v>
                </c:pt>
                <c:pt idx="947">
                  <c:v>1.05</c:v>
                </c:pt>
                <c:pt idx="948">
                  <c:v>1.05</c:v>
                </c:pt>
                <c:pt idx="949">
                  <c:v>1.05</c:v>
                </c:pt>
                <c:pt idx="950">
                  <c:v>1.05</c:v>
                </c:pt>
                <c:pt idx="951">
                  <c:v>1.05</c:v>
                </c:pt>
                <c:pt idx="952">
                  <c:v>1.05</c:v>
                </c:pt>
                <c:pt idx="953">
                  <c:v>1.05</c:v>
                </c:pt>
                <c:pt idx="954">
                  <c:v>1.05</c:v>
                </c:pt>
                <c:pt idx="955">
                  <c:v>1.05</c:v>
                </c:pt>
                <c:pt idx="956">
                  <c:v>1.05</c:v>
                </c:pt>
                <c:pt idx="957">
                  <c:v>1.05</c:v>
                </c:pt>
                <c:pt idx="958">
                  <c:v>1.05</c:v>
                </c:pt>
                <c:pt idx="959">
                  <c:v>1.05</c:v>
                </c:pt>
                <c:pt idx="960">
                  <c:v>1.05</c:v>
                </c:pt>
                <c:pt idx="961">
                  <c:v>1.05</c:v>
                </c:pt>
                <c:pt idx="962">
                  <c:v>1.05</c:v>
                </c:pt>
                <c:pt idx="963">
                  <c:v>1.05</c:v>
                </c:pt>
                <c:pt idx="964">
                  <c:v>1.05</c:v>
                </c:pt>
                <c:pt idx="965">
                  <c:v>1.05</c:v>
                </c:pt>
                <c:pt idx="966">
                  <c:v>1.05</c:v>
                </c:pt>
                <c:pt idx="967">
                  <c:v>1.05</c:v>
                </c:pt>
                <c:pt idx="968">
                  <c:v>1.05</c:v>
                </c:pt>
                <c:pt idx="969">
                  <c:v>1.05</c:v>
                </c:pt>
                <c:pt idx="970">
                  <c:v>1.05</c:v>
                </c:pt>
                <c:pt idx="971">
                  <c:v>1.05</c:v>
                </c:pt>
                <c:pt idx="972">
                  <c:v>1.05</c:v>
                </c:pt>
                <c:pt idx="973">
                  <c:v>1.05</c:v>
                </c:pt>
                <c:pt idx="974">
                  <c:v>1.05</c:v>
                </c:pt>
                <c:pt idx="975">
                  <c:v>1.05</c:v>
                </c:pt>
                <c:pt idx="976">
                  <c:v>1.05</c:v>
                </c:pt>
                <c:pt idx="977">
                  <c:v>1.05</c:v>
                </c:pt>
                <c:pt idx="978">
                  <c:v>1.05</c:v>
                </c:pt>
                <c:pt idx="979">
                  <c:v>1.05</c:v>
                </c:pt>
                <c:pt idx="980">
                  <c:v>1.05</c:v>
                </c:pt>
                <c:pt idx="981">
                  <c:v>1.05</c:v>
                </c:pt>
                <c:pt idx="982">
                  <c:v>1.05</c:v>
                </c:pt>
                <c:pt idx="983">
                  <c:v>1.05</c:v>
                </c:pt>
                <c:pt idx="984">
                  <c:v>1.05</c:v>
                </c:pt>
                <c:pt idx="985">
                  <c:v>1.05</c:v>
                </c:pt>
                <c:pt idx="986">
                  <c:v>1.05</c:v>
                </c:pt>
                <c:pt idx="987">
                  <c:v>1.05</c:v>
                </c:pt>
                <c:pt idx="988">
                  <c:v>1.05</c:v>
                </c:pt>
                <c:pt idx="989">
                  <c:v>1.05</c:v>
                </c:pt>
                <c:pt idx="990">
                  <c:v>1.05</c:v>
                </c:pt>
                <c:pt idx="991">
                  <c:v>1.05</c:v>
                </c:pt>
                <c:pt idx="992">
                  <c:v>1.05</c:v>
                </c:pt>
                <c:pt idx="993">
                  <c:v>1.05</c:v>
                </c:pt>
                <c:pt idx="994">
                  <c:v>1.05</c:v>
                </c:pt>
                <c:pt idx="995">
                  <c:v>1.05</c:v>
                </c:pt>
                <c:pt idx="996">
                  <c:v>1.05</c:v>
                </c:pt>
                <c:pt idx="997">
                  <c:v>1.05</c:v>
                </c:pt>
                <c:pt idx="998">
                  <c:v>1.05</c:v>
                </c:pt>
                <c:pt idx="999">
                  <c:v>1.05</c:v>
                </c:pt>
                <c:pt idx="1000">
                  <c:v>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C3-48E5-BD49-F9AB3FC1C110}"/>
            </c:ext>
          </c:extLst>
        </c:ser>
        <c:ser>
          <c:idx val="4"/>
          <c:order val="4"/>
          <c:tx>
            <c:strRef>
              <c:f>Лист3!$Y$1</c:f>
              <c:strCache>
                <c:ptCount val="1"/>
                <c:pt idx="0">
                  <c:v>Граница низ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Лист3!$Y$2:$Y$1002</c:f>
              <c:numCache>
                <c:formatCode>0.000</c:formatCode>
                <c:ptCount val="1001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0.95</c:v>
                </c:pt>
                <c:pt idx="18">
                  <c:v>0.95</c:v>
                </c:pt>
                <c:pt idx="19">
                  <c:v>0.95</c:v>
                </c:pt>
                <c:pt idx="20">
                  <c:v>0.95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0.95</c:v>
                </c:pt>
                <c:pt idx="33">
                  <c:v>0.95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9.5</c:v>
                </c:pt>
                <c:pt idx="41">
                  <c:v>9.5</c:v>
                </c:pt>
                <c:pt idx="42">
                  <c:v>9.5</c:v>
                </c:pt>
                <c:pt idx="43">
                  <c:v>9.5</c:v>
                </c:pt>
                <c:pt idx="44">
                  <c:v>9.5</c:v>
                </c:pt>
                <c:pt idx="45">
                  <c:v>9.5</c:v>
                </c:pt>
                <c:pt idx="46">
                  <c:v>9.5</c:v>
                </c:pt>
                <c:pt idx="47">
                  <c:v>9.5</c:v>
                </c:pt>
                <c:pt idx="48">
                  <c:v>9.5</c:v>
                </c:pt>
                <c:pt idx="49">
                  <c:v>9.5</c:v>
                </c:pt>
                <c:pt idx="50">
                  <c:v>9.5</c:v>
                </c:pt>
                <c:pt idx="51">
                  <c:v>9.5</c:v>
                </c:pt>
                <c:pt idx="52">
                  <c:v>9.5</c:v>
                </c:pt>
                <c:pt idx="53">
                  <c:v>9.5</c:v>
                </c:pt>
                <c:pt idx="54">
                  <c:v>9.5</c:v>
                </c:pt>
                <c:pt idx="55">
                  <c:v>9.5</c:v>
                </c:pt>
                <c:pt idx="56">
                  <c:v>9.5</c:v>
                </c:pt>
                <c:pt idx="57">
                  <c:v>9.5</c:v>
                </c:pt>
                <c:pt idx="58">
                  <c:v>9.5</c:v>
                </c:pt>
                <c:pt idx="59">
                  <c:v>9.5</c:v>
                </c:pt>
                <c:pt idx="60">
                  <c:v>9.5</c:v>
                </c:pt>
                <c:pt idx="61">
                  <c:v>9.5</c:v>
                </c:pt>
                <c:pt idx="62">
                  <c:v>9.5</c:v>
                </c:pt>
                <c:pt idx="63">
                  <c:v>9.5</c:v>
                </c:pt>
                <c:pt idx="64">
                  <c:v>9.5</c:v>
                </c:pt>
                <c:pt idx="65">
                  <c:v>9.5</c:v>
                </c:pt>
                <c:pt idx="66">
                  <c:v>9.5</c:v>
                </c:pt>
                <c:pt idx="67">
                  <c:v>9.5</c:v>
                </c:pt>
                <c:pt idx="68">
                  <c:v>9.5</c:v>
                </c:pt>
                <c:pt idx="69">
                  <c:v>9.5</c:v>
                </c:pt>
                <c:pt idx="70">
                  <c:v>9.5</c:v>
                </c:pt>
                <c:pt idx="71">
                  <c:v>9.5</c:v>
                </c:pt>
                <c:pt idx="72">
                  <c:v>9.5</c:v>
                </c:pt>
                <c:pt idx="73">
                  <c:v>9.5</c:v>
                </c:pt>
                <c:pt idx="74">
                  <c:v>9.5</c:v>
                </c:pt>
                <c:pt idx="75">
                  <c:v>9.5</c:v>
                </c:pt>
                <c:pt idx="76">
                  <c:v>9.5</c:v>
                </c:pt>
                <c:pt idx="77">
                  <c:v>9.5</c:v>
                </c:pt>
                <c:pt idx="78">
                  <c:v>9.5</c:v>
                </c:pt>
                <c:pt idx="79">
                  <c:v>9.5</c:v>
                </c:pt>
                <c:pt idx="80">
                  <c:v>9.5</c:v>
                </c:pt>
                <c:pt idx="81">
                  <c:v>9.5</c:v>
                </c:pt>
                <c:pt idx="82">
                  <c:v>9.5</c:v>
                </c:pt>
                <c:pt idx="83">
                  <c:v>9.5</c:v>
                </c:pt>
                <c:pt idx="84">
                  <c:v>9.5</c:v>
                </c:pt>
                <c:pt idx="85">
                  <c:v>9.5</c:v>
                </c:pt>
                <c:pt idx="86">
                  <c:v>9.5</c:v>
                </c:pt>
                <c:pt idx="87">
                  <c:v>9.5</c:v>
                </c:pt>
                <c:pt idx="88">
                  <c:v>9.5</c:v>
                </c:pt>
                <c:pt idx="89">
                  <c:v>9.5</c:v>
                </c:pt>
                <c:pt idx="90">
                  <c:v>9.5</c:v>
                </c:pt>
                <c:pt idx="91">
                  <c:v>9.5</c:v>
                </c:pt>
                <c:pt idx="92">
                  <c:v>9.5</c:v>
                </c:pt>
                <c:pt idx="93">
                  <c:v>9.5</c:v>
                </c:pt>
                <c:pt idx="94">
                  <c:v>9.5</c:v>
                </c:pt>
                <c:pt idx="95">
                  <c:v>9.5</c:v>
                </c:pt>
                <c:pt idx="96">
                  <c:v>9.5</c:v>
                </c:pt>
                <c:pt idx="97">
                  <c:v>9.5</c:v>
                </c:pt>
                <c:pt idx="98">
                  <c:v>9.5</c:v>
                </c:pt>
                <c:pt idx="99">
                  <c:v>9.5</c:v>
                </c:pt>
                <c:pt idx="100">
                  <c:v>9.5</c:v>
                </c:pt>
                <c:pt idx="101">
                  <c:v>9.5</c:v>
                </c:pt>
                <c:pt idx="102">
                  <c:v>9.5</c:v>
                </c:pt>
                <c:pt idx="103">
                  <c:v>9.5</c:v>
                </c:pt>
                <c:pt idx="104">
                  <c:v>9.5</c:v>
                </c:pt>
                <c:pt idx="105">
                  <c:v>9.5</c:v>
                </c:pt>
                <c:pt idx="106">
                  <c:v>9.5</c:v>
                </c:pt>
                <c:pt idx="107">
                  <c:v>9.5</c:v>
                </c:pt>
                <c:pt idx="108">
                  <c:v>9.5</c:v>
                </c:pt>
                <c:pt idx="109">
                  <c:v>9.5</c:v>
                </c:pt>
                <c:pt idx="110">
                  <c:v>9.5</c:v>
                </c:pt>
                <c:pt idx="111">
                  <c:v>9.5</c:v>
                </c:pt>
                <c:pt idx="112">
                  <c:v>9.5</c:v>
                </c:pt>
                <c:pt idx="113">
                  <c:v>9.5</c:v>
                </c:pt>
                <c:pt idx="114">
                  <c:v>9.5</c:v>
                </c:pt>
                <c:pt idx="115">
                  <c:v>9.5</c:v>
                </c:pt>
                <c:pt idx="116">
                  <c:v>9.5</c:v>
                </c:pt>
                <c:pt idx="117">
                  <c:v>9.5</c:v>
                </c:pt>
                <c:pt idx="118">
                  <c:v>9.5</c:v>
                </c:pt>
                <c:pt idx="119">
                  <c:v>9.5</c:v>
                </c:pt>
                <c:pt idx="120">
                  <c:v>9.5</c:v>
                </c:pt>
                <c:pt idx="121">
                  <c:v>9.5</c:v>
                </c:pt>
                <c:pt idx="122">
                  <c:v>9.5</c:v>
                </c:pt>
                <c:pt idx="123">
                  <c:v>9.5</c:v>
                </c:pt>
                <c:pt idx="124">
                  <c:v>9.5</c:v>
                </c:pt>
                <c:pt idx="125">
                  <c:v>9.5</c:v>
                </c:pt>
                <c:pt idx="126">
                  <c:v>9.5</c:v>
                </c:pt>
                <c:pt idx="127">
                  <c:v>9.5</c:v>
                </c:pt>
                <c:pt idx="128">
                  <c:v>9.5</c:v>
                </c:pt>
                <c:pt idx="129">
                  <c:v>9.5</c:v>
                </c:pt>
                <c:pt idx="130">
                  <c:v>9.5</c:v>
                </c:pt>
                <c:pt idx="131">
                  <c:v>9.5</c:v>
                </c:pt>
                <c:pt idx="132">
                  <c:v>9.5</c:v>
                </c:pt>
                <c:pt idx="133">
                  <c:v>9.5</c:v>
                </c:pt>
                <c:pt idx="134">
                  <c:v>9.5</c:v>
                </c:pt>
                <c:pt idx="135">
                  <c:v>9.5</c:v>
                </c:pt>
                <c:pt idx="136">
                  <c:v>9.5</c:v>
                </c:pt>
                <c:pt idx="137">
                  <c:v>9.5</c:v>
                </c:pt>
                <c:pt idx="138">
                  <c:v>9.5</c:v>
                </c:pt>
                <c:pt idx="139">
                  <c:v>9.5</c:v>
                </c:pt>
                <c:pt idx="140">
                  <c:v>9.5</c:v>
                </c:pt>
                <c:pt idx="141">
                  <c:v>9.5</c:v>
                </c:pt>
                <c:pt idx="142">
                  <c:v>9.5</c:v>
                </c:pt>
                <c:pt idx="143">
                  <c:v>9.5</c:v>
                </c:pt>
                <c:pt idx="144">
                  <c:v>9.5</c:v>
                </c:pt>
                <c:pt idx="145">
                  <c:v>9.5</c:v>
                </c:pt>
                <c:pt idx="146">
                  <c:v>9.5</c:v>
                </c:pt>
                <c:pt idx="147">
                  <c:v>9.5</c:v>
                </c:pt>
                <c:pt idx="148">
                  <c:v>9.5</c:v>
                </c:pt>
                <c:pt idx="149">
                  <c:v>9.5</c:v>
                </c:pt>
                <c:pt idx="150">
                  <c:v>9.5</c:v>
                </c:pt>
                <c:pt idx="151">
                  <c:v>9.5</c:v>
                </c:pt>
                <c:pt idx="152">
                  <c:v>9.5</c:v>
                </c:pt>
                <c:pt idx="153">
                  <c:v>9.5</c:v>
                </c:pt>
                <c:pt idx="154">
                  <c:v>9.5</c:v>
                </c:pt>
                <c:pt idx="155">
                  <c:v>9.5</c:v>
                </c:pt>
                <c:pt idx="156">
                  <c:v>9.5</c:v>
                </c:pt>
                <c:pt idx="157">
                  <c:v>9.5</c:v>
                </c:pt>
                <c:pt idx="158">
                  <c:v>9.5</c:v>
                </c:pt>
                <c:pt idx="159">
                  <c:v>9.5</c:v>
                </c:pt>
                <c:pt idx="160">
                  <c:v>9.5</c:v>
                </c:pt>
                <c:pt idx="161">
                  <c:v>9.5</c:v>
                </c:pt>
                <c:pt idx="162">
                  <c:v>9.5</c:v>
                </c:pt>
                <c:pt idx="163">
                  <c:v>9.5</c:v>
                </c:pt>
                <c:pt idx="164">
                  <c:v>9.5</c:v>
                </c:pt>
                <c:pt idx="165">
                  <c:v>9.5</c:v>
                </c:pt>
                <c:pt idx="166">
                  <c:v>9.5</c:v>
                </c:pt>
                <c:pt idx="167">
                  <c:v>9.5</c:v>
                </c:pt>
                <c:pt idx="168">
                  <c:v>9.5</c:v>
                </c:pt>
                <c:pt idx="169">
                  <c:v>9.5</c:v>
                </c:pt>
                <c:pt idx="170">
                  <c:v>9.5</c:v>
                </c:pt>
                <c:pt idx="171">
                  <c:v>9.5</c:v>
                </c:pt>
                <c:pt idx="172">
                  <c:v>9.5</c:v>
                </c:pt>
                <c:pt idx="173">
                  <c:v>9.5</c:v>
                </c:pt>
                <c:pt idx="174">
                  <c:v>9.5</c:v>
                </c:pt>
                <c:pt idx="175">
                  <c:v>9.5</c:v>
                </c:pt>
                <c:pt idx="176">
                  <c:v>9.5</c:v>
                </c:pt>
                <c:pt idx="177">
                  <c:v>9.5</c:v>
                </c:pt>
                <c:pt idx="178">
                  <c:v>9.5</c:v>
                </c:pt>
                <c:pt idx="179">
                  <c:v>9.5</c:v>
                </c:pt>
                <c:pt idx="180">
                  <c:v>9.5</c:v>
                </c:pt>
                <c:pt idx="181">
                  <c:v>9.5</c:v>
                </c:pt>
                <c:pt idx="182">
                  <c:v>9.5</c:v>
                </c:pt>
                <c:pt idx="183">
                  <c:v>9.5</c:v>
                </c:pt>
                <c:pt idx="184">
                  <c:v>9.5</c:v>
                </c:pt>
                <c:pt idx="185">
                  <c:v>9.5</c:v>
                </c:pt>
                <c:pt idx="186">
                  <c:v>9.5</c:v>
                </c:pt>
                <c:pt idx="187">
                  <c:v>9.5</c:v>
                </c:pt>
                <c:pt idx="188">
                  <c:v>9.5</c:v>
                </c:pt>
                <c:pt idx="189">
                  <c:v>9.5</c:v>
                </c:pt>
                <c:pt idx="190">
                  <c:v>9.5</c:v>
                </c:pt>
                <c:pt idx="191">
                  <c:v>9.5</c:v>
                </c:pt>
                <c:pt idx="192">
                  <c:v>9.5</c:v>
                </c:pt>
                <c:pt idx="193">
                  <c:v>9.5</c:v>
                </c:pt>
                <c:pt idx="194">
                  <c:v>9.5</c:v>
                </c:pt>
                <c:pt idx="195">
                  <c:v>9.5</c:v>
                </c:pt>
                <c:pt idx="196">
                  <c:v>9.5</c:v>
                </c:pt>
                <c:pt idx="197">
                  <c:v>9.5</c:v>
                </c:pt>
                <c:pt idx="198">
                  <c:v>9.5</c:v>
                </c:pt>
                <c:pt idx="199">
                  <c:v>9.5</c:v>
                </c:pt>
                <c:pt idx="200">
                  <c:v>9.5</c:v>
                </c:pt>
                <c:pt idx="201">
                  <c:v>9.5</c:v>
                </c:pt>
                <c:pt idx="202">
                  <c:v>9.5</c:v>
                </c:pt>
                <c:pt idx="203">
                  <c:v>9.5</c:v>
                </c:pt>
                <c:pt idx="204">
                  <c:v>9.5</c:v>
                </c:pt>
                <c:pt idx="205">
                  <c:v>9.5</c:v>
                </c:pt>
                <c:pt idx="206">
                  <c:v>9.5</c:v>
                </c:pt>
                <c:pt idx="207">
                  <c:v>9.5</c:v>
                </c:pt>
                <c:pt idx="208">
                  <c:v>9.5</c:v>
                </c:pt>
                <c:pt idx="209">
                  <c:v>9.5</c:v>
                </c:pt>
                <c:pt idx="210">
                  <c:v>9.5</c:v>
                </c:pt>
                <c:pt idx="211">
                  <c:v>9.5</c:v>
                </c:pt>
                <c:pt idx="212">
                  <c:v>9.5</c:v>
                </c:pt>
                <c:pt idx="213">
                  <c:v>9.5</c:v>
                </c:pt>
                <c:pt idx="214">
                  <c:v>9.5</c:v>
                </c:pt>
                <c:pt idx="215">
                  <c:v>9.5</c:v>
                </c:pt>
                <c:pt idx="216">
                  <c:v>9.5</c:v>
                </c:pt>
                <c:pt idx="217">
                  <c:v>9.5</c:v>
                </c:pt>
                <c:pt idx="218">
                  <c:v>9.5</c:v>
                </c:pt>
                <c:pt idx="219">
                  <c:v>9.5</c:v>
                </c:pt>
                <c:pt idx="220">
                  <c:v>9.5</c:v>
                </c:pt>
                <c:pt idx="221">
                  <c:v>9.5</c:v>
                </c:pt>
                <c:pt idx="222">
                  <c:v>9.5</c:v>
                </c:pt>
                <c:pt idx="223">
                  <c:v>9.5</c:v>
                </c:pt>
                <c:pt idx="224">
                  <c:v>9.5</c:v>
                </c:pt>
                <c:pt idx="225">
                  <c:v>9.5</c:v>
                </c:pt>
                <c:pt idx="226">
                  <c:v>9.5</c:v>
                </c:pt>
                <c:pt idx="227">
                  <c:v>9.5</c:v>
                </c:pt>
                <c:pt idx="228">
                  <c:v>9.5</c:v>
                </c:pt>
                <c:pt idx="229">
                  <c:v>9.5</c:v>
                </c:pt>
                <c:pt idx="230">
                  <c:v>9.5</c:v>
                </c:pt>
                <c:pt idx="231">
                  <c:v>9.5</c:v>
                </c:pt>
                <c:pt idx="232">
                  <c:v>9.5</c:v>
                </c:pt>
                <c:pt idx="233">
                  <c:v>9.5</c:v>
                </c:pt>
                <c:pt idx="234">
                  <c:v>9.5</c:v>
                </c:pt>
                <c:pt idx="235">
                  <c:v>9.5</c:v>
                </c:pt>
                <c:pt idx="236">
                  <c:v>9.5</c:v>
                </c:pt>
                <c:pt idx="237">
                  <c:v>9.5</c:v>
                </c:pt>
                <c:pt idx="238">
                  <c:v>9.5</c:v>
                </c:pt>
                <c:pt idx="239">
                  <c:v>9.5</c:v>
                </c:pt>
                <c:pt idx="240">
                  <c:v>9.5</c:v>
                </c:pt>
                <c:pt idx="241">
                  <c:v>9.5</c:v>
                </c:pt>
                <c:pt idx="242">
                  <c:v>9.5</c:v>
                </c:pt>
                <c:pt idx="243">
                  <c:v>9.5</c:v>
                </c:pt>
                <c:pt idx="244">
                  <c:v>9.5</c:v>
                </c:pt>
                <c:pt idx="245">
                  <c:v>9.5</c:v>
                </c:pt>
                <c:pt idx="246">
                  <c:v>9.5</c:v>
                </c:pt>
                <c:pt idx="247">
                  <c:v>9.5</c:v>
                </c:pt>
                <c:pt idx="248">
                  <c:v>9.5</c:v>
                </c:pt>
                <c:pt idx="249">
                  <c:v>9.5</c:v>
                </c:pt>
                <c:pt idx="250">
                  <c:v>9.5</c:v>
                </c:pt>
                <c:pt idx="251">
                  <c:v>9.5</c:v>
                </c:pt>
                <c:pt idx="252">
                  <c:v>9.5</c:v>
                </c:pt>
                <c:pt idx="253">
                  <c:v>9.5</c:v>
                </c:pt>
                <c:pt idx="254">
                  <c:v>9.5</c:v>
                </c:pt>
                <c:pt idx="255">
                  <c:v>9.5</c:v>
                </c:pt>
                <c:pt idx="256">
                  <c:v>9.5</c:v>
                </c:pt>
                <c:pt idx="257">
                  <c:v>9.5</c:v>
                </c:pt>
                <c:pt idx="258">
                  <c:v>9.5</c:v>
                </c:pt>
                <c:pt idx="259">
                  <c:v>9.5</c:v>
                </c:pt>
                <c:pt idx="260">
                  <c:v>9.5</c:v>
                </c:pt>
                <c:pt idx="261">
                  <c:v>9.5</c:v>
                </c:pt>
                <c:pt idx="262">
                  <c:v>9.5</c:v>
                </c:pt>
                <c:pt idx="263">
                  <c:v>9.5</c:v>
                </c:pt>
                <c:pt idx="264">
                  <c:v>9.5</c:v>
                </c:pt>
                <c:pt idx="265">
                  <c:v>9.5</c:v>
                </c:pt>
                <c:pt idx="266">
                  <c:v>9.5</c:v>
                </c:pt>
                <c:pt idx="267">
                  <c:v>9.5</c:v>
                </c:pt>
                <c:pt idx="268">
                  <c:v>9.5</c:v>
                </c:pt>
                <c:pt idx="269">
                  <c:v>9.5</c:v>
                </c:pt>
                <c:pt idx="270">
                  <c:v>9.5</c:v>
                </c:pt>
                <c:pt idx="271">
                  <c:v>9.5</c:v>
                </c:pt>
                <c:pt idx="272">
                  <c:v>9.5</c:v>
                </c:pt>
                <c:pt idx="273">
                  <c:v>9.5</c:v>
                </c:pt>
                <c:pt idx="274">
                  <c:v>9.5</c:v>
                </c:pt>
                <c:pt idx="275">
                  <c:v>9.5</c:v>
                </c:pt>
                <c:pt idx="276">
                  <c:v>9.5</c:v>
                </c:pt>
                <c:pt idx="277">
                  <c:v>9.5</c:v>
                </c:pt>
                <c:pt idx="278">
                  <c:v>9.5</c:v>
                </c:pt>
                <c:pt idx="279">
                  <c:v>9.5</c:v>
                </c:pt>
                <c:pt idx="280">
                  <c:v>9.5</c:v>
                </c:pt>
                <c:pt idx="281">
                  <c:v>9.5</c:v>
                </c:pt>
                <c:pt idx="282">
                  <c:v>9.5</c:v>
                </c:pt>
                <c:pt idx="283">
                  <c:v>9.5</c:v>
                </c:pt>
                <c:pt idx="284">
                  <c:v>9.5</c:v>
                </c:pt>
                <c:pt idx="285">
                  <c:v>9.5</c:v>
                </c:pt>
                <c:pt idx="286">
                  <c:v>9.5</c:v>
                </c:pt>
                <c:pt idx="287">
                  <c:v>9.5</c:v>
                </c:pt>
                <c:pt idx="288">
                  <c:v>9.5</c:v>
                </c:pt>
                <c:pt idx="289">
                  <c:v>9.5</c:v>
                </c:pt>
                <c:pt idx="290">
                  <c:v>9.5</c:v>
                </c:pt>
                <c:pt idx="291">
                  <c:v>9.5</c:v>
                </c:pt>
                <c:pt idx="292">
                  <c:v>9.5</c:v>
                </c:pt>
                <c:pt idx="293">
                  <c:v>9.5</c:v>
                </c:pt>
                <c:pt idx="294">
                  <c:v>9.5</c:v>
                </c:pt>
                <c:pt idx="295">
                  <c:v>9.5</c:v>
                </c:pt>
                <c:pt idx="296">
                  <c:v>9.5</c:v>
                </c:pt>
                <c:pt idx="297">
                  <c:v>9.5</c:v>
                </c:pt>
                <c:pt idx="298">
                  <c:v>9.5</c:v>
                </c:pt>
                <c:pt idx="299">
                  <c:v>9.5</c:v>
                </c:pt>
                <c:pt idx="300">
                  <c:v>9.5</c:v>
                </c:pt>
                <c:pt idx="301">
                  <c:v>9.5</c:v>
                </c:pt>
                <c:pt idx="302">
                  <c:v>9.5</c:v>
                </c:pt>
                <c:pt idx="303">
                  <c:v>9.5</c:v>
                </c:pt>
                <c:pt idx="304">
                  <c:v>9.5</c:v>
                </c:pt>
                <c:pt idx="305">
                  <c:v>9.5</c:v>
                </c:pt>
                <c:pt idx="306">
                  <c:v>9.5</c:v>
                </c:pt>
                <c:pt idx="307">
                  <c:v>9.5</c:v>
                </c:pt>
                <c:pt idx="308">
                  <c:v>9.5</c:v>
                </c:pt>
                <c:pt idx="309">
                  <c:v>9.5</c:v>
                </c:pt>
                <c:pt idx="310">
                  <c:v>9.5</c:v>
                </c:pt>
                <c:pt idx="311">
                  <c:v>9.5</c:v>
                </c:pt>
                <c:pt idx="312">
                  <c:v>9.5</c:v>
                </c:pt>
                <c:pt idx="313">
                  <c:v>9.5</c:v>
                </c:pt>
                <c:pt idx="314">
                  <c:v>9.5</c:v>
                </c:pt>
                <c:pt idx="315">
                  <c:v>9.5</c:v>
                </c:pt>
                <c:pt idx="316">
                  <c:v>9.5</c:v>
                </c:pt>
                <c:pt idx="317">
                  <c:v>9.5</c:v>
                </c:pt>
                <c:pt idx="318">
                  <c:v>9.5</c:v>
                </c:pt>
                <c:pt idx="319">
                  <c:v>9.5</c:v>
                </c:pt>
                <c:pt idx="320">
                  <c:v>9.5</c:v>
                </c:pt>
                <c:pt idx="321">
                  <c:v>9.5</c:v>
                </c:pt>
                <c:pt idx="322">
                  <c:v>9.5</c:v>
                </c:pt>
                <c:pt idx="323">
                  <c:v>9.5</c:v>
                </c:pt>
                <c:pt idx="324">
                  <c:v>9.5</c:v>
                </c:pt>
                <c:pt idx="325">
                  <c:v>9.5</c:v>
                </c:pt>
                <c:pt idx="326">
                  <c:v>9.5</c:v>
                </c:pt>
                <c:pt idx="327">
                  <c:v>9.5</c:v>
                </c:pt>
                <c:pt idx="328">
                  <c:v>9.5</c:v>
                </c:pt>
                <c:pt idx="329">
                  <c:v>9.5</c:v>
                </c:pt>
                <c:pt idx="330">
                  <c:v>9.5</c:v>
                </c:pt>
                <c:pt idx="331">
                  <c:v>9.5</c:v>
                </c:pt>
                <c:pt idx="332">
                  <c:v>9.5</c:v>
                </c:pt>
                <c:pt idx="333">
                  <c:v>9.5</c:v>
                </c:pt>
                <c:pt idx="334">
                  <c:v>9.5</c:v>
                </c:pt>
                <c:pt idx="335">
                  <c:v>9.5</c:v>
                </c:pt>
                <c:pt idx="336">
                  <c:v>9.5</c:v>
                </c:pt>
                <c:pt idx="337">
                  <c:v>9.5</c:v>
                </c:pt>
                <c:pt idx="338">
                  <c:v>9.5</c:v>
                </c:pt>
                <c:pt idx="339">
                  <c:v>9.5</c:v>
                </c:pt>
                <c:pt idx="340">
                  <c:v>9.5</c:v>
                </c:pt>
                <c:pt idx="341">
                  <c:v>9.5</c:v>
                </c:pt>
                <c:pt idx="342">
                  <c:v>9.5</c:v>
                </c:pt>
                <c:pt idx="343">
                  <c:v>9.5</c:v>
                </c:pt>
                <c:pt idx="344">
                  <c:v>9.5</c:v>
                </c:pt>
                <c:pt idx="345">
                  <c:v>9.5</c:v>
                </c:pt>
                <c:pt idx="346">
                  <c:v>9.5</c:v>
                </c:pt>
                <c:pt idx="347">
                  <c:v>9.5</c:v>
                </c:pt>
                <c:pt idx="348">
                  <c:v>9.5</c:v>
                </c:pt>
                <c:pt idx="349">
                  <c:v>9.5</c:v>
                </c:pt>
                <c:pt idx="350">
                  <c:v>9.5</c:v>
                </c:pt>
                <c:pt idx="351">
                  <c:v>9.5</c:v>
                </c:pt>
                <c:pt idx="352">
                  <c:v>9.5</c:v>
                </c:pt>
                <c:pt idx="353">
                  <c:v>9.5</c:v>
                </c:pt>
                <c:pt idx="354">
                  <c:v>9.5</c:v>
                </c:pt>
                <c:pt idx="355">
                  <c:v>9.5</c:v>
                </c:pt>
                <c:pt idx="356">
                  <c:v>9.5</c:v>
                </c:pt>
                <c:pt idx="357">
                  <c:v>9.5</c:v>
                </c:pt>
                <c:pt idx="358">
                  <c:v>9.5</c:v>
                </c:pt>
                <c:pt idx="359">
                  <c:v>9.5</c:v>
                </c:pt>
                <c:pt idx="360">
                  <c:v>9.5</c:v>
                </c:pt>
                <c:pt idx="361">
                  <c:v>9.5</c:v>
                </c:pt>
                <c:pt idx="362">
                  <c:v>9.5</c:v>
                </c:pt>
                <c:pt idx="363">
                  <c:v>9.5</c:v>
                </c:pt>
                <c:pt idx="364">
                  <c:v>9.5</c:v>
                </c:pt>
                <c:pt idx="365">
                  <c:v>9.5</c:v>
                </c:pt>
                <c:pt idx="366">
                  <c:v>9.5</c:v>
                </c:pt>
                <c:pt idx="367">
                  <c:v>9.5</c:v>
                </c:pt>
                <c:pt idx="368">
                  <c:v>9.5</c:v>
                </c:pt>
                <c:pt idx="369">
                  <c:v>9.5</c:v>
                </c:pt>
                <c:pt idx="370">
                  <c:v>9.5</c:v>
                </c:pt>
                <c:pt idx="371">
                  <c:v>9.5</c:v>
                </c:pt>
                <c:pt idx="372">
                  <c:v>9.5</c:v>
                </c:pt>
                <c:pt idx="373">
                  <c:v>9.5</c:v>
                </c:pt>
                <c:pt idx="374">
                  <c:v>9.5</c:v>
                </c:pt>
                <c:pt idx="375">
                  <c:v>9.5</c:v>
                </c:pt>
                <c:pt idx="376">
                  <c:v>9.5</c:v>
                </c:pt>
                <c:pt idx="377">
                  <c:v>9.5</c:v>
                </c:pt>
                <c:pt idx="378">
                  <c:v>9.5</c:v>
                </c:pt>
                <c:pt idx="379">
                  <c:v>9.5</c:v>
                </c:pt>
                <c:pt idx="380">
                  <c:v>9.5</c:v>
                </c:pt>
                <c:pt idx="381">
                  <c:v>9.5</c:v>
                </c:pt>
                <c:pt idx="382">
                  <c:v>9.5</c:v>
                </c:pt>
                <c:pt idx="383">
                  <c:v>9.5</c:v>
                </c:pt>
                <c:pt idx="384">
                  <c:v>9.5</c:v>
                </c:pt>
                <c:pt idx="385">
                  <c:v>9.5</c:v>
                </c:pt>
                <c:pt idx="386">
                  <c:v>9.5</c:v>
                </c:pt>
                <c:pt idx="387">
                  <c:v>9.5</c:v>
                </c:pt>
                <c:pt idx="388">
                  <c:v>9.5</c:v>
                </c:pt>
                <c:pt idx="389">
                  <c:v>9.5</c:v>
                </c:pt>
                <c:pt idx="390">
                  <c:v>9.5</c:v>
                </c:pt>
                <c:pt idx="391">
                  <c:v>9.5</c:v>
                </c:pt>
                <c:pt idx="392">
                  <c:v>9.5</c:v>
                </c:pt>
                <c:pt idx="393">
                  <c:v>9.5</c:v>
                </c:pt>
                <c:pt idx="394">
                  <c:v>9.5</c:v>
                </c:pt>
                <c:pt idx="395">
                  <c:v>9.5</c:v>
                </c:pt>
                <c:pt idx="396">
                  <c:v>9.5</c:v>
                </c:pt>
                <c:pt idx="397">
                  <c:v>9.5</c:v>
                </c:pt>
                <c:pt idx="398">
                  <c:v>9.5</c:v>
                </c:pt>
                <c:pt idx="399">
                  <c:v>9.5</c:v>
                </c:pt>
                <c:pt idx="400">
                  <c:v>9.5</c:v>
                </c:pt>
                <c:pt idx="401">
                  <c:v>9.5</c:v>
                </c:pt>
                <c:pt idx="402">
                  <c:v>9.5</c:v>
                </c:pt>
                <c:pt idx="403">
                  <c:v>9.5</c:v>
                </c:pt>
                <c:pt idx="404">
                  <c:v>9.5</c:v>
                </c:pt>
                <c:pt idx="405">
                  <c:v>9.5</c:v>
                </c:pt>
                <c:pt idx="406">
                  <c:v>9.5</c:v>
                </c:pt>
                <c:pt idx="407">
                  <c:v>9.5</c:v>
                </c:pt>
                <c:pt idx="408">
                  <c:v>9.5</c:v>
                </c:pt>
                <c:pt idx="409">
                  <c:v>9.5</c:v>
                </c:pt>
                <c:pt idx="410">
                  <c:v>9.5</c:v>
                </c:pt>
                <c:pt idx="411">
                  <c:v>9.5</c:v>
                </c:pt>
                <c:pt idx="412">
                  <c:v>9.5</c:v>
                </c:pt>
                <c:pt idx="413">
                  <c:v>9.5</c:v>
                </c:pt>
                <c:pt idx="414">
                  <c:v>9.5</c:v>
                </c:pt>
                <c:pt idx="415">
                  <c:v>9.5</c:v>
                </c:pt>
                <c:pt idx="416">
                  <c:v>9.5</c:v>
                </c:pt>
                <c:pt idx="417">
                  <c:v>9.5</c:v>
                </c:pt>
                <c:pt idx="418">
                  <c:v>9.5</c:v>
                </c:pt>
                <c:pt idx="419">
                  <c:v>9.5</c:v>
                </c:pt>
                <c:pt idx="420">
                  <c:v>9.5</c:v>
                </c:pt>
                <c:pt idx="421">
                  <c:v>9.5</c:v>
                </c:pt>
                <c:pt idx="422">
                  <c:v>9.5</c:v>
                </c:pt>
                <c:pt idx="423">
                  <c:v>9.5</c:v>
                </c:pt>
                <c:pt idx="424">
                  <c:v>9.5</c:v>
                </c:pt>
                <c:pt idx="425">
                  <c:v>9.5</c:v>
                </c:pt>
                <c:pt idx="426">
                  <c:v>9.5</c:v>
                </c:pt>
                <c:pt idx="427">
                  <c:v>9.5</c:v>
                </c:pt>
                <c:pt idx="428">
                  <c:v>9.5</c:v>
                </c:pt>
                <c:pt idx="429">
                  <c:v>9.5</c:v>
                </c:pt>
                <c:pt idx="430">
                  <c:v>9.5</c:v>
                </c:pt>
                <c:pt idx="431">
                  <c:v>9.5</c:v>
                </c:pt>
                <c:pt idx="432">
                  <c:v>9.5</c:v>
                </c:pt>
                <c:pt idx="433">
                  <c:v>9.5</c:v>
                </c:pt>
                <c:pt idx="434">
                  <c:v>9.5</c:v>
                </c:pt>
                <c:pt idx="435">
                  <c:v>9.5</c:v>
                </c:pt>
                <c:pt idx="436">
                  <c:v>9.5</c:v>
                </c:pt>
                <c:pt idx="437">
                  <c:v>9.5</c:v>
                </c:pt>
                <c:pt idx="438">
                  <c:v>9.5</c:v>
                </c:pt>
                <c:pt idx="439">
                  <c:v>9.5</c:v>
                </c:pt>
                <c:pt idx="440">
                  <c:v>9.5</c:v>
                </c:pt>
                <c:pt idx="441">
                  <c:v>9.5</c:v>
                </c:pt>
                <c:pt idx="442">
                  <c:v>9.5</c:v>
                </c:pt>
                <c:pt idx="443">
                  <c:v>9.5</c:v>
                </c:pt>
                <c:pt idx="444">
                  <c:v>9.5</c:v>
                </c:pt>
                <c:pt idx="445">
                  <c:v>9.5</c:v>
                </c:pt>
                <c:pt idx="446">
                  <c:v>9.5</c:v>
                </c:pt>
                <c:pt idx="447">
                  <c:v>9.5</c:v>
                </c:pt>
                <c:pt idx="448">
                  <c:v>9.5</c:v>
                </c:pt>
                <c:pt idx="449">
                  <c:v>9.5</c:v>
                </c:pt>
                <c:pt idx="450">
                  <c:v>9.5</c:v>
                </c:pt>
                <c:pt idx="451">
                  <c:v>9.5</c:v>
                </c:pt>
                <c:pt idx="452">
                  <c:v>9.5</c:v>
                </c:pt>
                <c:pt idx="453">
                  <c:v>9.5</c:v>
                </c:pt>
                <c:pt idx="454">
                  <c:v>9.5</c:v>
                </c:pt>
                <c:pt idx="455">
                  <c:v>9.5</c:v>
                </c:pt>
                <c:pt idx="456">
                  <c:v>9.5</c:v>
                </c:pt>
                <c:pt idx="457">
                  <c:v>9.5</c:v>
                </c:pt>
                <c:pt idx="458">
                  <c:v>9.5</c:v>
                </c:pt>
                <c:pt idx="459">
                  <c:v>9.5</c:v>
                </c:pt>
                <c:pt idx="460">
                  <c:v>9.5</c:v>
                </c:pt>
                <c:pt idx="461">
                  <c:v>9.5</c:v>
                </c:pt>
                <c:pt idx="462">
                  <c:v>9.5</c:v>
                </c:pt>
                <c:pt idx="463">
                  <c:v>9.5</c:v>
                </c:pt>
                <c:pt idx="464">
                  <c:v>9.5</c:v>
                </c:pt>
                <c:pt idx="465">
                  <c:v>9.5</c:v>
                </c:pt>
                <c:pt idx="466">
                  <c:v>9.5</c:v>
                </c:pt>
                <c:pt idx="467">
                  <c:v>9.5</c:v>
                </c:pt>
                <c:pt idx="468">
                  <c:v>9.5</c:v>
                </c:pt>
                <c:pt idx="469">
                  <c:v>9.5</c:v>
                </c:pt>
                <c:pt idx="470">
                  <c:v>9.5</c:v>
                </c:pt>
                <c:pt idx="471">
                  <c:v>9.5</c:v>
                </c:pt>
                <c:pt idx="472">
                  <c:v>9.5</c:v>
                </c:pt>
                <c:pt idx="473">
                  <c:v>9.5</c:v>
                </c:pt>
                <c:pt idx="474">
                  <c:v>9.5</c:v>
                </c:pt>
                <c:pt idx="475">
                  <c:v>9.5</c:v>
                </c:pt>
                <c:pt idx="476">
                  <c:v>9.5</c:v>
                </c:pt>
                <c:pt idx="477">
                  <c:v>9.5</c:v>
                </c:pt>
                <c:pt idx="478">
                  <c:v>9.5</c:v>
                </c:pt>
                <c:pt idx="479">
                  <c:v>9.5</c:v>
                </c:pt>
                <c:pt idx="480">
                  <c:v>9.5</c:v>
                </c:pt>
                <c:pt idx="481">
                  <c:v>9.5</c:v>
                </c:pt>
                <c:pt idx="482">
                  <c:v>9.5</c:v>
                </c:pt>
                <c:pt idx="483">
                  <c:v>9.5</c:v>
                </c:pt>
                <c:pt idx="484">
                  <c:v>9.5</c:v>
                </c:pt>
                <c:pt idx="485">
                  <c:v>9.5</c:v>
                </c:pt>
                <c:pt idx="486">
                  <c:v>9.5</c:v>
                </c:pt>
                <c:pt idx="487">
                  <c:v>9.5</c:v>
                </c:pt>
                <c:pt idx="488">
                  <c:v>9.5</c:v>
                </c:pt>
                <c:pt idx="489">
                  <c:v>9.5</c:v>
                </c:pt>
                <c:pt idx="490">
                  <c:v>9.5</c:v>
                </c:pt>
                <c:pt idx="491">
                  <c:v>9.5</c:v>
                </c:pt>
                <c:pt idx="492">
                  <c:v>9.5</c:v>
                </c:pt>
                <c:pt idx="493">
                  <c:v>9.5</c:v>
                </c:pt>
                <c:pt idx="494">
                  <c:v>9.5</c:v>
                </c:pt>
                <c:pt idx="495">
                  <c:v>9.5</c:v>
                </c:pt>
                <c:pt idx="496">
                  <c:v>9.5</c:v>
                </c:pt>
                <c:pt idx="497">
                  <c:v>9.5</c:v>
                </c:pt>
                <c:pt idx="498">
                  <c:v>9.5</c:v>
                </c:pt>
                <c:pt idx="499">
                  <c:v>9.5</c:v>
                </c:pt>
                <c:pt idx="500">
                  <c:v>9.5</c:v>
                </c:pt>
                <c:pt idx="501">
                  <c:v>9.5</c:v>
                </c:pt>
                <c:pt idx="502">
                  <c:v>9.5</c:v>
                </c:pt>
                <c:pt idx="503">
                  <c:v>9.5</c:v>
                </c:pt>
                <c:pt idx="504">
                  <c:v>9.5</c:v>
                </c:pt>
                <c:pt idx="505">
                  <c:v>9.5</c:v>
                </c:pt>
                <c:pt idx="506">
                  <c:v>9.5</c:v>
                </c:pt>
                <c:pt idx="507">
                  <c:v>9.5</c:v>
                </c:pt>
                <c:pt idx="508">
                  <c:v>9.5</c:v>
                </c:pt>
                <c:pt idx="509">
                  <c:v>9.5</c:v>
                </c:pt>
                <c:pt idx="510">
                  <c:v>9.5</c:v>
                </c:pt>
                <c:pt idx="511">
                  <c:v>9.5</c:v>
                </c:pt>
                <c:pt idx="512">
                  <c:v>9.5</c:v>
                </c:pt>
                <c:pt idx="513">
                  <c:v>9.5</c:v>
                </c:pt>
                <c:pt idx="514">
                  <c:v>9.5</c:v>
                </c:pt>
                <c:pt idx="515">
                  <c:v>9.5</c:v>
                </c:pt>
                <c:pt idx="516">
                  <c:v>9.5</c:v>
                </c:pt>
                <c:pt idx="517">
                  <c:v>9.5</c:v>
                </c:pt>
                <c:pt idx="518">
                  <c:v>9.5</c:v>
                </c:pt>
                <c:pt idx="519">
                  <c:v>9.5</c:v>
                </c:pt>
                <c:pt idx="520">
                  <c:v>9.5</c:v>
                </c:pt>
                <c:pt idx="521">
                  <c:v>9.5</c:v>
                </c:pt>
                <c:pt idx="522">
                  <c:v>9.5</c:v>
                </c:pt>
                <c:pt idx="523">
                  <c:v>9.5</c:v>
                </c:pt>
                <c:pt idx="524">
                  <c:v>9.5</c:v>
                </c:pt>
                <c:pt idx="525">
                  <c:v>9.5</c:v>
                </c:pt>
                <c:pt idx="526">
                  <c:v>9.5</c:v>
                </c:pt>
                <c:pt idx="527">
                  <c:v>9.5</c:v>
                </c:pt>
                <c:pt idx="528">
                  <c:v>9.5</c:v>
                </c:pt>
                <c:pt idx="529">
                  <c:v>9.5</c:v>
                </c:pt>
                <c:pt idx="530">
                  <c:v>9.5</c:v>
                </c:pt>
                <c:pt idx="531">
                  <c:v>9.5</c:v>
                </c:pt>
                <c:pt idx="532">
                  <c:v>9.5</c:v>
                </c:pt>
                <c:pt idx="533">
                  <c:v>9.5</c:v>
                </c:pt>
                <c:pt idx="534">
                  <c:v>9.5</c:v>
                </c:pt>
                <c:pt idx="535">
                  <c:v>9.5</c:v>
                </c:pt>
                <c:pt idx="536">
                  <c:v>9.5</c:v>
                </c:pt>
                <c:pt idx="537">
                  <c:v>9.5</c:v>
                </c:pt>
                <c:pt idx="538">
                  <c:v>9.5</c:v>
                </c:pt>
                <c:pt idx="539">
                  <c:v>9.5</c:v>
                </c:pt>
                <c:pt idx="540">
                  <c:v>9.5</c:v>
                </c:pt>
                <c:pt idx="541">
                  <c:v>9.5</c:v>
                </c:pt>
                <c:pt idx="542">
                  <c:v>9.5</c:v>
                </c:pt>
                <c:pt idx="543">
                  <c:v>9.5</c:v>
                </c:pt>
                <c:pt idx="544">
                  <c:v>9.5</c:v>
                </c:pt>
                <c:pt idx="545">
                  <c:v>9.5</c:v>
                </c:pt>
                <c:pt idx="546">
                  <c:v>9.5</c:v>
                </c:pt>
                <c:pt idx="547">
                  <c:v>9.5</c:v>
                </c:pt>
                <c:pt idx="548">
                  <c:v>9.5</c:v>
                </c:pt>
                <c:pt idx="549">
                  <c:v>9.5</c:v>
                </c:pt>
                <c:pt idx="550">
                  <c:v>9.5</c:v>
                </c:pt>
                <c:pt idx="551">
                  <c:v>9.5</c:v>
                </c:pt>
                <c:pt idx="552">
                  <c:v>9.5</c:v>
                </c:pt>
                <c:pt idx="553">
                  <c:v>9.5</c:v>
                </c:pt>
                <c:pt idx="554">
                  <c:v>9.5</c:v>
                </c:pt>
                <c:pt idx="555">
                  <c:v>9.5</c:v>
                </c:pt>
                <c:pt idx="556">
                  <c:v>9.5</c:v>
                </c:pt>
                <c:pt idx="557">
                  <c:v>9.5</c:v>
                </c:pt>
                <c:pt idx="558">
                  <c:v>9.5</c:v>
                </c:pt>
                <c:pt idx="559">
                  <c:v>9.5</c:v>
                </c:pt>
                <c:pt idx="560">
                  <c:v>9.5</c:v>
                </c:pt>
                <c:pt idx="561">
                  <c:v>9.5</c:v>
                </c:pt>
                <c:pt idx="562">
                  <c:v>9.5</c:v>
                </c:pt>
                <c:pt idx="563">
                  <c:v>9.5</c:v>
                </c:pt>
                <c:pt idx="564">
                  <c:v>9.5</c:v>
                </c:pt>
                <c:pt idx="565">
                  <c:v>9.5</c:v>
                </c:pt>
                <c:pt idx="566">
                  <c:v>9.5</c:v>
                </c:pt>
                <c:pt idx="567">
                  <c:v>9.5</c:v>
                </c:pt>
                <c:pt idx="568">
                  <c:v>9.5</c:v>
                </c:pt>
                <c:pt idx="569">
                  <c:v>9.5</c:v>
                </c:pt>
                <c:pt idx="570">
                  <c:v>9.5</c:v>
                </c:pt>
                <c:pt idx="571">
                  <c:v>9.5</c:v>
                </c:pt>
                <c:pt idx="572">
                  <c:v>9.5</c:v>
                </c:pt>
                <c:pt idx="573">
                  <c:v>9.5</c:v>
                </c:pt>
                <c:pt idx="574">
                  <c:v>9.5</c:v>
                </c:pt>
                <c:pt idx="575">
                  <c:v>9.5</c:v>
                </c:pt>
                <c:pt idx="576">
                  <c:v>9.5</c:v>
                </c:pt>
                <c:pt idx="577">
                  <c:v>9.5</c:v>
                </c:pt>
                <c:pt idx="578">
                  <c:v>9.5</c:v>
                </c:pt>
                <c:pt idx="579">
                  <c:v>9.5</c:v>
                </c:pt>
                <c:pt idx="580">
                  <c:v>9.5</c:v>
                </c:pt>
                <c:pt idx="581">
                  <c:v>9.5</c:v>
                </c:pt>
                <c:pt idx="582">
                  <c:v>9.5</c:v>
                </c:pt>
                <c:pt idx="583">
                  <c:v>9.5</c:v>
                </c:pt>
                <c:pt idx="584">
                  <c:v>9.5</c:v>
                </c:pt>
                <c:pt idx="585">
                  <c:v>9.5</c:v>
                </c:pt>
                <c:pt idx="586">
                  <c:v>9.5</c:v>
                </c:pt>
                <c:pt idx="587">
                  <c:v>9.5</c:v>
                </c:pt>
                <c:pt idx="588">
                  <c:v>9.5</c:v>
                </c:pt>
                <c:pt idx="589">
                  <c:v>9.5</c:v>
                </c:pt>
                <c:pt idx="590">
                  <c:v>9.5</c:v>
                </c:pt>
                <c:pt idx="591">
                  <c:v>9.5</c:v>
                </c:pt>
                <c:pt idx="592">
                  <c:v>9.5</c:v>
                </c:pt>
                <c:pt idx="593">
                  <c:v>9.5</c:v>
                </c:pt>
                <c:pt idx="594">
                  <c:v>9.5</c:v>
                </c:pt>
                <c:pt idx="595">
                  <c:v>9.5</c:v>
                </c:pt>
                <c:pt idx="596">
                  <c:v>9.5</c:v>
                </c:pt>
                <c:pt idx="597">
                  <c:v>9.5</c:v>
                </c:pt>
                <c:pt idx="598">
                  <c:v>9.5</c:v>
                </c:pt>
                <c:pt idx="599">
                  <c:v>9.5</c:v>
                </c:pt>
                <c:pt idx="600">
                  <c:v>0.95</c:v>
                </c:pt>
                <c:pt idx="601">
                  <c:v>0.95</c:v>
                </c:pt>
                <c:pt idx="602">
                  <c:v>0.95</c:v>
                </c:pt>
                <c:pt idx="603">
                  <c:v>0.95</c:v>
                </c:pt>
                <c:pt idx="604">
                  <c:v>0.95</c:v>
                </c:pt>
                <c:pt idx="605">
                  <c:v>0.95</c:v>
                </c:pt>
                <c:pt idx="606">
                  <c:v>0.95</c:v>
                </c:pt>
                <c:pt idx="607">
                  <c:v>0.95</c:v>
                </c:pt>
                <c:pt idx="608">
                  <c:v>0.95</c:v>
                </c:pt>
                <c:pt idx="609">
                  <c:v>0.95</c:v>
                </c:pt>
                <c:pt idx="610">
                  <c:v>0.95</c:v>
                </c:pt>
                <c:pt idx="611">
                  <c:v>0.95</c:v>
                </c:pt>
                <c:pt idx="612">
                  <c:v>0.95</c:v>
                </c:pt>
                <c:pt idx="613">
                  <c:v>0.95</c:v>
                </c:pt>
                <c:pt idx="614">
                  <c:v>0.95</c:v>
                </c:pt>
                <c:pt idx="615">
                  <c:v>0.95</c:v>
                </c:pt>
                <c:pt idx="616">
                  <c:v>0.95</c:v>
                </c:pt>
                <c:pt idx="617">
                  <c:v>0.95</c:v>
                </c:pt>
                <c:pt idx="618">
                  <c:v>0.95</c:v>
                </c:pt>
                <c:pt idx="619">
                  <c:v>0.95</c:v>
                </c:pt>
                <c:pt idx="620">
                  <c:v>0.95</c:v>
                </c:pt>
                <c:pt idx="621">
                  <c:v>0.95</c:v>
                </c:pt>
                <c:pt idx="622">
                  <c:v>0.95</c:v>
                </c:pt>
                <c:pt idx="623">
                  <c:v>0.95</c:v>
                </c:pt>
                <c:pt idx="624">
                  <c:v>0.95</c:v>
                </c:pt>
                <c:pt idx="625">
                  <c:v>0.95</c:v>
                </c:pt>
                <c:pt idx="626">
                  <c:v>0.95</c:v>
                </c:pt>
                <c:pt idx="627">
                  <c:v>0.95</c:v>
                </c:pt>
                <c:pt idx="628">
                  <c:v>0.95</c:v>
                </c:pt>
                <c:pt idx="629">
                  <c:v>0.95</c:v>
                </c:pt>
                <c:pt idx="630">
                  <c:v>0.95</c:v>
                </c:pt>
                <c:pt idx="631">
                  <c:v>0.95</c:v>
                </c:pt>
                <c:pt idx="632">
                  <c:v>0.95</c:v>
                </c:pt>
                <c:pt idx="633">
                  <c:v>0.95</c:v>
                </c:pt>
                <c:pt idx="634">
                  <c:v>0.95</c:v>
                </c:pt>
                <c:pt idx="635">
                  <c:v>0.95</c:v>
                </c:pt>
                <c:pt idx="636">
                  <c:v>0.95</c:v>
                </c:pt>
                <c:pt idx="637">
                  <c:v>0.95</c:v>
                </c:pt>
                <c:pt idx="638">
                  <c:v>0.95</c:v>
                </c:pt>
                <c:pt idx="639">
                  <c:v>0.95</c:v>
                </c:pt>
                <c:pt idx="640">
                  <c:v>0.95</c:v>
                </c:pt>
                <c:pt idx="641">
                  <c:v>0.95</c:v>
                </c:pt>
                <c:pt idx="642">
                  <c:v>0.95</c:v>
                </c:pt>
                <c:pt idx="643">
                  <c:v>0.95</c:v>
                </c:pt>
                <c:pt idx="644">
                  <c:v>0.95</c:v>
                </c:pt>
                <c:pt idx="645">
                  <c:v>0.95</c:v>
                </c:pt>
                <c:pt idx="646">
                  <c:v>0.95</c:v>
                </c:pt>
                <c:pt idx="647">
                  <c:v>0.95</c:v>
                </c:pt>
                <c:pt idx="648">
                  <c:v>0.95</c:v>
                </c:pt>
                <c:pt idx="649">
                  <c:v>0.95</c:v>
                </c:pt>
                <c:pt idx="650">
                  <c:v>0.95</c:v>
                </c:pt>
                <c:pt idx="651">
                  <c:v>0.95</c:v>
                </c:pt>
                <c:pt idx="652">
                  <c:v>0.95</c:v>
                </c:pt>
                <c:pt idx="653">
                  <c:v>0.95</c:v>
                </c:pt>
                <c:pt idx="654">
                  <c:v>0.95</c:v>
                </c:pt>
                <c:pt idx="655">
                  <c:v>0.95</c:v>
                </c:pt>
                <c:pt idx="656">
                  <c:v>0.95</c:v>
                </c:pt>
                <c:pt idx="657">
                  <c:v>0.95</c:v>
                </c:pt>
                <c:pt idx="658">
                  <c:v>0.95</c:v>
                </c:pt>
                <c:pt idx="659">
                  <c:v>0.95</c:v>
                </c:pt>
                <c:pt idx="660">
                  <c:v>0.95</c:v>
                </c:pt>
                <c:pt idx="661">
                  <c:v>0.95</c:v>
                </c:pt>
                <c:pt idx="662">
                  <c:v>0.95</c:v>
                </c:pt>
                <c:pt idx="663">
                  <c:v>0.95</c:v>
                </c:pt>
                <c:pt idx="664">
                  <c:v>0.95</c:v>
                </c:pt>
                <c:pt idx="665">
                  <c:v>0.95</c:v>
                </c:pt>
                <c:pt idx="666">
                  <c:v>0.95</c:v>
                </c:pt>
                <c:pt idx="667">
                  <c:v>0.95</c:v>
                </c:pt>
                <c:pt idx="668">
                  <c:v>0.95</c:v>
                </c:pt>
                <c:pt idx="669">
                  <c:v>0.95</c:v>
                </c:pt>
                <c:pt idx="670">
                  <c:v>0.95</c:v>
                </c:pt>
                <c:pt idx="671">
                  <c:v>0.95</c:v>
                </c:pt>
                <c:pt idx="672">
                  <c:v>0.95</c:v>
                </c:pt>
                <c:pt idx="673">
                  <c:v>0.95</c:v>
                </c:pt>
                <c:pt idx="674">
                  <c:v>0.95</c:v>
                </c:pt>
                <c:pt idx="675">
                  <c:v>0.95</c:v>
                </c:pt>
                <c:pt idx="676">
                  <c:v>0.95</c:v>
                </c:pt>
                <c:pt idx="677">
                  <c:v>0.95</c:v>
                </c:pt>
                <c:pt idx="678">
                  <c:v>0.95</c:v>
                </c:pt>
                <c:pt idx="679">
                  <c:v>0.95</c:v>
                </c:pt>
                <c:pt idx="680">
                  <c:v>0.95</c:v>
                </c:pt>
                <c:pt idx="681">
                  <c:v>0.95</c:v>
                </c:pt>
                <c:pt idx="682">
                  <c:v>0.95</c:v>
                </c:pt>
                <c:pt idx="683">
                  <c:v>0.95</c:v>
                </c:pt>
                <c:pt idx="684">
                  <c:v>0.95</c:v>
                </c:pt>
                <c:pt idx="685">
                  <c:v>0.95</c:v>
                </c:pt>
                <c:pt idx="686">
                  <c:v>0.95</c:v>
                </c:pt>
                <c:pt idx="687">
                  <c:v>0.95</c:v>
                </c:pt>
                <c:pt idx="688">
                  <c:v>0.95</c:v>
                </c:pt>
                <c:pt idx="689">
                  <c:v>0.95</c:v>
                </c:pt>
                <c:pt idx="690">
                  <c:v>0.95</c:v>
                </c:pt>
                <c:pt idx="691">
                  <c:v>0.95</c:v>
                </c:pt>
                <c:pt idx="692">
                  <c:v>0.95</c:v>
                </c:pt>
                <c:pt idx="693">
                  <c:v>0.95</c:v>
                </c:pt>
                <c:pt idx="694">
                  <c:v>0.95</c:v>
                </c:pt>
                <c:pt idx="695">
                  <c:v>0.95</c:v>
                </c:pt>
                <c:pt idx="696">
                  <c:v>0.95</c:v>
                </c:pt>
                <c:pt idx="697">
                  <c:v>0.95</c:v>
                </c:pt>
                <c:pt idx="698">
                  <c:v>0.95</c:v>
                </c:pt>
                <c:pt idx="699">
                  <c:v>0.95</c:v>
                </c:pt>
                <c:pt idx="700">
                  <c:v>0.95</c:v>
                </c:pt>
                <c:pt idx="701">
                  <c:v>0.95</c:v>
                </c:pt>
                <c:pt idx="702">
                  <c:v>0.95</c:v>
                </c:pt>
                <c:pt idx="703">
                  <c:v>0.95</c:v>
                </c:pt>
                <c:pt idx="704">
                  <c:v>0.95</c:v>
                </c:pt>
                <c:pt idx="705">
                  <c:v>0.95</c:v>
                </c:pt>
                <c:pt idx="706">
                  <c:v>0.95</c:v>
                </c:pt>
                <c:pt idx="707">
                  <c:v>0.95</c:v>
                </c:pt>
                <c:pt idx="708">
                  <c:v>0.95</c:v>
                </c:pt>
                <c:pt idx="709">
                  <c:v>0.95</c:v>
                </c:pt>
                <c:pt idx="710">
                  <c:v>0.95</c:v>
                </c:pt>
                <c:pt idx="711">
                  <c:v>0.95</c:v>
                </c:pt>
                <c:pt idx="712">
                  <c:v>0.95</c:v>
                </c:pt>
                <c:pt idx="713">
                  <c:v>0.95</c:v>
                </c:pt>
                <c:pt idx="714">
                  <c:v>0.95</c:v>
                </c:pt>
                <c:pt idx="715">
                  <c:v>0.95</c:v>
                </c:pt>
                <c:pt idx="716">
                  <c:v>0.95</c:v>
                </c:pt>
                <c:pt idx="717">
                  <c:v>0.95</c:v>
                </c:pt>
                <c:pt idx="718">
                  <c:v>0.95</c:v>
                </c:pt>
                <c:pt idx="719">
                  <c:v>0.95</c:v>
                </c:pt>
                <c:pt idx="720">
                  <c:v>0.95</c:v>
                </c:pt>
                <c:pt idx="721">
                  <c:v>0.95</c:v>
                </c:pt>
                <c:pt idx="722">
                  <c:v>0.95</c:v>
                </c:pt>
                <c:pt idx="723">
                  <c:v>0.95</c:v>
                </c:pt>
                <c:pt idx="724">
                  <c:v>0.95</c:v>
                </c:pt>
                <c:pt idx="725">
                  <c:v>0.95</c:v>
                </c:pt>
                <c:pt idx="726">
                  <c:v>0.95</c:v>
                </c:pt>
                <c:pt idx="727">
                  <c:v>0.95</c:v>
                </c:pt>
                <c:pt idx="728">
                  <c:v>0.95</c:v>
                </c:pt>
                <c:pt idx="729">
                  <c:v>0.95</c:v>
                </c:pt>
                <c:pt idx="730">
                  <c:v>0.95</c:v>
                </c:pt>
                <c:pt idx="731">
                  <c:v>0.95</c:v>
                </c:pt>
                <c:pt idx="732">
                  <c:v>0.95</c:v>
                </c:pt>
                <c:pt idx="733">
                  <c:v>0.95</c:v>
                </c:pt>
                <c:pt idx="734">
                  <c:v>0.95</c:v>
                </c:pt>
                <c:pt idx="735">
                  <c:v>0.95</c:v>
                </c:pt>
                <c:pt idx="736">
                  <c:v>0.95</c:v>
                </c:pt>
                <c:pt idx="737">
                  <c:v>0.95</c:v>
                </c:pt>
                <c:pt idx="738">
                  <c:v>0.95</c:v>
                </c:pt>
                <c:pt idx="739">
                  <c:v>0.95</c:v>
                </c:pt>
                <c:pt idx="740">
                  <c:v>0.95</c:v>
                </c:pt>
                <c:pt idx="741">
                  <c:v>0.95</c:v>
                </c:pt>
                <c:pt idx="742">
                  <c:v>0.95</c:v>
                </c:pt>
                <c:pt idx="743">
                  <c:v>0.95</c:v>
                </c:pt>
                <c:pt idx="744">
                  <c:v>0.95</c:v>
                </c:pt>
                <c:pt idx="745">
                  <c:v>0.95</c:v>
                </c:pt>
                <c:pt idx="746">
                  <c:v>0.95</c:v>
                </c:pt>
                <c:pt idx="747">
                  <c:v>0.95</c:v>
                </c:pt>
                <c:pt idx="748">
                  <c:v>0.95</c:v>
                </c:pt>
                <c:pt idx="749">
                  <c:v>0.95</c:v>
                </c:pt>
                <c:pt idx="750">
                  <c:v>0.95</c:v>
                </c:pt>
                <c:pt idx="751">
                  <c:v>0.95</c:v>
                </c:pt>
                <c:pt idx="752">
                  <c:v>0.95</c:v>
                </c:pt>
                <c:pt idx="753">
                  <c:v>0.95</c:v>
                </c:pt>
                <c:pt idx="754">
                  <c:v>0.95</c:v>
                </c:pt>
                <c:pt idx="755">
                  <c:v>0.95</c:v>
                </c:pt>
                <c:pt idx="756">
                  <c:v>0.95</c:v>
                </c:pt>
                <c:pt idx="757">
                  <c:v>0.95</c:v>
                </c:pt>
                <c:pt idx="758">
                  <c:v>0.95</c:v>
                </c:pt>
                <c:pt idx="759">
                  <c:v>0.95</c:v>
                </c:pt>
                <c:pt idx="760">
                  <c:v>0.95</c:v>
                </c:pt>
                <c:pt idx="761">
                  <c:v>0.95</c:v>
                </c:pt>
                <c:pt idx="762">
                  <c:v>0.95</c:v>
                </c:pt>
                <c:pt idx="763">
                  <c:v>0.95</c:v>
                </c:pt>
                <c:pt idx="764">
                  <c:v>0.95</c:v>
                </c:pt>
                <c:pt idx="765">
                  <c:v>0.95</c:v>
                </c:pt>
                <c:pt idx="766">
                  <c:v>0.95</c:v>
                </c:pt>
                <c:pt idx="767">
                  <c:v>0.95</c:v>
                </c:pt>
                <c:pt idx="768">
                  <c:v>0.95</c:v>
                </c:pt>
                <c:pt idx="769">
                  <c:v>0.95</c:v>
                </c:pt>
                <c:pt idx="770">
                  <c:v>0.95</c:v>
                </c:pt>
                <c:pt idx="771">
                  <c:v>0.95</c:v>
                </c:pt>
                <c:pt idx="772">
                  <c:v>0.95</c:v>
                </c:pt>
                <c:pt idx="773">
                  <c:v>0.95</c:v>
                </c:pt>
                <c:pt idx="774">
                  <c:v>0.95</c:v>
                </c:pt>
                <c:pt idx="775">
                  <c:v>0.95</c:v>
                </c:pt>
                <c:pt idx="776">
                  <c:v>0.95</c:v>
                </c:pt>
                <c:pt idx="777">
                  <c:v>0.95</c:v>
                </c:pt>
                <c:pt idx="778">
                  <c:v>0.95</c:v>
                </c:pt>
                <c:pt idx="779">
                  <c:v>0.95</c:v>
                </c:pt>
                <c:pt idx="780">
                  <c:v>0.95</c:v>
                </c:pt>
                <c:pt idx="781">
                  <c:v>0.95</c:v>
                </c:pt>
                <c:pt idx="782">
                  <c:v>0.95</c:v>
                </c:pt>
                <c:pt idx="783">
                  <c:v>0.95</c:v>
                </c:pt>
                <c:pt idx="784">
                  <c:v>0.95</c:v>
                </c:pt>
                <c:pt idx="785">
                  <c:v>0.95</c:v>
                </c:pt>
                <c:pt idx="786">
                  <c:v>0.95</c:v>
                </c:pt>
                <c:pt idx="787">
                  <c:v>0.95</c:v>
                </c:pt>
                <c:pt idx="788">
                  <c:v>0.95</c:v>
                </c:pt>
                <c:pt idx="789">
                  <c:v>0.95</c:v>
                </c:pt>
                <c:pt idx="790">
                  <c:v>0.95</c:v>
                </c:pt>
                <c:pt idx="791">
                  <c:v>0.95</c:v>
                </c:pt>
                <c:pt idx="792">
                  <c:v>0.95</c:v>
                </c:pt>
                <c:pt idx="793">
                  <c:v>0.95</c:v>
                </c:pt>
                <c:pt idx="794">
                  <c:v>0.95</c:v>
                </c:pt>
                <c:pt idx="795">
                  <c:v>0.95</c:v>
                </c:pt>
                <c:pt idx="796">
                  <c:v>0.95</c:v>
                </c:pt>
                <c:pt idx="797">
                  <c:v>0.95</c:v>
                </c:pt>
                <c:pt idx="798">
                  <c:v>0.95</c:v>
                </c:pt>
                <c:pt idx="799">
                  <c:v>0.95</c:v>
                </c:pt>
                <c:pt idx="800">
                  <c:v>0.95</c:v>
                </c:pt>
                <c:pt idx="801">
                  <c:v>0.95</c:v>
                </c:pt>
                <c:pt idx="802">
                  <c:v>0.95</c:v>
                </c:pt>
                <c:pt idx="803">
                  <c:v>0.95</c:v>
                </c:pt>
                <c:pt idx="804">
                  <c:v>0.95</c:v>
                </c:pt>
                <c:pt idx="805">
                  <c:v>0.95</c:v>
                </c:pt>
                <c:pt idx="806">
                  <c:v>0.95</c:v>
                </c:pt>
                <c:pt idx="807">
                  <c:v>0.95</c:v>
                </c:pt>
                <c:pt idx="808">
                  <c:v>0.95</c:v>
                </c:pt>
                <c:pt idx="809">
                  <c:v>0.95</c:v>
                </c:pt>
                <c:pt idx="810">
                  <c:v>0.95</c:v>
                </c:pt>
                <c:pt idx="811">
                  <c:v>0.95</c:v>
                </c:pt>
                <c:pt idx="812">
                  <c:v>0.95</c:v>
                </c:pt>
                <c:pt idx="813">
                  <c:v>0.95</c:v>
                </c:pt>
                <c:pt idx="814">
                  <c:v>0.95</c:v>
                </c:pt>
                <c:pt idx="815">
                  <c:v>0.95</c:v>
                </c:pt>
                <c:pt idx="816">
                  <c:v>0.95</c:v>
                </c:pt>
                <c:pt idx="817">
                  <c:v>0.95</c:v>
                </c:pt>
                <c:pt idx="818">
                  <c:v>0.95</c:v>
                </c:pt>
                <c:pt idx="819">
                  <c:v>0.95</c:v>
                </c:pt>
                <c:pt idx="820">
                  <c:v>0.95</c:v>
                </c:pt>
                <c:pt idx="821">
                  <c:v>0.95</c:v>
                </c:pt>
                <c:pt idx="822">
                  <c:v>0.95</c:v>
                </c:pt>
                <c:pt idx="823">
                  <c:v>0.95</c:v>
                </c:pt>
                <c:pt idx="824">
                  <c:v>0.95</c:v>
                </c:pt>
                <c:pt idx="825">
                  <c:v>0.95</c:v>
                </c:pt>
                <c:pt idx="826">
                  <c:v>0.95</c:v>
                </c:pt>
                <c:pt idx="827">
                  <c:v>0.95</c:v>
                </c:pt>
                <c:pt idx="828">
                  <c:v>0.95</c:v>
                </c:pt>
                <c:pt idx="829">
                  <c:v>0.95</c:v>
                </c:pt>
                <c:pt idx="830">
                  <c:v>0.95</c:v>
                </c:pt>
                <c:pt idx="831">
                  <c:v>0.95</c:v>
                </c:pt>
                <c:pt idx="832">
                  <c:v>0.95</c:v>
                </c:pt>
                <c:pt idx="833">
                  <c:v>0.95</c:v>
                </c:pt>
                <c:pt idx="834">
                  <c:v>0.95</c:v>
                </c:pt>
                <c:pt idx="835">
                  <c:v>0.95</c:v>
                </c:pt>
                <c:pt idx="836">
                  <c:v>0.95</c:v>
                </c:pt>
                <c:pt idx="837">
                  <c:v>0.95</c:v>
                </c:pt>
                <c:pt idx="838">
                  <c:v>0.95</c:v>
                </c:pt>
                <c:pt idx="839">
                  <c:v>0.95</c:v>
                </c:pt>
                <c:pt idx="840">
                  <c:v>0.95</c:v>
                </c:pt>
                <c:pt idx="841">
                  <c:v>0.95</c:v>
                </c:pt>
                <c:pt idx="842">
                  <c:v>0.95</c:v>
                </c:pt>
                <c:pt idx="843">
                  <c:v>0.95</c:v>
                </c:pt>
                <c:pt idx="844">
                  <c:v>0.95</c:v>
                </c:pt>
                <c:pt idx="845">
                  <c:v>0.95</c:v>
                </c:pt>
                <c:pt idx="846">
                  <c:v>0.95</c:v>
                </c:pt>
                <c:pt idx="847">
                  <c:v>0.95</c:v>
                </c:pt>
                <c:pt idx="848">
                  <c:v>0.95</c:v>
                </c:pt>
                <c:pt idx="849">
                  <c:v>0.95</c:v>
                </c:pt>
                <c:pt idx="850">
                  <c:v>0.95</c:v>
                </c:pt>
                <c:pt idx="851">
                  <c:v>0.95</c:v>
                </c:pt>
                <c:pt idx="852">
                  <c:v>0.95</c:v>
                </c:pt>
                <c:pt idx="853">
                  <c:v>0.95</c:v>
                </c:pt>
                <c:pt idx="854">
                  <c:v>0.95</c:v>
                </c:pt>
                <c:pt idx="855">
                  <c:v>0.95</c:v>
                </c:pt>
                <c:pt idx="856">
                  <c:v>0.95</c:v>
                </c:pt>
                <c:pt idx="857">
                  <c:v>0.95</c:v>
                </c:pt>
                <c:pt idx="858">
                  <c:v>0.95</c:v>
                </c:pt>
                <c:pt idx="859">
                  <c:v>0.95</c:v>
                </c:pt>
                <c:pt idx="860">
                  <c:v>0.95</c:v>
                </c:pt>
                <c:pt idx="861">
                  <c:v>0.95</c:v>
                </c:pt>
                <c:pt idx="862">
                  <c:v>0.95</c:v>
                </c:pt>
                <c:pt idx="863">
                  <c:v>0.95</c:v>
                </c:pt>
                <c:pt idx="864">
                  <c:v>0.95</c:v>
                </c:pt>
                <c:pt idx="865">
                  <c:v>0.95</c:v>
                </c:pt>
                <c:pt idx="866">
                  <c:v>0.95</c:v>
                </c:pt>
                <c:pt idx="867">
                  <c:v>0.95</c:v>
                </c:pt>
                <c:pt idx="868">
                  <c:v>0.95</c:v>
                </c:pt>
                <c:pt idx="869">
                  <c:v>0.95</c:v>
                </c:pt>
                <c:pt idx="870">
                  <c:v>0.95</c:v>
                </c:pt>
                <c:pt idx="871">
                  <c:v>0.95</c:v>
                </c:pt>
                <c:pt idx="872">
                  <c:v>0.95</c:v>
                </c:pt>
                <c:pt idx="873">
                  <c:v>0.95</c:v>
                </c:pt>
                <c:pt idx="874">
                  <c:v>0.95</c:v>
                </c:pt>
                <c:pt idx="875">
                  <c:v>0.95</c:v>
                </c:pt>
                <c:pt idx="876">
                  <c:v>0.95</c:v>
                </c:pt>
                <c:pt idx="877">
                  <c:v>0.95</c:v>
                </c:pt>
                <c:pt idx="878">
                  <c:v>0.95</c:v>
                </c:pt>
                <c:pt idx="879">
                  <c:v>0.95</c:v>
                </c:pt>
                <c:pt idx="880">
                  <c:v>0.95</c:v>
                </c:pt>
                <c:pt idx="881">
                  <c:v>0.95</c:v>
                </c:pt>
                <c:pt idx="882">
                  <c:v>0.95</c:v>
                </c:pt>
                <c:pt idx="883">
                  <c:v>0.95</c:v>
                </c:pt>
                <c:pt idx="884">
                  <c:v>0.95</c:v>
                </c:pt>
                <c:pt idx="885">
                  <c:v>0.95</c:v>
                </c:pt>
                <c:pt idx="886">
                  <c:v>0.95</c:v>
                </c:pt>
                <c:pt idx="887">
                  <c:v>0.95</c:v>
                </c:pt>
                <c:pt idx="888">
                  <c:v>0.95</c:v>
                </c:pt>
                <c:pt idx="889">
                  <c:v>0.95</c:v>
                </c:pt>
                <c:pt idx="890">
                  <c:v>0.95</c:v>
                </c:pt>
                <c:pt idx="891">
                  <c:v>0.95</c:v>
                </c:pt>
                <c:pt idx="892">
                  <c:v>0.95</c:v>
                </c:pt>
                <c:pt idx="893">
                  <c:v>0.95</c:v>
                </c:pt>
                <c:pt idx="894">
                  <c:v>0.95</c:v>
                </c:pt>
                <c:pt idx="895">
                  <c:v>0.95</c:v>
                </c:pt>
                <c:pt idx="896">
                  <c:v>0.95</c:v>
                </c:pt>
                <c:pt idx="897">
                  <c:v>0.95</c:v>
                </c:pt>
                <c:pt idx="898">
                  <c:v>0.95</c:v>
                </c:pt>
                <c:pt idx="899">
                  <c:v>0.95</c:v>
                </c:pt>
                <c:pt idx="900">
                  <c:v>0.95</c:v>
                </c:pt>
                <c:pt idx="901">
                  <c:v>0.95</c:v>
                </c:pt>
                <c:pt idx="902">
                  <c:v>0.95</c:v>
                </c:pt>
                <c:pt idx="903">
                  <c:v>0.95</c:v>
                </c:pt>
                <c:pt idx="904">
                  <c:v>0.95</c:v>
                </c:pt>
                <c:pt idx="905">
                  <c:v>0.95</c:v>
                </c:pt>
                <c:pt idx="906">
                  <c:v>0.95</c:v>
                </c:pt>
                <c:pt idx="907">
                  <c:v>0.95</c:v>
                </c:pt>
                <c:pt idx="908">
                  <c:v>0.95</c:v>
                </c:pt>
                <c:pt idx="909">
                  <c:v>0.95</c:v>
                </c:pt>
                <c:pt idx="910">
                  <c:v>0.95</c:v>
                </c:pt>
                <c:pt idx="911">
                  <c:v>0.95</c:v>
                </c:pt>
                <c:pt idx="912">
                  <c:v>0.95</c:v>
                </c:pt>
                <c:pt idx="913">
                  <c:v>0.95</c:v>
                </c:pt>
                <c:pt idx="914">
                  <c:v>0.95</c:v>
                </c:pt>
                <c:pt idx="915">
                  <c:v>0.95</c:v>
                </c:pt>
                <c:pt idx="916">
                  <c:v>0.95</c:v>
                </c:pt>
                <c:pt idx="917">
                  <c:v>0.95</c:v>
                </c:pt>
                <c:pt idx="918">
                  <c:v>0.95</c:v>
                </c:pt>
                <c:pt idx="919">
                  <c:v>0.95</c:v>
                </c:pt>
                <c:pt idx="920">
                  <c:v>0.95</c:v>
                </c:pt>
                <c:pt idx="921">
                  <c:v>0.95</c:v>
                </c:pt>
                <c:pt idx="922">
                  <c:v>0.95</c:v>
                </c:pt>
                <c:pt idx="923">
                  <c:v>0.95</c:v>
                </c:pt>
                <c:pt idx="924">
                  <c:v>0.95</c:v>
                </c:pt>
                <c:pt idx="925">
                  <c:v>0.95</c:v>
                </c:pt>
                <c:pt idx="926">
                  <c:v>0.95</c:v>
                </c:pt>
                <c:pt idx="927">
                  <c:v>0.95</c:v>
                </c:pt>
                <c:pt idx="928">
                  <c:v>0.95</c:v>
                </c:pt>
                <c:pt idx="929">
                  <c:v>0.95</c:v>
                </c:pt>
                <c:pt idx="930">
                  <c:v>0.95</c:v>
                </c:pt>
                <c:pt idx="931">
                  <c:v>0.95</c:v>
                </c:pt>
                <c:pt idx="932">
                  <c:v>0.95</c:v>
                </c:pt>
                <c:pt idx="933">
                  <c:v>0.95</c:v>
                </c:pt>
                <c:pt idx="934">
                  <c:v>0.95</c:v>
                </c:pt>
                <c:pt idx="935">
                  <c:v>0.95</c:v>
                </c:pt>
                <c:pt idx="936">
                  <c:v>0.95</c:v>
                </c:pt>
                <c:pt idx="937">
                  <c:v>0.95</c:v>
                </c:pt>
                <c:pt idx="938">
                  <c:v>0.95</c:v>
                </c:pt>
                <c:pt idx="939">
                  <c:v>0.95</c:v>
                </c:pt>
                <c:pt idx="940">
                  <c:v>0.95</c:v>
                </c:pt>
                <c:pt idx="941">
                  <c:v>0.95</c:v>
                </c:pt>
                <c:pt idx="942">
                  <c:v>0.95</c:v>
                </c:pt>
                <c:pt idx="943">
                  <c:v>0.95</c:v>
                </c:pt>
                <c:pt idx="944">
                  <c:v>0.95</c:v>
                </c:pt>
                <c:pt idx="945">
                  <c:v>0.95</c:v>
                </c:pt>
                <c:pt idx="946">
                  <c:v>0.95</c:v>
                </c:pt>
                <c:pt idx="947">
                  <c:v>0.95</c:v>
                </c:pt>
                <c:pt idx="948">
                  <c:v>0.95</c:v>
                </c:pt>
                <c:pt idx="949">
                  <c:v>0.95</c:v>
                </c:pt>
                <c:pt idx="950">
                  <c:v>0.95</c:v>
                </c:pt>
                <c:pt idx="951">
                  <c:v>0.95</c:v>
                </c:pt>
                <c:pt idx="952">
                  <c:v>0.95</c:v>
                </c:pt>
                <c:pt idx="953">
                  <c:v>0.95</c:v>
                </c:pt>
                <c:pt idx="954">
                  <c:v>0.95</c:v>
                </c:pt>
                <c:pt idx="955">
                  <c:v>0.95</c:v>
                </c:pt>
                <c:pt idx="956">
                  <c:v>0.95</c:v>
                </c:pt>
                <c:pt idx="957">
                  <c:v>0.95</c:v>
                </c:pt>
                <c:pt idx="958">
                  <c:v>0.95</c:v>
                </c:pt>
                <c:pt idx="959">
                  <c:v>0.95</c:v>
                </c:pt>
                <c:pt idx="960">
                  <c:v>0.95</c:v>
                </c:pt>
                <c:pt idx="961">
                  <c:v>0.95</c:v>
                </c:pt>
                <c:pt idx="962">
                  <c:v>0.95</c:v>
                </c:pt>
                <c:pt idx="963">
                  <c:v>0.95</c:v>
                </c:pt>
                <c:pt idx="964">
                  <c:v>0.95</c:v>
                </c:pt>
                <c:pt idx="965">
                  <c:v>0.95</c:v>
                </c:pt>
                <c:pt idx="966">
                  <c:v>0.95</c:v>
                </c:pt>
                <c:pt idx="967">
                  <c:v>0.95</c:v>
                </c:pt>
                <c:pt idx="968">
                  <c:v>0.95</c:v>
                </c:pt>
                <c:pt idx="969">
                  <c:v>0.95</c:v>
                </c:pt>
                <c:pt idx="970">
                  <c:v>0.95</c:v>
                </c:pt>
                <c:pt idx="971">
                  <c:v>0.95</c:v>
                </c:pt>
                <c:pt idx="972">
                  <c:v>0.95</c:v>
                </c:pt>
                <c:pt idx="973">
                  <c:v>0.95</c:v>
                </c:pt>
                <c:pt idx="974">
                  <c:v>0.95</c:v>
                </c:pt>
                <c:pt idx="975">
                  <c:v>0.95</c:v>
                </c:pt>
                <c:pt idx="976">
                  <c:v>0.95</c:v>
                </c:pt>
                <c:pt idx="977">
                  <c:v>0.95</c:v>
                </c:pt>
                <c:pt idx="978">
                  <c:v>0.95</c:v>
                </c:pt>
                <c:pt idx="979">
                  <c:v>0.95</c:v>
                </c:pt>
                <c:pt idx="980">
                  <c:v>0.95</c:v>
                </c:pt>
                <c:pt idx="981">
                  <c:v>0.95</c:v>
                </c:pt>
                <c:pt idx="982">
                  <c:v>0.95</c:v>
                </c:pt>
                <c:pt idx="983">
                  <c:v>0.95</c:v>
                </c:pt>
                <c:pt idx="984">
                  <c:v>0.95</c:v>
                </c:pt>
                <c:pt idx="985">
                  <c:v>0.95</c:v>
                </c:pt>
                <c:pt idx="986">
                  <c:v>0.95</c:v>
                </c:pt>
                <c:pt idx="987">
                  <c:v>0.95</c:v>
                </c:pt>
                <c:pt idx="988">
                  <c:v>0.95</c:v>
                </c:pt>
                <c:pt idx="989">
                  <c:v>0.95</c:v>
                </c:pt>
                <c:pt idx="990">
                  <c:v>0.95</c:v>
                </c:pt>
                <c:pt idx="991">
                  <c:v>0.95</c:v>
                </c:pt>
                <c:pt idx="992">
                  <c:v>0.95</c:v>
                </c:pt>
                <c:pt idx="993">
                  <c:v>0.95</c:v>
                </c:pt>
                <c:pt idx="994">
                  <c:v>0.95</c:v>
                </c:pt>
                <c:pt idx="995">
                  <c:v>0.95</c:v>
                </c:pt>
                <c:pt idx="996">
                  <c:v>0.95</c:v>
                </c:pt>
                <c:pt idx="997">
                  <c:v>0.95</c:v>
                </c:pt>
                <c:pt idx="998">
                  <c:v>0.95</c:v>
                </c:pt>
                <c:pt idx="999">
                  <c:v>0.95</c:v>
                </c:pt>
                <c:pt idx="1000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C3-48E5-BD49-F9AB3FC1C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901887"/>
        <c:axId val="1564903967"/>
      </c:lineChart>
      <c:catAx>
        <c:axId val="156490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3967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156490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>
            <a:solidFill>
              <a:schemeClr val="tx1"/>
            </a:solidFill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Лист4!$V$1</c:f>
              <c:strCache>
                <c:ptCount val="1"/>
                <c:pt idx="0">
                  <c:v>y(nT0)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Лист4!$V$2:$V$1002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9.1554131380178535E-3</c:v>
                </c:pt>
                <c:pt idx="64">
                  <c:v>3.509575036240177E-2</c:v>
                </c:pt>
                <c:pt idx="65">
                  <c:v>7.6295109483482115E-2</c:v>
                </c:pt>
                <c:pt idx="66">
                  <c:v>0.12359807736324101</c:v>
                </c:pt>
                <c:pt idx="67">
                  <c:v>0.16784924086366065</c:v>
                </c:pt>
                <c:pt idx="68">
                  <c:v>0.21057450217441062</c:v>
                </c:pt>
                <c:pt idx="69">
                  <c:v>0.25177386129549095</c:v>
                </c:pt>
                <c:pt idx="70">
                  <c:v>0.29144731822690167</c:v>
                </c:pt>
                <c:pt idx="71">
                  <c:v>0.3295948729686427</c:v>
                </c:pt>
                <c:pt idx="72">
                  <c:v>0.36469062333104446</c:v>
                </c:pt>
                <c:pt idx="73">
                  <c:v>0.39978637369344622</c:v>
                </c:pt>
                <c:pt idx="74">
                  <c:v>0.43488212405584803</c:v>
                </c:pt>
                <c:pt idx="75">
                  <c:v>0.46692607003891051</c:v>
                </c:pt>
                <c:pt idx="76">
                  <c:v>0.49897001602197294</c:v>
                </c:pt>
                <c:pt idx="77">
                  <c:v>0.53101396200503548</c:v>
                </c:pt>
                <c:pt idx="78">
                  <c:v>0.56153200579842832</c:v>
                </c:pt>
                <c:pt idx="79">
                  <c:v>0.59052414740215153</c:v>
                </c:pt>
                <c:pt idx="80">
                  <c:v>0.61951628900587474</c:v>
                </c:pt>
                <c:pt idx="81">
                  <c:v>0.64850843060959795</c:v>
                </c:pt>
                <c:pt idx="82">
                  <c:v>0.67597467002365152</c:v>
                </c:pt>
                <c:pt idx="83">
                  <c:v>0.7034409094377051</c:v>
                </c:pt>
                <c:pt idx="84">
                  <c:v>0.73090714885175856</c:v>
                </c:pt>
                <c:pt idx="85">
                  <c:v>0.75837338826581213</c:v>
                </c:pt>
                <c:pt idx="86">
                  <c:v>0.78431372549019607</c:v>
                </c:pt>
                <c:pt idx="87">
                  <c:v>0.80872816052491048</c:v>
                </c:pt>
                <c:pt idx="88">
                  <c:v>0.83161669336995503</c:v>
                </c:pt>
                <c:pt idx="89">
                  <c:v>0.85145342183566031</c:v>
                </c:pt>
                <c:pt idx="90">
                  <c:v>0.86976424811169606</c:v>
                </c:pt>
                <c:pt idx="91">
                  <c:v>0.88654917219806206</c:v>
                </c:pt>
                <c:pt idx="92">
                  <c:v>0.90180819409475843</c:v>
                </c:pt>
                <c:pt idx="93">
                  <c:v>0.91401541161211575</c:v>
                </c:pt>
                <c:pt idx="94">
                  <c:v>0.92622262912947284</c:v>
                </c:pt>
                <c:pt idx="95">
                  <c:v>0.93537804226749066</c:v>
                </c:pt>
                <c:pt idx="96">
                  <c:v>0.94453345540550848</c:v>
                </c:pt>
                <c:pt idx="97">
                  <c:v>0.95216296635385678</c:v>
                </c:pt>
                <c:pt idx="98">
                  <c:v>0.95826657511253532</c:v>
                </c:pt>
                <c:pt idx="99">
                  <c:v>0.96437018387121387</c:v>
                </c:pt>
                <c:pt idx="100">
                  <c:v>0.96894789044022278</c:v>
                </c:pt>
                <c:pt idx="101">
                  <c:v>0.97352559700923169</c:v>
                </c:pt>
                <c:pt idx="102">
                  <c:v>0.97657740138857096</c:v>
                </c:pt>
                <c:pt idx="103">
                  <c:v>0.9781033035782406</c:v>
                </c:pt>
                <c:pt idx="104">
                  <c:v>0.97962920576791024</c:v>
                </c:pt>
                <c:pt idx="105">
                  <c:v>0.98115510795757988</c:v>
                </c:pt>
                <c:pt idx="106">
                  <c:v>0.98115510795757988</c:v>
                </c:pt>
                <c:pt idx="107">
                  <c:v>0.98115510795757988</c:v>
                </c:pt>
                <c:pt idx="108">
                  <c:v>0.97962920576791024</c:v>
                </c:pt>
                <c:pt idx="109">
                  <c:v>0.9781033035782406</c:v>
                </c:pt>
                <c:pt idx="110">
                  <c:v>0.97657740138857096</c:v>
                </c:pt>
                <c:pt idx="111">
                  <c:v>0.97352559700923169</c:v>
                </c:pt>
                <c:pt idx="112">
                  <c:v>0.97047379262989242</c:v>
                </c:pt>
                <c:pt idx="113">
                  <c:v>0.96742198825055314</c:v>
                </c:pt>
                <c:pt idx="114">
                  <c:v>0.96437018387121387</c:v>
                </c:pt>
                <c:pt idx="115">
                  <c:v>0.9613183794918746</c:v>
                </c:pt>
                <c:pt idx="116">
                  <c:v>0.95826657511253532</c:v>
                </c:pt>
                <c:pt idx="117">
                  <c:v>0.95368886854352641</c:v>
                </c:pt>
                <c:pt idx="118">
                  <c:v>0.95063706416418703</c:v>
                </c:pt>
                <c:pt idx="119">
                  <c:v>0.94758525978484776</c:v>
                </c:pt>
                <c:pt idx="120">
                  <c:v>0.94453345540550848</c:v>
                </c:pt>
                <c:pt idx="121">
                  <c:v>0.94148165102616921</c:v>
                </c:pt>
                <c:pt idx="122">
                  <c:v>0.93842984664682993</c:v>
                </c:pt>
                <c:pt idx="123">
                  <c:v>0.9369039444571603</c:v>
                </c:pt>
                <c:pt idx="124">
                  <c:v>0.93385214007782102</c:v>
                </c:pt>
                <c:pt idx="125">
                  <c:v>0.93232623788815139</c:v>
                </c:pt>
                <c:pt idx="126">
                  <c:v>0.92927443350881211</c:v>
                </c:pt>
                <c:pt idx="127">
                  <c:v>0.92774853131914248</c:v>
                </c:pt>
                <c:pt idx="128">
                  <c:v>0.92622262912947284</c:v>
                </c:pt>
                <c:pt idx="129">
                  <c:v>0.92622262912947284</c:v>
                </c:pt>
                <c:pt idx="130">
                  <c:v>0.9246967269398032</c:v>
                </c:pt>
                <c:pt idx="131">
                  <c:v>0.9246967269398032</c:v>
                </c:pt>
                <c:pt idx="132">
                  <c:v>0.92317082475013357</c:v>
                </c:pt>
                <c:pt idx="133">
                  <c:v>0.92317082475013357</c:v>
                </c:pt>
                <c:pt idx="134">
                  <c:v>0.92317082475013357</c:v>
                </c:pt>
                <c:pt idx="135">
                  <c:v>0.9246967269398032</c:v>
                </c:pt>
                <c:pt idx="136">
                  <c:v>0.9246967269398032</c:v>
                </c:pt>
                <c:pt idx="137">
                  <c:v>0.92622262912947284</c:v>
                </c:pt>
                <c:pt idx="138">
                  <c:v>0.92774853131914248</c:v>
                </c:pt>
                <c:pt idx="139">
                  <c:v>0.92774853131914248</c:v>
                </c:pt>
                <c:pt idx="140">
                  <c:v>0.93080033569848175</c:v>
                </c:pt>
                <c:pt idx="141">
                  <c:v>0.93232623788815139</c:v>
                </c:pt>
                <c:pt idx="142">
                  <c:v>0.93385214007782102</c:v>
                </c:pt>
                <c:pt idx="143">
                  <c:v>0.93537804226749066</c:v>
                </c:pt>
                <c:pt idx="144">
                  <c:v>0.93842984664682993</c:v>
                </c:pt>
                <c:pt idx="145">
                  <c:v>0.93995574883649957</c:v>
                </c:pt>
                <c:pt idx="146">
                  <c:v>0.94300755321583885</c:v>
                </c:pt>
                <c:pt idx="147">
                  <c:v>0.94605935759517812</c:v>
                </c:pt>
                <c:pt idx="148">
                  <c:v>0.94758525978484776</c:v>
                </c:pt>
                <c:pt idx="149">
                  <c:v>0.95063706416418703</c:v>
                </c:pt>
                <c:pt idx="150">
                  <c:v>0.95368886854352641</c:v>
                </c:pt>
                <c:pt idx="151">
                  <c:v>0.95674067292286569</c:v>
                </c:pt>
                <c:pt idx="152">
                  <c:v>0.95826657511253532</c:v>
                </c:pt>
                <c:pt idx="153">
                  <c:v>0.9613183794918746</c:v>
                </c:pt>
                <c:pt idx="154">
                  <c:v>0.96437018387121387</c:v>
                </c:pt>
                <c:pt idx="155">
                  <c:v>0.96742198825055314</c:v>
                </c:pt>
                <c:pt idx="156">
                  <c:v>0.96894789044022278</c:v>
                </c:pt>
                <c:pt idx="157">
                  <c:v>0.97199969481956205</c:v>
                </c:pt>
                <c:pt idx="158">
                  <c:v>0.97505149919890133</c:v>
                </c:pt>
                <c:pt idx="159">
                  <c:v>0.97657740138857096</c:v>
                </c:pt>
                <c:pt idx="160">
                  <c:v>0.97962920576791024</c:v>
                </c:pt>
                <c:pt idx="161">
                  <c:v>0.98268101014724951</c:v>
                </c:pt>
                <c:pt idx="162">
                  <c:v>0.98420691233691915</c:v>
                </c:pt>
                <c:pt idx="163">
                  <c:v>0.98573281452658879</c:v>
                </c:pt>
                <c:pt idx="164">
                  <c:v>0.98878461890592806</c:v>
                </c:pt>
                <c:pt idx="165">
                  <c:v>0.9903105210955977</c:v>
                </c:pt>
                <c:pt idx="166">
                  <c:v>0.99183642328526733</c:v>
                </c:pt>
                <c:pt idx="167">
                  <c:v>0.99336232547493697</c:v>
                </c:pt>
                <c:pt idx="168">
                  <c:v>0.99488822766460661</c:v>
                </c:pt>
                <c:pt idx="169">
                  <c:v>0.99641412985427624</c:v>
                </c:pt>
                <c:pt idx="170">
                  <c:v>0.99794003204394588</c:v>
                </c:pt>
                <c:pt idx="171">
                  <c:v>0.99946593423361552</c:v>
                </c:pt>
                <c:pt idx="172">
                  <c:v>1.0009918364232853</c:v>
                </c:pt>
                <c:pt idx="173">
                  <c:v>1.0025177386129549</c:v>
                </c:pt>
                <c:pt idx="174">
                  <c:v>1.0025177386129549</c:v>
                </c:pt>
                <c:pt idx="175">
                  <c:v>1.0040436408026245</c:v>
                </c:pt>
                <c:pt idx="176">
                  <c:v>1.0040436408026245</c:v>
                </c:pt>
                <c:pt idx="177">
                  <c:v>1.0055695429922942</c:v>
                </c:pt>
                <c:pt idx="178">
                  <c:v>1.0055695429922942</c:v>
                </c:pt>
                <c:pt idx="179">
                  <c:v>1.0055695429922942</c:v>
                </c:pt>
                <c:pt idx="180">
                  <c:v>1.0070954451819638</c:v>
                </c:pt>
                <c:pt idx="181">
                  <c:v>1.0070954451819638</c:v>
                </c:pt>
                <c:pt idx="182">
                  <c:v>1.0070954451819638</c:v>
                </c:pt>
                <c:pt idx="183">
                  <c:v>1.0070954451819638</c:v>
                </c:pt>
                <c:pt idx="184">
                  <c:v>1.0070954451819638</c:v>
                </c:pt>
                <c:pt idx="185">
                  <c:v>1.0070954451819638</c:v>
                </c:pt>
                <c:pt idx="186">
                  <c:v>1.0070954451819638</c:v>
                </c:pt>
                <c:pt idx="187">
                  <c:v>1.0070954451819638</c:v>
                </c:pt>
                <c:pt idx="188">
                  <c:v>1.0070954451819638</c:v>
                </c:pt>
                <c:pt idx="189">
                  <c:v>1.0070954451819638</c:v>
                </c:pt>
                <c:pt idx="190">
                  <c:v>1.0070954451819638</c:v>
                </c:pt>
                <c:pt idx="191">
                  <c:v>1.0070954451819638</c:v>
                </c:pt>
                <c:pt idx="192">
                  <c:v>1.0055695429922942</c:v>
                </c:pt>
                <c:pt idx="193">
                  <c:v>1.0055695429922942</c:v>
                </c:pt>
                <c:pt idx="194">
                  <c:v>1.0055695429922942</c:v>
                </c:pt>
                <c:pt idx="195">
                  <c:v>1.0055695429922942</c:v>
                </c:pt>
                <c:pt idx="196">
                  <c:v>1.0040436408026245</c:v>
                </c:pt>
                <c:pt idx="197">
                  <c:v>1.0040436408026245</c:v>
                </c:pt>
                <c:pt idx="198">
                  <c:v>1.0040436408026245</c:v>
                </c:pt>
                <c:pt idx="199">
                  <c:v>1.0040436408026245</c:v>
                </c:pt>
                <c:pt idx="200">
                  <c:v>1.0025177386129549</c:v>
                </c:pt>
                <c:pt idx="201">
                  <c:v>1.0025177386129549</c:v>
                </c:pt>
                <c:pt idx="202">
                  <c:v>1.0025177386129549</c:v>
                </c:pt>
                <c:pt idx="203">
                  <c:v>1.0025177386129549</c:v>
                </c:pt>
                <c:pt idx="204">
                  <c:v>1.0009918364232853</c:v>
                </c:pt>
                <c:pt idx="205">
                  <c:v>1.0009918364232853</c:v>
                </c:pt>
                <c:pt idx="206">
                  <c:v>1.0009918364232853</c:v>
                </c:pt>
                <c:pt idx="207">
                  <c:v>1.0009918364232853</c:v>
                </c:pt>
                <c:pt idx="208">
                  <c:v>1.0009918364232853</c:v>
                </c:pt>
                <c:pt idx="209">
                  <c:v>1.0009918364232853</c:v>
                </c:pt>
                <c:pt idx="210">
                  <c:v>1.0009918364232853</c:v>
                </c:pt>
                <c:pt idx="211">
                  <c:v>0.99946593423361552</c:v>
                </c:pt>
                <c:pt idx="212">
                  <c:v>0.99946593423361552</c:v>
                </c:pt>
                <c:pt idx="213">
                  <c:v>0.99946593423361552</c:v>
                </c:pt>
                <c:pt idx="214">
                  <c:v>0.99946593423361552</c:v>
                </c:pt>
                <c:pt idx="215">
                  <c:v>0.99946593423361552</c:v>
                </c:pt>
                <c:pt idx="216">
                  <c:v>0.99946593423361552</c:v>
                </c:pt>
                <c:pt idx="217">
                  <c:v>0.99946593423361552</c:v>
                </c:pt>
                <c:pt idx="218">
                  <c:v>0.99946593423361552</c:v>
                </c:pt>
                <c:pt idx="219">
                  <c:v>0.99946593423361552</c:v>
                </c:pt>
                <c:pt idx="220">
                  <c:v>0.99946593423361552</c:v>
                </c:pt>
                <c:pt idx="221">
                  <c:v>0.99946593423361552</c:v>
                </c:pt>
                <c:pt idx="222">
                  <c:v>0.99946593423361552</c:v>
                </c:pt>
                <c:pt idx="223">
                  <c:v>0.99946593423361552</c:v>
                </c:pt>
                <c:pt idx="224">
                  <c:v>0.99946593423361552</c:v>
                </c:pt>
                <c:pt idx="225">
                  <c:v>0.99946593423361552</c:v>
                </c:pt>
                <c:pt idx="226">
                  <c:v>0.99946593423361552</c:v>
                </c:pt>
                <c:pt idx="227">
                  <c:v>0.99946593423361552</c:v>
                </c:pt>
                <c:pt idx="228">
                  <c:v>0.99946593423361552</c:v>
                </c:pt>
                <c:pt idx="229">
                  <c:v>0.99946593423361552</c:v>
                </c:pt>
                <c:pt idx="230">
                  <c:v>0.99946593423361552</c:v>
                </c:pt>
                <c:pt idx="231">
                  <c:v>0.99946593423361552</c:v>
                </c:pt>
                <c:pt idx="232">
                  <c:v>1.0009918364232853</c:v>
                </c:pt>
                <c:pt idx="233">
                  <c:v>1.0009918364232853</c:v>
                </c:pt>
                <c:pt idx="234">
                  <c:v>1.0009918364232853</c:v>
                </c:pt>
                <c:pt idx="235">
                  <c:v>1.0009918364232853</c:v>
                </c:pt>
                <c:pt idx="236">
                  <c:v>1.0009918364232853</c:v>
                </c:pt>
                <c:pt idx="237">
                  <c:v>1.0009918364232853</c:v>
                </c:pt>
                <c:pt idx="238">
                  <c:v>1.0009918364232853</c:v>
                </c:pt>
                <c:pt idx="239">
                  <c:v>1.0009918364232853</c:v>
                </c:pt>
                <c:pt idx="240">
                  <c:v>1.0009918364232853</c:v>
                </c:pt>
                <c:pt idx="241">
                  <c:v>1.0009918364232853</c:v>
                </c:pt>
                <c:pt idx="242">
                  <c:v>1.0009918364232853</c:v>
                </c:pt>
                <c:pt idx="243">
                  <c:v>1.0009918364232853</c:v>
                </c:pt>
                <c:pt idx="244">
                  <c:v>1.0009918364232853</c:v>
                </c:pt>
                <c:pt idx="245">
                  <c:v>1.0009918364232853</c:v>
                </c:pt>
                <c:pt idx="246">
                  <c:v>1.0009918364232853</c:v>
                </c:pt>
                <c:pt idx="247">
                  <c:v>1.0009918364232853</c:v>
                </c:pt>
                <c:pt idx="248">
                  <c:v>1.0009918364232853</c:v>
                </c:pt>
                <c:pt idx="249">
                  <c:v>1.0009918364232853</c:v>
                </c:pt>
                <c:pt idx="250">
                  <c:v>1.0009918364232853</c:v>
                </c:pt>
                <c:pt idx="251">
                  <c:v>1.0009918364232853</c:v>
                </c:pt>
                <c:pt idx="252">
                  <c:v>1.0009918364232853</c:v>
                </c:pt>
                <c:pt idx="253">
                  <c:v>1.0009918364232853</c:v>
                </c:pt>
                <c:pt idx="254">
                  <c:v>1.0009918364232853</c:v>
                </c:pt>
                <c:pt idx="255">
                  <c:v>1.0009918364232853</c:v>
                </c:pt>
                <c:pt idx="256">
                  <c:v>1.0009918364232853</c:v>
                </c:pt>
                <c:pt idx="257">
                  <c:v>1.0009918364232853</c:v>
                </c:pt>
                <c:pt idx="258">
                  <c:v>1.0009918364232853</c:v>
                </c:pt>
                <c:pt idx="259">
                  <c:v>1.0009918364232853</c:v>
                </c:pt>
                <c:pt idx="260">
                  <c:v>1.0009918364232853</c:v>
                </c:pt>
                <c:pt idx="261">
                  <c:v>1.0009918364232853</c:v>
                </c:pt>
                <c:pt idx="262">
                  <c:v>1.0009918364232853</c:v>
                </c:pt>
                <c:pt idx="263">
                  <c:v>1.0009918364232853</c:v>
                </c:pt>
                <c:pt idx="264">
                  <c:v>1.0009918364232853</c:v>
                </c:pt>
                <c:pt idx="265">
                  <c:v>1.0009918364232853</c:v>
                </c:pt>
                <c:pt idx="266">
                  <c:v>1.0009918364232853</c:v>
                </c:pt>
                <c:pt idx="267">
                  <c:v>1.0009918364232853</c:v>
                </c:pt>
                <c:pt idx="268">
                  <c:v>1.0009918364232853</c:v>
                </c:pt>
                <c:pt idx="269">
                  <c:v>1.0009918364232853</c:v>
                </c:pt>
                <c:pt idx="270">
                  <c:v>1.0009918364232853</c:v>
                </c:pt>
                <c:pt idx="271">
                  <c:v>1.0009918364232853</c:v>
                </c:pt>
                <c:pt idx="272">
                  <c:v>1.0009918364232853</c:v>
                </c:pt>
                <c:pt idx="273">
                  <c:v>1.0009918364232853</c:v>
                </c:pt>
                <c:pt idx="274">
                  <c:v>0.99946593423361552</c:v>
                </c:pt>
                <c:pt idx="275">
                  <c:v>0.99946593423361552</c:v>
                </c:pt>
                <c:pt idx="276">
                  <c:v>0.99946593423361552</c:v>
                </c:pt>
                <c:pt idx="277">
                  <c:v>0.99946593423361552</c:v>
                </c:pt>
                <c:pt idx="278">
                  <c:v>0.99946593423361552</c:v>
                </c:pt>
                <c:pt idx="279">
                  <c:v>0.99946593423361552</c:v>
                </c:pt>
                <c:pt idx="280">
                  <c:v>0.99946593423361552</c:v>
                </c:pt>
                <c:pt idx="281">
                  <c:v>0.99946593423361552</c:v>
                </c:pt>
                <c:pt idx="282">
                  <c:v>0.99946593423361552</c:v>
                </c:pt>
                <c:pt idx="283">
                  <c:v>0.99946593423361552</c:v>
                </c:pt>
                <c:pt idx="284">
                  <c:v>0.99946593423361552</c:v>
                </c:pt>
                <c:pt idx="285">
                  <c:v>0.99946593423361552</c:v>
                </c:pt>
                <c:pt idx="286">
                  <c:v>0.99946593423361552</c:v>
                </c:pt>
                <c:pt idx="287">
                  <c:v>0.99946593423361552</c:v>
                </c:pt>
                <c:pt idx="288">
                  <c:v>0.99946593423361552</c:v>
                </c:pt>
                <c:pt idx="289">
                  <c:v>0.99946593423361552</c:v>
                </c:pt>
                <c:pt idx="290">
                  <c:v>0.99946593423361552</c:v>
                </c:pt>
                <c:pt idx="291">
                  <c:v>0.99946593423361552</c:v>
                </c:pt>
                <c:pt idx="292">
                  <c:v>0.99946593423361552</c:v>
                </c:pt>
                <c:pt idx="293">
                  <c:v>0.99946593423361552</c:v>
                </c:pt>
                <c:pt idx="294">
                  <c:v>0.99946593423361552</c:v>
                </c:pt>
                <c:pt idx="295">
                  <c:v>0.99946593423361552</c:v>
                </c:pt>
                <c:pt idx="296">
                  <c:v>0.99946593423361552</c:v>
                </c:pt>
                <c:pt idx="297">
                  <c:v>0.99946593423361552</c:v>
                </c:pt>
                <c:pt idx="298">
                  <c:v>0.99946593423361552</c:v>
                </c:pt>
                <c:pt idx="299">
                  <c:v>1.0009918364232853</c:v>
                </c:pt>
                <c:pt idx="300">
                  <c:v>1.0009918364232853</c:v>
                </c:pt>
                <c:pt idx="301">
                  <c:v>1.0009918364232853</c:v>
                </c:pt>
                <c:pt idx="302">
                  <c:v>1.0009918364232853</c:v>
                </c:pt>
                <c:pt idx="303">
                  <c:v>1.0009918364232853</c:v>
                </c:pt>
                <c:pt idx="304">
                  <c:v>1.0009918364232853</c:v>
                </c:pt>
                <c:pt idx="305">
                  <c:v>1.0009918364232853</c:v>
                </c:pt>
                <c:pt idx="306">
                  <c:v>1.0009918364232853</c:v>
                </c:pt>
                <c:pt idx="307">
                  <c:v>1.0009918364232853</c:v>
                </c:pt>
                <c:pt idx="308">
                  <c:v>1.0009918364232853</c:v>
                </c:pt>
                <c:pt idx="309">
                  <c:v>1.0009918364232853</c:v>
                </c:pt>
                <c:pt idx="310">
                  <c:v>1.0009918364232853</c:v>
                </c:pt>
                <c:pt idx="311">
                  <c:v>1.0009918364232853</c:v>
                </c:pt>
                <c:pt idx="312">
                  <c:v>1.0009918364232853</c:v>
                </c:pt>
                <c:pt idx="313">
                  <c:v>1.0009918364232853</c:v>
                </c:pt>
                <c:pt idx="314">
                  <c:v>1.0009918364232853</c:v>
                </c:pt>
                <c:pt idx="315">
                  <c:v>1.0009918364232853</c:v>
                </c:pt>
                <c:pt idx="316">
                  <c:v>1.0009918364232853</c:v>
                </c:pt>
                <c:pt idx="317">
                  <c:v>1.0009918364232853</c:v>
                </c:pt>
                <c:pt idx="318">
                  <c:v>1.0009918364232853</c:v>
                </c:pt>
                <c:pt idx="319">
                  <c:v>1.0009918364232853</c:v>
                </c:pt>
                <c:pt idx="320">
                  <c:v>1.0009918364232853</c:v>
                </c:pt>
                <c:pt idx="321">
                  <c:v>1.0009918364232853</c:v>
                </c:pt>
                <c:pt idx="322">
                  <c:v>1.0009918364232853</c:v>
                </c:pt>
                <c:pt idx="323">
                  <c:v>1.0009918364232853</c:v>
                </c:pt>
                <c:pt idx="324">
                  <c:v>1.0009918364232853</c:v>
                </c:pt>
                <c:pt idx="325">
                  <c:v>1.0009918364232853</c:v>
                </c:pt>
                <c:pt idx="326">
                  <c:v>1.0009918364232853</c:v>
                </c:pt>
                <c:pt idx="327">
                  <c:v>1.0009918364232853</c:v>
                </c:pt>
                <c:pt idx="328">
                  <c:v>0.99946593423361552</c:v>
                </c:pt>
                <c:pt idx="329">
                  <c:v>0.99946593423361552</c:v>
                </c:pt>
                <c:pt idx="330">
                  <c:v>0.99946593423361552</c:v>
                </c:pt>
                <c:pt idx="331">
                  <c:v>0.99946593423361552</c:v>
                </c:pt>
                <c:pt idx="332">
                  <c:v>0.99946593423361552</c:v>
                </c:pt>
                <c:pt idx="333">
                  <c:v>0.99946593423361552</c:v>
                </c:pt>
                <c:pt idx="334">
                  <c:v>0.99946593423361552</c:v>
                </c:pt>
                <c:pt idx="335">
                  <c:v>0.99946593423361552</c:v>
                </c:pt>
                <c:pt idx="336">
                  <c:v>0.99946593423361552</c:v>
                </c:pt>
                <c:pt idx="337">
                  <c:v>0.99946593423361552</c:v>
                </c:pt>
                <c:pt idx="338">
                  <c:v>0.99946593423361552</c:v>
                </c:pt>
                <c:pt idx="339">
                  <c:v>0.99946593423361552</c:v>
                </c:pt>
                <c:pt idx="340">
                  <c:v>0.99946593423361552</c:v>
                </c:pt>
                <c:pt idx="341">
                  <c:v>0.99946593423361552</c:v>
                </c:pt>
                <c:pt idx="342">
                  <c:v>0.99946593423361552</c:v>
                </c:pt>
                <c:pt idx="343">
                  <c:v>0.99946593423361552</c:v>
                </c:pt>
                <c:pt idx="344">
                  <c:v>0.99946593423361552</c:v>
                </c:pt>
                <c:pt idx="345">
                  <c:v>0.99946593423361552</c:v>
                </c:pt>
                <c:pt idx="346">
                  <c:v>0.99946593423361552</c:v>
                </c:pt>
                <c:pt idx="347">
                  <c:v>0.99946593423361552</c:v>
                </c:pt>
                <c:pt idx="348">
                  <c:v>0.99946593423361552</c:v>
                </c:pt>
                <c:pt idx="349">
                  <c:v>0.99946593423361552</c:v>
                </c:pt>
                <c:pt idx="350">
                  <c:v>0.99946593423361552</c:v>
                </c:pt>
                <c:pt idx="351">
                  <c:v>0.99946593423361552</c:v>
                </c:pt>
                <c:pt idx="352">
                  <c:v>0.99946593423361552</c:v>
                </c:pt>
                <c:pt idx="353">
                  <c:v>0.99946593423361552</c:v>
                </c:pt>
                <c:pt idx="354">
                  <c:v>0.99946593423361552</c:v>
                </c:pt>
                <c:pt idx="355">
                  <c:v>1.0009918364232853</c:v>
                </c:pt>
                <c:pt idx="356">
                  <c:v>1.0009918364232853</c:v>
                </c:pt>
                <c:pt idx="357">
                  <c:v>1.0009918364232853</c:v>
                </c:pt>
                <c:pt idx="358">
                  <c:v>1.0009918364232853</c:v>
                </c:pt>
                <c:pt idx="359">
                  <c:v>1.0009918364232853</c:v>
                </c:pt>
                <c:pt idx="360">
                  <c:v>1.0009918364232853</c:v>
                </c:pt>
                <c:pt idx="361">
                  <c:v>1.0009918364232853</c:v>
                </c:pt>
                <c:pt idx="362">
                  <c:v>1.0009918364232853</c:v>
                </c:pt>
                <c:pt idx="363">
                  <c:v>1.0009918364232853</c:v>
                </c:pt>
                <c:pt idx="364">
                  <c:v>1.0009918364232853</c:v>
                </c:pt>
                <c:pt idx="365">
                  <c:v>1.0009918364232853</c:v>
                </c:pt>
                <c:pt idx="366">
                  <c:v>1.0009918364232853</c:v>
                </c:pt>
                <c:pt idx="367">
                  <c:v>1.0009918364232853</c:v>
                </c:pt>
                <c:pt idx="368">
                  <c:v>1.0009918364232853</c:v>
                </c:pt>
                <c:pt idx="369">
                  <c:v>1.0009918364232853</c:v>
                </c:pt>
                <c:pt idx="370">
                  <c:v>1.0009918364232853</c:v>
                </c:pt>
                <c:pt idx="371">
                  <c:v>1.0009918364232853</c:v>
                </c:pt>
                <c:pt idx="372">
                  <c:v>1.0009918364232853</c:v>
                </c:pt>
                <c:pt idx="373">
                  <c:v>1.0009918364232853</c:v>
                </c:pt>
                <c:pt idx="374">
                  <c:v>1.0009918364232853</c:v>
                </c:pt>
                <c:pt idx="375">
                  <c:v>1.0009918364232853</c:v>
                </c:pt>
                <c:pt idx="376">
                  <c:v>1.0009918364232853</c:v>
                </c:pt>
                <c:pt idx="377">
                  <c:v>1.0009918364232853</c:v>
                </c:pt>
                <c:pt idx="378">
                  <c:v>1.0009918364232853</c:v>
                </c:pt>
                <c:pt idx="379">
                  <c:v>1.0009918364232853</c:v>
                </c:pt>
                <c:pt idx="380">
                  <c:v>1.0009918364232853</c:v>
                </c:pt>
                <c:pt idx="381">
                  <c:v>1.0009918364232853</c:v>
                </c:pt>
                <c:pt idx="382">
                  <c:v>1.0009918364232853</c:v>
                </c:pt>
                <c:pt idx="383">
                  <c:v>0.99946593423361552</c:v>
                </c:pt>
                <c:pt idx="384">
                  <c:v>0.99946593423361552</c:v>
                </c:pt>
                <c:pt idx="385">
                  <c:v>0.99946593423361552</c:v>
                </c:pt>
                <c:pt idx="386">
                  <c:v>0.99946593423361552</c:v>
                </c:pt>
                <c:pt idx="387">
                  <c:v>0.99946593423361552</c:v>
                </c:pt>
                <c:pt idx="388">
                  <c:v>0.99946593423361552</c:v>
                </c:pt>
                <c:pt idx="389">
                  <c:v>0.99946593423361552</c:v>
                </c:pt>
                <c:pt idx="390">
                  <c:v>0.99946593423361552</c:v>
                </c:pt>
                <c:pt idx="391">
                  <c:v>0.99946593423361552</c:v>
                </c:pt>
                <c:pt idx="392">
                  <c:v>0.99946593423361552</c:v>
                </c:pt>
                <c:pt idx="393">
                  <c:v>0.99946593423361552</c:v>
                </c:pt>
                <c:pt idx="394">
                  <c:v>0.99946593423361552</c:v>
                </c:pt>
                <c:pt idx="395">
                  <c:v>0.99946593423361552</c:v>
                </c:pt>
                <c:pt idx="396">
                  <c:v>0.99946593423361552</c:v>
                </c:pt>
                <c:pt idx="397">
                  <c:v>0.99946593423361552</c:v>
                </c:pt>
                <c:pt idx="398">
                  <c:v>0.99946593423361552</c:v>
                </c:pt>
                <c:pt idx="399">
                  <c:v>0.99946593423361552</c:v>
                </c:pt>
                <c:pt idx="400">
                  <c:v>0.99946593423361552</c:v>
                </c:pt>
                <c:pt idx="401">
                  <c:v>0.99946593423361552</c:v>
                </c:pt>
                <c:pt idx="402">
                  <c:v>0.99946593423361552</c:v>
                </c:pt>
                <c:pt idx="403">
                  <c:v>0.99946593423361552</c:v>
                </c:pt>
                <c:pt idx="404">
                  <c:v>0.99946593423361552</c:v>
                </c:pt>
                <c:pt idx="405">
                  <c:v>0.99946593423361552</c:v>
                </c:pt>
                <c:pt idx="406">
                  <c:v>0.99946593423361552</c:v>
                </c:pt>
                <c:pt idx="407">
                  <c:v>0.99946593423361552</c:v>
                </c:pt>
                <c:pt idx="408">
                  <c:v>0.99946593423361552</c:v>
                </c:pt>
                <c:pt idx="409">
                  <c:v>0.99946593423361552</c:v>
                </c:pt>
                <c:pt idx="410">
                  <c:v>1.0009918364232853</c:v>
                </c:pt>
                <c:pt idx="411">
                  <c:v>1.0009918364232853</c:v>
                </c:pt>
                <c:pt idx="412">
                  <c:v>1.0009918364232853</c:v>
                </c:pt>
                <c:pt idx="413">
                  <c:v>1.0009918364232853</c:v>
                </c:pt>
                <c:pt idx="414">
                  <c:v>1.0009918364232853</c:v>
                </c:pt>
                <c:pt idx="415">
                  <c:v>1.0009918364232853</c:v>
                </c:pt>
                <c:pt idx="416">
                  <c:v>1.0009918364232853</c:v>
                </c:pt>
                <c:pt idx="417">
                  <c:v>1.0009918364232853</c:v>
                </c:pt>
                <c:pt idx="418">
                  <c:v>1.0009918364232853</c:v>
                </c:pt>
                <c:pt idx="419">
                  <c:v>1.0009918364232853</c:v>
                </c:pt>
                <c:pt idx="420">
                  <c:v>1.0009918364232853</c:v>
                </c:pt>
                <c:pt idx="421">
                  <c:v>1.0009918364232853</c:v>
                </c:pt>
                <c:pt idx="422">
                  <c:v>1.0009918364232853</c:v>
                </c:pt>
                <c:pt idx="423">
                  <c:v>1.0009918364232853</c:v>
                </c:pt>
                <c:pt idx="424">
                  <c:v>1.0009918364232853</c:v>
                </c:pt>
                <c:pt idx="425">
                  <c:v>1.0009918364232853</c:v>
                </c:pt>
                <c:pt idx="426">
                  <c:v>1.0009918364232853</c:v>
                </c:pt>
                <c:pt idx="427">
                  <c:v>1.0009918364232853</c:v>
                </c:pt>
                <c:pt idx="428">
                  <c:v>1.0009918364232853</c:v>
                </c:pt>
                <c:pt idx="429">
                  <c:v>1.0009918364232853</c:v>
                </c:pt>
                <c:pt idx="430">
                  <c:v>1.0009918364232853</c:v>
                </c:pt>
                <c:pt idx="431">
                  <c:v>1.0009918364232853</c:v>
                </c:pt>
                <c:pt idx="432">
                  <c:v>1.0009918364232853</c:v>
                </c:pt>
                <c:pt idx="433">
                  <c:v>1.0009918364232853</c:v>
                </c:pt>
                <c:pt idx="434">
                  <c:v>1.0009918364232853</c:v>
                </c:pt>
                <c:pt idx="435">
                  <c:v>1.0009918364232853</c:v>
                </c:pt>
                <c:pt idx="436">
                  <c:v>1.0009918364232853</c:v>
                </c:pt>
                <c:pt idx="437">
                  <c:v>0.99946593423361552</c:v>
                </c:pt>
                <c:pt idx="438">
                  <c:v>0.99946593423361552</c:v>
                </c:pt>
                <c:pt idx="439">
                  <c:v>0.99946593423361552</c:v>
                </c:pt>
                <c:pt idx="440">
                  <c:v>0.99946593423361552</c:v>
                </c:pt>
                <c:pt idx="441">
                  <c:v>0.99946593423361552</c:v>
                </c:pt>
                <c:pt idx="442">
                  <c:v>0.99946593423361552</c:v>
                </c:pt>
                <c:pt idx="443">
                  <c:v>0.99946593423361552</c:v>
                </c:pt>
                <c:pt idx="444">
                  <c:v>0.99946593423361552</c:v>
                </c:pt>
                <c:pt idx="445">
                  <c:v>0.99946593423361552</c:v>
                </c:pt>
                <c:pt idx="446">
                  <c:v>0.99946593423361552</c:v>
                </c:pt>
                <c:pt idx="447">
                  <c:v>0.99946593423361552</c:v>
                </c:pt>
                <c:pt idx="448">
                  <c:v>0.99946593423361552</c:v>
                </c:pt>
                <c:pt idx="449">
                  <c:v>0.99946593423361552</c:v>
                </c:pt>
                <c:pt idx="450">
                  <c:v>0.99946593423361552</c:v>
                </c:pt>
                <c:pt idx="451">
                  <c:v>0.99946593423361552</c:v>
                </c:pt>
                <c:pt idx="452">
                  <c:v>0.99946593423361552</c:v>
                </c:pt>
                <c:pt idx="453">
                  <c:v>0.99946593423361552</c:v>
                </c:pt>
                <c:pt idx="454">
                  <c:v>0.99946593423361552</c:v>
                </c:pt>
                <c:pt idx="455">
                  <c:v>0.99946593423361552</c:v>
                </c:pt>
                <c:pt idx="456">
                  <c:v>0.99946593423361552</c:v>
                </c:pt>
                <c:pt idx="457">
                  <c:v>0.99946593423361552</c:v>
                </c:pt>
                <c:pt idx="458">
                  <c:v>0.99946593423361552</c:v>
                </c:pt>
                <c:pt idx="459">
                  <c:v>0.99946593423361552</c:v>
                </c:pt>
                <c:pt idx="460">
                  <c:v>0.99946593423361552</c:v>
                </c:pt>
                <c:pt idx="461">
                  <c:v>0.99946593423361552</c:v>
                </c:pt>
                <c:pt idx="462">
                  <c:v>0.99946593423361552</c:v>
                </c:pt>
                <c:pt idx="463">
                  <c:v>0.99946593423361552</c:v>
                </c:pt>
                <c:pt idx="464">
                  <c:v>1.0009918364232853</c:v>
                </c:pt>
                <c:pt idx="465">
                  <c:v>1.0009918364232853</c:v>
                </c:pt>
                <c:pt idx="466">
                  <c:v>1.0009918364232853</c:v>
                </c:pt>
                <c:pt idx="467">
                  <c:v>1.0009918364232853</c:v>
                </c:pt>
                <c:pt idx="468">
                  <c:v>1.0009918364232853</c:v>
                </c:pt>
                <c:pt idx="469">
                  <c:v>1.0009918364232853</c:v>
                </c:pt>
                <c:pt idx="470">
                  <c:v>1.0009918364232853</c:v>
                </c:pt>
                <c:pt idx="471">
                  <c:v>1.0009918364232853</c:v>
                </c:pt>
                <c:pt idx="472">
                  <c:v>1.0009918364232853</c:v>
                </c:pt>
                <c:pt idx="473">
                  <c:v>1.0009918364232853</c:v>
                </c:pt>
                <c:pt idx="474">
                  <c:v>1.0009918364232853</c:v>
                </c:pt>
                <c:pt idx="475">
                  <c:v>1.0009918364232853</c:v>
                </c:pt>
                <c:pt idx="476">
                  <c:v>1.0009918364232853</c:v>
                </c:pt>
                <c:pt idx="477">
                  <c:v>1.0009918364232853</c:v>
                </c:pt>
                <c:pt idx="478">
                  <c:v>1.0009918364232853</c:v>
                </c:pt>
                <c:pt idx="479">
                  <c:v>1.0009918364232853</c:v>
                </c:pt>
                <c:pt idx="480">
                  <c:v>1.0009918364232853</c:v>
                </c:pt>
                <c:pt idx="481">
                  <c:v>1.0009918364232853</c:v>
                </c:pt>
                <c:pt idx="482">
                  <c:v>1.0009918364232853</c:v>
                </c:pt>
                <c:pt idx="483">
                  <c:v>1.0009918364232853</c:v>
                </c:pt>
                <c:pt idx="484">
                  <c:v>1.0009918364232853</c:v>
                </c:pt>
                <c:pt idx="485">
                  <c:v>1.0009918364232853</c:v>
                </c:pt>
                <c:pt idx="486">
                  <c:v>1.0009918364232853</c:v>
                </c:pt>
                <c:pt idx="487">
                  <c:v>1.0009918364232853</c:v>
                </c:pt>
                <c:pt idx="488">
                  <c:v>1.0009918364232853</c:v>
                </c:pt>
                <c:pt idx="489">
                  <c:v>1.0009918364232853</c:v>
                </c:pt>
                <c:pt idx="490">
                  <c:v>1.0009918364232853</c:v>
                </c:pt>
                <c:pt idx="491">
                  <c:v>0.99946593423361552</c:v>
                </c:pt>
                <c:pt idx="492">
                  <c:v>0.99946593423361552</c:v>
                </c:pt>
                <c:pt idx="493">
                  <c:v>0.99946593423361552</c:v>
                </c:pt>
                <c:pt idx="494">
                  <c:v>0.99946593423361552</c:v>
                </c:pt>
                <c:pt idx="495">
                  <c:v>0.99946593423361552</c:v>
                </c:pt>
                <c:pt idx="496">
                  <c:v>0.99946593423361552</c:v>
                </c:pt>
                <c:pt idx="497">
                  <c:v>0.99946593423361552</c:v>
                </c:pt>
                <c:pt idx="498">
                  <c:v>0.99946593423361552</c:v>
                </c:pt>
                <c:pt idx="499">
                  <c:v>0.99946593423361552</c:v>
                </c:pt>
                <c:pt idx="500">
                  <c:v>0.99946593423361552</c:v>
                </c:pt>
                <c:pt idx="501">
                  <c:v>0.99946593423361552</c:v>
                </c:pt>
                <c:pt idx="502">
                  <c:v>0.99946593423361552</c:v>
                </c:pt>
                <c:pt idx="503">
                  <c:v>0.99946593423361552</c:v>
                </c:pt>
                <c:pt idx="504">
                  <c:v>0.99946593423361552</c:v>
                </c:pt>
                <c:pt idx="505">
                  <c:v>0.99946593423361552</c:v>
                </c:pt>
                <c:pt idx="506">
                  <c:v>0.99946593423361552</c:v>
                </c:pt>
                <c:pt idx="507">
                  <c:v>0.99946593423361552</c:v>
                </c:pt>
                <c:pt idx="508">
                  <c:v>0.99946593423361552</c:v>
                </c:pt>
                <c:pt idx="509">
                  <c:v>0.99946593423361552</c:v>
                </c:pt>
                <c:pt idx="510">
                  <c:v>0.99946593423361552</c:v>
                </c:pt>
                <c:pt idx="511">
                  <c:v>0.99946593423361552</c:v>
                </c:pt>
                <c:pt idx="512">
                  <c:v>0.99946593423361552</c:v>
                </c:pt>
                <c:pt idx="513">
                  <c:v>0.99946593423361552</c:v>
                </c:pt>
                <c:pt idx="514">
                  <c:v>0.99946593423361552</c:v>
                </c:pt>
                <c:pt idx="515">
                  <c:v>0.99946593423361552</c:v>
                </c:pt>
                <c:pt idx="516">
                  <c:v>0.99946593423361552</c:v>
                </c:pt>
                <c:pt idx="517">
                  <c:v>0.99946593423361552</c:v>
                </c:pt>
                <c:pt idx="518">
                  <c:v>1.0009918364232853</c:v>
                </c:pt>
                <c:pt idx="519">
                  <c:v>1.0009918364232853</c:v>
                </c:pt>
                <c:pt idx="520">
                  <c:v>1.0009918364232853</c:v>
                </c:pt>
                <c:pt idx="521">
                  <c:v>1.0009918364232853</c:v>
                </c:pt>
                <c:pt idx="522">
                  <c:v>1.0009918364232853</c:v>
                </c:pt>
                <c:pt idx="523">
                  <c:v>1.0009918364232853</c:v>
                </c:pt>
                <c:pt idx="524">
                  <c:v>1.0009918364232853</c:v>
                </c:pt>
                <c:pt idx="525">
                  <c:v>1.0009918364232853</c:v>
                </c:pt>
                <c:pt idx="526">
                  <c:v>1.0009918364232853</c:v>
                </c:pt>
                <c:pt idx="527">
                  <c:v>1.0009918364232853</c:v>
                </c:pt>
                <c:pt idx="528">
                  <c:v>1.0009918364232853</c:v>
                </c:pt>
                <c:pt idx="529">
                  <c:v>1.0009918364232853</c:v>
                </c:pt>
                <c:pt idx="530">
                  <c:v>1.0009918364232853</c:v>
                </c:pt>
                <c:pt idx="531">
                  <c:v>1.0009918364232853</c:v>
                </c:pt>
                <c:pt idx="532">
                  <c:v>1.0009918364232853</c:v>
                </c:pt>
                <c:pt idx="533">
                  <c:v>1.0009918364232853</c:v>
                </c:pt>
                <c:pt idx="534">
                  <c:v>1.0009918364232853</c:v>
                </c:pt>
                <c:pt idx="535">
                  <c:v>1.0009918364232853</c:v>
                </c:pt>
                <c:pt idx="536">
                  <c:v>1.0009918364232853</c:v>
                </c:pt>
                <c:pt idx="537">
                  <c:v>1.0009918364232853</c:v>
                </c:pt>
                <c:pt idx="538">
                  <c:v>1.0009918364232853</c:v>
                </c:pt>
                <c:pt idx="539">
                  <c:v>1.0009918364232853</c:v>
                </c:pt>
                <c:pt idx="540">
                  <c:v>1.0009918364232853</c:v>
                </c:pt>
                <c:pt idx="541">
                  <c:v>1.0009918364232853</c:v>
                </c:pt>
                <c:pt idx="542">
                  <c:v>1.0009918364232853</c:v>
                </c:pt>
                <c:pt idx="543">
                  <c:v>1.0009918364232853</c:v>
                </c:pt>
                <c:pt idx="544">
                  <c:v>1.0009918364232853</c:v>
                </c:pt>
                <c:pt idx="545">
                  <c:v>0.99946593423361552</c:v>
                </c:pt>
                <c:pt idx="546">
                  <c:v>0.99946593423361552</c:v>
                </c:pt>
                <c:pt idx="547">
                  <c:v>0.99946593423361552</c:v>
                </c:pt>
                <c:pt idx="548">
                  <c:v>0.99946593423361552</c:v>
                </c:pt>
                <c:pt idx="549">
                  <c:v>0.99946593423361552</c:v>
                </c:pt>
                <c:pt idx="550">
                  <c:v>0.99946593423361552</c:v>
                </c:pt>
                <c:pt idx="551">
                  <c:v>0.99946593423361552</c:v>
                </c:pt>
                <c:pt idx="552">
                  <c:v>0.99946593423361552</c:v>
                </c:pt>
                <c:pt idx="553">
                  <c:v>0.99946593423361552</c:v>
                </c:pt>
                <c:pt idx="554">
                  <c:v>0.99946593423361552</c:v>
                </c:pt>
                <c:pt idx="555">
                  <c:v>0.99946593423361552</c:v>
                </c:pt>
                <c:pt idx="556">
                  <c:v>0.99946593423361552</c:v>
                </c:pt>
                <c:pt idx="557">
                  <c:v>0.99946593423361552</c:v>
                </c:pt>
                <c:pt idx="558">
                  <c:v>0.99946593423361552</c:v>
                </c:pt>
                <c:pt idx="559">
                  <c:v>0.99946593423361552</c:v>
                </c:pt>
                <c:pt idx="560">
                  <c:v>0.99946593423361552</c:v>
                </c:pt>
                <c:pt idx="561">
                  <c:v>0.99946593423361552</c:v>
                </c:pt>
                <c:pt idx="562">
                  <c:v>0.99946593423361552</c:v>
                </c:pt>
                <c:pt idx="563">
                  <c:v>0.99946593423361552</c:v>
                </c:pt>
                <c:pt idx="564">
                  <c:v>0.99946593423361552</c:v>
                </c:pt>
                <c:pt idx="565">
                  <c:v>0.99946593423361552</c:v>
                </c:pt>
                <c:pt idx="566">
                  <c:v>0.99946593423361552</c:v>
                </c:pt>
                <c:pt idx="567">
                  <c:v>0.99946593423361552</c:v>
                </c:pt>
                <c:pt idx="568">
                  <c:v>0.99946593423361552</c:v>
                </c:pt>
                <c:pt idx="569">
                  <c:v>0.99946593423361552</c:v>
                </c:pt>
                <c:pt idx="570">
                  <c:v>0.99946593423361552</c:v>
                </c:pt>
                <c:pt idx="571">
                  <c:v>0.99946593423361552</c:v>
                </c:pt>
                <c:pt idx="572">
                  <c:v>1.0009918364232853</c:v>
                </c:pt>
                <c:pt idx="573">
                  <c:v>1.0009918364232853</c:v>
                </c:pt>
                <c:pt idx="574">
                  <c:v>1.0009918364232853</c:v>
                </c:pt>
                <c:pt idx="575">
                  <c:v>1.0009918364232853</c:v>
                </c:pt>
                <c:pt idx="576">
                  <c:v>1.0009918364232853</c:v>
                </c:pt>
                <c:pt idx="577">
                  <c:v>1.0009918364232853</c:v>
                </c:pt>
                <c:pt idx="578">
                  <c:v>1.0009918364232853</c:v>
                </c:pt>
                <c:pt idx="579">
                  <c:v>1.0009918364232853</c:v>
                </c:pt>
                <c:pt idx="580">
                  <c:v>1.0009918364232853</c:v>
                </c:pt>
                <c:pt idx="581">
                  <c:v>1.0009918364232853</c:v>
                </c:pt>
                <c:pt idx="582">
                  <c:v>1.0009918364232853</c:v>
                </c:pt>
                <c:pt idx="583">
                  <c:v>1.0009918364232853</c:v>
                </c:pt>
                <c:pt idx="584">
                  <c:v>1.0009918364232853</c:v>
                </c:pt>
                <c:pt idx="585">
                  <c:v>1.0009918364232853</c:v>
                </c:pt>
                <c:pt idx="586">
                  <c:v>1.0009918364232853</c:v>
                </c:pt>
                <c:pt idx="587">
                  <c:v>1.0009918364232853</c:v>
                </c:pt>
                <c:pt idx="588">
                  <c:v>1.0009918364232853</c:v>
                </c:pt>
                <c:pt idx="589">
                  <c:v>1.0009918364232853</c:v>
                </c:pt>
                <c:pt idx="590">
                  <c:v>1.0009918364232853</c:v>
                </c:pt>
                <c:pt idx="591">
                  <c:v>1.0009918364232853</c:v>
                </c:pt>
                <c:pt idx="592">
                  <c:v>1.0009918364232853</c:v>
                </c:pt>
                <c:pt idx="593">
                  <c:v>1.0009918364232853</c:v>
                </c:pt>
                <c:pt idx="594">
                  <c:v>1.0009918364232853</c:v>
                </c:pt>
                <c:pt idx="595">
                  <c:v>1.0009918364232853</c:v>
                </c:pt>
                <c:pt idx="596">
                  <c:v>1.0009918364232853</c:v>
                </c:pt>
                <c:pt idx="597">
                  <c:v>1.0009918364232853</c:v>
                </c:pt>
                <c:pt idx="598">
                  <c:v>1.0009918364232853</c:v>
                </c:pt>
                <c:pt idx="599">
                  <c:v>0.99946593423361552</c:v>
                </c:pt>
                <c:pt idx="600">
                  <c:v>0.99946593423361552</c:v>
                </c:pt>
                <c:pt idx="601">
                  <c:v>0.99946593423361552</c:v>
                </c:pt>
                <c:pt idx="602">
                  <c:v>0.99946593423361552</c:v>
                </c:pt>
                <c:pt idx="603">
                  <c:v>0.99946593423361552</c:v>
                </c:pt>
                <c:pt idx="604">
                  <c:v>0.99946593423361552</c:v>
                </c:pt>
                <c:pt idx="605">
                  <c:v>0.99946593423361552</c:v>
                </c:pt>
                <c:pt idx="606">
                  <c:v>0.99946593423361552</c:v>
                </c:pt>
                <c:pt idx="607">
                  <c:v>0.99946593423361552</c:v>
                </c:pt>
                <c:pt idx="608">
                  <c:v>0.99946593423361552</c:v>
                </c:pt>
                <c:pt idx="609">
                  <c:v>0.99946593423361552</c:v>
                </c:pt>
                <c:pt idx="610">
                  <c:v>0.99946593423361552</c:v>
                </c:pt>
                <c:pt idx="611">
                  <c:v>0.99946593423361552</c:v>
                </c:pt>
                <c:pt idx="612">
                  <c:v>0.99946593423361552</c:v>
                </c:pt>
                <c:pt idx="613">
                  <c:v>0.99946593423361552</c:v>
                </c:pt>
                <c:pt idx="614">
                  <c:v>0.99946593423361552</c:v>
                </c:pt>
                <c:pt idx="615">
                  <c:v>0.99946593423361552</c:v>
                </c:pt>
                <c:pt idx="616">
                  <c:v>0.99946593423361552</c:v>
                </c:pt>
                <c:pt idx="617">
                  <c:v>0.99946593423361552</c:v>
                </c:pt>
                <c:pt idx="618">
                  <c:v>0.99946593423361552</c:v>
                </c:pt>
                <c:pt idx="619">
                  <c:v>0.99946593423361552</c:v>
                </c:pt>
                <c:pt idx="620">
                  <c:v>0.99946593423361552</c:v>
                </c:pt>
                <c:pt idx="621">
                  <c:v>0.99946593423361552</c:v>
                </c:pt>
                <c:pt idx="622">
                  <c:v>0.99946593423361552</c:v>
                </c:pt>
                <c:pt idx="623">
                  <c:v>0.99946593423361552</c:v>
                </c:pt>
                <c:pt idx="624">
                  <c:v>0.99946593423361552</c:v>
                </c:pt>
                <c:pt idx="625">
                  <c:v>0.99946593423361552</c:v>
                </c:pt>
                <c:pt idx="626">
                  <c:v>1.0009918364232853</c:v>
                </c:pt>
                <c:pt idx="627">
                  <c:v>1.0009918364232853</c:v>
                </c:pt>
                <c:pt idx="628">
                  <c:v>1.0009918364232853</c:v>
                </c:pt>
                <c:pt idx="629">
                  <c:v>1.0009918364232853</c:v>
                </c:pt>
                <c:pt idx="630">
                  <c:v>1.0009918364232853</c:v>
                </c:pt>
                <c:pt idx="631">
                  <c:v>1.0009918364232853</c:v>
                </c:pt>
                <c:pt idx="632">
                  <c:v>1.0009918364232853</c:v>
                </c:pt>
                <c:pt idx="633">
                  <c:v>1.0009918364232853</c:v>
                </c:pt>
                <c:pt idx="634">
                  <c:v>1.0009918364232853</c:v>
                </c:pt>
                <c:pt idx="635">
                  <c:v>1.0009918364232853</c:v>
                </c:pt>
                <c:pt idx="636">
                  <c:v>1.0009918364232853</c:v>
                </c:pt>
                <c:pt idx="637">
                  <c:v>1.0009918364232853</c:v>
                </c:pt>
                <c:pt idx="638">
                  <c:v>1.0009918364232853</c:v>
                </c:pt>
                <c:pt idx="639">
                  <c:v>1.0009918364232853</c:v>
                </c:pt>
                <c:pt idx="640">
                  <c:v>1.0009918364232853</c:v>
                </c:pt>
                <c:pt idx="641">
                  <c:v>1.0009918364232853</c:v>
                </c:pt>
                <c:pt idx="642">
                  <c:v>1.0009918364232853</c:v>
                </c:pt>
                <c:pt idx="643">
                  <c:v>1.0009918364232853</c:v>
                </c:pt>
                <c:pt idx="644">
                  <c:v>1.0009918364232853</c:v>
                </c:pt>
                <c:pt idx="645">
                  <c:v>1.0009918364232853</c:v>
                </c:pt>
                <c:pt idx="646">
                  <c:v>1.0009918364232853</c:v>
                </c:pt>
                <c:pt idx="647">
                  <c:v>1.0009918364232853</c:v>
                </c:pt>
                <c:pt idx="648">
                  <c:v>1.0009918364232853</c:v>
                </c:pt>
                <c:pt idx="649">
                  <c:v>1.0009918364232853</c:v>
                </c:pt>
                <c:pt idx="650">
                  <c:v>1.0009918364232853</c:v>
                </c:pt>
                <c:pt idx="651">
                  <c:v>1.0009918364232853</c:v>
                </c:pt>
                <c:pt idx="652">
                  <c:v>1.0009918364232853</c:v>
                </c:pt>
                <c:pt idx="653">
                  <c:v>0.99946593423361552</c:v>
                </c:pt>
                <c:pt idx="654">
                  <c:v>0.99946593423361552</c:v>
                </c:pt>
                <c:pt idx="655">
                  <c:v>0.99946593423361552</c:v>
                </c:pt>
                <c:pt idx="656">
                  <c:v>0.99946593423361552</c:v>
                </c:pt>
                <c:pt idx="657">
                  <c:v>0.99946593423361552</c:v>
                </c:pt>
                <c:pt idx="658">
                  <c:v>0.99946593423361552</c:v>
                </c:pt>
                <c:pt idx="659">
                  <c:v>0.99946593423361552</c:v>
                </c:pt>
                <c:pt idx="660">
                  <c:v>0.99946593423361552</c:v>
                </c:pt>
                <c:pt idx="661">
                  <c:v>0.99946593423361552</c:v>
                </c:pt>
                <c:pt idx="662">
                  <c:v>0.99946593423361552</c:v>
                </c:pt>
                <c:pt idx="663">
                  <c:v>0.99946593423361552</c:v>
                </c:pt>
                <c:pt idx="664">
                  <c:v>0.99946593423361552</c:v>
                </c:pt>
                <c:pt idx="665">
                  <c:v>0.99946593423361552</c:v>
                </c:pt>
                <c:pt idx="666">
                  <c:v>0.99946593423361552</c:v>
                </c:pt>
                <c:pt idx="667">
                  <c:v>0.99946593423361552</c:v>
                </c:pt>
                <c:pt idx="668">
                  <c:v>0.99946593423361552</c:v>
                </c:pt>
                <c:pt idx="669">
                  <c:v>0.99946593423361552</c:v>
                </c:pt>
                <c:pt idx="670">
                  <c:v>0.99946593423361552</c:v>
                </c:pt>
                <c:pt idx="671">
                  <c:v>0.99946593423361552</c:v>
                </c:pt>
                <c:pt idx="672">
                  <c:v>0.99946593423361552</c:v>
                </c:pt>
                <c:pt idx="673">
                  <c:v>0.99946593423361552</c:v>
                </c:pt>
                <c:pt idx="674">
                  <c:v>0.99946593423361552</c:v>
                </c:pt>
                <c:pt idx="675">
                  <c:v>0.99946593423361552</c:v>
                </c:pt>
                <c:pt idx="676">
                  <c:v>0.99946593423361552</c:v>
                </c:pt>
                <c:pt idx="677">
                  <c:v>0.99946593423361552</c:v>
                </c:pt>
                <c:pt idx="678">
                  <c:v>0.99946593423361552</c:v>
                </c:pt>
                <c:pt idx="679">
                  <c:v>0.99946593423361552</c:v>
                </c:pt>
                <c:pt idx="680">
                  <c:v>1.0009918364232853</c:v>
                </c:pt>
                <c:pt idx="681">
                  <c:v>1.0009918364232853</c:v>
                </c:pt>
                <c:pt idx="682">
                  <c:v>1.0009918364232853</c:v>
                </c:pt>
                <c:pt idx="683">
                  <c:v>1.0009918364232853</c:v>
                </c:pt>
                <c:pt idx="684">
                  <c:v>1.0009918364232853</c:v>
                </c:pt>
                <c:pt idx="685">
                  <c:v>1.0009918364232853</c:v>
                </c:pt>
                <c:pt idx="686">
                  <c:v>1.0009918364232853</c:v>
                </c:pt>
                <c:pt idx="687">
                  <c:v>1.0009918364232853</c:v>
                </c:pt>
                <c:pt idx="688">
                  <c:v>1.0009918364232853</c:v>
                </c:pt>
                <c:pt idx="689">
                  <c:v>1.0009918364232853</c:v>
                </c:pt>
                <c:pt idx="690">
                  <c:v>1.0009918364232853</c:v>
                </c:pt>
                <c:pt idx="691">
                  <c:v>1.0009918364232853</c:v>
                </c:pt>
                <c:pt idx="692">
                  <c:v>1.0009918364232853</c:v>
                </c:pt>
                <c:pt idx="693">
                  <c:v>1.0009918364232853</c:v>
                </c:pt>
                <c:pt idx="694">
                  <c:v>1.0009918364232853</c:v>
                </c:pt>
                <c:pt idx="695">
                  <c:v>1.0009918364232853</c:v>
                </c:pt>
                <c:pt idx="696">
                  <c:v>1.0009918364232853</c:v>
                </c:pt>
                <c:pt idx="697">
                  <c:v>1.0009918364232853</c:v>
                </c:pt>
                <c:pt idx="698">
                  <c:v>1.0009918364232853</c:v>
                </c:pt>
                <c:pt idx="699">
                  <c:v>1.0009918364232853</c:v>
                </c:pt>
                <c:pt idx="700">
                  <c:v>1.0009918364232853</c:v>
                </c:pt>
                <c:pt idx="701">
                  <c:v>1.0009918364232853</c:v>
                </c:pt>
                <c:pt idx="702">
                  <c:v>1.0009918364232853</c:v>
                </c:pt>
                <c:pt idx="703">
                  <c:v>1.0009918364232853</c:v>
                </c:pt>
                <c:pt idx="704">
                  <c:v>1.0009918364232853</c:v>
                </c:pt>
                <c:pt idx="705">
                  <c:v>1.0009918364232853</c:v>
                </c:pt>
                <c:pt idx="706">
                  <c:v>1.0009918364232853</c:v>
                </c:pt>
                <c:pt idx="707">
                  <c:v>0.99946593423361552</c:v>
                </c:pt>
                <c:pt idx="708">
                  <c:v>0.99946593423361552</c:v>
                </c:pt>
                <c:pt idx="709">
                  <c:v>0.99946593423361552</c:v>
                </c:pt>
                <c:pt idx="710">
                  <c:v>0.99946593423361552</c:v>
                </c:pt>
                <c:pt idx="711">
                  <c:v>0.99946593423361552</c:v>
                </c:pt>
                <c:pt idx="712">
                  <c:v>0.99946593423361552</c:v>
                </c:pt>
                <c:pt idx="713">
                  <c:v>0.99946593423361552</c:v>
                </c:pt>
                <c:pt idx="714">
                  <c:v>0.99946593423361552</c:v>
                </c:pt>
                <c:pt idx="715">
                  <c:v>0.99946593423361552</c:v>
                </c:pt>
                <c:pt idx="716">
                  <c:v>0.99946593423361552</c:v>
                </c:pt>
                <c:pt idx="717">
                  <c:v>0.99946593423361552</c:v>
                </c:pt>
                <c:pt idx="718">
                  <c:v>0.99946593423361552</c:v>
                </c:pt>
                <c:pt idx="719">
                  <c:v>0.99946593423361552</c:v>
                </c:pt>
                <c:pt idx="720">
                  <c:v>0.99946593423361552</c:v>
                </c:pt>
                <c:pt idx="721">
                  <c:v>0.99946593423361552</c:v>
                </c:pt>
                <c:pt idx="722">
                  <c:v>0.99946593423361552</c:v>
                </c:pt>
                <c:pt idx="723">
                  <c:v>0.99946593423361552</c:v>
                </c:pt>
                <c:pt idx="724">
                  <c:v>0.99946593423361552</c:v>
                </c:pt>
                <c:pt idx="725">
                  <c:v>0.99946593423361552</c:v>
                </c:pt>
                <c:pt idx="726">
                  <c:v>0.99946593423361552</c:v>
                </c:pt>
                <c:pt idx="727">
                  <c:v>0.99946593423361552</c:v>
                </c:pt>
                <c:pt idx="728">
                  <c:v>0.99946593423361552</c:v>
                </c:pt>
                <c:pt idx="729">
                  <c:v>0.99946593423361552</c:v>
                </c:pt>
                <c:pt idx="730">
                  <c:v>0.99946593423361552</c:v>
                </c:pt>
                <c:pt idx="731">
                  <c:v>0.99946593423361552</c:v>
                </c:pt>
                <c:pt idx="732">
                  <c:v>0.99946593423361552</c:v>
                </c:pt>
                <c:pt idx="733">
                  <c:v>0.99946593423361552</c:v>
                </c:pt>
                <c:pt idx="734">
                  <c:v>1.0009918364232853</c:v>
                </c:pt>
                <c:pt idx="735">
                  <c:v>1.0009918364232853</c:v>
                </c:pt>
                <c:pt idx="736">
                  <c:v>1.0009918364232853</c:v>
                </c:pt>
                <c:pt idx="737">
                  <c:v>1.0009918364232853</c:v>
                </c:pt>
                <c:pt idx="738">
                  <c:v>1.0009918364232853</c:v>
                </c:pt>
                <c:pt idx="739">
                  <c:v>1.0009918364232853</c:v>
                </c:pt>
                <c:pt idx="740">
                  <c:v>1.0009918364232853</c:v>
                </c:pt>
                <c:pt idx="741">
                  <c:v>1.0009918364232853</c:v>
                </c:pt>
                <c:pt idx="742">
                  <c:v>1.0009918364232853</c:v>
                </c:pt>
                <c:pt idx="743">
                  <c:v>1.0009918364232853</c:v>
                </c:pt>
                <c:pt idx="744">
                  <c:v>1.0009918364232853</c:v>
                </c:pt>
                <c:pt idx="745">
                  <c:v>1.0009918364232853</c:v>
                </c:pt>
                <c:pt idx="746">
                  <c:v>1.0009918364232853</c:v>
                </c:pt>
                <c:pt idx="747">
                  <c:v>1.0009918364232853</c:v>
                </c:pt>
                <c:pt idx="748">
                  <c:v>1.0009918364232853</c:v>
                </c:pt>
                <c:pt idx="749">
                  <c:v>1.0009918364232853</c:v>
                </c:pt>
                <c:pt idx="750">
                  <c:v>1.0009918364232853</c:v>
                </c:pt>
                <c:pt idx="751">
                  <c:v>1.0009918364232853</c:v>
                </c:pt>
                <c:pt idx="752">
                  <c:v>1.0009918364232853</c:v>
                </c:pt>
                <c:pt idx="753">
                  <c:v>1.0009918364232853</c:v>
                </c:pt>
                <c:pt idx="754">
                  <c:v>1.0009918364232853</c:v>
                </c:pt>
                <c:pt idx="755">
                  <c:v>1.0009918364232853</c:v>
                </c:pt>
                <c:pt idx="756">
                  <c:v>1.0009918364232853</c:v>
                </c:pt>
                <c:pt idx="757">
                  <c:v>1.0009918364232853</c:v>
                </c:pt>
                <c:pt idx="758">
                  <c:v>1.0009918364232853</c:v>
                </c:pt>
                <c:pt idx="759">
                  <c:v>1.0009918364232853</c:v>
                </c:pt>
                <c:pt idx="760">
                  <c:v>1.0009918364232853</c:v>
                </c:pt>
                <c:pt idx="761">
                  <c:v>0.99946593423361552</c:v>
                </c:pt>
                <c:pt idx="762">
                  <c:v>0.99946593423361552</c:v>
                </c:pt>
                <c:pt idx="763">
                  <c:v>0.99946593423361552</c:v>
                </c:pt>
                <c:pt idx="764">
                  <c:v>0.99946593423361552</c:v>
                </c:pt>
                <c:pt idx="765">
                  <c:v>0.99946593423361552</c:v>
                </c:pt>
                <c:pt idx="766">
                  <c:v>0.99946593423361552</c:v>
                </c:pt>
                <c:pt idx="767">
                  <c:v>0.99946593423361552</c:v>
                </c:pt>
                <c:pt idx="768">
                  <c:v>0.99946593423361552</c:v>
                </c:pt>
                <c:pt idx="769">
                  <c:v>0.99946593423361552</c:v>
                </c:pt>
                <c:pt idx="770">
                  <c:v>0.99946593423361552</c:v>
                </c:pt>
                <c:pt idx="771">
                  <c:v>0.99946593423361552</c:v>
                </c:pt>
                <c:pt idx="772">
                  <c:v>0.99946593423361552</c:v>
                </c:pt>
                <c:pt idx="773">
                  <c:v>0.99946593423361552</c:v>
                </c:pt>
                <c:pt idx="774">
                  <c:v>0.99946593423361552</c:v>
                </c:pt>
                <c:pt idx="775">
                  <c:v>0.99946593423361552</c:v>
                </c:pt>
                <c:pt idx="776">
                  <c:v>0.99946593423361552</c:v>
                </c:pt>
                <c:pt idx="777">
                  <c:v>0.99946593423361552</c:v>
                </c:pt>
                <c:pt idx="778">
                  <c:v>0.99946593423361552</c:v>
                </c:pt>
                <c:pt idx="779">
                  <c:v>0.99946593423361552</c:v>
                </c:pt>
                <c:pt idx="780">
                  <c:v>0.99946593423361552</c:v>
                </c:pt>
                <c:pt idx="781">
                  <c:v>0.99946593423361552</c:v>
                </c:pt>
                <c:pt idx="782">
                  <c:v>0.99946593423361552</c:v>
                </c:pt>
                <c:pt idx="783">
                  <c:v>0.99946593423361552</c:v>
                </c:pt>
                <c:pt idx="784">
                  <c:v>0.99946593423361552</c:v>
                </c:pt>
                <c:pt idx="785">
                  <c:v>0.99946593423361552</c:v>
                </c:pt>
                <c:pt idx="786">
                  <c:v>0.99946593423361552</c:v>
                </c:pt>
                <c:pt idx="787">
                  <c:v>0.99946593423361552</c:v>
                </c:pt>
                <c:pt idx="788">
                  <c:v>0.99946593423361552</c:v>
                </c:pt>
                <c:pt idx="789">
                  <c:v>0.99946593423361552</c:v>
                </c:pt>
                <c:pt idx="790">
                  <c:v>0.99946593423361552</c:v>
                </c:pt>
                <c:pt idx="791">
                  <c:v>0.99946593423361552</c:v>
                </c:pt>
                <c:pt idx="792">
                  <c:v>0.99946593423361552</c:v>
                </c:pt>
                <c:pt idx="793">
                  <c:v>0.99946593423361552</c:v>
                </c:pt>
                <c:pt idx="794">
                  <c:v>0.99946593423361552</c:v>
                </c:pt>
                <c:pt idx="795">
                  <c:v>0.99946593423361552</c:v>
                </c:pt>
                <c:pt idx="796">
                  <c:v>0.99946593423361552</c:v>
                </c:pt>
                <c:pt idx="797">
                  <c:v>0.99946593423361552</c:v>
                </c:pt>
                <c:pt idx="798">
                  <c:v>0.99946593423361552</c:v>
                </c:pt>
                <c:pt idx="799">
                  <c:v>0.99946593423361552</c:v>
                </c:pt>
                <c:pt idx="800">
                  <c:v>0.99946593423361552</c:v>
                </c:pt>
                <c:pt idx="801">
                  <c:v>0.99946593423361552</c:v>
                </c:pt>
                <c:pt idx="802">
                  <c:v>0.99946593423361552</c:v>
                </c:pt>
                <c:pt idx="803">
                  <c:v>0.99946593423361552</c:v>
                </c:pt>
                <c:pt idx="804">
                  <c:v>0.99946593423361552</c:v>
                </c:pt>
                <c:pt idx="805">
                  <c:v>0.99946593423361552</c:v>
                </c:pt>
                <c:pt idx="806">
                  <c:v>0.99946593423361552</c:v>
                </c:pt>
                <c:pt idx="807">
                  <c:v>0.99946593423361552</c:v>
                </c:pt>
                <c:pt idx="808">
                  <c:v>0.99946593423361552</c:v>
                </c:pt>
                <c:pt idx="809">
                  <c:v>0.99946593423361552</c:v>
                </c:pt>
                <c:pt idx="810">
                  <c:v>0.99946593423361552</c:v>
                </c:pt>
                <c:pt idx="811">
                  <c:v>0.99946593423361552</c:v>
                </c:pt>
                <c:pt idx="812">
                  <c:v>0.99946593423361552</c:v>
                </c:pt>
                <c:pt idx="813">
                  <c:v>0.99946593423361552</c:v>
                </c:pt>
                <c:pt idx="814">
                  <c:v>0.99946593423361552</c:v>
                </c:pt>
                <c:pt idx="815">
                  <c:v>0.99946593423361552</c:v>
                </c:pt>
                <c:pt idx="816">
                  <c:v>0.99946593423361552</c:v>
                </c:pt>
                <c:pt idx="817">
                  <c:v>0.99946593423361552</c:v>
                </c:pt>
                <c:pt idx="818">
                  <c:v>0.99946593423361552</c:v>
                </c:pt>
                <c:pt idx="819">
                  <c:v>0.99946593423361552</c:v>
                </c:pt>
                <c:pt idx="820">
                  <c:v>0.99946593423361552</c:v>
                </c:pt>
                <c:pt idx="821">
                  <c:v>0.99946593423361552</c:v>
                </c:pt>
                <c:pt idx="822">
                  <c:v>0.99946593423361552</c:v>
                </c:pt>
                <c:pt idx="823">
                  <c:v>0.99946593423361552</c:v>
                </c:pt>
                <c:pt idx="824">
                  <c:v>0.99946593423361552</c:v>
                </c:pt>
                <c:pt idx="825">
                  <c:v>0.99946593423361552</c:v>
                </c:pt>
                <c:pt idx="826">
                  <c:v>0.99946593423361552</c:v>
                </c:pt>
                <c:pt idx="827">
                  <c:v>0.99946593423361552</c:v>
                </c:pt>
                <c:pt idx="828">
                  <c:v>0.99946593423361552</c:v>
                </c:pt>
                <c:pt idx="829">
                  <c:v>0.99946593423361552</c:v>
                </c:pt>
                <c:pt idx="830">
                  <c:v>0.99946593423361552</c:v>
                </c:pt>
                <c:pt idx="831">
                  <c:v>0.99946593423361552</c:v>
                </c:pt>
                <c:pt idx="832">
                  <c:v>0.99946593423361552</c:v>
                </c:pt>
                <c:pt idx="833">
                  <c:v>0.99946593423361552</c:v>
                </c:pt>
                <c:pt idx="834">
                  <c:v>0.99946593423361552</c:v>
                </c:pt>
                <c:pt idx="835">
                  <c:v>0.99946593423361552</c:v>
                </c:pt>
                <c:pt idx="836">
                  <c:v>0.99946593423361552</c:v>
                </c:pt>
                <c:pt idx="837">
                  <c:v>0.99946593423361552</c:v>
                </c:pt>
                <c:pt idx="838">
                  <c:v>0.99946593423361552</c:v>
                </c:pt>
                <c:pt idx="839">
                  <c:v>0.99946593423361552</c:v>
                </c:pt>
                <c:pt idx="840">
                  <c:v>0.99946593423361552</c:v>
                </c:pt>
                <c:pt idx="841">
                  <c:v>0.99946593423361552</c:v>
                </c:pt>
                <c:pt idx="842">
                  <c:v>0.99946593423361552</c:v>
                </c:pt>
                <c:pt idx="843">
                  <c:v>0.99946593423361552</c:v>
                </c:pt>
                <c:pt idx="844">
                  <c:v>0.99946593423361552</c:v>
                </c:pt>
                <c:pt idx="845">
                  <c:v>0.99946593423361552</c:v>
                </c:pt>
                <c:pt idx="846">
                  <c:v>0.99946593423361552</c:v>
                </c:pt>
                <c:pt idx="847">
                  <c:v>0.99946593423361552</c:v>
                </c:pt>
                <c:pt idx="848">
                  <c:v>0.99946593423361552</c:v>
                </c:pt>
                <c:pt idx="849">
                  <c:v>0.99946593423361552</c:v>
                </c:pt>
                <c:pt idx="850">
                  <c:v>0.99946593423361552</c:v>
                </c:pt>
                <c:pt idx="851">
                  <c:v>0.99946593423361552</c:v>
                </c:pt>
                <c:pt idx="852">
                  <c:v>0.99946593423361552</c:v>
                </c:pt>
                <c:pt idx="853">
                  <c:v>0.99946593423361552</c:v>
                </c:pt>
                <c:pt idx="854">
                  <c:v>0.99946593423361552</c:v>
                </c:pt>
                <c:pt idx="855">
                  <c:v>0.99946593423361552</c:v>
                </c:pt>
                <c:pt idx="856">
                  <c:v>0.99946593423361552</c:v>
                </c:pt>
                <c:pt idx="857">
                  <c:v>0.99946593423361552</c:v>
                </c:pt>
                <c:pt idx="858">
                  <c:v>0.99946593423361552</c:v>
                </c:pt>
                <c:pt idx="859">
                  <c:v>0.99946593423361552</c:v>
                </c:pt>
                <c:pt idx="860">
                  <c:v>0.99946593423361552</c:v>
                </c:pt>
                <c:pt idx="861">
                  <c:v>0.99946593423361552</c:v>
                </c:pt>
                <c:pt idx="862">
                  <c:v>0.99946593423361552</c:v>
                </c:pt>
                <c:pt idx="863">
                  <c:v>0.99946593423361552</c:v>
                </c:pt>
                <c:pt idx="864">
                  <c:v>0.99946593423361552</c:v>
                </c:pt>
                <c:pt idx="865">
                  <c:v>0.99946593423361552</c:v>
                </c:pt>
                <c:pt idx="866">
                  <c:v>0.99946593423361552</c:v>
                </c:pt>
                <c:pt idx="867">
                  <c:v>0.99946593423361552</c:v>
                </c:pt>
                <c:pt idx="868">
                  <c:v>0.99946593423361552</c:v>
                </c:pt>
                <c:pt idx="869">
                  <c:v>0.99946593423361552</c:v>
                </c:pt>
                <c:pt idx="870">
                  <c:v>0.99946593423361552</c:v>
                </c:pt>
                <c:pt idx="871">
                  <c:v>0.99946593423361552</c:v>
                </c:pt>
                <c:pt idx="872">
                  <c:v>0.99946593423361552</c:v>
                </c:pt>
                <c:pt idx="873">
                  <c:v>0.99946593423361552</c:v>
                </c:pt>
                <c:pt idx="874">
                  <c:v>0.99946593423361552</c:v>
                </c:pt>
                <c:pt idx="875">
                  <c:v>0.99946593423361552</c:v>
                </c:pt>
                <c:pt idx="876">
                  <c:v>0.99946593423361552</c:v>
                </c:pt>
                <c:pt idx="877">
                  <c:v>0.99946593423361552</c:v>
                </c:pt>
                <c:pt idx="878">
                  <c:v>0.99946593423361552</c:v>
                </c:pt>
                <c:pt idx="879">
                  <c:v>0.99946593423361552</c:v>
                </c:pt>
                <c:pt idx="880">
                  <c:v>0.99946593423361552</c:v>
                </c:pt>
                <c:pt idx="881">
                  <c:v>0.99946593423361552</c:v>
                </c:pt>
                <c:pt idx="882">
                  <c:v>0.99946593423361552</c:v>
                </c:pt>
                <c:pt idx="883">
                  <c:v>0.99946593423361552</c:v>
                </c:pt>
                <c:pt idx="884">
                  <c:v>0.99946593423361552</c:v>
                </c:pt>
                <c:pt idx="885">
                  <c:v>0.99946593423361552</c:v>
                </c:pt>
                <c:pt idx="886">
                  <c:v>0.99946593423361552</c:v>
                </c:pt>
                <c:pt idx="887">
                  <c:v>0.99946593423361552</c:v>
                </c:pt>
                <c:pt idx="888">
                  <c:v>0.99946593423361552</c:v>
                </c:pt>
                <c:pt idx="889">
                  <c:v>0.99946593423361552</c:v>
                </c:pt>
                <c:pt idx="890">
                  <c:v>0.99946593423361552</c:v>
                </c:pt>
                <c:pt idx="891">
                  <c:v>0.99946593423361552</c:v>
                </c:pt>
                <c:pt idx="892">
                  <c:v>0.99946593423361552</c:v>
                </c:pt>
                <c:pt idx="893">
                  <c:v>0.99946593423361552</c:v>
                </c:pt>
                <c:pt idx="894">
                  <c:v>0.99946593423361552</c:v>
                </c:pt>
                <c:pt idx="895">
                  <c:v>0.99946593423361552</c:v>
                </c:pt>
                <c:pt idx="896">
                  <c:v>0.99946593423361552</c:v>
                </c:pt>
                <c:pt idx="897">
                  <c:v>0.99946593423361552</c:v>
                </c:pt>
                <c:pt idx="898">
                  <c:v>0.99946593423361552</c:v>
                </c:pt>
                <c:pt idx="899">
                  <c:v>0.99946593423361552</c:v>
                </c:pt>
                <c:pt idx="900">
                  <c:v>0.99946593423361552</c:v>
                </c:pt>
                <c:pt idx="901">
                  <c:v>0.99946593423361552</c:v>
                </c:pt>
                <c:pt idx="902">
                  <c:v>0.99946593423361552</c:v>
                </c:pt>
                <c:pt idx="903">
                  <c:v>0.99946593423361552</c:v>
                </c:pt>
                <c:pt idx="904">
                  <c:v>0.99946593423361552</c:v>
                </c:pt>
                <c:pt idx="905">
                  <c:v>0.99946593423361552</c:v>
                </c:pt>
                <c:pt idx="906">
                  <c:v>0.99946593423361552</c:v>
                </c:pt>
                <c:pt idx="907">
                  <c:v>0.99946593423361552</c:v>
                </c:pt>
                <c:pt idx="908">
                  <c:v>0.99946593423361552</c:v>
                </c:pt>
                <c:pt idx="909">
                  <c:v>0.99946593423361552</c:v>
                </c:pt>
                <c:pt idx="910">
                  <c:v>0.99946593423361552</c:v>
                </c:pt>
                <c:pt idx="911">
                  <c:v>0.99946593423361552</c:v>
                </c:pt>
                <c:pt idx="912">
                  <c:v>0.99946593423361552</c:v>
                </c:pt>
                <c:pt idx="913">
                  <c:v>0.99946593423361552</c:v>
                </c:pt>
                <c:pt idx="914">
                  <c:v>0.99946593423361552</c:v>
                </c:pt>
                <c:pt idx="915">
                  <c:v>0.99946593423361552</c:v>
                </c:pt>
                <c:pt idx="916">
                  <c:v>0.99946593423361552</c:v>
                </c:pt>
                <c:pt idx="917">
                  <c:v>0.99946593423361552</c:v>
                </c:pt>
                <c:pt idx="918">
                  <c:v>0.99946593423361552</c:v>
                </c:pt>
                <c:pt idx="919">
                  <c:v>0.99946593423361552</c:v>
                </c:pt>
                <c:pt idx="920">
                  <c:v>0.99946593423361552</c:v>
                </c:pt>
                <c:pt idx="921">
                  <c:v>0.99946593423361552</c:v>
                </c:pt>
                <c:pt idx="922">
                  <c:v>0.99946593423361552</c:v>
                </c:pt>
                <c:pt idx="923">
                  <c:v>0.99946593423361552</c:v>
                </c:pt>
                <c:pt idx="924">
                  <c:v>0.99946593423361552</c:v>
                </c:pt>
                <c:pt idx="925">
                  <c:v>0.99946593423361552</c:v>
                </c:pt>
                <c:pt idx="926">
                  <c:v>0.99946593423361552</c:v>
                </c:pt>
                <c:pt idx="927">
                  <c:v>0.99946593423361552</c:v>
                </c:pt>
                <c:pt idx="928">
                  <c:v>0.99946593423361552</c:v>
                </c:pt>
                <c:pt idx="929">
                  <c:v>0.99946593423361552</c:v>
                </c:pt>
                <c:pt idx="930">
                  <c:v>0.99946593423361552</c:v>
                </c:pt>
                <c:pt idx="931">
                  <c:v>0.99946593423361552</c:v>
                </c:pt>
                <c:pt idx="932">
                  <c:v>0.99946593423361552</c:v>
                </c:pt>
                <c:pt idx="933">
                  <c:v>0.99946593423361552</c:v>
                </c:pt>
                <c:pt idx="934">
                  <c:v>0.99946593423361552</c:v>
                </c:pt>
                <c:pt idx="935">
                  <c:v>0.99946593423361552</c:v>
                </c:pt>
                <c:pt idx="936">
                  <c:v>0.99946593423361552</c:v>
                </c:pt>
                <c:pt idx="937">
                  <c:v>0.99946593423361552</c:v>
                </c:pt>
                <c:pt idx="938">
                  <c:v>0.99946593423361552</c:v>
                </c:pt>
                <c:pt idx="939">
                  <c:v>0.99946593423361552</c:v>
                </c:pt>
                <c:pt idx="940">
                  <c:v>0.99946593423361552</c:v>
                </c:pt>
                <c:pt idx="941">
                  <c:v>0.99946593423361552</c:v>
                </c:pt>
                <c:pt idx="942">
                  <c:v>0.99946593423361552</c:v>
                </c:pt>
                <c:pt idx="943">
                  <c:v>0.99946593423361552</c:v>
                </c:pt>
                <c:pt idx="944">
                  <c:v>0.99946593423361552</c:v>
                </c:pt>
                <c:pt idx="945">
                  <c:v>0.99946593423361552</c:v>
                </c:pt>
                <c:pt idx="946">
                  <c:v>0.99946593423361552</c:v>
                </c:pt>
                <c:pt idx="947">
                  <c:v>0.99946593423361552</c:v>
                </c:pt>
                <c:pt idx="948">
                  <c:v>0.99946593423361552</c:v>
                </c:pt>
                <c:pt idx="949">
                  <c:v>0.99946593423361552</c:v>
                </c:pt>
                <c:pt idx="950">
                  <c:v>0.99946593423361552</c:v>
                </c:pt>
                <c:pt idx="951">
                  <c:v>0.99946593423361552</c:v>
                </c:pt>
                <c:pt idx="952">
                  <c:v>0.99946593423361552</c:v>
                </c:pt>
                <c:pt idx="953">
                  <c:v>0.99946593423361552</c:v>
                </c:pt>
                <c:pt idx="954">
                  <c:v>0.99946593423361552</c:v>
                </c:pt>
                <c:pt idx="955">
                  <c:v>0.99946593423361552</c:v>
                </c:pt>
                <c:pt idx="956">
                  <c:v>0.99946593423361552</c:v>
                </c:pt>
                <c:pt idx="957">
                  <c:v>0.99946593423361552</c:v>
                </c:pt>
                <c:pt idx="958">
                  <c:v>0.99946593423361552</c:v>
                </c:pt>
                <c:pt idx="959">
                  <c:v>0.99946593423361552</c:v>
                </c:pt>
                <c:pt idx="960">
                  <c:v>0.99946593423361552</c:v>
                </c:pt>
                <c:pt idx="961">
                  <c:v>0.99946593423361552</c:v>
                </c:pt>
                <c:pt idx="962">
                  <c:v>0.99946593423361552</c:v>
                </c:pt>
                <c:pt idx="963">
                  <c:v>0.99946593423361552</c:v>
                </c:pt>
                <c:pt idx="964">
                  <c:v>0.99946593423361552</c:v>
                </c:pt>
                <c:pt idx="965">
                  <c:v>0.99946593423361552</c:v>
                </c:pt>
                <c:pt idx="966">
                  <c:v>0.99946593423361552</c:v>
                </c:pt>
                <c:pt idx="967">
                  <c:v>0.99946593423361552</c:v>
                </c:pt>
                <c:pt idx="968">
                  <c:v>0.99946593423361552</c:v>
                </c:pt>
                <c:pt idx="969">
                  <c:v>0.99946593423361552</c:v>
                </c:pt>
                <c:pt idx="970">
                  <c:v>0.99946593423361552</c:v>
                </c:pt>
                <c:pt idx="971">
                  <c:v>0.99946593423361552</c:v>
                </c:pt>
                <c:pt idx="972">
                  <c:v>0.99946593423361552</c:v>
                </c:pt>
                <c:pt idx="973">
                  <c:v>0.99946593423361552</c:v>
                </c:pt>
                <c:pt idx="974">
                  <c:v>0.99946593423361552</c:v>
                </c:pt>
                <c:pt idx="975">
                  <c:v>0.99946593423361552</c:v>
                </c:pt>
                <c:pt idx="976">
                  <c:v>0.99946593423361552</c:v>
                </c:pt>
                <c:pt idx="977">
                  <c:v>0.99946593423361552</c:v>
                </c:pt>
                <c:pt idx="978">
                  <c:v>0.99946593423361552</c:v>
                </c:pt>
                <c:pt idx="979">
                  <c:v>0.99946593423361552</c:v>
                </c:pt>
                <c:pt idx="980">
                  <c:v>0.99946593423361552</c:v>
                </c:pt>
                <c:pt idx="981">
                  <c:v>0.99946593423361552</c:v>
                </c:pt>
                <c:pt idx="982">
                  <c:v>0.99946593423361552</c:v>
                </c:pt>
                <c:pt idx="983">
                  <c:v>0.99946593423361552</c:v>
                </c:pt>
                <c:pt idx="984">
                  <c:v>0.99946593423361552</c:v>
                </c:pt>
                <c:pt idx="985">
                  <c:v>0.99946593423361552</c:v>
                </c:pt>
                <c:pt idx="986">
                  <c:v>0.99946593423361552</c:v>
                </c:pt>
                <c:pt idx="987">
                  <c:v>0.99946593423361552</c:v>
                </c:pt>
                <c:pt idx="988">
                  <c:v>0.99946593423361552</c:v>
                </c:pt>
                <c:pt idx="989">
                  <c:v>0.99946593423361552</c:v>
                </c:pt>
                <c:pt idx="990">
                  <c:v>0.99946593423361552</c:v>
                </c:pt>
                <c:pt idx="991">
                  <c:v>0.99946593423361552</c:v>
                </c:pt>
                <c:pt idx="992">
                  <c:v>0.99946593423361552</c:v>
                </c:pt>
                <c:pt idx="993">
                  <c:v>0.99946593423361552</c:v>
                </c:pt>
                <c:pt idx="994">
                  <c:v>0.99946593423361552</c:v>
                </c:pt>
                <c:pt idx="995">
                  <c:v>0.99946593423361552</c:v>
                </c:pt>
                <c:pt idx="996">
                  <c:v>0.99946593423361552</c:v>
                </c:pt>
                <c:pt idx="997">
                  <c:v>0.99946593423361552</c:v>
                </c:pt>
                <c:pt idx="998">
                  <c:v>0.99946593423361552</c:v>
                </c:pt>
                <c:pt idx="999">
                  <c:v>0.99946593423361552</c:v>
                </c:pt>
                <c:pt idx="1000">
                  <c:v>0.99946593423361552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89-47B9-A81C-5290CF57A037}"/>
            </c:ext>
          </c:extLst>
        </c:ser>
        <c:ser>
          <c:idx val="1"/>
          <c:order val="1"/>
          <c:tx>
            <c:strRef>
              <c:f>Лист4!$M$1</c:f>
              <c:strCache>
                <c:ptCount val="1"/>
                <c:pt idx="0">
                  <c:v>g(nT0)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Лист4!$M$2:$M$1002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89-47B9-A81C-5290CF57A037}"/>
            </c:ext>
          </c:extLst>
        </c:ser>
        <c:ser>
          <c:idx val="2"/>
          <c:order val="2"/>
          <c:tx>
            <c:strRef>
              <c:f>Лист4!$X$1</c:f>
              <c:strCache>
                <c:ptCount val="1"/>
                <c:pt idx="0">
                  <c:v>Граница верх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Лист4!$X$2:$X$1003</c:f>
              <c:numCache>
                <c:formatCode>0.000</c:formatCode>
                <c:ptCount val="10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1.05</c:v>
                </c:pt>
                <c:pt idx="41">
                  <c:v>1.05</c:v>
                </c:pt>
                <c:pt idx="42">
                  <c:v>1.05</c:v>
                </c:pt>
                <c:pt idx="43">
                  <c:v>1.05</c:v>
                </c:pt>
                <c:pt idx="44">
                  <c:v>1.05</c:v>
                </c:pt>
                <c:pt idx="45">
                  <c:v>1.05</c:v>
                </c:pt>
                <c:pt idx="46">
                  <c:v>1.05</c:v>
                </c:pt>
                <c:pt idx="47">
                  <c:v>1.05</c:v>
                </c:pt>
                <c:pt idx="48">
                  <c:v>1.05</c:v>
                </c:pt>
                <c:pt idx="49">
                  <c:v>1.05</c:v>
                </c:pt>
                <c:pt idx="50">
                  <c:v>1.05</c:v>
                </c:pt>
                <c:pt idx="51">
                  <c:v>1.05</c:v>
                </c:pt>
                <c:pt idx="52">
                  <c:v>1.05</c:v>
                </c:pt>
                <c:pt idx="53">
                  <c:v>1.05</c:v>
                </c:pt>
                <c:pt idx="54">
                  <c:v>1.05</c:v>
                </c:pt>
                <c:pt idx="55">
                  <c:v>1.05</c:v>
                </c:pt>
                <c:pt idx="56">
                  <c:v>1.05</c:v>
                </c:pt>
                <c:pt idx="57">
                  <c:v>1.05</c:v>
                </c:pt>
                <c:pt idx="58">
                  <c:v>1.05</c:v>
                </c:pt>
                <c:pt idx="59">
                  <c:v>1.05</c:v>
                </c:pt>
                <c:pt idx="60">
                  <c:v>1.05</c:v>
                </c:pt>
                <c:pt idx="61">
                  <c:v>1.05</c:v>
                </c:pt>
                <c:pt idx="62">
                  <c:v>1.05</c:v>
                </c:pt>
                <c:pt idx="63">
                  <c:v>1.05</c:v>
                </c:pt>
                <c:pt idx="64">
                  <c:v>1.05</c:v>
                </c:pt>
                <c:pt idx="65">
                  <c:v>1.05</c:v>
                </c:pt>
                <c:pt idx="66">
                  <c:v>1.05</c:v>
                </c:pt>
                <c:pt idx="67">
                  <c:v>1.05</c:v>
                </c:pt>
                <c:pt idx="68">
                  <c:v>1.05</c:v>
                </c:pt>
                <c:pt idx="69">
                  <c:v>1.05</c:v>
                </c:pt>
                <c:pt idx="70">
                  <c:v>1.05</c:v>
                </c:pt>
                <c:pt idx="71">
                  <c:v>1.05</c:v>
                </c:pt>
                <c:pt idx="72">
                  <c:v>1.05</c:v>
                </c:pt>
                <c:pt idx="73">
                  <c:v>1.05</c:v>
                </c:pt>
                <c:pt idx="74">
                  <c:v>1.05</c:v>
                </c:pt>
                <c:pt idx="75">
                  <c:v>1.05</c:v>
                </c:pt>
                <c:pt idx="76">
                  <c:v>1.05</c:v>
                </c:pt>
                <c:pt idx="77">
                  <c:v>1.05</c:v>
                </c:pt>
                <c:pt idx="78">
                  <c:v>1.05</c:v>
                </c:pt>
                <c:pt idx="79">
                  <c:v>1.05</c:v>
                </c:pt>
                <c:pt idx="80">
                  <c:v>1.05</c:v>
                </c:pt>
                <c:pt idx="81">
                  <c:v>1.05</c:v>
                </c:pt>
                <c:pt idx="82">
                  <c:v>1.05</c:v>
                </c:pt>
                <c:pt idx="83">
                  <c:v>1.05</c:v>
                </c:pt>
                <c:pt idx="84">
                  <c:v>1.05</c:v>
                </c:pt>
                <c:pt idx="85">
                  <c:v>1.05</c:v>
                </c:pt>
                <c:pt idx="86">
                  <c:v>1.05</c:v>
                </c:pt>
                <c:pt idx="87">
                  <c:v>1.05</c:v>
                </c:pt>
                <c:pt idx="88">
                  <c:v>1.05</c:v>
                </c:pt>
                <c:pt idx="89">
                  <c:v>1.05</c:v>
                </c:pt>
                <c:pt idx="90">
                  <c:v>1.05</c:v>
                </c:pt>
                <c:pt idx="91">
                  <c:v>1.05</c:v>
                </c:pt>
                <c:pt idx="92">
                  <c:v>1.05</c:v>
                </c:pt>
                <c:pt idx="93">
                  <c:v>1.05</c:v>
                </c:pt>
                <c:pt idx="94">
                  <c:v>1.05</c:v>
                </c:pt>
                <c:pt idx="95">
                  <c:v>1.05</c:v>
                </c:pt>
                <c:pt idx="96">
                  <c:v>1.05</c:v>
                </c:pt>
                <c:pt idx="97">
                  <c:v>1.05</c:v>
                </c:pt>
                <c:pt idx="98">
                  <c:v>1.05</c:v>
                </c:pt>
                <c:pt idx="99">
                  <c:v>1.05</c:v>
                </c:pt>
                <c:pt idx="100">
                  <c:v>1.05</c:v>
                </c:pt>
                <c:pt idx="101">
                  <c:v>1.05</c:v>
                </c:pt>
                <c:pt idx="102">
                  <c:v>1.05</c:v>
                </c:pt>
                <c:pt idx="103">
                  <c:v>1.05</c:v>
                </c:pt>
                <c:pt idx="104">
                  <c:v>1.05</c:v>
                </c:pt>
                <c:pt idx="105">
                  <c:v>1.05</c:v>
                </c:pt>
                <c:pt idx="106">
                  <c:v>1.05</c:v>
                </c:pt>
                <c:pt idx="107">
                  <c:v>1.05</c:v>
                </c:pt>
                <c:pt idx="108">
                  <c:v>1.05</c:v>
                </c:pt>
                <c:pt idx="109">
                  <c:v>1.05</c:v>
                </c:pt>
                <c:pt idx="110">
                  <c:v>1.05</c:v>
                </c:pt>
                <c:pt idx="111">
                  <c:v>1.05</c:v>
                </c:pt>
                <c:pt idx="112">
                  <c:v>1.05</c:v>
                </c:pt>
                <c:pt idx="113">
                  <c:v>1.05</c:v>
                </c:pt>
                <c:pt idx="114">
                  <c:v>1.05</c:v>
                </c:pt>
                <c:pt idx="115">
                  <c:v>1.05</c:v>
                </c:pt>
                <c:pt idx="116">
                  <c:v>1.05</c:v>
                </c:pt>
                <c:pt idx="117">
                  <c:v>1.05</c:v>
                </c:pt>
                <c:pt idx="118">
                  <c:v>1.05</c:v>
                </c:pt>
                <c:pt idx="119">
                  <c:v>1.05</c:v>
                </c:pt>
                <c:pt idx="120">
                  <c:v>1.05</c:v>
                </c:pt>
                <c:pt idx="121">
                  <c:v>1.05</c:v>
                </c:pt>
                <c:pt idx="122">
                  <c:v>1.05</c:v>
                </c:pt>
                <c:pt idx="123">
                  <c:v>1.05</c:v>
                </c:pt>
                <c:pt idx="124">
                  <c:v>1.05</c:v>
                </c:pt>
                <c:pt idx="125">
                  <c:v>1.05</c:v>
                </c:pt>
                <c:pt idx="126">
                  <c:v>1.05</c:v>
                </c:pt>
                <c:pt idx="127">
                  <c:v>1.05</c:v>
                </c:pt>
                <c:pt idx="128">
                  <c:v>1.05</c:v>
                </c:pt>
                <c:pt idx="129">
                  <c:v>1.05</c:v>
                </c:pt>
                <c:pt idx="130">
                  <c:v>1.05</c:v>
                </c:pt>
                <c:pt idx="131">
                  <c:v>1.05</c:v>
                </c:pt>
                <c:pt idx="132">
                  <c:v>1.05</c:v>
                </c:pt>
                <c:pt idx="133">
                  <c:v>1.05</c:v>
                </c:pt>
                <c:pt idx="134">
                  <c:v>1.05</c:v>
                </c:pt>
                <c:pt idx="135">
                  <c:v>1.05</c:v>
                </c:pt>
                <c:pt idx="136">
                  <c:v>1.05</c:v>
                </c:pt>
                <c:pt idx="137">
                  <c:v>1.05</c:v>
                </c:pt>
                <c:pt idx="138">
                  <c:v>1.05</c:v>
                </c:pt>
                <c:pt idx="139">
                  <c:v>1.05</c:v>
                </c:pt>
                <c:pt idx="140">
                  <c:v>1.05</c:v>
                </c:pt>
                <c:pt idx="141">
                  <c:v>1.05</c:v>
                </c:pt>
                <c:pt idx="142">
                  <c:v>1.05</c:v>
                </c:pt>
                <c:pt idx="143">
                  <c:v>1.05</c:v>
                </c:pt>
                <c:pt idx="144">
                  <c:v>1.05</c:v>
                </c:pt>
                <c:pt idx="145">
                  <c:v>1.05</c:v>
                </c:pt>
                <c:pt idx="146">
                  <c:v>1.05</c:v>
                </c:pt>
                <c:pt idx="147">
                  <c:v>1.05</c:v>
                </c:pt>
                <c:pt idx="148">
                  <c:v>1.05</c:v>
                </c:pt>
                <c:pt idx="149">
                  <c:v>1.05</c:v>
                </c:pt>
                <c:pt idx="150">
                  <c:v>1.05</c:v>
                </c:pt>
                <c:pt idx="151">
                  <c:v>1.05</c:v>
                </c:pt>
                <c:pt idx="152">
                  <c:v>1.05</c:v>
                </c:pt>
                <c:pt idx="153">
                  <c:v>1.05</c:v>
                </c:pt>
                <c:pt idx="154">
                  <c:v>1.05</c:v>
                </c:pt>
                <c:pt idx="155">
                  <c:v>1.05</c:v>
                </c:pt>
                <c:pt idx="156">
                  <c:v>1.05</c:v>
                </c:pt>
                <c:pt idx="157">
                  <c:v>1.05</c:v>
                </c:pt>
                <c:pt idx="158">
                  <c:v>1.05</c:v>
                </c:pt>
                <c:pt idx="159">
                  <c:v>1.05</c:v>
                </c:pt>
                <c:pt idx="160">
                  <c:v>1.05</c:v>
                </c:pt>
                <c:pt idx="161">
                  <c:v>1.05</c:v>
                </c:pt>
                <c:pt idx="162">
                  <c:v>1.05</c:v>
                </c:pt>
                <c:pt idx="163">
                  <c:v>1.05</c:v>
                </c:pt>
                <c:pt idx="164">
                  <c:v>1.05</c:v>
                </c:pt>
                <c:pt idx="165">
                  <c:v>1.05</c:v>
                </c:pt>
                <c:pt idx="166">
                  <c:v>1.05</c:v>
                </c:pt>
                <c:pt idx="167">
                  <c:v>1.05</c:v>
                </c:pt>
                <c:pt idx="168">
                  <c:v>1.05</c:v>
                </c:pt>
                <c:pt idx="169">
                  <c:v>1.05</c:v>
                </c:pt>
                <c:pt idx="170">
                  <c:v>1.05</c:v>
                </c:pt>
                <c:pt idx="171">
                  <c:v>1.05</c:v>
                </c:pt>
                <c:pt idx="172">
                  <c:v>1.05</c:v>
                </c:pt>
                <c:pt idx="173">
                  <c:v>1.05</c:v>
                </c:pt>
                <c:pt idx="174">
                  <c:v>1.05</c:v>
                </c:pt>
                <c:pt idx="175">
                  <c:v>1.05</c:v>
                </c:pt>
                <c:pt idx="176">
                  <c:v>1.05</c:v>
                </c:pt>
                <c:pt idx="177">
                  <c:v>1.05</c:v>
                </c:pt>
                <c:pt idx="178">
                  <c:v>1.05</c:v>
                </c:pt>
                <c:pt idx="179">
                  <c:v>1.05</c:v>
                </c:pt>
                <c:pt idx="180">
                  <c:v>1.05</c:v>
                </c:pt>
                <c:pt idx="181">
                  <c:v>1.05</c:v>
                </c:pt>
                <c:pt idx="182">
                  <c:v>1.05</c:v>
                </c:pt>
                <c:pt idx="183">
                  <c:v>1.05</c:v>
                </c:pt>
                <c:pt idx="184">
                  <c:v>1.05</c:v>
                </c:pt>
                <c:pt idx="185">
                  <c:v>1.05</c:v>
                </c:pt>
                <c:pt idx="186">
                  <c:v>1.05</c:v>
                </c:pt>
                <c:pt idx="187">
                  <c:v>1.05</c:v>
                </c:pt>
                <c:pt idx="188">
                  <c:v>1.05</c:v>
                </c:pt>
                <c:pt idx="189">
                  <c:v>1.05</c:v>
                </c:pt>
                <c:pt idx="190">
                  <c:v>1.05</c:v>
                </c:pt>
                <c:pt idx="191">
                  <c:v>1.05</c:v>
                </c:pt>
                <c:pt idx="192">
                  <c:v>1.05</c:v>
                </c:pt>
                <c:pt idx="193">
                  <c:v>1.05</c:v>
                </c:pt>
                <c:pt idx="194">
                  <c:v>1.05</c:v>
                </c:pt>
                <c:pt idx="195">
                  <c:v>1.05</c:v>
                </c:pt>
                <c:pt idx="196">
                  <c:v>1.05</c:v>
                </c:pt>
                <c:pt idx="197">
                  <c:v>1.05</c:v>
                </c:pt>
                <c:pt idx="198">
                  <c:v>1.05</c:v>
                </c:pt>
                <c:pt idx="199">
                  <c:v>1.05</c:v>
                </c:pt>
                <c:pt idx="200">
                  <c:v>1.05</c:v>
                </c:pt>
                <c:pt idx="201">
                  <c:v>1.05</c:v>
                </c:pt>
                <c:pt idx="202">
                  <c:v>1.05</c:v>
                </c:pt>
                <c:pt idx="203">
                  <c:v>1.05</c:v>
                </c:pt>
                <c:pt idx="204">
                  <c:v>1.05</c:v>
                </c:pt>
                <c:pt idx="205">
                  <c:v>1.05</c:v>
                </c:pt>
                <c:pt idx="206">
                  <c:v>1.05</c:v>
                </c:pt>
                <c:pt idx="207">
                  <c:v>1.05</c:v>
                </c:pt>
                <c:pt idx="208">
                  <c:v>1.05</c:v>
                </c:pt>
                <c:pt idx="209">
                  <c:v>1.05</c:v>
                </c:pt>
                <c:pt idx="210">
                  <c:v>1.05</c:v>
                </c:pt>
                <c:pt idx="211">
                  <c:v>1.05</c:v>
                </c:pt>
                <c:pt idx="212">
                  <c:v>1.05</c:v>
                </c:pt>
                <c:pt idx="213">
                  <c:v>1.05</c:v>
                </c:pt>
                <c:pt idx="214">
                  <c:v>1.05</c:v>
                </c:pt>
                <c:pt idx="215">
                  <c:v>1.05</c:v>
                </c:pt>
                <c:pt idx="216">
                  <c:v>1.05</c:v>
                </c:pt>
                <c:pt idx="217">
                  <c:v>1.05</c:v>
                </c:pt>
                <c:pt idx="218">
                  <c:v>1.05</c:v>
                </c:pt>
                <c:pt idx="219">
                  <c:v>1.05</c:v>
                </c:pt>
                <c:pt idx="220">
                  <c:v>1.05</c:v>
                </c:pt>
                <c:pt idx="221">
                  <c:v>1.05</c:v>
                </c:pt>
                <c:pt idx="222">
                  <c:v>1.05</c:v>
                </c:pt>
                <c:pt idx="223">
                  <c:v>1.05</c:v>
                </c:pt>
                <c:pt idx="224">
                  <c:v>1.05</c:v>
                </c:pt>
                <c:pt idx="225">
                  <c:v>1.05</c:v>
                </c:pt>
                <c:pt idx="226">
                  <c:v>1.05</c:v>
                </c:pt>
                <c:pt idx="227">
                  <c:v>1.05</c:v>
                </c:pt>
                <c:pt idx="228">
                  <c:v>1.05</c:v>
                </c:pt>
                <c:pt idx="229">
                  <c:v>1.05</c:v>
                </c:pt>
                <c:pt idx="230">
                  <c:v>1.05</c:v>
                </c:pt>
                <c:pt idx="231">
                  <c:v>1.05</c:v>
                </c:pt>
                <c:pt idx="232">
                  <c:v>1.05</c:v>
                </c:pt>
                <c:pt idx="233">
                  <c:v>1.05</c:v>
                </c:pt>
                <c:pt idx="234">
                  <c:v>1.05</c:v>
                </c:pt>
                <c:pt idx="235">
                  <c:v>1.05</c:v>
                </c:pt>
                <c:pt idx="236">
                  <c:v>1.05</c:v>
                </c:pt>
                <c:pt idx="237">
                  <c:v>1.05</c:v>
                </c:pt>
                <c:pt idx="238">
                  <c:v>1.05</c:v>
                </c:pt>
                <c:pt idx="239">
                  <c:v>1.05</c:v>
                </c:pt>
                <c:pt idx="240">
                  <c:v>1.05</c:v>
                </c:pt>
                <c:pt idx="241">
                  <c:v>1.05</c:v>
                </c:pt>
                <c:pt idx="242">
                  <c:v>1.05</c:v>
                </c:pt>
                <c:pt idx="243">
                  <c:v>1.05</c:v>
                </c:pt>
                <c:pt idx="244">
                  <c:v>1.05</c:v>
                </c:pt>
                <c:pt idx="245">
                  <c:v>1.05</c:v>
                </c:pt>
                <c:pt idx="246">
                  <c:v>1.05</c:v>
                </c:pt>
                <c:pt idx="247">
                  <c:v>1.05</c:v>
                </c:pt>
                <c:pt idx="248">
                  <c:v>1.05</c:v>
                </c:pt>
                <c:pt idx="249">
                  <c:v>1.05</c:v>
                </c:pt>
                <c:pt idx="250">
                  <c:v>1.05</c:v>
                </c:pt>
                <c:pt idx="251">
                  <c:v>1.05</c:v>
                </c:pt>
                <c:pt idx="252">
                  <c:v>1.05</c:v>
                </c:pt>
                <c:pt idx="253">
                  <c:v>1.05</c:v>
                </c:pt>
                <c:pt idx="254">
                  <c:v>1.05</c:v>
                </c:pt>
                <c:pt idx="255">
                  <c:v>1.05</c:v>
                </c:pt>
                <c:pt idx="256">
                  <c:v>1.05</c:v>
                </c:pt>
                <c:pt idx="257">
                  <c:v>1.05</c:v>
                </c:pt>
                <c:pt idx="258">
                  <c:v>1.05</c:v>
                </c:pt>
                <c:pt idx="259">
                  <c:v>1.05</c:v>
                </c:pt>
                <c:pt idx="260">
                  <c:v>1.05</c:v>
                </c:pt>
                <c:pt idx="261">
                  <c:v>1.05</c:v>
                </c:pt>
                <c:pt idx="262">
                  <c:v>1.05</c:v>
                </c:pt>
                <c:pt idx="263">
                  <c:v>1.05</c:v>
                </c:pt>
                <c:pt idx="264">
                  <c:v>1.05</c:v>
                </c:pt>
                <c:pt idx="265">
                  <c:v>1.05</c:v>
                </c:pt>
                <c:pt idx="266">
                  <c:v>1.05</c:v>
                </c:pt>
                <c:pt idx="267">
                  <c:v>1.05</c:v>
                </c:pt>
                <c:pt idx="268">
                  <c:v>1.05</c:v>
                </c:pt>
                <c:pt idx="269">
                  <c:v>1.05</c:v>
                </c:pt>
                <c:pt idx="270">
                  <c:v>1.05</c:v>
                </c:pt>
                <c:pt idx="271">
                  <c:v>1.05</c:v>
                </c:pt>
                <c:pt idx="272">
                  <c:v>1.05</c:v>
                </c:pt>
                <c:pt idx="273">
                  <c:v>1.05</c:v>
                </c:pt>
                <c:pt idx="274">
                  <c:v>1.05</c:v>
                </c:pt>
                <c:pt idx="275">
                  <c:v>1.05</c:v>
                </c:pt>
                <c:pt idx="276">
                  <c:v>1.05</c:v>
                </c:pt>
                <c:pt idx="277">
                  <c:v>1.05</c:v>
                </c:pt>
                <c:pt idx="278">
                  <c:v>1.05</c:v>
                </c:pt>
                <c:pt idx="279">
                  <c:v>1.05</c:v>
                </c:pt>
                <c:pt idx="280">
                  <c:v>1.05</c:v>
                </c:pt>
                <c:pt idx="281">
                  <c:v>1.05</c:v>
                </c:pt>
                <c:pt idx="282">
                  <c:v>1.05</c:v>
                </c:pt>
                <c:pt idx="283">
                  <c:v>1.05</c:v>
                </c:pt>
                <c:pt idx="284">
                  <c:v>1.05</c:v>
                </c:pt>
                <c:pt idx="285">
                  <c:v>1.05</c:v>
                </c:pt>
                <c:pt idx="286">
                  <c:v>1.05</c:v>
                </c:pt>
                <c:pt idx="287">
                  <c:v>1.05</c:v>
                </c:pt>
                <c:pt idx="288">
                  <c:v>1.05</c:v>
                </c:pt>
                <c:pt idx="289">
                  <c:v>1.05</c:v>
                </c:pt>
                <c:pt idx="290">
                  <c:v>1.05</c:v>
                </c:pt>
                <c:pt idx="291">
                  <c:v>1.05</c:v>
                </c:pt>
                <c:pt idx="292">
                  <c:v>1.05</c:v>
                </c:pt>
                <c:pt idx="293">
                  <c:v>1.05</c:v>
                </c:pt>
                <c:pt idx="294">
                  <c:v>1.05</c:v>
                </c:pt>
                <c:pt idx="295">
                  <c:v>1.05</c:v>
                </c:pt>
                <c:pt idx="296">
                  <c:v>1.05</c:v>
                </c:pt>
                <c:pt idx="297">
                  <c:v>1.05</c:v>
                </c:pt>
                <c:pt idx="298">
                  <c:v>1.05</c:v>
                </c:pt>
                <c:pt idx="299">
                  <c:v>1.05</c:v>
                </c:pt>
                <c:pt idx="300">
                  <c:v>1.05</c:v>
                </c:pt>
                <c:pt idx="301">
                  <c:v>1.05</c:v>
                </c:pt>
                <c:pt idx="302">
                  <c:v>1.05</c:v>
                </c:pt>
                <c:pt idx="303">
                  <c:v>1.05</c:v>
                </c:pt>
                <c:pt idx="304">
                  <c:v>1.05</c:v>
                </c:pt>
                <c:pt idx="305">
                  <c:v>1.05</c:v>
                </c:pt>
                <c:pt idx="306">
                  <c:v>1.05</c:v>
                </c:pt>
                <c:pt idx="307">
                  <c:v>1.05</c:v>
                </c:pt>
                <c:pt idx="308">
                  <c:v>1.05</c:v>
                </c:pt>
                <c:pt idx="309">
                  <c:v>1.05</c:v>
                </c:pt>
                <c:pt idx="310">
                  <c:v>1.05</c:v>
                </c:pt>
                <c:pt idx="311">
                  <c:v>1.05</c:v>
                </c:pt>
                <c:pt idx="312">
                  <c:v>1.05</c:v>
                </c:pt>
                <c:pt idx="313">
                  <c:v>1.05</c:v>
                </c:pt>
                <c:pt idx="314">
                  <c:v>1.05</c:v>
                </c:pt>
                <c:pt idx="315">
                  <c:v>1.05</c:v>
                </c:pt>
                <c:pt idx="316">
                  <c:v>1.05</c:v>
                </c:pt>
                <c:pt idx="317">
                  <c:v>1.05</c:v>
                </c:pt>
                <c:pt idx="318">
                  <c:v>1.05</c:v>
                </c:pt>
                <c:pt idx="319">
                  <c:v>1.05</c:v>
                </c:pt>
                <c:pt idx="320">
                  <c:v>1.05</c:v>
                </c:pt>
                <c:pt idx="321">
                  <c:v>1.05</c:v>
                </c:pt>
                <c:pt idx="322">
                  <c:v>1.05</c:v>
                </c:pt>
                <c:pt idx="323">
                  <c:v>1.05</c:v>
                </c:pt>
                <c:pt idx="324">
                  <c:v>1.05</c:v>
                </c:pt>
                <c:pt idx="325">
                  <c:v>1.05</c:v>
                </c:pt>
                <c:pt idx="326">
                  <c:v>1.05</c:v>
                </c:pt>
                <c:pt idx="327">
                  <c:v>1.05</c:v>
                </c:pt>
                <c:pt idx="328">
                  <c:v>1.05</c:v>
                </c:pt>
                <c:pt idx="329">
                  <c:v>1.05</c:v>
                </c:pt>
                <c:pt idx="330">
                  <c:v>1.05</c:v>
                </c:pt>
                <c:pt idx="331">
                  <c:v>1.05</c:v>
                </c:pt>
                <c:pt idx="332">
                  <c:v>1.05</c:v>
                </c:pt>
                <c:pt idx="333">
                  <c:v>1.05</c:v>
                </c:pt>
                <c:pt idx="334">
                  <c:v>1.05</c:v>
                </c:pt>
                <c:pt idx="335">
                  <c:v>1.05</c:v>
                </c:pt>
                <c:pt idx="336">
                  <c:v>1.05</c:v>
                </c:pt>
                <c:pt idx="337">
                  <c:v>1.05</c:v>
                </c:pt>
                <c:pt idx="338">
                  <c:v>1.05</c:v>
                </c:pt>
                <c:pt idx="339">
                  <c:v>1.05</c:v>
                </c:pt>
                <c:pt idx="340">
                  <c:v>1.05</c:v>
                </c:pt>
                <c:pt idx="341">
                  <c:v>1.05</c:v>
                </c:pt>
                <c:pt idx="342">
                  <c:v>1.05</c:v>
                </c:pt>
                <c:pt idx="343">
                  <c:v>1.05</c:v>
                </c:pt>
                <c:pt idx="344">
                  <c:v>1.05</c:v>
                </c:pt>
                <c:pt idx="345">
                  <c:v>1.05</c:v>
                </c:pt>
                <c:pt idx="346">
                  <c:v>1.05</c:v>
                </c:pt>
                <c:pt idx="347">
                  <c:v>1.05</c:v>
                </c:pt>
                <c:pt idx="348">
                  <c:v>1.05</c:v>
                </c:pt>
                <c:pt idx="349">
                  <c:v>1.05</c:v>
                </c:pt>
                <c:pt idx="350">
                  <c:v>1.05</c:v>
                </c:pt>
                <c:pt idx="351">
                  <c:v>1.05</c:v>
                </c:pt>
                <c:pt idx="352">
                  <c:v>1.05</c:v>
                </c:pt>
                <c:pt idx="353">
                  <c:v>1.05</c:v>
                </c:pt>
                <c:pt idx="354">
                  <c:v>1.05</c:v>
                </c:pt>
                <c:pt idx="355">
                  <c:v>1.05</c:v>
                </c:pt>
                <c:pt idx="356">
                  <c:v>1.05</c:v>
                </c:pt>
                <c:pt idx="357">
                  <c:v>1.05</c:v>
                </c:pt>
                <c:pt idx="358">
                  <c:v>1.05</c:v>
                </c:pt>
                <c:pt idx="359">
                  <c:v>1.05</c:v>
                </c:pt>
                <c:pt idx="360">
                  <c:v>1.05</c:v>
                </c:pt>
                <c:pt idx="361">
                  <c:v>1.05</c:v>
                </c:pt>
                <c:pt idx="362">
                  <c:v>1.05</c:v>
                </c:pt>
                <c:pt idx="363">
                  <c:v>1.05</c:v>
                </c:pt>
                <c:pt idx="364">
                  <c:v>1.05</c:v>
                </c:pt>
                <c:pt idx="365">
                  <c:v>1.05</c:v>
                </c:pt>
                <c:pt idx="366">
                  <c:v>1.05</c:v>
                </c:pt>
                <c:pt idx="367">
                  <c:v>1.05</c:v>
                </c:pt>
                <c:pt idx="368">
                  <c:v>1.05</c:v>
                </c:pt>
                <c:pt idx="369">
                  <c:v>1.05</c:v>
                </c:pt>
                <c:pt idx="370">
                  <c:v>1.05</c:v>
                </c:pt>
                <c:pt idx="371">
                  <c:v>1.05</c:v>
                </c:pt>
                <c:pt idx="372">
                  <c:v>1.05</c:v>
                </c:pt>
                <c:pt idx="373">
                  <c:v>1.05</c:v>
                </c:pt>
                <c:pt idx="374">
                  <c:v>1.05</c:v>
                </c:pt>
                <c:pt idx="375">
                  <c:v>1.05</c:v>
                </c:pt>
                <c:pt idx="376">
                  <c:v>1.05</c:v>
                </c:pt>
                <c:pt idx="377">
                  <c:v>1.05</c:v>
                </c:pt>
                <c:pt idx="378">
                  <c:v>1.05</c:v>
                </c:pt>
                <c:pt idx="379">
                  <c:v>1.05</c:v>
                </c:pt>
                <c:pt idx="380">
                  <c:v>1.05</c:v>
                </c:pt>
                <c:pt idx="381">
                  <c:v>1.05</c:v>
                </c:pt>
                <c:pt idx="382">
                  <c:v>1.05</c:v>
                </c:pt>
                <c:pt idx="383">
                  <c:v>1.05</c:v>
                </c:pt>
                <c:pt idx="384">
                  <c:v>1.05</c:v>
                </c:pt>
                <c:pt idx="385">
                  <c:v>1.05</c:v>
                </c:pt>
                <c:pt idx="386">
                  <c:v>1.05</c:v>
                </c:pt>
                <c:pt idx="387">
                  <c:v>1.05</c:v>
                </c:pt>
                <c:pt idx="388">
                  <c:v>1.05</c:v>
                </c:pt>
                <c:pt idx="389">
                  <c:v>1.05</c:v>
                </c:pt>
                <c:pt idx="390">
                  <c:v>1.05</c:v>
                </c:pt>
                <c:pt idx="391">
                  <c:v>1.05</c:v>
                </c:pt>
                <c:pt idx="392">
                  <c:v>1.05</c:v>
                </c:pt>
                <c:pt idx="393">
                  <c:v>1.05</c:v>
                </c:pt>
                <c:pt idx="394">
                  <c:v>1.05</c:v>
                </c:pt>
                <c:pt idx="395">
                  <c:v>1.05</c:v>
                </c:pt>
                <c:pt idx="396">
                  <c:v>1.05</c:v>
                </c:pt>
                <c:pt idx="397">
                  <c:v>1.05</c:v>
                </c:pt>
                <c:pt idx="398">
                  <c:v>1.05</c:v>
                </c:pt>
                <c:pt idx="399">
                  <c:v>1.05</c:v>
                </c:pt>
                <c:pt idx="400">
                  <c:v>1.05</c:v>
                </c:pt>
                <c:pt idx="401">
                  <c:v>1.05</c:v>
                </c:pt>
                <c:pt idx="402">
                  <c:v>1.05</c:v>
                </c:pt>
                <c:pt idx="403">
                  <c:v>1.05</c:v>
                </c:pt>
                <c:pt idx="404">
                  <c:v>1.05</c:v>
                </c:pt>
                <c:pt idx="405">
                  <c:v>1.05</c:v>
                </c:pt>
                <c:pt idx="406">
                  <c:v>1.05</c:v>
                </c:pt>
                <c:pt idx="407">
                  <c:v>1.05</c:v>
                </c:pt>
                <c:pt idx="408">
                  <c:v>1.05</c:v>
                </c:pt>
                <c:pt idx="409">
                  <c:v>1.05</c:v>
                </c:pt>
                <c:pt idx="410">
                  <c:v>1.05</c:v>
                </c:pt>
                <c:pt idx="411">
                  <c:v>1.05</c:v>
                </c:pt>
                <c:pt idx="412">
                  <c:v>1.05</c:v>
                </c:pt>
                <c:pt idx="413">
                  <c:v>1.05</c:v>
                </c:pt>
                <c:pt idx="414">
                  <c:v>1.05</c:v>
                </c:pt>
                <c:pt idx="415">
                  <c:v>1.05</c:v>
                </c:pt>
                <c:pt idx="416">
                  <c:v>1.05</c:v>
                </c:pt>
                <c:pt idx="417">
                  <c:v>1.05</c:v>
                </c:pt>
                <c:pt idx="418">
                  <c:v>1.05</c:v>
                </c:pt>
                <c:pt idx="419">
                  <c:v>1.05</c:v>
                </c:pt>
                <c:pt idx="420">
                  <c:v>1.05</c:v>
                </c:pt>
                <c:pt idx="421">
                  <c:v>1.05</c:v>
                </c:pt>
                <c:pt idx="422">
                  <c:v>1.05</c:v>
                </c:pt>
                <c:pt idx="423">
                  <c:v>1.05</c:v>
                </c:pt>
                <c:pt idx="424">
                  <c:v>1.05</c:v>
                </c:pt>
                <c:pt idx="425">
                  <c:v>1.05</c:v>
                </c:pt>
                <c:pt idx="426">
                  <c:v>1.05</c:v>
                </c:pt>
                <c:pt idx="427">
                  <c:v>1.05</c:v>
                </c:pt>
                <c:pt idx="428">
                  <c:v>1.05</c:v>
                </c:pt>
                <c:pt idx="429">
                  <c:v>1.05</c:v>
                </c:pt>
                <c:pt idx="430">
                  <c:v>1.05</c:v>
                </c:pt>
                <c:pt idx="431">
                  <c:v>1.05</c:v>
                </c:pt>
                <c:pt idx="432">
                  <c:v>1.05</c:v>
                </c:pt>
                <c:pt idx="433">
                  <c:v>1.05</c:v>
                </c:pt>
                <c:pt idx="434">
                  <c:v>1.05</c:v>
                </c:pt>
                <c:pt idx="435">
                  <c:v>1.05</c:v>
                </c:pt>
                <c:pt idx="436">
                  <c:v>1.05</c:v>
                </c:pt>
                <c:pt idx="437">
                  <c:v>1.05</c:v>
                </c:pt>
                <c:pt idx="438">
                  <c:v>1.05</c:v>
                </c:pt>
                <c:pt idx="439">
                  <c:v>1.05</c:v>
                </c:pt>
                <c:pt idx="440">
                  <c:v>1.05</c:v>
                </c:pt>
                <c:pt idx="441">
                  <c:v>1.05</c:v>
                </c:pt>
                <c:pt idx="442">
                  <c:v>1.05</c:v>
                </c:pt>
                <c:pt idx="443">
                  <c:v>1.05</c:v>
                </c:pt>
                <c:pt idx="444">
                  <c:v>1.05</c:v>
                </c:pt>
                <c:pt idx="445">
                  <c:v>1.05</c:v>
                </c:pt>
                <c:pt idx="446">
                  <c:v>1.05</c:v>
                </c:pt>
                <c:pt idx="447">
                  <c:v>1.05</c:v>
                </c:pt>
                <c:pt idx="448">
                  <c:v>1.05</c:v>
                </c:pt>
                <c:pt idx="449">
                  <c:v>1.05</c:v>
                </c:pt>
                <c:pt idx="450">
                  <c:v>1.05</c:v>
                </c:pt>
                <c:pt idx="451">
                  <c:v>1.05</c:v>
                </c:pt>
                <c:pt idx="452">
                  <c:v>1.05</c:v>
                </c:pt>
                <c:pt idx="453">
                  <c:v>1.05</c:v>
                </c:pt>
                <c:pt idx="454">
                  <c:v>1.05</c:v>
                </c:pt>
                <c:pt idx="455">
                  <c:v>1.05</c:v>
                </c:pt>
                <c:pt idx="456">
                  <c:v>1.05</c:v>
                </c:pt>
                <c:pt idx="457">
                  <c:v>1.05</c:v>
                </c:pt>
                <c:pt idx="458">
                  <c:v>1.05</c:v>
                </c:pt>
                <c:pt idx="459">
                  <c:v>1.05</c:v>
                </c:pt>
                <c:pt idx="460">
                  <c:v>1.05</c:v>
                </c:pt>
                <c:pt idx="461">
                  <c:v>1.05</c:v>
                </c:pt>
                <c:pt idx="462">
                  <c:v>1.05</c:v>
                </c:pt>
                <c:pt idx="463">
                  <c:v>1.05</c:v>
                </c:pt>
                <c:pt idx="464">
                  <c:v>1.05</c:v>
                </c:pt>
                <c:pt idx="465">
                  <c:v>1.05</c:v>
                </c:pt>
                <c:pt idx="466">
                  <c:v>1.05</c:v>
                </c:pt>
                <c:pt idx="467">
                  <c:v>1.05</c:v>
                </c:pt>
                <c:pt idx="468">
                  <c:v>1.05</c:v>
                </c:pt>
                <c:pt idx="469">
                  <c:v>1.05</c:v>
                </c:pt>
                <c:pt idx="470">
                  <c:v>1.05</c:v>
                </c:pt>
                <c:pt idx="471">
                  <c:v>1.05</c:v>
                </c:pt>
                <c:pt idx="472">
                  <c:v>1.05</c:v>
                </c:pt>
                <c:pt idx="473">
                  <c:v>1.05</c:v>
                </c:pt>
                <c:pt idx="474">
                  <c:v>1.05</c:v>
                </c:pt>
                <c:pt idx="475">
                  <c:v>1.05</c:v>
                </c:pt>
                <c:pt idx="476">
                  <c:v>1.05</c:v>
                </c:pt>
                <c:pt idx="477">
                  <c:v>1.05</c:v>
                </c:pt>
                <c:pt idx="478">
                  <c:v>1.05</c:v>
                </c:pt>
                <c:pt idx="479">
                  <c:v>1.05</c:v>
                </c:pt>
                <c:pt idx="480">
                  <c:v>1.05</c:v>
                </c:pt>
                <c:pt idx="481">
                  <c:v>1.05</c:v>
                </c:pt>
                <c:pt idx="482">
                  <c:v>1.05</c:v>
                </c:pt>
                <c:pt idx="483">
                  <c:v>1.05</c:v>
                </c:pt>
                <c:pt idx="484">
                  <c:v>1.05</c:v>
                </c:pt>
                <c:pt idx="485">
                  <c:v>1.05</c:v>
                </c:pt>
                <c:pt idx="486">
                  <c:v>1.05</c:v>
                </c:pt>
                <c:pt idx="487">
                  <c:v>1.05</c:v>
                </c:pt>
                <c:pt idx="488">
                  <c:v>1.05</c:v>
                </c:pt>
                <c:pt idx="489">
                  <c:v>1.05</c:v>
                </c:pt>
                <c:pt idx="490">
                  <c:v>1.05</c:v>
                </c:pt>
                <c:pt idx="491">
                  <c:v>1.05</c:v>
                </c:pt>
                <c:pt idx="492">
                  <c:v>1.05</c:v>
                </c:pt>
                <c:pt idx="493">
                  <c:v>1.05</c:v>
                </c:pt>
                <c:pt idx="494">
                  <c:v>1.05</c:v>
                </c:pt>
                <c:pt idx="495">
                  <c:v>1.05</c:v>
                </c:pt>
                <c:pt idx="496">
                  <c:v>1.05</c:v>
                </c:pt>
                <c:pt idx="497">
                  <c:v>1.05</c:v>
                </c:pt>
                <c:pt idx="498">
                  <c:v>1.05</c:v>
                </c:pt>
                <c:pt idx="499">
                  <c:v>1.05</c:v>
                </c:pt>
                <c:pt idx="500">
                  <c:v>1.05</c:v>
                </c:pt>
                <c:pt idx="501">
                  <c:v>1.05</c:v>
                </c:pt>
                <c:pt idx="502">
                  <c:v>1.05</c:v>
                </c:pt>
                <c:pt idx="503">
                  <c:v>1.05</c:v>
                </c:pt>
                <c:pt idx="504">
                  <c:v>1.05</c:v>
                </c:pt>
                <c:pt idx="505">
                  <c:v>1.05</c:v>
                </c:pt>
                <c:pt idx="506">
                  <c:v>1.05</c:v>
                </c:pt>
                <c:pt idx="507">
                  <c:v>1.05</c:v>
                </c:pt>
                <c:pt idx="508">
                  <c:v>1.05</c:v>
                </c:pt>
                <c:pt idx="509">
                  <c:v>1.05</c:v>
                </c:pt>
                <c:pt idx="510">
                  <c:v>1.05</c:v>
                </c:pt>
                <c:pt idx="511">
                  <c:v>1.05</c:v>
                </c:pt>
                <c:pt idx="512">
                  <c:v>1.05</c:v>
                </c:pt>
                <c:pt idx="513">
                  <c:v>1.05</c:v>
                </c:pt>
                <c:pt idx="514">
                  <c:v>1.05</c:v>
                </c:pt>
                <c:pt idx="515">
                  <c:v>1.05</c:v>
                </c:pt>
                <c:pt idx="516">
                  <c:v>1.05</c:v>
                </c:pt>
                <c:pt idx="517">
                  <c:v>1.05</c:v>
                </c:pt>
                <c:pt idx="518">
                  <c:v>1.05</c:v>
                </c:pt>
                <c:pt idx="519">
                  <c:v>1.05</c:v>
                </c:pt>
                <c:pt idx="520">
                  <c:v>1.05</c:v>
                </c:pt>
                <c:pt idx="521">
                  <c:v>1.05</c:v>
                </c:pt>
                <c:pt idx="522">
                  <c:v>1.05</c:v>
                </c:pt>
                <c:pt idx="523">
                  <c:v>1.05</c:v>
                </c:pt>
                <c:pt idx="524">
                  <c:v>1.05</c:v>
                </c:pt>
                <c:pt idx="525">
                  <c:v>1.05</c:v>
                </c:pt>
                <c:pt idx="526">
                  <c:v>1.05</c:v>
                </c:pt>
                <c:pt idx="527">
                  <c:v>1.05</c:v>
                </c:pt>
                <c:pt idx="528">
                  <c:v>1.05</c:v>
                </c:pt>
                <c:pt idx="529">
                  <c:v>1.05</c:v>
                </c:pt>
                <c:pt idx="530">
                  <c:v>1.05</c:v>
                </c:pt>
                <c:pt idx="531">
                  <c:v>1.05</c:v>
                </c:pt>
                <c:pt idx="532">
                  <c:v>1.05</c:v>
                </c:pt>
                <c:pt idx="533">
                  <c:v>1.05</c:v>
                </c:pt>
                <c:pt idx="534">
                  <c:v>1.05</c:v>
                </c:pt>
                <c:pt idx="535">
                  <c:v>1.05</c:v>
                </c:pt>
                <c:pt idx="536">
                  <c:v>1.05</c:v>
                </c:pt>
                <c:pt idx="537">
                  <c:v>1.05</c:v>
                </c:pt>
                <c:pt idx="538">
                  <c:v>1.05</c:v>
                </c:pt>
                <c:pt idx="539">
                  <c:v>1.05</c:v>
                </c:pt>
                <c:pt idx="540">
                  <c:v>1.05</c:v>
                </c:pt>
                <c:pt idx="541">
                  <c:v>1.05</c:v>
                </c:pt>
                <c:pt idx="542">
                  <c:v>1.05</c:v>
                </c:pt>
                <c:pt idx="543">
                  <c:v>1.05</c:v>
                </c:pt>
                <c:pt idx="544">
                  <c:v>1.05</c:v>
                </c:pt>
                <c:pt idx="545">
                  <c:v>1.05</c:v>
                </c:pt>
                <c:pt idx="546">
                  <c:v>1.05</c:v>
                </c:pt>
                <c:pt idx="547">
                  <c:v>1.05</c:v>
                </c:pt>
                <c:pt idx="548">
                  <c:v>1.05</c:v>
                </c:pt>
                <c:pt idx="549">
                  <c:v>1.05</c:v>
                </c:pt>
                <c:pt idx="550">
                  <c:v>1.05</c:v>
                </c:pt>
                <c:pt idx="551">
                  <c:v>1.05</c:v>
                </c:pt>
                <c:pt idx="552">
                  <c:v>1.05</c:v>
                </c:pt>
                <c:pt idx="553">
                  <c:v>1.05</c:v>
                </c:pt>
                <c:pt idx="554">
                  <c:v>1.05</c:v>
                </c:pt>
                <c:pt idx="555">
                  <c:v>1.05</c:v>
                </c:pt>
                <c:pt idx="556">
                  <c:v>1.05</c:v>
                </c:pt>
                <c:pt idx="557">
                  <c:v>1.05</c:v>
                </c:pt>
                <c:pt idx="558">
                  <c:v>1.05</c:v>
                </c:pt>
                <c:pt idx="559">
                  <c:v>1.05</c:v>
                </c:pt>
                <c:pt idx="560">
                  <c:v>1.05</c:v>
                </c:pt>
                <c:pt idx="561">
                  <c:v>1.05</c:v>
                </c:pt>
                <c:pt idx="562">
                  <c:v>1.05</c:v>
                </c:pt>
                <c:pt idx="563">
                  <c:v>1.05</c:v>
                </c:pt>
                <c:pt idx="564">
                  <c:v>1.05</c:v>
                </c:pt>
                <c:pt idx="565">
                  <c:v>1.05</c:v>
                </c:pt>
                <c:pt idx="566">
                  <c:v>1.05</c:v>
                </c:pt>
                <c:pt idx="567">
                  <c:v>1.05</c:v>
                </c:pt>
                <c:pt idx="568">
                  <c:v>1.05</c:v>
                </c:pt>
                <c:pt idx="569">
                  <c:v>1.05</c:v>
                </c:pt>
                <c:pt idx="570">
                  <c:v>1.05</c:v>
                </c:pt>
                <c:pt idx="571">
                  <c:v>1.05</c:v>
                </c:pt>
                <c:pt idx="572">
                  <c:v>1.05</c:v>
                </c:pt>
                <c:pt idx="573">
                  <c:v>1.05</c:v>
                </c:pt>
                <c:pt idx="574">
                  <c:v>1.05</c:v>
                </c:pt>
                <c:pt idx="575">
                  <c:v>1.05</c:v>
                </c:pt>
                <c:pt idx="576">
                  <c:v>1.05</c:v>
                </c:pt>
                <c:pt idx="577">
                  <c:v>1.05</c:v>
                </c:pt>
                <c:pt idx="578">
                  <c:v>1.05</c:v>
                </c:pt>
                <c:pt idx="579">
                  <c:v>1.05</c:v>
                </c:pt>
                <c:pt idx="580">
                  <c:v>1.05</c:v>
                </c:pt>
                <c:pt idx="581">
                  <c:v>1.05</c:v>
                </c:pt>
                <c:pt idx="582">
                  <c:v>1.05</c:v>
                </c:pt>
                <c:pt idx="583">
                  <c:v>1.05</c:v>
                </c:pt>
                <c:pt idx="584">
                  <c:v>1.05</c:v>
                </c:pt>
                <c:pt idx="585">
                  <c:v>1.05</c:v>
                </c:pt>
                <c:pt idx="586">
                  <c:v>1.05</c:v>
                </c:pt>
                <c:pt idx="587">
                  <c:v>1.05</c:v>
                </c:pt>
                <c:pt idx="588">
                  <c:v>1.05</c:v>
                </c:pt>
                <c:pt idx="589">
                  <c:v>1.05</c:v>
                </c:pt>
                <c:pt idx="590">
                  <c:v>1.05</c:v>
                </c:pt>
                <c:pt idx="591">
                  <c:v>1.05</c:v>
                </c:pt>
                <c:pt idx="592">
                  <c:v>1.05</c:v>
                </c:pt>
                <c:pt idx="593">
                  <c:v>1.05</c:v>
                </c:pt>
                <c:pt idx="594">
                  <c:v>1.05</c:v>
                </c:pt>
                <c:pt idx="595">
                  <c:v>1.05</c:v>
                </c:pt>
                <c:pt idx="596">
                  <c:v>1.05</c:v>
                </c:pt>
                <c:pt idx="597">
                  <c:v>1.05</c:v>
                </c:pt>
                <c:pt idx="598">
                  <c:v>1.05</c:v>
                </c:pt>
                <c:pt idx="599">
                  <c:v>1.05</c:v>
                </c:pt>
                <c:pt idx="600">
                  <c:v>1.05</c:v>
                </c:pt>
                <c:pt idx="601">
                  <c:v>1.05</c:v>
                </c:pt>
                <c:pt idx="602">
                  <c:v>1.05</c:v>
                </c:pt>
                <c:pt idx="603">
                  <c:v>1.05</c:v>
                </c:pt>
                <c:pt idx="604">
                  <c:v>1.05</c:v>
                </c:pt>
                <c:pt idx="605">
                  <c:v>1.05</c:v>
                </c:pt>
                <c:pt idx="606">
                  <c:v>1.05</c:v>
                </c:pt>
                <c:pt idx="607">
                  <c:v>1.05</c:v>
                </c:pt>
                <c:pt idx="608">
                  <c:v>1.05</c:v>
                </c:pt>
                <c:pt idx="609">
                  <c:v>1.05</c:v>
                </c:pt>
                <c:pt idx="610">
                  <c:v>1.05</c:v>
                </c:pt>
                <c:pt idx="611">
                  <c:v>1.05</c:v>
                </c:pt>
                <c:pt idx="612">
                  <c:v>1.05</c:v>
                </c:pt>
                <c:pt idx="613">
                  <c:v>1.05</c:v>
                </c:pt>
                <c:pt idx="614">
                  <c:v>1.05</c:v>
                </c:pt>
                <c:pt idx="615">
                  <c:v>1.05</c:v>
                </c:pt>
                <c:pt idx="616">
                  <c:v>1.05</c:v>
                </c:pt>
                <c:pt idx="617">
                  <c:v>1.05</c:v>
                </c:pt>
                <c:pt idx="618">
                  <c:v>1.05</c:v>
                </c:pt>
                <c:pt idx="619">
                  <c:v>1.05</c:v>
                </c:pt>
                <c:pt idx="620">
                  <c:v>1.05</c:v>
                </c:pt>
                <c:pt idx="621">
                  <c:v>1.05</c:v>
                </c:pt>
                <c:pt idx="622">
                  <c:v>1.05</c:v>
                </c:pt>
                <c:pt idx="623">
                  <c:v>1.05</c:v>
                </c:pt>
                <c:pt idx="624">
                  <c:v>1.05</c:v>
                </c:pt>
                <c:pt idx="625">
                  <c:v>1.05</c:v>
                </c:pt>
                <c:pt idx="626">
                  <c:v>1.05</c:v>
                </c:pt>
                <c:pt idx="627">
                  <c:v>1.05</c:v>
                </c:pt>
                <c:pt idx="628">
                  <c:v>1.05</c:v>
                </c:pt>
                <c:pt idx="629">
                  <c:v>1.05</c:v>
                </c:pt>
                <c:pt idx="630">
                  <c:v>1.05</c:v>
                </c:pt>
                <c:pt idx="631">
                  <c:v>1.05</c:v>
                </c:pt>
                <c:pt idx="632">
                  <c:v>1.05</c:v>
                </c:pt>
                <c:pt idx="633">
                  <c:v>1.05</c:v>
                </c:pt>
                <c:pt idx="634">
                  <c:v>1.05</c:v>
                </c:pt>
                <c:pt idx="635">
                  <c:v>1.05</c:v>
                </c:pt>
                <c:pt idx="636">
                  <c:v>1.05</c:v>
                </c:pt>
                <c:pt idx="637">
                  <c:v>1.05</c:v>
                </c:pt>
                <c:pt idx="638">
                  <c:v>1.05</c:v>
                </c:pt>
                <c:pt idx="639">
                  <c:v>1.05</c:v>
                </c:pt>
                <c:pt idx="640">
                  <c:v>1.05</c:v>
                </c:pt>
                <c:pt idx="641">
                  <c:v>1.05</c:v>
                </c:pt>
                <c:pt idx="642">
                  <c:v>1.05</c:v>
                </c:pt>
                <c:pt idx="643">
                  <c:v>1.05</c:v>
                </c:pt>
                <c:pt idx="644">
                  <c:v>1.05</c:v>
                </c:pt>
                <c:pt idx="645">
                  <c:v>1.05</c:v>
                </c:pt>
                <c:pt idx="646">
                  <c:v>1.05</c:v>
                </c:pt>
                <c:pt idx="647">
                  <c:v>1.05</c:v>
                </c:pt>
                <c:pt idx="648">
                  <c:v>1.05</c:v>
                </c:pt>
                <c:pt idx="649">
                  <c:v>1.05</c:v>
                </c:pt>
                <c:pt idx="650">
                  <c:v>1.05</c:v>
                </c:pt>
                <c:pt idx="651">
                  <c:v>1.05</c:v>
                </c:pt>
                <c:pt idx="652">
                  <c:v>1.05</c:v>
                </c:pt>
                <c:pt idx="653">
                  <c:v>1.05</c:v>
                </c:pt>
                <c:pt idx="654">
                  <c:v>1.05</c:v>
                </c:pt>
                <c:pt idx="655">
                  <c:v>1.05</c:v>
                </c:pt>
                <c:pt idx="656">
                  <c:v>1.05</c:v>
                </c:pt>
                <c:pt idx="657">
                  <c:v>1.05</c:v>
                </c:pt>
                <c:pt idx="658">
                  <c:v>1.05</c:v>
                </c:pt>
                <c:pt idx="659">
                  <c:v>1.05</c:v>
                </c:pt>
                <c:pt idx="660">
                  <c:v>1.05</c:v>
                </c:pt>
                <c:pt idx="661">
                  <c:v>1.05</c:v>
                </c:pt>
                <c:pt idx="662">
                  <c:v>1.05</c:v>
                </c:pt>
                <c:pt idx="663">
                  <c:v>1.05</c:v>
                </c:pt>
                <c:pt idx="664">
                  <c:v>1.05</c:v>
                </c:pt>
                <c:pt idx="665">
                  <c:v>1.05</c:v>
                </c:pt>
                <c:pt idx="666">
                  <c:v>1.05</c:v>
                </c:pt>
                <c:pt idx="667">
                  <c:v>1.05</c:v>
                </c:pt>
                <c:pt idx="668">
                  <c:v>1.05</c:v>
                </c:pt>
                <c:pt idx="669">
                  <c:v>1.05</c:v>
                </c:pt>
                <c:pt idx="670">
                  <c:v>1.05</c:v>
                </c:pt>
                <c:pt idx="671">
                  <c:v>1.05</c:v>
                </c:pt>
                <c:pt idx="672">
                  <c:v>1.05</c:v>
                </c:pt>
                <c:pt idx="673">
                  <c:v>1.05</c:v>
                </c:pt>
                <c:pt idx="674">
                  <c:v>1.05</c:v>
                </c:pt>
                <c:pt idx="675">
                  <c:v>1.05</c:v>
                </c:pt>
                <c:pt idx="676">
                  <c:v>1.05</c:v>
                </c:pt>
                <c:pt idx="677">
                  <c:v>1.05</c:v>
                </c:pt>
                <c:pt idx="678">
                  <c:v>1.05</c:v>
                </c:pt>
                <c:pt idx="679">
                  <c:v>1.05</c:v>
                </c:pt>
                <c:pt idx="680">
                  <c:v>1.05</c:v>
                </c:pt>
                <c:pt idx="681">
                  <c:v>1.05</c:v>
                </c:pt>
                <c:pt idx="682">
                  <c:v>1.05</c:v>
                </c:pt>
                <c:pt idx="683">
                  <c:v>1.05</c:v>
                </c:pt>
                <c:pt idx="684">
                  <c:v>1.05</c:v>
                </c:pt>
                <c:pt idx="685">
                  <c:v>1.05</c:v>
                </c:pt>
                <c:pt idx="686">
                  <c:v>1.05</c:v>
                </c:pt>
                <c:pt idx="687">
                  <c:v>1.05</c:v>
                </c:pt>
                <c:pt idx="688">
                  <c:v>1.05</c:v>
                </c:pt>
                <c:pt idx="689">
                  <c:v>1.05</c:v>
                </c:pt>
                <c:pt idx="690">
                  <c:v>1.05</c:v>
                </c:pt>
                <c:pt idx="691">
                  <c:v>1.05</c:v>
                </c:pt>
                <c:pt idx="692">
                  <c:v>1.05</c:v>
                </c:pt>
                <c:pt idx="693">
                  <c:v>1.05</c:v>
                </c:pt>
                <c:pt idx="694">
                  <c:v>1.05</c:v>
                </c:pt>
                <c:pt idx="695">
                  <c:v>1.05</c:v>
                </c:pt>
                <c:pt idx="696">
                  <c:v>1.05</c:v>
                </c:pt>
                <c:pt idx="697">
                  <c:v>1.05</c:v>
                </c:pt>
                <c:pt idx="698">
                  <c:v>1.05</c:v>
                </c:pt>
                <c:pt idx="699">
                  <c:v>1.05</c:v>
                </c:pt>
                <c:pt idx="700">
                  <c:v>1.05</c:v>
                </c:pt>
                <c:pt idx="701">
                  <c:v>1.05</c:v>
                </c:pt>
                <c:pt idx="702">
                  <c:v>1.05</c:v>
                </c:pt>
                <c:pt idx="703">
                  <c:v>1.05</c:v>
                </c:pt>
                <c:pt idx="704">
                  <c:v>1.05</c:v>
                </c:pt>
                <c:pt idx="705">
                  <c:v>1.05</c:v>
                </c:pt>
                <c:pt idx="706">
                  <c:v>1.05</c:v>
                </c:pt>
                <c:pt idx="707">
                  <c:v>1.05</c:v>
                </c:pt>
                <c:pt idx="708">
                  <c:v>1.05</c:v>
                </c:pt>
                <c:pt idx="709">
                  <c:v>1.05</c:v>
                </c:pt>
                <c:pt idx="710">
                  <c:v>1.05</c:v>
                </c:pt>
                <c:pt idx="711">
                  <c:v>1.05</c:v>
                </c:pt>
                <c:pt idx="712">
                  <c:v>1.05</c:v>
                </c:pt>
                <c:pt idx="713">
                  <c:v>1.05</c:v>
                </c:pt>
                <c:pt idx="714">
                  <c:v>1.05</c:v>
                </c:pt>
                <c:pt idx="715">
                  <c:v>1.05</c:v>
                </c:pt>
                <c:pt idx="716">
                  <c:v>1.05</c:v>
                </c:pt>
                <c:pt idx="717">
                  <c:v>1.05</c:v>
                </c:pt>
                <c:pt idx="718">
                  <c:v>1.05</c:v>
                </c:pt>
                <c:pt idx="719">
                  <c:v>1.05</c:v>
                </c:pt>
                <c:pt idx="720">
                  <c:v>1.05</c:v>
                </c:pt>
                <c:pt idx="721">
                  <c:v>1.05</c:v>
                </c:pt>
                <c:pt idx="722">
                  <c:v>1.05</c:v>
                </c:pt>
                <c:pt idx="723">
                  <c:v>1.05</c:v>
                </c:pt>
                <c:pt idx="724">
                  <c:v>1.05</c:v>
                </c:pt>
                <c:pt idx="725">
                  <c:v>1.05</c:v>
                </c:pt>
                <c:pt idx="726">
                  <c:v>1.05</c:v>
                </c:pt>
                <c:pt idx="727">
                  <c:v>1.05</c:v>
                </c:pt>
                <c:pt idx="728">
                  <c:v>1.05</c:v>
                </c:pt>
                <c:pt idx="729">
                  <c:v>1.05</c:v>
                </c:pt>
                <c:pt idx="730">
                  <c:v>1.05</c:v>
                </c:pt>
                <c:pt idx="731">
                  <c:v>1.05</c:v>
                </c:pt>
                <c:pt idx="732">
                  <c:v>1.05</c:v>
                </c:pt>
                <c:pt idx="733">
                  <c:v>1.05</c:v>
                </c:pt>
                <c:pt idx="734">
                  <c:v>1.05</c:v>
                </c:pt>
                <c:pt idx="735">
                  <c:v>1.05</c:v>
                </c:pt>
                <c:pt idx="736">
                  <c:v>1.05</c:v>
                </c:pt>
                <c:pt idx="737">
                  <c:v>1.05</c:v>
                </c:pt>
                <c:pt idx="738">
                  <c:v>1.05</c:v>
                </c:pt>
                <c:pt idx="739">
                  <c:v>1.05</c:v>
                </c:pt>
                <c:pt idx="740">
                  <c:v>1.05</c:v>
                </c:pt>
                <c:pt idx="741">
                  <c:v>1.05</c:v>
                </c:pt>
                <c:pt idx="742">
                  <c:v>1.05</c:v>
                </c:pt>
                <c:pt idx="743">
                  <c:v>1.05</c:v>
                </c:pt>
                <c:pt idx="744">
                  <c:v>1.05</c:v>
                </c:pt>
                <c:pt idx="745">
                  <c:v>1.05</c:v>
                </c:pt>
                <c:pt idx="746">
                  <c:v>1.05</c:v>
                </c:pt>
                <c:pt idx="747">
                  <c:v>1.05</c:v>
                </c:pt>
                <c:pt idx="748">
                  <c:v>1.05</c:v>
                </c:pt>
                <c:pt idx="749">
                  <c:v>1.05</c:v>
                </c:pt>
                <c:pt idx="750">
                  <c:v>1.05</c:v>
                </c:pt>
                <c:pt idx="751">
                  <c:v>1.05</c:v>
                </c:pt>
                <c:pt idx="752">
                  <c:v>1.05</c:v>
                </c:pt>
                <c:pt idx="753">
                  <c:v>1.05</c:v>
                </c:pt>
                <c:pt idx="754">
                  <c:v>1.05</c:v>
                </c:pt>
                <c:pt idx="755">
                  <c:v>1.05</c:v>
                </c:pt>
                <c:pt idx="756">
                  <c:v>1.05</c:v>
                </c:pt>
                <c:pt idx="757">
                  <c:v>1.05</c:v>
                </c:pt>
                <c:pt idx="758">
                  <c:v>1.05</c:v>
                </c:pt>
                <c:pt idx="759">
                  <c:v>1.05</c:v>
                </c:pt>
                <c:pt idx="760">
                  <c:v>1.05</c:v>
                </c:pt>
                <c:pt idx="761">
                  <c:v>1.05</c:v>
                </c:pt>
                <c:pt idx="762">
                  <c:v>1.05</c:v>
                </c:pt>
                <c:pt idx="763">
                  <c:v>1.05</c:v>
                </c:pt>
                <c:pt idx="764">
                  <c:v>1.05</c:v>
                </c:pt>
                <c:pt idx="765">
                  <c:v>1.05</c:v>
                </c:pt>
                <c:pt idx="766">
                  <c:v>1.05</c:v>
                </c:pt>
                <c:pt idx="767">
                  <c:v>1.05</c:v>
                </c:pt>
                <c:pt idx="768">
                  <c:v>1.05</c:v>
                </c:pt>
                <c:pt idx="769">
                  <c:v>1.05</c:v>
                </c:pt>
                <c:pt idx="770">
                  <c:v>1.05</c:v>
                </c:pt>
                <c:pt idx="771">
                  <c:v>1.05</c:v>
                </c:pt>
                <c:pt idx="772">
                  <c:v>1.05</c:v>
                </c:pt>
                <c:pt idx="773">
                  <c:v>1.05</c:v>
                </c:pt>
                <c:pt idx="774">
                  <c:v>1.05</c:v>
                </c:pt>
                <c:pt idx="775">
                  <c:v>1.05</c:v>
                </c:pt>
                <c:pt idx="776">
                  <c:v>1.05</c:v>
                </c:pt>
                <c:pt idx="777">
                  <c:v>1.05</c:v>
                </c:pt>
                <c:pt idx="778">
                  <c:v>1.05</c:v>
                </c:pt>
                <c:pt idx="779">
                  <c:v>1.05</c:v>
                </c:pt>
                <c:pt idx="780">
                  <c:v>1.05</c:v>
                </c:pt>
                <c:pt idx="781">
                  <c:v>1.05</c:v>
                </c:pt>
                <c:pt idx="782">
                  <c:v>1.05</c:v>
                </c:pt>
                <c:pt idx="783">
                  <c:v>1.05</c:v>
                </c:pt>
                <c:pt idx="784">
                  <c:v>1.05</c:v>
                </c:pt>
                <c:pt idx="785">
                  <c:v>1.05</c:v>
                </c:pt>
                <c:pt idx="786">
                  <c:v>1.05</c:v>
                </c:pt>
                <c:pt idx="787">
                  <c:v>1.05</c:v>
                </c:pt>
                <c:pt idx="788">
                  <c:v>1.05</c:v>
                </c:pt>
                <c:pt idx="789">
                  <c:v>1.05</c:v>
                </c:pt>
                <c:pt idx="790">
                  <c:v>1.05</c:v>
                </c:pt>
                <c:pt idx="791">
                  <c:v>1.05</c:v>
                </c:pt>
                <c:pt idx="792">
                  <c:v>1.05</c:v>
                </c:pt>
                <c:pt idx="793">
                  <c:v>1.05</c:v>
                </c:pt>
                <c:pt idx="794">
                  <c:v>1.05</c:v>
                </c:pt>
                <c:pt idx="795">
                  <c:v>1.05</c:v>
                </c:pt>
                <c:pt idx="796">
                  <c:v>1.05</c:v>
                </c:pt>
                <c:pt idx="797">
                  <c:v>1.05</c:v>
                </c:pt>
                <c:pt idx="798">
                  <c:v>1.05</c:v>
                </c:pt>
                <c:pt idx="799">
                  <c:v>1.05</c:v>
                </c:pt>
                <c:pt idx="800">
                  <c:v>1.05</c:v>
                </c:pt>
                <c:pt idx="801">
                  <c:v>1.05</c:v>
                </c:pt>
                <c:pt idx="802">
                  <c:v>1.05</c:v>
                </c:pt>
                <c:pt idx="803">
                  <c:v>1.05</c:v>
                </c:pt>
                <c:pt idx="804">
                  <c:v>1.05</c:v>
                </c:pt>
                <c:pt idx="805">
                  <c:v>1.05</c:v>
                </c:pt>
                <c:pt idx="806">
                  <c:v>1.05</c:v>
                </c:pt>
                <c:pt idx="807">
                  <c:v>1.05</c:v>
                </c:pt>
                <c:pt idx="808">
                  <c:v>1.05</c:v>
                </c:pt>
                <c:pt idx="809">
                  <c:v>1.05</c:v>
                </c:pt>
                <c:pt idx="810">
                  <c:v>1.05</c:v>
                </c:pt>
                <c:pt idx="811">
                  <c:v>1.05</c:v>
                </c:pt>
                <c:pt idx="812">
                  <c:v>1.05</c:v>
                </c:pt>
                <c:pt idx="813">
                  <c:v>1.05</c:v>
                </c:pt>
                <c:pt idx="814">
                  <c:v>1.05</c:v>
                </c:pt>
                <c:pt idx="815">
                  <c:v>1.05</c:v>
                </c:pt>
                <c:pt idx="816">
                  <c:v>1.05</c:v>
                </c:pt>
                <c:pt idx="817">
                  <c:v>1.05</c:v>
                </c:pt>
                <c:pt idx="818">
                  <c:v>1.05</c:v>
                </c:pt>
                <c:pt idx="819">
                  <c:v>1.05</c:v>
                </c:pt>
                <c:pt idx="820">
                  <c:v>1.05</c:v>
                </c:pt>
                <c:pt idx="821">
                  <c:v>1.05</c:v>
                </c:pt>
                <c:pt idx="822">
                  <c:v>1.05</c:v>
                </c:pt>
                <c:pt idx="823">
                  <c:v>1.05</c:v>
                </c:pt>
                <c:pt idx="824">
                  <c:v>1.05</c:v>
                </c:pt>
                <c:pt idx="825">
                  <c:v>1.05</c:v>
                </c:pt>
                <c:pt idx="826">
                  <c:v>1.05</c:v>
                </c:pt>
                <c:pt idx="827">
                  <c:v>1.05</c:v>
                </c:pt>
                <c:pt idx="828">
                  <c:v>1.05</c:v>
                </c:pt>
                <c:pt idx="829">
                  <c:v>1.05</c:v>
                </c:pt>
                <c:pt idx="830">
                  <c:v>1.05</c:v>
                </c:pt>
                <c:pt idx="831">
                  <c:v>1.05</c:v>
                </c:pt>
                <c:pt idx="832">
                  <c:v>1.05</c:v>
                </c:pt>
                <c:pt idx="833">
                  <c:v>1.05</c:v>
                </c:pt>
                <c:pt idx="834">
                  <c:v>1.05</c:v>
                </c:pt>
                <c:pt idx="835">
                  <c:v>1.05</c:v>
                </c:pt>
                <c:pt idx="836">
                  <c:v>1.05</c:v>
                </c:pt>
                <c:pt idx="837">
                  <c:v>1.05</c:v>
                </c:pt>
                <c:pt idx="838">
                  <c:v>1.05</c:v>
                </c:pt>
                <c:pt idx="839">
                  <c:v>1.05</c:v>
                </c:pt>
                <c:pt idx="840">
                  <c:v>1.05</c:v>
                </c:pt>
                <c:pt idx="841">
                  <c:v>1.05</c:v>
                </c:pt>
                <c:pt idx="842">
                  <c:v>1.05</c:v>
                </c:pt>
                <c:pt idx="843">
                  <c:v>1.05</c:v>
                </c:pt>
                <c:pt idx="844">
                  <c:v>1.05</c:v>
                </c:pt>
                <c:pt idx="845">
                  <c:v>1.05</c:v>
                </c:pt>
                <c:pt idx="846">
                  <c:v>1.05</c:v>
                </c:pt>
                <c:pt idx="847">
                  <c:v>1.05</c:v>
                </c:pt>
                <c:pt idx="848">
                  <c:v>1.05</c:v>
                </c:pt>
                <c:pt idx="849">
                  <c:v>1.05</c:v>
                </c:pt>
                <c:pt idx="850">
                  <c:v>1.05</c:v>
                </c:pt>
                <c:pt idx="851">
                  <c:v>1.05</c:v>
                </c:pt>
                <c:pt idx="852">
                  <c:v>1.05</c:v>
                </c:pt>
                <c:pt idx="853">
                  <c:v>1.05</c:v>
                </c:pt>
                <c:pt idx="854">
                  <c:v>1.05</c:v>
                </c:pt>
                <c:pt idx="855">
                  <c:v>1.05</c:v>
                </c:pt>
                <c:pt idx="856">
                  <c:v>1.05</c:v>
                </c:pt>
                <c:pt idx="857">
                  <c:v>1.05</c:v>
                </c:pt>
                <c:pt idx="858">
                  <c:v>1.05</c:v>
                </c:pt>
                <c:pt idx="859">
                  <c:v>1.05</c:v>
                </c:pt>
                <c:pt idx="860">
                  <c:v>1.05</c:v>
                </c:pt>
                <c:pt idx="861">
                  <c:v>1.05</c:v>
                </c:pt>
                <c:pt idx="862">
                  <c:v>1.05</c:v>
                </c:pt>
                <c:pt idx="863">
                  <c:v>1.05</c:v>
                </c:pt>
                <c:pt idx="864">
                  <c:v>1.05</c:v>
                </c:pt>
                <c:pt idx="865">
                  <c:v>1.05</c:v>
                </c:pt>
                <c:pt idx="866">
                  <c:v>1.05</c:v>
                </c:pt>
                <c:pt idx="867">
                  <c:v>1.05</c:v>
                </c:pt>
                <c:pt idx="868">
                  <c:v>1.05</c:v>
                </c:pt>
                <c:pt idx="869">
                  <c:v>1.05</c:v>
                </c:pt>
                <c:pt idx="870">
                  <c:v>1.05</c:v>
                </c:pt>
                <c:pt idx="871">
                  <c:v>1.05</c:v>
                </c:pt>
                <c:pt idx="872">
                  <c:v>1.05</c:v>
                </c:pt>
                <c:pt idx="873">
                  <c:v>1.05</c:v>
                </c:pt>
                <c:pt idx="874">
                  <c:v>1.05</c:v>
                </c:pt>
                <c:pt idx="875">
                  <c:v>1.05</c:v>
                </c:pt>
                <c:pt idx="876">
                  <c:v>1.05</c:v>
                </c:pt>
                <c:pt idx="877">
                  <c:v>1.05</c:v>
                </c:pt>
                <c:pt idx="878">
                  <c:v>1.05</c:v>
                </c:pt>
                <c:pt idx="879">
                  <c:v>1.05</c:v>
                </c:pt>
                <c:pt idx="880">
                  <c:v>1.05</c:v>
                </c:pt>
                <c:pt idx="881">
                  <c:v>1.05</c:v>
                </c:pt>
                <c:pt idx="882">
                  <c:v>1.05</c:v>
                </c:pt>
                <c:pt idx="883">
                  <c:v>1.05</c:v>
                </c:pt>
                <c:pt idx="884">
                  <c:v>1.05</c:v>
                </c:pt>
                <c:pt idx="885">
                  <c:v>1.05</c:v>
                </c:pt>
                <c:pt idx="886">
                  <c:v>1.05</c:v>
                </c:pt>
                <c:pt idx="887">
                  <c:v>1.05</c:v>
                </c:pt>
                <c:pt idx="888">
                  <c:v>1.05</c:v>
                </c:pt>
                <c:pt idx="889">
                  <c:v>1.05</c:v>
                </c:pt>
                <c:pt idx="890">
                  <c:v>1.05</c:v>
                </c:pt>
                <c:pt idx="891">
                  <c:v>1.05</c:v>
                </c:pt>
                <c:pt idx="892">
                  <c:v>1.05</c:v>
                </c:pt>
                <c:pt idx="893">
                  <c:v>1.05</c:v>
                </c:pt>
                <c:pt idx="894">
                  <c:v>1.05</c:v>
                </c:pt>
                <c:pt idx="895">
                  <c:v>1.05</c:v>
                </c:pt>
                <c:pt idx="896">
                  <c:v>1.05</c:v>
                </c:pt>
                <c:pt idx="897">
                  <c:v>1.05</c:v>
                </c:pt>
                <c:pt idx="898">
                  <c:v>1.05</c:v>
                </c:pt>
                <c:pt idx="899">
                  <c:v>1.05</c:v>
                </c:pt>
                <c:pt idx="900">
                  <c:v>1.05</c:v>
                </c:pt>
                <c:pt idx="901">
                  <c:v>1.05</c:v>
                </c:pt>
                <c:pt idx="902">
                  <c:v>1.05</c:v>
                </c:pt>
                <c:pt idx="903">
                  <c:v>1.05</c:v>
                </c:pt>
                <c:pt idx="904">
                  <c:v>1.05</c:v>
                </c:pt>
                <c:pt idx="905">
                  <c:v>1.05</c:v>
                </c:pt>
                <c:pt idx="906">
                  <c:v>1.05</c:v>
                </c:pt>
                <c:pt idx="907">
                  <c:v>1.05</c:v>
                </c:pt>
                <c:pt idx="908">
                  <c:v>1.05</c:v>
                </c:pt>
                <c:pt idx="909">
                  <c:v>1.05</c:v>
                </c:pt>
                <c:pt idx="910">
                  <c:v>1.05</c:v>
                </c:pt>
                <c:pt idx="911">
                  <c:v>1.05</c:v>
                </c:pt>
                <c:pt idx="912">
                  <c:v>1.05</c:v>
                </c:pt>
                <c:pt idx="913">
                  <c:v>1.05</c:v>
                </c:pt>
                <c:pt idx="914">
                  <c:v>1.05</c:v>
                </c:pt>
                <c:pt idx="915">
                  <c:v>1.05</c:v>
                </c:pt>
                <c:pt idx="916">
                  <c:v>1.05</c:v>
                </c:pt>
                <c:pt idx="917">
                  <c:v>1.05</c:v>
                </c:pt>
                <c:pt idx="918">
                  <c:v>1.05</c:v>
                </c:pt>
                <c:pt idx="919">
                  <c:v>1.05</c:v>
                </c:pt>
                <c:pt idx="920">
                  <c:v>1.05</c:v>
                </c:pt>
                <c:pt idx="921">
                  <c:v>1.05</c:v>
                </c:pt>
                <c:pt idx="922">
                  <c:v>1.05</c:v>
                </c:pt>
                <c:pt idx="923">
                  <c:v>1.05</c:v>
                </c:pt>
                <c:pt idx="924">
                  <c:v>1.05</c:v>
                </c:pt>
                <c:pt idx="925">
                  <c:v>1.05</c:v>
                </c:pt>
                <c:pt idx="926">
                  <c:v>1.05</c:v>
                </c:pt>
                <c:pt idx="927">
                  <c:v>1.05</c:v>
                </c:pt>
                <c:pt idx="928">
                  <c:v>1.05</c:v>
                </c:pt>
                <c:pt idx="929">
                  <c:v>1.05</c:v>
                </c:pt>
                <c:pt idx="930">
                  <c:v>1.05</c:v>
                </c:pt>
                <c:pt idx="931">
                  <c:v>1.05</c:v>
                </c:pt>
                <c:pt idx="932">
                  <c:v>1.05</c:v>
                </c:pt>
                <c:pt idx="933">
                  <c:v>1.05</c:v>
                </c:pt>
                <c:pt idx="934">
                  <c:v>1.05</c:v>
                </c:pt>
                <c:pt idx="935">
                  <c:v>1.05</c:v>
                </c:pt>
                <c:pt idx="936">
                  <c:v>1.05</c:v>
                </c:pt>
                <c:pt idx="937">
                  <c:v>1.05</c:v>
                </c:pt>
                <c:pt idx="938">
                  <c:v>1.05</c:v>
                </c:pt>
                <c:pt idx="939">
                  <c:v>1.05</c:v>
                </c:pt>
                <c:pt idx="940">
                  <c:v>1.05</c:v>
                </c:pt>
                <c:pt idx="941">
                  <c:v>1.05</c:v>
                </c:pt>
                <c:pt idx="942">
                  <c:v>1.05</c:v>
                </c:pt>
                <c:pt idx="943">
                  <c:v>1.05</c:v>
                </c:pt>
                <c:pt idx="944">
                  <c:v>1.05</c:v>
                </c:pt>
                <c:pt idx="945">
                  <c:v>1.05</c:v>
                </c:pt>
                <c:pt idx="946">
                  <c:v>1.05</c:v>
                </c:pt>
                <c:pt idx="947">
                  <c:v>1.05</c:v>
                </c:pt>
                <c:pt idx="948">
                  <c:v>1.05</c:v>
                </c:pt>
                <c:pt idx="949">
                  <c:v>1.05</c:v>
                </c:pt>
                <c:pt idx="950">
                  <c:v>1.05</c:v>
                </c:pt>
                <c:pt idx="951">
                  <c:v>1.05</c:v>
                </c:pt>
                <c:pt idx="952">
                  <c:v>1.05</c:v>
                </c:pt>
                <c:pt idx="953">
                  <c:v>1.05</c:v>
                </c:pt>
                <c:pt idx="954">
                  <c:v>1.05</c:v>
                </c:pt>
                <c:pt idx="955">
                  <c:v>1.05</c:v>
                </c:pt>
                <c:pt idx="956">
                  <c:v>1.05</c:v>
                </c:pt>
                <c:pt idx="957">
                  <c:v>1.05</c:v>
                </c:pt>
                <c:pt idx="958">
                  <c:v>1.05</c:v>
                </c:pt>
                <c:pt idx="959">
                  <c:v>1.05</c:v>
                </c:pt>
                <c:pt idx="960">
                  <c:v>1.05</c:v>
                </c:pt>
                <c:pt idx="961">
                  <c:v>1.05</c:v>
                </c:pt>
                <c:pt idx="962">
                  <c:v>1.05</c:v>
                </c:pt>
                <c:pt idx="963">
                  <c:v>1.05</c:v>
                </c:pt>
                <c:pt idx="964">
                  <c:v>1.05</c:v>
                </c:pt>
                <c:pt idx="965">
                  <c:v>1.05</c:v>
                </c:pt>
                <c:pt idx="966">
                  <c:v>1.05</c:v>
                </c:pt>
                <c:pt idx="967">
                  <c:v>1.05</c:v>
                </c:pt>
                <c:pt idx="968">
                  <c:v>1.05</c:v>
                </c:pt>
                <c:pt idx="969">
                  <c:v>1.05</c:v>
                </c:pt>
                <c:pt idx="970">
                  <c:v>1.05</c:v>
                </c:pt>
                <c:pt idx="971">
                  <c:v>1.05</c:v>
                </c:pt>
                <c:pt idx="972">
                  <c:v>1.05</c:v>
                </c:pt>
                <c:pt idx="973">
                  <c:v>1.05</c:v>
                </c:pt>
                <c:pt idx="974">
                  <c:v>1.05</c:v>
                </c:pt>
                <c:pt idx="975">
                  <c:v>1.05</c:v>
                </c:pt>
                <c:pt idx="976">
                  <c:v>1.05</c:v>
                </c:pt>
                <c:pt idx="977">
                  <c:v>1.05</c:v>
                </c:pt>
                <c:pt idx="978">
                  <c:v>1.05</c:v>
                </c:pt>
                <c:pt idx="979">
                  <c:v>1.05</c:v>
                </c:pt>
                <c:pt idx="980">
                  <c:v>1.05</c:v>
                </c:pt>
                <c:pt idx="981">
                  <c:v>1.05</c:v>
                </c:pt>
                <c:pt idx="982">
                  <c:v>1.05</c:v>
                </c:pt>
                <c:pt idx="983">
                  <c:v>1.05</c:v>
                </c:pt>
                <c:pt idx="984">
                  <c:v>1.05</c:v>
                </c:pt>
                <c:pt idx="985">
                  <c:v>1.05</c:v>
                </c:pt>
                <c:pt idx="986">
                  <c:v>1.05</c:v>
                </c:pt>
                <c:pt idx="987">
                  <c:v>1.05</c:v>
                </c:pt>
                <c:pt idx="988">
                  <c:v>1.05</c:v>
                </c:pt>
                <c:pt idx="989">
                  <c:v>1.05</c:v>
                </c:pt>
                <c:pt idx="990">
                  <c:v>1.05</c:v>
                </c:pt>
                <c:pt idx="991">
                  <c:v>1.05</c:v>
                </c:pt>
                <c:pt idx="992">
                  <c:v>1.05</c:v>
                </c:pt>
                <c:pt idx="993">
                  <c:v>1.05</c:v>
                </c:pt>
                <c:pt idx="994">
                  <c:v>1.05</c:v>
                </c:pt>
                <c:pt idx="995">
                  <c:v>1.05</c:v>
                </c:pt>
                <c:pt idx="996">
                  <c:v>1.05</c:v>
                </c:pt>
                <c:pt idx="997">
                  <c:v>1.05</c:v>
                </c:pt>
                <c:pt idx="998">
                  <c:v>1.05</c:v>
                </c:pt>
                <c:pt idx="999">
                  <c:v>1.05</c:v>
                </c:pt>
                <c:pt idx="1000">
                  <c:v>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89-47B9-A81C-5290CF57A037}"/>
            </c:ext>
          </c:extLst>
        </c:ser>
        <c:ser>
          <c:idx val="3"/>
          <c:order val="3"/>
          <c:tx>
            <c:strRef>
              <c:f>Лист4!$Y$1</c:f>
              <c:strCache>
                <c:ptCount val="1"/>
                <c:pt idx="0">
                  <c:v>Граница низ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Лист4!$Y$2:$Y$1002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0.95</c:v>
                </c:pt>
                <c:pt idx="57">
                  <c:v>0.95</c:v>
                </c:pt>
                <c:pt idx="58">
                  <c:v>0.95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0.95</c:v>
                </c:pt>
                <c:pt idx="64">
                  <c:v>0.95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0.95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0.95</c:v>
                </c:pt>
                <c:pt idx="123">
                  <c:v>0.95</c:v>
                </c:pt>
                <c:pt idx="124">
                  <c:v>0.95</c:v>
                </c:pt>
                <c:pt idx="125">
                  <c:v>0.95</c:v>
                </c:pt>
                <c:pt idx="126">
                  <c:v>0.95</c:v>
                </c:pt>
                <c:pt idx="127">
                  <c:v>0.95</c:v>
                </c:pt>
                <c:pt idx="128">
                  <c:v>0.95</c:v>
                </c:pt>
                <c:pt idx="129">
                  <c:v>0.95</c:v>
                </c:pt>
                <c:pt idx="130">
                  <c:v>0.95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0.95</c:v>
                </c:pt>
                <c:pt idx="138">
                  <c:v>0.95</c:v>
                </c:pt>
                <c:pt idx="139">
                  <c:v>0.95</c:v>
                </c:pt>
                <c:pt idx="140">
                  <c:v>0.95</c:v>
                </c:pt>
                <c:pt idx="141">
                  <c:v>0.95</c:v>
                </c:pt>
                <c:pt idx="142">
                  <c:v>0.95</c:v>
                </c:pt>
                <c:pt idx="143">
                  <c:v>0.95</c:v>
                </c:pt>
                <c:pt idx="144">
                  <c:v>0.95</c:v>
                </c:pt>
                <c:pt idx="145">
                  <c:v>0.95</c:v>
                </c:pt>
                <c:pt idx="146">
                  <c:v>0.95</c:v>
                </c:pt>
                <c:pt idx="147">
                  <c:v>0.95</c:v>
                </c:pt>
                <c:pt idx="148">
                  <c:v>0.95</c:v>
                </c:pt>
                <c:pt idx="149">
                  <c:v>0.95</c:v>
                </c:pt>
                <c:pt idx="150">
                  <c:v>0.95</c:v>
                </c:pt>
                <c:pt idx="151">
                  <c:v>0.95</c:v>
                </c:pt>
                <c:pt idx="152">
                  <c:v>0.95</c:v>
                </c:pt>
                <c:pt idx="153">
                  <c:v>0.95</c:v>
                </c:pt>
                <c:pt idx="154">
                  <c:v>0.95</c:v>
                </c:pt>
                <c:pt idx="155">
                  <c:v>0.95</c:v>
                </c:pt>
                <c:pt idx="156">
                  <c:v>0.95</c:v>
                </c:pt>
                <c:pt idx="157">
                  <c:v>0.95</c:v>
                </c:pt>
                <c:pt idx="158">
                  <c:v>0.95</c:v>
                </c:pt>
                <c:pt idx="159">
                  <c:v>0.95</c:v>
                </c:pt>
                <c:pt idx="160">
                  <c:v>0.95</c:v>
                </c:pt>
                <c:pt idx="161">
                  <c:v>0.95</c:v>
                </c:pt>
                <c:pt idx="162">
                  <c:v>0.95</c:v>
                </c:pt>
                <c:pt idx="163">
                  <c:v>0.95</c:v>
                </c:pt>
                <c:pt idx="164">
                  <c:v>0.95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0.95</c:v>
                </c:pt>
                <c:pt idx="169">
                  <c:v>0.95</c:v>
                </c:pt>
                <c:pt idx="170">
                  <c:v>0.95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0.95</c:v>
                </c:pt>
                <c:pt idx="178">
                  <c:v>0.95</c:v>
                </c:pt>
                <c:pt idx="179">
                  <c:v>0.95</c:v>
                </c:pt>
                <c:pt idx="180">
                  <c:v>0.95</c:v>
                </c:pt>
                <c:pt idx="181">
                  <c:v>0.95</c:v>
                </c:pt>
                <c:pt idx="182">
                  <c:v>0.95</c:v>
                </c:pt>
                <c:pt idx="183">
                  <c:v>0.95</c:v>
                </c:pt>
                <c:pt idx="184">
                  <c:v>0.95</c:v>
                </c:pt>
                <c:pt idx="185">
                  <c:v>0.95</c:v>
                </c:pt>
                <c:pt idx="186">
                  <c:v>0.95</c:v>
                </c:pt>
                <c:pt idx="187">
                  <c:v>0.95</c:v>
                </c:pt>
                <c:pt idx="188">
                  <c:v>0.95</c:v>
                </c:pt>
                <c:pt idx="189">
                  <c:v>0.95</c:v>
                </c:pt>
                <c:pt idx="190">
                  <c:v>0.95</c:v>
                </c:pt>
                <c:pt idx="191">
                  <c:v>0.95</c:v>
                </c:pt>
                <c:pt idx="192">
                  <c:v>0.95</c:v>
                </c:pt>
                <c:pt idx="193">
                  <c:v>0.95</c:v>
                </c:pt>
                <c:pt idx="194">
                  <c:v>0.95</c:v>
                </c:pt>
                <c:pt idx="195">
                  <c:v>0.95</c:v>
                </c:pt>
                <c:pt idx="196">
                  <c:v>0.95</c:v>
                </c:pt>
                <c:pt idx="197">
                  <c:v>0.95</c:v>
                </c:pt>
                <c:pt idx="198">
                  <c:v>0.95</c:v>
                </c:pt>
                <c:pt idx="199">
                  <c:v>0.95</c:v>
                </c:pt>
                <c:pt idx="200">
                  <c:v>0.95</c:v>
                </c:pt>
                <c:pt idx="201">
                  <c:v>0.95</c:v>
                </c:pt>
                <c:pt idx="202">
                  <c:v>0.95</c:v>
                </c:pt>
                <c:pt idx="203">
                  <c:v>0.95</c:v>
                </c:pt>
                <c:pt idx="204">
                  <c:v>0.95</c:v>
                </c:pt>
                <c:pt idx="205">
                  <c:v>0.95</c:v>
                </c:pt>
                <c:pt idx="206">
                  <c:v>0.95</c:v>
                </c:pt>
                <c:pt idx="207">
                  <c:v>0.95</c:v>
                </c:pt>
                <c:pt idx="208">
                  <c:v>0.95</c:v>
                </c:pt>
                <c:pt idx="209">
                  <c:v>0.95</c:v>
                </c:pt>
                <c:pt idx="210">
                  <c:v>0.95</c:v>
                </c:pt>
                <c:pt idx="211">
                  <c:v>0.95</c:v>
                </c:pt>
                <c:pt idx="212">
                  <c:v>0.95</c:v>
                </c:pt>
                <c:pt idx="213">
                  <c:v>0.95</c:v>
                </c:pt>
                <c:pt idx="214">
                  <c:v>0.95</c:v>
                </c:pt>
                <c:pt idx="215">
                  <c:v>0.95</c:v>
                </c:pt>
                <c:pt idx="216">
                  <c:v>0.95</c:v>
                </c:pt>
                <c:pt idx="217">
                  <c:v>0.95</c:v>
                </c:pt>
                <c:pt idx="218">
                  <c:v>0.95</c:v>
                </c:pt>
                <c:pt idx="219">
                  <c:v>0.95</c:v>
                </c:pt>
                <c:pt idx="220">
                  <c:v>0.95</c:v>
                </c:pt>
                <c:pt idx="221">
                  <c:v>0.95</c:v>
                </c:pt>
                <c:pt idx="222">
                  <c:v>0.95</c:v>
                </c:pt>
                <c:pt idx="223">
                  <c:v>0.95</c:v>
                </c:pt>
                <c:pt idx="224">
                  <c:v>0.95</c:v>
                </c:pt>
                <c:pt idx="225">
                  <c:v>0.95</c:v>
                </c:pt>
                <c:pt idx="226">
                  <c:v>0.95</c:v>
                </c:pt>
                <c:pt idx="227">
                  <c:v>0.95</c:v>
                </c:pt>
                <c:pt idx="228">
                  <c:v>0.95</c:v>
                </c:pt>
                <c:pt idx="229">
                  <c:v>0.95</c:v>
                </c:pt>
                <c:pt idx="230">
                  <c:v>0.95</c:v>
                </c:pt>
                <c:pt idx="231">
                  <c:v>0.95</c:v>
                </c:pt>
                <c:pt idx="232">
                  <c:v>0.95</c:v>
                </c:pt>
                <c:pt idx="233">
                  <c:v>0.95</c:v>
                </c:pt>
                <c:pt idx="234">
                  <c:v>0.95</c:v>
                </c:pt>
                <c:pt idx="235">
                  <c:v>0.95</c:v>
                </c:pt>
                <c:pt idx="236">
                  <c:v>0.95</c:v>
                </c:pt>
                <c:pt idx="237">
                  <c:v>0.95</c:v>
                </c:pt>
                <c:pt idx="238">
                  <c:v>0.95</c:v>
                </c:pt>
                <c:pt idx="239">
                  <c:v>0.95</c:v>
                </c:pt>
                <c:pt idx="240">
                  <c:v>0.95</c:v>
                </c:pt>
                <c:pt idx="241">
                  <c:v>0.95</c:v>
                </c:pt>
                <c:pt idx="242">
                  <c:v>0.95</c:v>
                </c:pt>
                <c:pt idx="243">
                  <c:v>0.95</c:v>
                </c:pt>
                <c:pt idx="244">
                  <c:v>0.95</c:v>
                </c:pt>
                <c:pt idx="245">
                  <c:v>0.95</c:v>
                </c:pt>
                <c:pt idx="246">
                  <c:v>0.95</c:v>
                </c:pt>
                <c:pt idx="247">
                  <c:v>0.95</c:v>
                </c:pt>
                <c:pt idx="248">
                  <c:v>0.95</c:v>
                </c:pt>
                <c:pt idx="249">
                  <c:v>0.95</c:v>
                </c:pt>
                <c:pt idx="250">
                  <c:v>0.95</c:v>
                </c:pt>
                <c:pt idx="251">
                  <c:v>0.95</c:v>
                </c:pt>
                <c:pt idx="252">
                  <c:v>0.95</c:v>
                </c:pt>
                <c:pt idx="253">
                  <c:v>0.95</c:v>
                </c:pt>
                <c:pt idx="254">
                  <c:v>0.95</c:v>
                </c:pt>
                <c:pt idx="255">
                  <c:v>0.95</c:v>
                </c:pt>
                <c:pt idx="256">
                  <c:v>0.95</c:v>
                </c:pt>
                <c:pt idx="257">
                  <c:v>0.95</c:v>
                </c:pt>
                <c:pt idx="258">
                  <c:v>0.95</c:v>
                </c:pt>
                <c:pt idx="259">
                  <c:v>0.95</c:v>
                </c:pt>
                <c:pt idx="260">
                  <c:v>0.95</c:v>
                </c:pt>
                <c:pt idx="261">
                  <c:v>0.95</c:v>
                </c:pt>
                <c:pt idx="262">
                  <c:v>0.95</c:v>
                </c:pt>
                <c:pt idx="263">
                  <c:v>0.95</c:v>
                </c:pt>
                <c:pt idx="264">
                  <c:v>0.95</c:v>
                </c:pt>
                <c:pt idx="265">
                  <c:v>0.95</c:v>
                </c:pt>
                <c:pt idx="266">
                  <c:v>0.95</c:v>
                </c:pt>
                <c:pt idx="267">
                  <c:v>0.95</c:v>
                </c:pt>
                <c:pt idx="268">
                  <c:v>0.95</c:v>
                </c:pt>
                <c:pt idx="269">
                  <c:v>0.95</c:v>
                </c:pt>
                <c:pt idx="270">
                  <c:v>0.95</c:v>
                </c:pt>
                <c:pt idx="271">
                  <c:v>0.95</c:v>
                </c:pt>
                <c:pt idx="272">
                  <c:v>0.95</c:v>
                </c:pt>
                <c:pt idx="273">
                  <c:v>0.95</c:v>
                </c:pt>
                <c:pt idx="274">
                  <c:v>0.95</c:v>
                </c:pt>
                <c:pt idx="275">
                  <c:v>0.95</c:v>
                </c:pt>
                <c:pt idx="276">
                  <c:v>0.95</c:v>
                </c:pt>
                <c:pt idx="277">
                  <c:v>0.95</c:v>
                </c:pt>
                <c:pt idx="278">
                  <c:v>0.95</c:v>
                </c:pt>
                <c:pt idx="279">
                  <c:v>0.95</c:v>
                </c:pt>
                <c:pt idx="280">
                  <c:v>0.95</c:v>
                </c:pt>
                <c:pt idx="281">
                  <c:v>0.95</c:v>
                </c:pt>
                <c:pt idx="282">
                  <c:v>0.95</c:v>
                </c:pt>
                <c:pt idx="283">
                  <c:v>0.95</c:v>
                </c:pt>
                <c:pt idx="284">
                  <c:v>0.95</c:v>
                </c:pt>
                <c:pt idx="285">
                  <c:v>0.95</c:v>
                </c:pt>
                <c:pt idx="286">
                  <c:v>0.95</c:v>
                </c:pt>
                <c:pt idx="287">
                  <c:v>0.95</c:v>
                </c:pt>
                <c:pt idx="288">
                  <c:v>0.95</c:v>
                </c:pt>
                <c:pt idx="289">
                  <c:v>0.95</c:v>
                </c:pt>
                <c:pt idx="290">
                  <c:v>0.95</c:v>
                </c:pt>
                <c:pt idx="291">
                  <c:v>0.95</c:v>
                </c:pt>
                <c:pt idx="292">
                  <c:v>0.95</c:v>
                </c:pt>
                <c:pt idx="293">
                  <c:v>0.95</c:v>
                </c:pt>
                <c:pt idx="294">
                  <c:v>0.95</c:v>
                </c:pt>
                <c:pt idx="295">
                  <c:v>0.95</c:v>
                </c:pt>
                <c:pt idx="296">
                  <c:v>0.95</c:v>
                </c:pt>
                <c:pt idx="297">
                  <c:v>0.95</c:v>
                </c:pt>
                <c:pt idx="298">
                  <c:v>0.95</c:v>
                </c:pt>
                <c:pt idx="299">
                  <c:v>0.95</c:v>
                </c:pt>
                <c:pt idx="300">
                  <c:v>0.95</c:v>
                </c:pt>
                <c:pt idx="301">
                  <c:v>0.95</c:v>
                </c:pt>
                <c:pt idx="302">
                  <c:v>0.95</c:v>
                </c:pt>
                <c:pt idx="303">
                  <c:v>0.95</c:v>
                </c:pt>
                <c:pt idx="304">
                  <c:v>0.95</c:v>
                </c:pt>
                <c:pt idx="305">
                  <c:v>0.95</c:v>
                </c:pt>
                <c:pt idx="306">
                  <c:v>0.95</c:v>
                </c:pt>
                <c:pt idx="307">
                  <c:v>0.95</c:v>
                </c:pt>
                <c:pt idx="308">
                  <c:v>0.95</c:v>
                </c:pt>
                <c:pt idx="309">
                  <c:v>0.95</c:v>
                </c:pt>
                <c:pt idx="310">
                  <c:v>0.95</c:v>
                </c:pt>
                <c:pt idx="311">
                  <c:v>0.95</c:v>
                </c:pt>
                <c:pt idx="312">
                  <c:v>0.95</c:v>
                </c:pt>
                <c:pt idx="313">
                  <c:v>0.95</c:v>
                </c:pt>
                <c:pt idx="314">
                  <c:v>0.95</c:v>
                </c:pt>
                <c:pt idx="315">
                  <c:v>0.95</c:v>
                </c:pt>
                <c:pt idx="316">
                  <c:v>0.95</c:v>
                </c:pt>
                <c:pt idx="317">
                  <c:v>0.95</c:v>
                </c:pt>
                <c:pt idx="318">
                  <c:v>0.95</c:v>
                </c:pt>
                <c:pt idx="319">
                  <c:v>0.95</c:v>
                </c:pt>
                <c:pt idx="320">
                  <c:v>0.95</c:v>
                </c:pt>
                <c:pt idx="321">
                  <c:v>0.95</c:v>
                </c:pt>
                <c:pt idx="322">
                  <c:v>0.95</c:v>
                </c:pt>
                <c:pt idx="323">
                  <c:v>0.95</c:v>
                </c:pt>
                <c:pt idx="324">
                  <c:v>0.95</c:v>
                </c:pt>
                <c:pt idx="325">
                  <c:v>0.95</c:v>
                </c:pt>
                <c:pt idx="326">
                  <c:v>0.95</c:v>
                </c:pt>
                <c:pt idx="327">
                  <c:v>0.95</c:v>
                </c:pt>
                <c:pt idx="328">
                  <c:v>0.95</c:v>
                </c:pt>
                <c:pt idx="329">
                  <c:v>0.95</c:v>
                </c:pt>
                <c:pt idx="330">
                  <c:v>0.95</c:v>
                </c:pt>
                <c:pt idx="331">
                  <c:v>0.95</c:v>
                </c:pt>
                <c:pt idx="332">
                  <c:v>0.95</c:v>
                </c:pt>
                <c:pt idx="333">
                  <c:v>0.95</c:v>
                </c:pt>
                <c:pt idx="334">
                  <c:v>0.95</c:v>
                </c:pt>
                <c:pt idx="335">
                  <c:v>0.95</c:v>
                </c:pt>
                <c:pt idx="336">
                  <c:v>0.95</c:v>
                </c:pt>
                <c:pt idx="337">
                  <c:v>0.95</c:v>
                </c:pt>
                <c:pt idx="338">
                  <c:v>0.95</c:v>
                </c:pt>
                <c:pt idx="339">
                  <c:v>0.95</c:v>
                </c:pt>
                <c:pt idx="340">
                  <c:v>0.95</c:v>
                </c:pt>
                <c:pt idx="341">
                  <c:v>0.95</c:v>
                </c:pt>
                <c:pt idx="342">
                  <c:v>0.95</c:v>
                </c:pt>
                <c:pt idx="343">
                  <c:v>0.95</c:v>
                </c:pt>
                <c:pt idx="344">
                  <c:v>0.95</c:v>
                </c:pt>
                <c:pt idx="345">
                  <c:v>0.95</c:v>
                </c:pt>
                <c:pt idx="346">
                  <c:v>0.95</c:v>
                </c:pt>
                <c:pt idx="347">
                  <c:v>0.95</c:v>
                </c:pt>
                <c:pt idx="348">
                  <c:v>0.95</c:v>
                </c:pt>
                <c:pt idx="349">
                  <c:v>0.95</c:v>
                </c:pt>
                <c:pt idx="350">
                  <c:v>0.95</c:v>
                </c:pt>
                <c:pt idx="351">
                  <c:v>0.95</c:v>
                </c:pt>
                <c:pt idx="352">
                  <c:v>0.95</c:v>
                </c:pt>
                <c:pt idx="353">
                  <c:v>0.95</c:v>
                </c:pt>
                <c:pt idx="354">
                  <c:v>0.95</c:v>
                </c:pt>
                <c:pt idx="355">
                  <c:v>0.95</c:v>
                </c:pt>
                <c:pt idx="356">
                  <c:v>0.95</c:v>
                </c:pt>
                <c:pt idx="357">
                  <c:v>0.95</c:v>
                </c:pt>
                <c:pt idx="358">
                  <c:v>0.95</c:v>
                </c:pt>
                <c:pt idx="359">
                  <c:v>0.95</c:v>
                </c:pt>
                <c:pt idx="360">
                  <c:v>0.95</c:v>
                </c:pt>
                <c:pt idx="361">
                  <c:v>0.95</c:v>
                </c:pt>
                <c:pt idx="362">
                  <c:v>0.95</c:v>
                </c:pt>
                <c:pt idx="363">
                  <c:v>0.95</c:v>
                </c:pt>
                <c:pt idx="364">
                  <c:v>0.95</c:v>
                </c:pt>
                <c:pt idx="365">
                  <c:v>0.95</c:v>
                </c:pt>
                <c:pt idx="366">
                  <c:v>0.95</c:v>
                </c:pt>
                <c:pt idx="367">
                  <c:v>0.95</c:v>
                </c:pt>
                <c:pt idx="368">
                  <c:v>0.95</c:v>
                </c:pt>
                <c:pt idx="369">
                  <c:v>0.95</c:v>
                </c:pt>
                <c:pt idx="370">
                  <c:v>0.95</c:v>
                </c:pt>
                <c:pt idx="371">
                  <c:v>0.95</c:v>
                </c:pt>
                <c:pt idx="372">
                  <c:v>0.95</c:v>
                </c:pt>
                <c:pt idx="373">
                  <c:v>0.95</c:v>
                </c:pt>
                <c:pt idx="374">
                  <c:v>0.95</c:v>
                </c:pt>
                <c:pt idx="375">
                  <c:v>0.95</c:v>
                </c:pt>
                <c:pt idx="376">
                  <c:v>0.95</c:v>
                </c:pt>
                <c:pt idx="377">
                  <c:v>0.95</c:v>
                </c:pt>
                <c:pt idx="378">
                  <c:v>0.95</c:v>
                </c:pt>
                <c:pt idx="379">
                  <c:v>0.95</c:v>
                </c:pt>
                <c:pt idx="380">
                  <c:v>0.95</c:v>
                </c:pt>
                <c:pt idx="381">
                  <c:v>0.95</c:v>
                </c:pt>
                <c:pt idx="382">
                  <c:v>0.95</c:v>
                </c:pt>
                <c:pt idx="383">
                  <c:v>0.95</c:v>
                </c:pt>
                <c:pt idx="384">
                  <c:v>0.95</c:v>
                </c:pt>
                <c:pt idx="385">
                  <c:v>0.95</c:v>
                </c:pt>
                <c:pt idx="386">
                  <c:v>0.95</c:v>
                </c:pt>
                <c:pt idx="387">
                  <c:v>0.95</c:v>
                </c:pt>
                <c:pt idx="388">
                  <c:v>0.95</c:v>
                </c:pt>
                <c:pt idx="389">
                  <c:v>0.95</c:v>
                </c:pt>
                <c:pt idx="390">
                  <c:v>0.95</c:v>
                </c:pt>
                <c:pt idx="391">
                  <c:v>0.95</c:v>
                </c:pt>
                <c:pt idx="392">
                  <c:v>0.95</c:v>
                </c:pt>
                <c:pt idx="393">
                  <c:v>0.95</c:v>
                </c:pt>
                <c:pt idx="394">
                  <c:v>0.95</c:v>
                </c:pt>
                <c:pt idx="395">
                  <c:v>0.95</c:v>
                </c:pt>
                <c:pt idx="396">
                  <c:v>0.95</c:v>
                </c:pt>
                <c:pt idx="397">
                  <c:v>0.95</c:v>
                </c:pt>
                <c:pt idx="398">
                  <c:v>0.95</c:v>
                </c:pt>
                <c:pt idx="399">
                  <c:v>0.95</c:v>
                </c:pt>
                <c:pt idx="400">
                  <c:v>0.95</c:v>
                </c:pt>
                <c:pt idx="401">
                  <c:v>0.95</c:v>
                </c:pt>
                <c:pt idx="402">
                  <c:v>0.95</c:v>
                </c:pt>
                <c:pt idx="403">
                  <c:v>0.95</c:v>
                </c:pt>
                <c:pt idx="404">
                  <c:v>0.95</c:v>
                </c:pt>
                <c:pt idx="405">
                  <c:v>0.95</c:v>
                </c:pt>
                <c:pt idx="406">
                  <c:v>0.95</c:v>
                </c:pt>
                <c:pt idx="407">
                  <c:v>0.95</c:v>
                </c:pt>
                <c:pt idx="408">
                  <c:v>0.95</c:v>
                </c:pt>
                <c:pt idx="409">
                  <c:v>0.95</c:v>
                </c:pt>
                <c:pt idx="410">
                  <c:v>0.95</c:v>
                </c:pt>
                <c:pt idx="411">
                  <c:v>0.95</c:v>
                </c:pt>
                <c:pt idx="412">
                  <c:v>0.95</c:v>
                </c:pt>
                <c:pt idx="413">
                  <c:v>0.95</c:v>
                </c:pt>
                <c:pt idx="414">
                  <c:v>0.95</c:v>
                </c:pt>
                <c:pt idx="415">
                  <c:v>0.95</c:v>
                </c:pt>
                <c:pt idx="416">
                  <c:v>0.95</c:v>
                </c:pt>
                <c:pt idx="417">
                  <c:v>0.95</c:v>
                </c:pt>
                <c:pt idx="418">
                  <c:v>0.95</c:v>
                </c:pt>
                <c:pt idx="419">
                  <c:v>0.95</c:v>
                </c:pt>
                <c:pt idx="420">
                  <c:v>0.95</c:v>
                </c:pt>
                <c:pt idx="421">
                  <c:v>0.95</c:v>
                </c:pt>
                <c:pt idx="422">
                  <c:v>0.95</c:v>
                </c:pt>
                <c:pt idx="423">
                  <c:v>0.95</c:v>
                </c:pt>
                <c:pt idx="424">
                  <c:v>0.95</c:v>
                </c:pt>
                <c:pt idx="425">
                  <c:v>0.95</c:v>
                </c:pt>
                <c:pt idx="426">
                  <c:v>0.95</c:v>
                </c:pt>
                <c:pt idx="427">
                  <c:v>0.95</c:v>
                </c:pt>
                <c:pt idx="428">
                  <c:v>0.95</c:v>
                </c:pt>
                <c:pt idx="429">
                  <c:v>0.95</c:v>
                </c:pt>
                <c:pt idx="430">
                  <c:v>0.95</c:v>
                </c:pt>
                <c:pt idx="431">
                  <c:v>0.95</c:v>
                </c:pt>
                <c:pt idx="432">
                  <c:v>0.95</c:v>
                </c:pt>
                <c:pt idx="433">
                  <c:v>0.95</c:v>
                </c:pt>
                <c:pt idx="434">
                  <c:v>0.95</c:v>
                </c:pt>
                <c:pt idx="435">
                  <c:v>0.95</c:v>
                </c:pt>
                <c:pt idx="436">
                  <c:v>0.95</c:v>
                </c:pt>
                <c:pt idx="437">
                  <c:v>0.95</c:v>
                </c:pt>
                <c:pt idx="438">
                  <c:v>0.95</c:v>
                </c:pt>
                <c:pt idx="439">
                  <c:v>0.95</c:v>
                </c:pt>
                <c:pt idx="440">
                  <c:v>0.95</c:v>
                </c:pt>
                <c:pt idx="441">
                  <c:v>0.95</c:v>
                </c:pt>
                <c:pt idx="442">
                  <c:v>0.95</c:v>
                </c:pt>
                <c:pt idx="443">
                  <c:v>0.95</c:v>
                </c:pt>
                <c:pt idx="444">
                  <c:v>0.95</c:v>
                </c:pt>
                <c:pt idx="445">
                  <c:v>0.95</c:v>
                </c:pt>
                <c:pt idx="446">
                  <c:v>0.95</c:v>
                </c:pt>
                <c:pt idx="447">
                  <c:v>0.95</c:v>
                </c:pt>
                <c:pt idx="448">
                  <c:v>0.95</c:v>
                </c:pt>
                <c:pt idx="449">
                  <c:v>0.95</c:v>
                </c:pt>
                <c:pt idx="450">
                  <c:v>0.95</c:v>
                </c:pt>
                <c:pt idx="451">
                  <c:v>0.95</c:v>
                </c:pt>
                <c:pt idx="452">
                  <c:v>0.95</c:v>
                </c:pt>
                <c:pt idx="453">
                  <c:v>0.95</c:v>
                </c:pt>
                <c:pt idx="454">
                  <c:v>0.95</c:v>
                </c:pt>
                <c:pt idx="455">
                  <c:v>0.95</c:v>
                </c:pt>
                <c:pt idx="456">
                  <c:v>0.95</c:v>
                </c:pt>
                <c:pt idx="457">
                  <c:v>0.95</c:v>
                </c:pt>
                <c:pt idx="458">
                  <c:v>0.95</c:v>
                </c:pt>
                <c:pt idx="459">
                  <c:v>0.95</c:v>
                </c:pt>
                <c:pt idx="460">
                  <c:v>0.95</c:v>
                </c:pt>
                <c:pt idx="461">
                  <c:v>0.95</c:v>
                </c:pt>
                <c:pt idx="462">
                  <c:v>0.95</c:v>
                </c:pt>
                <c:pt idx="463">
                  <c:v>0.95</c:v>
                </c:pt>
                <c:pt idx="464">
                  <c:v>0.95</c:v>
                </c:pt>
                <c:pt idx="465">
                  <c:v>0.95</c:v>
                </c:pt>
                <c:pt idx="466">
                  <c:v>0.95</c:v>
                </c:pt>
                <c:pt idx="467">
                  <c:v>0.95</c:v>
                </c:pt>
                <c:pt idx="468">
                  <c:v>0.95</c:v>
                </c:pt>
                <c:pt idx="469">
                  <c:v>0.95</c:v>
                </c:pt>
                <c:pt idx="470">
                  <c:v>0.95</c:v>
                </c:pt>
                <c:pt idx="471">
                  <c:v>0.95</c:v>
                </c:pt>
                <c:pt idx="472">
                  <c:v>0.95</c:v>
                </c:pt>
                <c:pt idx="473">
                  <c:v>0.95</c:v>
                </c:pt>
                <c:pt idx="474">
                  <c:v>0.95</c:v>
                </c:pt>
                <c:pt idx="475">
                  <c:v>0.95</c:v>
                </c:pt>
                <c:pt idx="476">
                  <c:v>0.95</c:v>
                </c:pt>
                <c:pt idx="477">
                  <c:v>0.95</c:v>
                </c:pt>
                <c:pt idx="478">
                  <c:v>0.95</c:v>
                </c:pt>
                <c:pt idx="479">
                  <c:v>0.95</c:v>
                </c:pt>
                <c:pt idx="480">
                  <c:v>0.95</c:v>
                </c:pt>
                <c:pt idx="481">
                  <c:v>0.95</c:v>
                </c:pt>
                <c:pt idx="482">
                  <c:v>0.95</c:v>
                </c:pt>
                <c:pt idx="483">
                  <c:v>0.95</c:v>
                </c:pt>
                <c:pt idx="484">
                  <c:v>0.95</c:v>
                </c:pt>
                <c:pt idx="485">
                  <c:v>0.95</c:v>
                </c:pt>
                <c:pt idx="486">
                  <c:v>0.95</c:v>
                </c:pt>
                <c:pt idx="487">
                  <c:v>0.95</c:v>
                </c:pt>
                <c:pt idx="488">
                  <c:v>0.95</c:v>
                </c:pt>
                <c:pt idx="489">
                  <c:v>0.95</c:v>
                </c:pt>
                <c:pt idx="490">
                  <c:v>0.95</c:v>
                </c:pt>
                <c:pt idx="491">
                  <c:v>0.95</c:v>
                </c:pt>
                <c:pt idx="492">
                  <c:v>0.95</c:v>
                </c:pt>
                <c:pt idx="493">
                  <c:v>0.95</c:v>
                </c:pt>
                <c:pt idx="494">
                  <c:v>0.95</c:v>
                </c:pt>
                <c:pt idx="495">
                  <c:v>0.95</c:v>
                </c:pt>
                <c:pt idx="496">
                  <c:v>0.95</c:v>
                </c:pt>
                <c:pt idx="497">
                  <c:v>0.95</c:v>
                </c:pt>
                <c:pt idx="498">
                  <c:v>0.95</c:v>
                </c:pt>
                <c:pt idx="499">
                  <c:v>0.95</c:v>
                </c:pt>
                <c:pt idx="500">
                  <c:v>0.95</c:v>
                </c:pt>
                <c:pt idx="501">
                  <c:v>0.95</c:v>
                </c:pt>
                <c:pt idx="502">
                  <c:v>0.95</c:v>
                </c:pt>
                <c:pt idx="503">
                  <c:v>0.95</c:v>
                </c:pt>
                <c:pt idx="504">
                  <c:v>0.95</c:v>
                </c:pt>
                <c:pt idx="505">
                  <c:v>0.95</c:v>
                </c:pt>
                <c:pt idx="506">
                  <c:v>0.95</c:v>
                </c:pt>
                <c:pt idx="507">
                  <c:v>0.95</c:v>
                </c:pt>
                <c:pt idx="508">
                  <c:v>0.95</c:v>
                </c:pt>
                <c:pt idx="509">
                  <c:v>0.95</c:v>
                </c:pt>
                <c:pt idx="510">
                  <c:v>0.95</c:v>
                </c:pt>
                <c:pt idx="511">
                  <c:v>0.95</c:v>
                </c:pt>
                <c:pt idx="512">
                  <c:v>0.95</c:v>
                </c:pt>
                <c:pt idx="513">
                  <c:v>0.95</c:v>
                </c:pt>
                <c:pt idx="514">
                  <c:v>0.95</c:v>
                </c:pt>
                <c:pt idx="515">
                  <c:v>0.95</c:v>
                </c:pt>
                <c:pt idx="516">
                  <c:v>0.95</c:v>
                </c:pt>
                <c:pt idx="517">
                  <c:v>0.95</c:v>
                </c:pt>
                <c:pt idx="518">
                  <c:v>0.95</c:v>
                </c:pt>
                <c:pt idx="519">
                  <c:v>0.95</c:v>
                </c:pt>
                <c:pt idx="520">
                  <c:v>0.95</c:v>
                </c:pt>
                <c:pt idx="521">
                  <c:v>0.95</c:v>
                </c:pt>
                <c:pt idx="522">
                  <c:v>0.95</c:v>
                </c:pt>
                <c:pt idx="523">
                  <c:v>0.95</c:v>
                </c:pt>
                <c:pt idx="524">
                  <c:v>0.95</c:v>
                </c:pt>
                <c:pt idx="525">
                  <c:v>0.95</c:v>
                </c:pt>
                <c:pt idx="526">
                  <c:v>0.95</c:v>
                </c:pt>
                <c:pt idx="527">
                  <c:v>0.95</c:v>
                </c:pt>
                <c:pt idx="528">
                  <c:v>0.95</c:v>
                </c:pt>
                <c:pt idx="529">
                  <c:v>0.95</c:v>
                </c:pt>
                <c:pt idx="530">
                  <c:v>0.95</c:v>
                </c:pt>
                <c:pt idx="531">
                  <c:v>0.95</c:v>
                </c:pt>
                <c:pt idx="532">
                  <c:v>0.95</c:v>
                </c:pt>
                <c:pt idx="533">
                  <c:v>0.95</c:v>
                </c:pt>
                <c:pt idx="534">
                  <c:v>0.95</c:v>
                </c:pt>
                <c:pt idx="535">
                  <c:v>0.95</c:v>
                </c:pt>
                <c:pt idx="536">
                  <c:v>0.95</c:v>
                </c:pt>
                <c:pt idx="537">
                  <c:v>0.95</c:v>
                </c:pt>
                <c:pt idx="538">
                  <c:v>0.95</c:v>
                </c:pt>
                <c:pt idx="539">
                  <c:v>0.95</c:v>
                </c:pt>
                <c:pt idx="540">
                  <c:v>0.95</c:v>
                </c:pt>
                <c:pt idx="541">
                  <c:v>0.95</c:v>
                </c:pt>
                <c:pt idx="542">
                  <c:v>0.95</c:v>
                </c:pt>
                <c:pt idx="543">
                  <c:v>0.95</c:v>
                </c:pt>
                <c:pt idx="544">
                  <c:v>0.95</c:v>
                </c:pt>
                <c:pt idx="545">
                  <c:v>0.95</c:v>
                </c:pt>
                <c:pt idx="546">
                  <c:v>0.95</c:v>
                </c:pt>
                <c:pt idx="547">
                  <c:v>0.95</c:v>
                </c:pt>
                <c:pt idx="548">
                  <c:v>0.95</c:v>
                </c:pt>
                <c:pt idx="549">
                  <c:v>0.95</c:v>
                </c:pt>
                <c:pt idx="550">
                  <c:v>0.95</c:v>
                </c:pt>
                <c:pt idx="551">
                  <c:v>0.95</c:v>
                </c:pt>
                <c:pt idx="552">
                  <c:v>0.95</c:v>
                </c:pt>
                <c:pt idx="553">
                  <c:v>0.95</c:v>
                </c:pt>
                <c:pt idx="554">
                  <c:v>0.95</c:v>
                </c:pt>
                <c:pt idx="555">
                  <c:v>0.95</c:v>
                </c:pt>
                <c:pt idx="556">
                  <c:v>0.95</c:v>
                </c:pt>
                <c:pt idx="557">
                  <c:v>0.95</c:v>
                </c:pt>
                <c:pt idx="558">
                  <c:v>0.95</c:v>
                </c:pt>
                <c:pt idx="559">
                  <c:v>0.95</c:v>
                </c:pt>
                <c:pt idx="560">
                  <c:v>0.95</c:v>
                </c:pt>
                <c:pt idx="561">
                  <c:v>0.95</c:v>
                </c:pt>
                <c:pt idx="562">
                  <c:v>0.95</c:v>
                </c:pt>
                <c:pt idx="563">
                  <c:v>0.95</c:v>
                </c:pt>
                <c:pt idx="564">
                  <c:v>0.95</c:v>
                </c:pt>
                <c:pt idx="565">
                  <c:v>0.95</c:v>
                </c:pt>
                <c:pt idx="566">
                  <c:v>0.95</c:v>
                </c:pt>
                <c:pt idx="567">
                  <c:v>0.95</c:v>
                </c:pt>
                <c:pt idx="568">
                  <c:v>0.95</c:v>
                </c:pt>
                <c:pt idx="569">
                  <c:v>0.95</c:v>
                </c:pt>
                <c:pt idx="570">
                  <c:v>0.95</c:v>
                </c:pt>
                <c:pt idx="571">
                  <c:v>0.95</c:v>
                </c:pt>
                <c:pt idx="572">
                  <c:v>0.95</c:v>
                </c:pt>
                <c:pt idx="573">
                  <c:v>0.95</c:v>
                </c:pt>
                <c:pt idx="574">
                  <c:v>0.95</c:v>
                </c:pt>
                <c:pt idx="575">
                  <c:v>0.95</c:v>
                </c:pt>
                <c:pt idx="576">
                  <c:v>0.95</c:v>
                </c:pt>
                <c:pt idx="577">
                  <c:v>0.95</c:v>
                </c:pt>
                <c:pt idx="578">
                  <c:v>0.95</c:v>
                </c:pt>
                <c:pt idx="579">
                  <c:v>0.95</c:v>
                </c:pt>
                <c:pt idx="580">
                  <c:v>0.95</c:v>
                </c:pt>
                <c:pt idx="581">
                  <c:v>0.95</c:v>
                </c:pt>
                <c:pt idx="582">
                  <c:v>0.95</c:v>
                </c:pt>
                <c:pt idx="583">
                  <c:v>0.95</c:v>
                </c:pt>
                <c:pt idx="584">
                  <c:v>0.95</c:v>
                </c:pt>
                <c:pt idx="585">
                  <c:v>0.95</c:v>
                </c:pt>
                <c:pt idx="586">
                  <c:v>0.95</c:v>
                </c:pt>
                <c:pt idx="587">
                  <c:v>0.95</c:v>
                </c:pt>
                <c:pt idx="588">
                  <c:v>0.95</c:v>
                </c:pt>
                <c:pt idx="589">
                  <c:v>0.95</c:v>
                </c:pt>
                <c:pt idx="590">
                  <c:v>0.95</c:v>
                </c:pt>
                <c:pt idx="591">
                  <c:v>0.95</c:v>
                </c:pt>
                <c:pt idx="592">
                  <c:v>0.95</c:v>
                </c:pt>
                <c:pt idx="593">
                  <c:v>0.95</c:v>
                </c:pt>
                <c:pt idx="594">
                  <c:v>0.95</c:v>
                </c:pt>
                <c:pt idx="595">
                  <c:v>0.95</c:v>
                </c:pt>
                <c:pt idx="596">
                  <c:v>0.95</c:v>
                </c:pt>
                <c:pt idx="597">
                  <c:v>0.95</c:v>
                </c:pt>
                <c:pt idx="598">
                  <c:v>0.95</c:v>
                </c:pt>
                <c:pt idx="599">
                  <c:v>0.95</c:v>
                </c:pt>
                <c:pt idx="600">
                  <c:v>0.95</c:v>
                </c:pt>
                <c:pt idx="601">
                  <c:v>0.95</c:v>
                </c:pt>
                <c:pt idx="602">
                  <c:v>0.95</c:v>
                </c:pt>
                <c:pt idx="603">
                  <c:v>0.95</c:v>
                </c:pt>
                <c:pt idx="604">
                  <c:v>0.95</c:v>
                </c:pt>
                <c:pt idx="605">
                  <c:v>0.95</c:v>
                </c:pt>
                <c:pt idx="606">
                  <c:v>0.95</c:v>
                </c:pt>
                <c:pt idx="607">
                  <c:v>0.95</c:v>
                </c:pt>
                <c:pt idx="608">
                  <c:v>0.95</c:v>
                </c:pt>
                <c:pt idx="609">
                  <c:v>0.95</c:v>
                </c:pt>
                <c:pt idx="610">
                  <c:v>0.95</c:v>
                </c:pt>
                <c:pt idx="611">
                  <c:v>0.95</c:v>
                </c:pt>
                <c:pt idx="612">
                  <c:v>0.95</c:v>
                </c:pt>
                <c:pt idx="613">
                  <c:v>0.95</c:v>
                </c:pt>
                <c:pt idx="614">
                  <c:v>0.95</c:v>
                </c:pt>
                <c:pt idx="615">
                  <c:v>0.95</c:v>
                </c:pt>
                <c:pt idx="616">
                  <c:v>0.95</c:v>
                </c:pt>
                <c:pt idx="617">
                  <c:v>0.95</c:v>
                </c:pt>
                <c:pt idx="618">
                  <c:v>0.95</c:v>
                </c:pt>
                <c:pt idx="619">
                  <c:v>0.95</c:v>
                </c:pt>
                <c:pt idx="620">
                  <c:v>0.95</c:v>
                </c:pt>
                <c:pt idx="621">
                  <c:v>0.95</c:v>
                </c:pt>
                <c:pt idx="622">
                  <c:v>0.95</c:v>
                </c:pt>
                <c:pt idx="623">
                  <c:v>0.95</c:v>
                </c:pt>
                <c:pt idx="624">
                  <c:v>0.95</c:v>
                </c:pt>
                <c:pt idx="625">
                  <c:v>0.95</c:v>
                </c:pt>
                <c:pt idx="626">
                  <c:v>0.95</c:v>
                </c:pt>
                <c:pt idx="627">
                  <c:v>0.95</c:v>
                </c:pt>
                <c:pt idx="628">
                  <c:v>0.95</c:v>
                </c:pt>
                <c:pt idx="629">
                  <c:v>0.95</c:v>
                </c:pt>
                <c:pt idx="630">
                  <c:v>0.95</c:v>
                </c:pt>
                <c:pt idx="631">
                  <c:v>0.95</c:v>
                </c:pt>
                <c:pt idx="632">
                  <c:v>0.95</c:v>
                </c:pt>
                <c:pt idx="633">
                  <c:v>0.95</c:v>
                </c:pt>
                <c:pt idx="634">
                  <c:v>0.95</c:v>
                </c:pt>
                <c:pt idx="635">
                  <c:v>0.95</c:v>
                </c:pt>
                <c:pt idx="636">
                  <c:v>0.95</c:v>
                </c:pt>
                <c:pt idx="637">
                  <c:v>0.95</c:v>
                </c:pt>
                <c:pt idx="638">
                  <c:v>0.95</c:v>
                </c:pt>
                <c:pt idx="639">
                  <c:v>0.95</c:v>
                </c:pt>
                <c:pt idx="640">
                  <c:v>0.95</c:v>
                </c:pt>
                <c:pt idx="641">
                  <c:v>0.95</c:v>
                </c:pt>
                <c:pt idx="642">
                  <c:v>0.95</c:v>
                </c:pt>
                <c:pt idx="643">
                  <c:v>0.95</c:v>
                </c:pt>
                <c:pt idx="644">
                  <c:v>0.95</c:v>
                </c:pt>
                <c:pt idx="645">
                  <c:v>0.95</c:v>
                </c:pt>
                <c:pt idx="646">
                  <c:v>0.95</c:v>
                </c:pt>
                <c:pt idx="647">
                  <c:v>0.95</c:v>
                </c:pt>
                <c:pt idx="648">
                  <c:v>0.95</c:v>
                </c:pt>
                <c:pt idx="649">
                  <c:v>0.95</c:v>
                </c:pt>
                <c:pt idx="650">
                  <c:v>0.95</c:v>
                </c:pt>
                <c:pt idx="651">
                  <c:v>0.95</c:v>
                </c:pt>
                <c:pt idx="652">
                  <c:v>0.95</c:v>
                </c:pt>
                <c:pt idx="653">
                  <c:v>0.95</c:v>
                </c:pt>
                <c:pt idx="654">
                  <c:v>0.95</c:v>
                </c:pt>
                <c:pt idx="655">
                  <c:v>0.95</c:v>
                </c:pt>
                <c:pt idx="656">
                  <c:v>0.95</c:v>
                </c:pt>
                <c:pt idx="657">
                  <c:v>0.95</c:v>
                </c:pt>
                <c:pt idx="658">
                  <c:v>0.95</c:v>
                </c:pt>
                <c:pt idx="659">
                  <c:v>0.95</c:v>
                </c:pt>
                <c:pt idx="660">
                  <c:v>0.95</c:v>
                </c:pt>
                <c:pt idx="661">
                  <c:v>0.95</c:v>
                </c:pt>
                <c:pt idx="662">
                  <c:v>0.95</c:v>
                </c:pt>
                <c:pt idx="663">
                  <c:v>0.95</c:v>
                </c:pt>
                <c:pt idx="664">
                  <c:v>0.95</c:v>
                </c:pt>
                <c:pt idx="665">
                  <c:v>0.95</c:v>
                </c:pt>
                <c:pt idx="666">
                  <c:v>0.95</c:v>
                </c:pt>
                <c:pt idx="667">
                  <c:v>0.95</c:v>
                </c:pt>
                <c:pt idx="668">
                  <c:v>0.95</c:v>
                </c:pt>
                <c:pt idx="669">
                  <c:v>0.95</c:v>
                </c:pt>
                <c:pt idx="670">
                  <c:v>0.95</c:v>
                </c:pt>
                <c:pt idx="671">
                  <c:v>0.95</c:v>
                </c:pt>
                <c:pt idx="672">
                  <c:v>0.95</c:v>
                </c:pt>
                <c:pt idx="673">
                  <c:v>0.95</c:v>
                </c:pt>
                <c:pt idx="674">
                  <c:v>0.95</c:v>
                </c:pt>
                <c:pt idx="675">
                  <c:v>0.95</c:v>
                </c:pt>
                <c:pt idx="676">
                  <c:v>0.95</c:v>
                </c:pt>
                <c:pt idx="677">
                  <c:v>0.95</c:v>
                </c:pt>
                <c:pt idx="678">
                  <c:v>0.95</c:v>
                </c:pt>
                <c:pt idx="679">
                  <c:v>0.95</c:v>
                </c:pt>
                <c:pt idx="680">
                  <c:v>0.95</c:v>
                </c:pt>
                <c:pt idx="681">
                  <c:v>0.95</c:v>
                </c:pt>
                <c:pt idx="682">
                  <c:v>0.95</c:v>
                </c:pt>
                <c:pt idx="683">
                  <c:v>0.95</c:v>
                </c:pt>
                <c:pt idx="684">
                  <c:v>0.95</c:v>
                </c:pt>
                <c:pt idx="685">
                  <c:v>0.95</c:v>
                </c:pt>
                <c:pt idx="686">
                  <c:v>0.95</c:v>
                </c:pt>
                <c:pt idx="687">
                  <c:v>0.95</c:v>
                </c:pt>
                <c:pt idx="688">
                  <c:v>0.95</c:v>
                </c:pt>
                <c:pt idx="689">
                  <c:v>0.95</c:v>
                </c:pt>
                <c:pt idx="690">
                  <c:v>0.95</c:v>
                </c:pt>
                <c:pt idx="691">
                  <c:v>0.95</c:v>
                </c:pt>
                <c:pt idx="692">
                  <c:v>0.95</c:v>
                </c:pt>
                <c:pt idx="693">
                  <c:v>0.95</c:v>
                </c:pt>
                <c:pt idx="694">
                  <c:v>0.95</c:v>
                </c:pt>
                <c:pt idx="695">
                  <c:v>0.95</c:v>
                </c:pt>
                <c:pt idx="696">
                  <c:v>0.95</c:v>
                </c:pt>
                <c:pt idx="697">
                  <c:v>0.95</c:v>
                </c:pt>
                <c:pt idx="698">
                  <c:v>0.95</c:v>
                </c:pt>
                <c:pt idx="699">
                  <c:v>0.95</c:v>
                </c:pt>
                <c:pt idx="700">
                  <c:v>0.95</c:v>
                </c:pt>
                <c:pt idx="701">
                  <c:v>0.95</c:v>
                </c:pt>
                <c:pt idx="702">
                  <c:v>0.95</c:v>
                </c:pt>
                <c:pt idx="703">
                  <c:v>0.95</c:v>
                </c:pt>
                <c:pt idx="704">
                  <c:v>0.95</c:v>
                </c:pt>
                <c:pt idx="705">
                  <c:v>0.95</c:v>
                </c:pt>
                <c:pt idx="706">
                  <c:v>0.95</c:v>
                </c:pt>
                <c:pt idx="707">
                  <c:v>0.95</c:v>
                </c:pt>
                <c:pt idx="708">
                  <c:v>0.95</c:v>
                </c:pt>
                <c:pt idx="709">
                  <c:v>0.95</c:v>
                </c:pt>
                <c:pt idx="710">
                  <c:v>0.95</c:v>
                </c:pt>
                <c:pt idx="711">
                  <c:v>0.95</c:v>
                </c:pt>
                <c:pt idx="712">
                  <c:v>0.95</c:v>
                </c:pt>
                <c:pt idx="713">
                  <c:v>0.95</c:v>
                </c:pt>
                <c:pt idx="714">
                  <c:v>0.95</c:v>
                </c:pt>
                <c:pt idx="715">
                  <c:v>0.95</c:v>
                </c:pt>
                <c:pt idx="716">
                  <c:v>0.95</c:v>
                </c:pt>
                <c:pt idx="717">
                  <c:v>0.95</c:v>
                </c:pt>
                <c:pt idx="718">
                  <c:v>0.95</c:v>
                </c:pt>
                <c:pt idx="719">
                  <c:v>0.95</c:v>
                </c:pt>
                <c:pt idx="720">
                  <c:v>0.95</c:v>
                </c:pt>
                <c:pt idx="721">
                  <c:v>0.95</c:v>
                </c:pt>
                <c:pt idx="722">
                  <c:v>0.95</c:v>
                </c:pt>
                <c:pt idx="723">
                  <c:v>0.95</c:v>
                </c:pt>
                <c:pt idx="724">
                  <c:v>0.95</c:v>
                </c:pt>
                <c:pt idx="725">
                  <c:v>0.95</c:v>
                </c:pt>
                <c:pt idx="726">
                  <c:v>0.95</c:v>
                </c:pt>
                <c:pt idx="727">
                  <c:v>0.95</c:v>
                </c:pt>
                <c:pt idx="728">
                  <c:v>0.95</c:v>
                </c:pt>
                <c:pt idx="729">
                  <c:v>0.95</c:v>
                </c:pt>
                <c:pt idx="730">
                  <c:v>0.95</c:v>
                </c:pt>
                <c:pt idx="731">
                  <c:v>0.95</c:v>
                </c:pt>
                <c:pt idx="732">
                  <c:v>0.95</c:v>
                </c:pt>
                <c:pt idx="733">
                  <c:v>0.95</c:v>
                </c:pt>
                <c:pt idx="734">
                  <c:v>0.95</c:v>
                </c:pt>
                <c:pt idx="735">
                  <c:v>0.95</c:v>
                </c:pt>
                <c:pt idx="736">
                  <c:v>0.95</c:v>
                </c:pt>
                <c:pt idx="737">
                  <c:v>0.95</c:v>
                </c:pt>
                <c:pt idx="738">
                  <c:v>0.95</c:v>
                </c:pt>
                <c:pt idx="739">
                  <c:v>0.95</c:v>
                </c:pt>
                <c:pt idx="740">
                  <c:v>0.95</c:v>
                </c:pt>
                <c:pt idx="741">
                  <c:v>0.95</c:v>
                </c:pt>
                <c:pt idx="742">
                  <c:v>0.95</c:v>
                </c:pt>
                <c:pt idx="743">
                  <c:v>0.95</c:v>
                </c:pt>
                <c:pt idx="744">
                  <c:v>0.95</c:v>
                </c:pt>
                <c:pt idx="745">
                  <c:v>0.95</c:v>
                </c:pt>
                <c:pt idx="746">
                  <c:v>0.95</c:v>
                </c:pt>
                <c:pt idx="747">
                  <c:v>0.95</c:v>
                </c:pt>
                <c:pt idx="748">
                  <c:v>0.95</c:v>
                </c:pt>
                <c:pt idx="749">
                  <c:v>0.95</c:v>
                </c:pt>
                <c:pt idx="750">
                  <c:v>0.95</c:v>
                </c:pt>
                <c:pt idx="751">
                  <c:v>0.95</c:v>
                </c:pt>
                <c:pt idx="752">
                  <c:v>0.95</c:v>
                </c:pt>
                <c:pt idx="753">
                  <c:v>0.95</c:v>
                </c:pt>
                <c:pt idx="754">
                  <c:v>0.95</c:v>
                </c:pt>
                <c:pt idx="755">
                  <c:v>0.95</c:v>
                </c:pt>
                <c:pt idx="756">
                  <c:v>0.95</c:v>
                </c:pt>
                <c:pt idx="757">
                  <c:v>0.95</c:v>
                </c:pt>
                <c:pt idx="758">
                  <c:v>0.95</c:v>
                </c:pt>
                <c:pt idx="759">
                  <c:v>0.95</c:v>
                </c:pt>
                <c:pt idx="760">
                  <c:v>0.95</c:v>
                </c:pt>
                <c:pt idx="761">
                  <c:v>0.95</c:v>
                </c:pt>
                <c:pt idx="762">
                  <c:v>0.95</c:v>
                </c:pt>
                <c:pt idx="763">
                  <c:v>0.95</c:v>
                </c:pt>
                <c:pt idx="764">
                  <c:v>0.95</c:v>
                </c:pt>
                <c:pt idx="765">
                  <c:v>0.95</c:v>
                </c:pt>
                <c:pt idx="766">
                  <c:v>0.95</c:v>
                </c:pt>
                <c:pt idx="767">
                  <c:v>0.95</c:v>
                </c:pt>
                <c:pt idx="768">
                  <c:v>0.95</c:v>
                </c:pt>
                <c:pt idx="769">
                  <c:v>0.95</c:v>
                </c:pt>
                <c:pt idx="770">
                  <c:v>0.95</c:v>
                </c:pt>
                <c:pt idx="771">
                  <c:v>0.95</c:v>
                </c:pt>
                <c:pt idx="772">
                  <c:v>0.95</c:v>
                </c:pt>
                <c:pt idx="773">
                  <c:v>0.95</c:v>
                </c:pt>
                <c:pt idx="774">
                  <c:v>0.95</c:v>
                </c:pt>
                <c:pt idx="775">
                  <c:v>0.95</c:v>
                </c:pt>
                <c:pt idx="776">
                  <c:v>0.95</c:v>
                </c:pt>
                <c:pt idx="777">
                  <c:v>0.95</c:v>
                </c:pt>
                <c:pt idx="778">
                  <c:v>0.95</c:v>
                </c:pt>
                <c:pt idx="779">
                  <c:v>0.95</c:v>
                </c:pt>
                <c:pt idx="780">
                  <c:v>0.95</c:v>
                </c:pt>
                <c:pt idx="781">
                  <c:v>0.95</c:v>
                </c:pt>
                <c:pt idx="782">
                  <c:v>0.95</c:v>
                </c:pt>
                <c:pt idx="783">
                  <c:v>0.95</c:v>
                </c:pt>
                <c:pt idx="784">
                  <c:v>0.95</c:v>
                </c:pt>
                <c:pt idx="785">
                  <c:v>0.95</c:v>
                </c:pt>
                <c:pt idx="786">
                  <c:v>0.95</c:v>
                </c:pt>
                <c:pt idx="787">
                  <c:v>0.95</c:v>
                </c:pt>
                <c:pt idx="788">
                  <c:v>0.95</c:v>
                </c:pt>
                <c:pt idx="789">
                  <c:v>0.95</c:v>
                </c:pt>
                <c:pt idx="790">
                  <c:v>0.95</c:v>
                </c:pt>
                <c:pt idx="791">
                  <c:v>0.95</c:v>
                </c:pt>
                <c:pt idx="792">
                  <c:v>0.95</c:v>
                </c:pt>
                <c:pt idx="793">
                  <c:v>0.95</c:v>
                </c:pt>
                <c:pt idx="794">
                  <c:v>0.95</c:v>
                </c:pt>
                <c:pt idx="795">
                  <c:v>0.95</c:v>
                </c:pt>
                <c:pt idx="796">
                  <c:v>0.95</c:v>
                </c:pt>
                <c:pt idx="797">
                  <c:v>0.95</c:v>
                </c:pt>
                <c:pt idx="798">
                  <c:v>0.95</c:v>
                </c:pt>
                <c:pt idx="799">
                  <c:v>0.95</c:v>
                </c:pt>
                <c:pt idx="800">
                  <c:v>0.95</c:v>
                </c:pt>
                <c:pt idx="801">
                  <c:v>0.95</c:v>
                </c:pt>
                <c:pt idx="802">
                  <c:v>0.95</c:v>
                </c:pt>
                <c:pt idx="803">
                  <c:v>0.95</c:v>
                </c:pt>
                <c:pt idx="804">
                  <c:v>0.95</c:v>
                </c:pt>
                <c:pt idx="805">
                  <c:v>0.95</c:v>
                </c:pt>
                <c:pt idx="806">
                  <c:v>0.95</c:v>
                </c:pt>
                <c:pt idx="807">
                  <c:v>0.95</c:v>
                </c:pt>
                <c:pt idx="808">
                  <c:v>0.95</c:v>
                </c:pt>
                <c:pt idx="809">
                  <c:v>0.95</c:v>
                </c:pt>
                <c:pt idx="810">
                  <c:v>0.95</c:v>
                </c:pt>
                <c:pt idx="811">
                  <c:v>0.95</c:v>
                </c:pt>
                <c:pt idx="812">
                  <c:v>0.95</c:v>
                </c:pt>
                <c:pt idx="813">
                  <c:v>0.95</c:v>
                </c:pt>
                <c:pt idx="814">
                  <c:v>0.95</c:v>
                </c:pt>
                <c:pt idx="815">
                  <c:v>0.95</c:v>
                </c:pt>
                <c:pt idx="816">
                  <c:v>0.95</c:v>
                </c:pt>
                <c:pt idx="817">
                  <c:v>0.95</c:v>
                </c:pt>
                <c:pt idx="818">
                  <c:v>0.95</c:v>
                </c:pt>
                <c:pt idx="819">
                  <c:v>0.95</c:v>
                </c:pt>
                <c:pt idx="820">
                  <c:v>0.95</c:v>
                </c:pt>
                <c:pt idx="821">
                  <c:v>0.95</c:v>
                </c:pt>
                <c:pt idx="822">
                  <c:v>0.95</c:v>
                </c:pt>
                <c:pt idx="823">
                  <c:v>0.95</c:v>
                </c:pt>
                <c:pt idx="824">
                  <c:v>0.95</c:v>
                </c:pt>
                <c:pt idx="825">
                  <c:v>0.95</c:v>
                </c:pt>
                <c:pt idx="826">
                  <c:v>0.95</c:v>
                </c:pt>
                <c:pt idx="827">
                  <c:v>0.95</c:v>
                </c:pt>
                <c:pt idx="828">
                  <c:v>0.95</c:v>
                </c:pt>
                <c:pt idx="829">
                  <c:v>0.95</c:v>
                </c:pt>
                <c:pt idx="830">
                  <c:v>0.95</c:v>
                </c:pt>
                <c:pt idx="831">
                  <c:v>0.95</c:v>
                </c:pt>
                <c:pt idx="832">
                  <c:v>0.95</c:v>
                </c:pt>
                <c:pt idx="833">
                  <c:v>0.95</c:v>
                </c:pt>
                <c:pt idx="834">
                  <c:v>0.95</c:v>
                </c:pt>
                <c:pt idx="835">
                  <c:v>0.95</c:v>
                </c:pt>
                <c:pt idx="836">
                  <c:v>0.95</c:v>
                </c:pt>
                <c:pt idx="837">
                  <c:v>0.95</c:v>
                </c:pt>
                <c:pt idx="838">
                  <c:v>0.95</c:v>
                </c:pt>
                <c:pt idx="839">
                  <c:v>0.95</c:v>
                </c:pt>
                <c:pt idx="840">
                  <c:v>0.95</c:v>
                </c:pt>
                <c:pt idx="841">
                  <c:v>0.95</c:v>
                </c:pt>
                <c:pt idx="842">
                  <c:v>0.95</c:v>
                </c:pt>
                <c:pt idx="843">
                  <c:v>0.95</c:v>
                </c:pt>
                <c:pt idx="844">
                  <c:v>0.95</c:v>
                </c:pt>
                <c:pt idx="845">
                  <c:v>0.95</c:v>
                </c:pt>
                <c:pt idx="846">
                  <c:v>0.95</c:v>
                </c:pt>
                <c:pt idx="847">
                  <c:v>0.95</c:v>
                </c:pt>
                <c:pt idx="848">
                  <c:v>0.95</c:v>
                </c:pt>
                <c:pt idx="849">
                  <c:v>0.95</c:v>
                </c:pt>
                <c:pt idx="850">
                  <c:v>0.95</c:v>
                </c:pt>
                <c:pt idx="851">
                  <c:v>0.95</c:v>
                </c:pt>
                <c:pt idx="852">
                  <c:v>0.95</c:v>
                </c:pt>
                <c:pt idx="853">
                  <c:v>0.95</c:v>
                </c:pt>
                <c:pt idx="854">
                  <c:v>0.95</c:v>
                </c:pt>
                <c:pt idx="855">
                  <c:v>0.95</c:v>
                </c:pt>
                <c:pt idx="856">
                  <c:v>0.95</c:v>
                </c:pt>
                <c:pt idx="857">
                  <c:v>0.95</c:v>
                </c:pt>
                <c:pt idx="858">
                  <c:v>0.95</c:v>
                </c:pt>
                <c:pt idx="859">
                  <c:v>0.95</c:v>
                </c:pt>
                <c:pt idx="860">
                  <c:v>0.95</c:v>
                </c:pt>
                <c:pt idx="861">
                  <c:v>0.95</c:v>
                </c:pt>
                <c:pt idx="862">
                  <c:v>0.95</c:v>
                </c:pt>
                <c:pt idx="863">
                  <c:v>0.95</c:v>
                </c:pt>
                <c:pt idx="864">
                  <c:v>0.95</c:v>
                </c:pt>
                <c:pt idx="865">
                  <c:v>0.95</c:v>
                </c:pt>
                <c:pt idx="866">
                  <c:v>0.95</c:v>
                </c:pt>
                <c:pt idx="867">
                  <c:v>0.95</c:v>
                </c:pt>
                <c:pt idx="868">
                  <c:v>0.95</c:v>
                </c:pt>
                <c:pt idx="869">
                  <c:v>0.95</c:v>
                </c:pt>
                <c:pt idx="870">
                  <c:v>0.95</c:v>
                </c:pt>
                <c:pt idx="871">
                  <c:v>0.95</c:v>
                </c:pt>
                <c:pt idx="872">
                  <c:v>0.95</c:v>
                </c:pt>
                <c:pt idx="873">
                  <c:v>0.95</c:v>
                </c:pt>
                <c:pt idx="874">
                  <c:v>0.95</c:v>
                </c:pt>
                <c:pt idx="875">
                  <c:v>0.95</c:v>
                </c:pt>
                <c:pt idx="876">
                  <c:v>0.95</c:v>
                </c:pt>
                <c:pt idx="877">
                  <c:v>0.95</c:v>
                </c:pt>
                <c:pt idx="878">
                  <c:v>0.95</c:v>
                </c:pt>
                <c:pt idx="879">
                  <c:v>0.95</c:v>
                </c:pt>
                <c:pt idx="880">
                  <c:v>0.95</c:v>
                </c:pt>
                <c:pt idx="881">
                  <c:v>0.95</c:v>
                </c:pt>
                <c:pt idx="882">
                  <c:v>0.95</c:v>
                </c:pt>
                <c:pt idx="883">
                  <c:v>0.95</c:v>
                </c:pt>
                <c:pt idx="884">
                  <c:v>0.95</c:v>
                </c:pt>
                <c:pt idx="885">
                  <c:v>0.95</c:v>
                </c:pt>
                <c:pt idx="886">
                  <c:v>0.95</c:v>
                </c:pt>
                <c:pt idx="887">
                  <c:v>0.95</c:v>
                </c:pt>
                <c:pt idx="888">
                  <c:v>0.95</c:v>
                </c:pt>
                <c:pt idx="889">
                  <c:v>0.95</c:v>
                </c:pt>
                <c:pt idx="890">
                  <c:v>0.95</c:v>
                </c:pt>
                <c:pt idx="891">
                  <c:v>0.95</c:v>
                </c:pt>
                <c:pt idx="892">
                  <c:v>0.95</c:v>
                </c:pt>
                <c:pt idx="893">
                  <c:v>0.95</c:v>
                </c:pt>
                <c:pt idx="894">
                  <c:v>0.95</c:v>
                </c:pt>
                <c:pt idx="895">
                  <c:v>0.95</c:v>
                </c:pt>
                <c:pt idx="896">
                  <c:v>0.95</c:v>
                </c:pt>
                <c:pt idx="897">
                  <c:v>0.95</c:v>
                </c:pt>
                <c:pt idx="898">
                  <c:v>0.95</c:v>
                </c:pt>
                <c:pt idx="899">
                  <c:v>0.95</c:v>
                </c:pt>
                <c:pt idx="900">
                  <c:v>0.95</c:v>
                </c:pt>
                <c:pt idx="901">
                  <c:v>0.95</c:v>
                </c:pt>
                <c:pt idx="902">
                  <c:v>0.95</c:v>
                </c:pt>
                <c:pt idx="903">
                  <c:v>0.95</c:v>
                </c:pt>
                <c:pt idx="904">
                  <c:v>0.95</c:v>
                </c:pt>
                <c:pt idx="905">
                  <c:v>0.95</c:v>
                </c:pt>
                <c:pt idx="906">
                  <c:v>0.95</c:v>
                </c:pt>
                <c:pt idx="907">
                  <c:v>0.95</c:v>
                </c:pt>
                <c:pt idx="908">
                  <c:v>0.95</c:v>
                </c:pt>
                <c:pt idx="909">
                  <c:v>0.95</c:v>
                </c:pt>
                <c:pt idx="910">
                  <c:v>0.95</c:v>
                </c:pt>
                <c:pt idx="911">
                  <c:v>0.95</c:v>
                </c:pt>
                <c:pt idx="912">
                  <c:v>0.95</c:v>
                </c:pt>
                <c:pt idx="913">
                  <c:v>0.95</c:v>
                </c:pt>
                <c:pt idx="914">
                  <c:v>0.95</c:v>
                </c:pt>
                <c:pt idx="915">
                  <c:v>0.95</c:v>
                </c:pt>
                <c:pt idx="916">
                  <c:v>0.95</c:v>
                </c:pt>
                <c:pt idx="917">
                  <c:v>0.95</c:v>
                </c:pt>
                <c:pt idx="918">
                  <c:v>0.95</c:v>
                </c:pt>
                <c:pt idx="919">
                  <c:v>0.95</c:v>
                </c:pt>
                <c:pt idx="920">
                  <c:v>0.95</c:v>
                </c:pt>
                <c:pt idx="921">
                  <c:v>0.95</c:v>
                </c:pt>
                <c:pt idx="922">
                  <c:v>0.95</c:v>
                </c:pt>
                <c:pt idx="923">
                  <c:v>0.95</c:v>
                </c:pt>
                <c:pt idx="924">
                  <c:v>0.95</c:v>
                </c:pt>
                <c:pt idx="925">
                  <c:v>0.95</c:v>
                </c:pt>
                <c:pt idx="926">
                  <c:v>0.95</c:v>
                </c:pt>
                <c:pt idx="927">
                  <c:v>0.95</c:v>
                </c:pt>
                <c:pt idx="928">
                  <c:v>0.95</c:v>
                </c:pt>
                <c:pt idx="929">
                  <c:v>0.95</c:v>
                </c:pt>
                <c:pt idx="930">
                  <c:v>0.95</c:v>
                </c:pt>
                <c:pt idx="931">
                  <c:v>0.95</c:v>
                </c:pt>
                <c:pt idx="932">
                  <c:v>0.95</c:v>
                </c:pt>
                <c:pt idx="933">
                  <c:v>0.95</c:v>
                </c:pt>
                <c:pt idx="934">
                  <c:v>0.95</c:v>
                </c:pt>
                <c:pt idx="935">
                  <c:v>0.95</c:v>
                </c:pt>
                <c:pt idx="936">
                  <c:v>0.95</c:v>
                </c:pt>
                <c:pt idx="937">
                  <c:v>0.95</c:v>
                </c:pt>
                <c:pt idx="938">
                  <c:v>0.95</c:v>
                </c:pt>
                <c:pt idx="939">
                  <c:v>0.95</c:v>
                </c:pt>
                <c:pt idx="940">
                  <c:v>0.95</c:v>
                </c:pt>
                <c:pt idx="941">
                  <c:v>0.95</c:v>
                </c:pt>
                <c:pt idx="942">
                  <c:v>0.95</c:v>
                </c:pt>
                <c:pt idx="943">
                  <c:v>0.95</c:v>
                </c:pt>
                <c:pt idx="944">
                  <c:v>0.95</c:v>
                </c:pt>
                <c:pt idx="945">
                  <c:v>0.95</c:v>
                </c:pt>
                <c:pt idx="946">
                  <c:v>0.95</c:v>
                </c:pt>
                <c:pt idx="947">
                  <c:v>0.95</c:v>
                </c:pt>
                <c:pt idx="948">
                  <c:v>0.95</c:v>
                </c:pt>
                <c:pt idx="949">
                  <c:v>0.95</c:v>
                </c:pt>
                <c:pt idx="950">
                  <c:v>0.95</c:v>
                </c:pt>
                <c:pt idx="951">
                  <c:v>0.95</c:v>
                </c:pt>
                <c:pt idx="952">
                  <c:v>0.95</c:v>
                </c:pt>
                <c:pt idx="953">
                  <c:v>0.95</c:v>
                </c:pt>
                <c:pt idx="954">
                  <c:v>0.95</c:v>
                </c:pt>
                <c:pt idx="955">
                  <c:v>0.95</c:v>
                </c:pt>
                <c:pt idx="956">
                  <c:v>0.95</c:v>
                </c:pt>
                <c:pt idx="957">
                  <c:v>0.95</c:v>
                </c:pt>
                <c:pt idx="958">
                  <c:v>0.95</c:v>
                </c:pt>
                <c:pt idx="959">
                  <c:v>0.95</c:v>
                </c:pt>
                <c:pt idx="960">
                  <c:v>0.95</c:v>
                </c:pt>
                <c:pt idx="961">
                  <c:v>0.95</c:v>
                </c:pt>
                <c:pt idx="962">
                  <c:v>0.95</c:v>
                </c:pt>
                <c:pt idx="963">
                  <c:v>0.95</c:v>
                </c:pt>
                <c:pt idx="964">
                  <c:v>0.95</c:v>
                </c:pt>
                <c:pt idx="965">
                  <c:v>0.95</c:v>
                </c:pt>
                <c:pt idx="966">
                  <c:v>0.95</c:v>
                </c:pt>
                <c:pt idx="967">
                  <c:v>0.95</c:v>
                </c:pt>
                <c:pt idx="968">
                  <c:v>0.95</c:v>
                </c:pt>
                <c:pt idx="969">
                  <c:v>0.95</c:v>
                </c:pt>
                <c:pt idx="970">
                  <c:v>0.95</c:v>
                </c:pt>
                <c:pt idx="971">
                  <c:v>0.95</c:v>
                </c:pt>
                <c:pt idx="972">
                  <c:v>0.95</c:v>
                </c:pt>
                <c:pt idx="973">
                  <c:v>0.95</c:v>
                </c:pt>
                <c:pt idx="974">
                  <c:v>0.95</c:v>
                </c:pt>
                <c:pt idx="975">
                  <c:v>0.95</c:v>
                </c:pt>
                <c:pt idx="976">
                  <c:v>0.95</c:v>
                </c:pt>
                <c:pt idx="977">
                  <c:v>0.95</c:v>
                </c:pt>
                <c:pt idx="978">
                  <c:v>0.95</c:v>
                </c:pt>
                <c:pt idx="979">
                  <c:v>0.95</c:v>
                </c:pt>
                <c:pt idx="980">
                  <c:v>0.95</c:v>
                </c:pt>
                <c:pt idx="981">
                  <c:v>0.95</c:v>
                </c:pt>
                <c:pt idx="982">
                  <c:v>0.95</c:v>
                </c:pt>
                <c:pt idx="983">
                  <c:v>0.95</c:v>
                </c:pt>
                <c:pt idx="984">
                  <c:v>0.95</c:v>
                </c:pt>
                <c:pt idx="985">
                  <c:v>0.95</c:v>
                </c:pt>
                <c:pt idx="986">
                  <c:v>0.95</c:v>
                </c:pt>
                <c:pt idx="987">
                  <c:v>0.95</c:v>
                </c:pt>
                <c:pt idx="988">
                  <c:v>0.95</c:v>
                </c:pt>
                <c:pt idx="989">
                  <c:v>0.95</c:v>
                </c:pt>
                <c:pt idx="990">
                  <c:v>0.95</c:v>
                </c:pt>
                <c:pt idx="991">
                  <c:v>0.95</c:v>
                </c:pt>
                <c:pt idx="992">
                  <c:v>0.95</c:v>
                </c:pt>
                <c:pt idx="993">
                  <c:v>0.95</c:v>
                </c:pt>
                <c:pt idx="994">
                  <c:v>0.95</c:v>
                </c:pt>
                <c:pt idx="995">
                  <c:v>0.95</c:v>
                </c:pt>
                <c:pt idx="996">
                  <c:v>0.95</c:v>
                </c:pt>
                <c:pt idx="997">
                  <c:v>0.95</c:v>
                </c:pt>
                <c:pt idx="998">
                  <c:v>0.95</c:v>
                </c:pt>
                <c:pt idx="999">
                  <c:v>0.95</c:v>
                </c:pt>
                <c:pt idx="1000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89-47B9-A81C-5290CF57A037}"/>
            </c:ext>
          </c:extLst>
        </c:ser>
        <c:ser>
          <c:idx val="4"/>
          <c:order val="4"/>
          <c:tx>
            <c:strRef>
              <c:f>Лист4!$Q$1</c:f>
              <c:strCache>
                <c:ptCount val="1"/>
                <c:pt idx="0">
                  <c:v>f(t)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Лист4!$Q$2:$Q$1002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789-47B9-A81C-5290CF57A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901887"/>
        <c:axId val="1564903967"/>
      </c:lineChart>
      <c:catAx>
        <c:axId val="156490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3967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156490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>
            <a:solidFill>
              <a:schemeClr val="tx1"/>
            </a:solidFill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Лист4!$V$1</c:f>
              <c:strCache>
                <c:ptCount val="1"/>
                <c:pt idx="0">
                  <c:v>y(nT0)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Лист4!$V$2:$V$1002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9.1554131380178535E-3</c:v>
                </c:pt>
                <c:pt idx="64">
                  <c:v>3.509575036240177E-2</c:v>
                </c:pt>
                <c:pt idx="65">
                  <c:v>7.6295109483482115E-2</c:v>
                </c:pt>
                <c:pt idx="66">
                  <c:v>0.12359807736324101</c:v>
                </c:pt>
                <c:pt idx="67">
                  <c:v>0.16784924086366065</c:v>
                </c:pt>
                <c:pt idx="68">
                  <c:v>0.21057450217441062</c:v>
                </c:pt>
                <c:pt idx="69">
                  <c:v>0.25177386129549095</c:v>
                </c:pt>
                <c:pt idx="70">
                  <c:v>0.29144731822690167</c:v>
                </c:pt>
                <c:pt idx="71">
                  <c:v>0.3295948729686427</c:v>
                </c:pt>
                <c:pt idx="72">
                  <c:v>0.36469062333104446</c:v>
                </c:pt>
                <c:pt idx="73">
                  <c:v>0.39978637369344622</c:v>
                </c:pt>
                <c:pt idx="74">
                  <c:v>0.43488212405584803</c:v>
                </c:pt>
                <c:pt idx="75">
                  <c:v>0.46692607003891051</c:v>
                </c:pt>
                <c:pt idx="76">
                  <c:v>0.49897001602197294</c:v>
                </c:pt>
                <c:pt idx="77">
                  <c:v>0.53101396200503548</c:v>
                </c:pt>
                <c:pt idx="78">
                  <c:v>0.56153200579842832</c:v>
                </c:pt>
                <c:pt idx="79">
                  <c:v>0.59052414740215153</c:v>
                </c:pt>
                <c:pt idx="80">
                  <c:v>0.61951628900587474</c:v>
                </c:pt>
                <c:pt idx="81">
                  <c:v>0.64850843060959795</c:v>
                </c:pt>
                <c:pt idx="82">
                  <c:v>0.67597467002365152</c:v>
                </c:pt>
                <c:pt idx="83">
                  <c:v>0.7034409094377051</c:v>
                </c:pt>
                <c:pt idx="84">
                  <c:v>0.73090714885175856</c:v>
                </c:pt>
                <c:pt idx="85">
                  <c:v>0.75837338826581213</c:v>
                </c:pt>
                <c:pt idx="86">
                  <c:v>0.78431372549019607</c:v>
                </c:pt>
                <c:pt idx="87">
                  <c:v>0.80872816052491048</c:v>
                </c:pt>
                <c:pt idx="88">
                  <c:v>0.83161669336995503</c:v>
                </c:pt>
                <c:pt idx="89">
                  <c:v>0.85145342183566031</c:v>
                </c:pt>
                <c:pt idx="90">
                  <c:v>0.86976424811169606</c:v>
                </c:pt>
                <c:pt idx="91">
                  <c:v>0.88654917219806206</c:v>
                </c:pt>
                <c:pt idx="92">
                  <c:v>0.90180819409475843</c:v>
                </c:pt>
                <c:pt idx="93">
                  <c:v>0.91401541161211575</c:v>
                </c:pt>
                <c:pt idx="94">
                  <c:v>0.92622262912947284</c:v>
                </c:pt>
                <c:pt idx="95">
                  <c:v>0.93537804226749066</c:v>
                </c:pt>
                <c:pt idx="96">
                  <c:v>0.94453345540550848</c:v>
                </c:pt>
                <c:pt idx="97">
                  <c:v>0.95216296635385678</c:v>
                </c:pt>
                <c:pt idx="98">
                  <c:v>0.95826657511253532</c:v>
                </c:pt>
                <c:pt idx="99">
                  <c:v>0.96437018387121387</c:v>
                </c:pt>
                <c:pt idx="100">
                  <c:v>0.96894789044022278</c:v>
                </c:pt>
                <c:pt idx="101">
                  <c:v>0.97352559700923169</c:v>
                </c:pt>
                <c:pt idx="102">
                  <c:v>0.97657740138857096</c:v>
                </c:pt>
                <c:pt idx="103">
                  <c:v>0.9781033035782406</c:v>
                </c:pt>
                <c:pt idx="104">
                  <c:v>0.97962920576791024</c:v>
                </c:pt>
                <c:pt idx="105">
                  <c:v>0.98115510795757988</c:v>
                </c:pt>
                <c:pt idx="106">
                  <c:v>0.98115510795757988</c:v>
                </c:pt>
                <c:pt idx="107">
                  <c:v>0.98115510795757988</c:v>
                </c:pt>
                <c:pt idx="108">
                  <c:v>0.97962920576791024</c:v>
                </c:pt>
                <c:pt idx="109">
                  <c:v>0.9781033035782406</c:v>
                </c:pt>
                <c:pt idx="110">
                  <c:v>0.97657740138857096</c:v>
                </c:pt>
                <c:pt idx="111">
                  <c:v>0.97352559700923169</c:v>
                </c:pt>
                <c:pt idx="112">
                  <c:v>0.97047379262989242</c:v>
                </c:pt>
                <c:pt idx="113">
                  <c:v>0.96742198825055314</c:v>
                </c:pt>
                <c:pt idx="114">
                  <c:v>0.96437018387121387</c:v>
                </c:pt>
                <c:pt idx="115">
                  <c:v>0.9613183794918746</c:v>
                </c:pt>
                <c:pt idx="116">
                  <c:v>0.95826657511253532</c:v>
                </c:pt>
                <c:pt idx="117">
                  <c:v>0.95368886854352641</c:v>
                </c:pt>
                <c:pt idx="118">
                  <c:v>0.95063706416418703</c:v>
                </c:pt>
                <c:pt idx="119">
                  <c:v>0.94758525978484776</c:v>
                </c:pt>
                <c:pt idx="120">
                  <c:v>0.94453345540550848</c:v>
                </c:pt>
                <c:pt idx="121">
                  <c:v>0.94148165102616921</c:v>
                </c:pt>
                <c:pt idx="122">
                  <c:v>0.93842984664682993</c:v>
                </c:pt>
                <c:pt idx="123">
                  <c:v>0.9369039444571603</c:v>
                </c:pt>
                <c:pt idx="124">
                  <c:v>0.93385214007782102</c:v>
                </c:pt>
                <c:pt idx="125">
                  <c:v>0.93232623788815139</c:v>
                </c:pt>
                <c:pt idx="126">
                  <c:v>0.92927443350881211</c:v>
                </c:pt>
                <c:pt idx="127">
                  <c:v>0.92774853131914248</c:v>
                </c:pt>
                <c:pt idx="128">
                  <c:v>0.92622262912947284</c:v>
                </c:pt>
                <c:pt idx="129">
                  <c:v>0.92622262912947284</c:v>
                </c:pt>
                <c:pt idx="130">
                  <c:v>0.9246967269398032</c:v>
                </c:pt>
                <c:pt idx="131">
                  <c:v>0.9246967269398032</c:v>
                </c:pt>
                <c:pt idx="132">
                  <c:v>0.92317082475013357</c:v>
                </c:pt>
                <c:pt idx="133">
                  <c:v>0.92317082475013357</c:v>
                </c:pt>
                <c:pt idx="134">
                  <c:v>0.92317082475013357</c:v>
                </c:pt>
                <c:pt idx="135">
                  <c:v>0.9246967269398032</c:v>
                </c:pt>
                <c:pt idx="136">
                  <c:v>0.9246967269398032</c:v>
                </c:pt>
                <c:pt idx="137">
                  <c:v>0.92622262912947284</c:v>
                </c:pt>
                <c:pt idx="138">
                  <c:v>0.92774853131914248</c:v>
                </c:pt>
                <c:pt idx="139">
                  <c:v>0.92774853131914248</c:v>
                </c:pt>
                <c:pt idx="140">
                  <c:v>0.93080033569848175</c:v>
                </c:pt>
                <c:pt idx="141">
                  <c:v>0.93232623788815139</c:v>
                </c:pt>
                <c:pt idx="142">
                  <c:v>0.93385214007782102</c:v>
                </c:pt>
                <c:pt idx="143">
                  <c:v>0.93537804226749066</c:v>
                </c:pt>
                <c:pt idx="144">
                  <c:v>0.93842984664682993</c:v>
                </c:pt>
                <c:pt idx="145">
                  <c:v>0.93995574883649957</c:v>
                </c:pt>
                <c:pt idx="146">
                  <c:v>0.94300755321583885</c:v>
                </c:pt>
                <c:pt idx="147">
                  <c:v>0.94605935759517812</c:v>
                </c:pt>
                <c:pt idx="148">
                  <c:v>0.94758525978484776</c:v>
                </c:pt>
                <c:pt idx="149">
                  <c:v>0.95063706416418703</c:v>
                </c:pt>
                <c:pt idx="150">
                  <c:v>0.95368886854352641</c:v>
                </c:pt>
                <c:pt idx="151">
                  <c:v>0.95674067292286569</c:v>
                </c:pt>
                <c:pt idx="152">
                  <c:v>0.95826657511253532</c:v>
                </c:pt>
                <c:pt idx="153">
                  <c:v>0.9613183794918746</c:v>
                </c:pt>
                <c:pt idx="154">
                  <c:v>0.96437018387121387</c:v>
                </c:pt>
                <c:pt idx="155">
                  <c:v>0.96742198825055314</c:v>
                </c:pt>
                <c:pt idx="156">
                  <c:v>0.96894789044022278</c:v>
                </c:pt>
                <c:pt idx="157">
                  <c:v>0.97199969481956205</c:v>
                </c:pt>
                <c:pt idx="158">
                  <c:v>0.97505149919890133</c:v>
                </c:pt>
                <c:pt idx="159">
                  <c:v>0.97657740138857096</c:v>
                </c:pt>
                <c:pt idx="160">
                  <c:v>0.97962920576791024</c:v>
                </c:pt>
                <c:pt idx="161">
                  <c:v>0.98268101014724951</c:v>
                </c:pt>
                <c:pt idx="162">
                  <c:v>0.98420691233691915</c:v>
                </c:pt>
                <c:pt idx="163">
                  <c:v>0.98573281452658879</c:v>
                </c:pt>
                <c:pt idx="164">
                  <c:v>0.98878461890592806</c:v>
                </c:pt>
                <c:pt idx="165">
                  <c:v>0.9903105210955977</c:v>
                </c:pt>
                <c:pt idx="166">
                  <c:v>0.99183642328526733</c:v>
                </c:pt>
                <c:pt idx="167">
                  <c:v>0.99336232547493697</c:v>
                </c:pt>
                <c:pt idx="168">
                  <c:v>0.99488822766460661</c:v>
                </c:pt>
                <c:pt idx="169">
                  <c:v>0.99641412985427624</c:v>
                </c:pt>
                <c:pt idx="170">
                  <c:v>0.99794003204394588</c:v>
                </c:pt>
                <c:pt idx="171">
                  <c:v>0.99946593423361552</c:v>
                </c:pt>
                <c:pt idx="172">
                  <c:v>1.0009918364232853</c:v>
                </c:pt>
                <c:pt idx="173">
                  <c:v>1.0025177386129549</c:v>
                </c:pt>
                <c:pt idx="174">
                  <c:v>1.0025177386129549</c:v>
                </c:pt>
                <c:pt idx="175">
                  <c:v>1.0040436408026245</c:v>
                </c:pt>
                <c:pt idx="176">
                  <c:v>1.0040436408026245</c:v>
                </c:pt>
                <c:pt idx="177">
                  <c:v>1.0055695429922942</c:v>
                </c:pt>
                <c:pt idx="178">
                  <c:v>1.0055695429922942</c:v>
                </c:pt>
                <c:pt idx="179">
                  <c:v>1.0055695429922942</c:v>
                </c:pt>
                <c:pt idx="180">
                  <c:v>1.0070954451819638</c:v>
                </c:pt>
                <c:pt idx="181">
                  <c:v>1.0070954451819638</c:v>
                </c:pt>
                <c:pt idx="182">
                  <c:v>1.0070954451819638</c:v>
                </c:pt>
                <c:pt idx="183">
                  <c:v>1.0070954451819638</c:v>
                </c:pt>
                <c:pt idx="184">
                  <c:v>1.0070954451819638</c:v>
                </c:pt>
                <c:pt idx="185">
                  <c:v>1.0070954451819638</c:v>
                </c:pt>
                <c:pt idx="186">
                  <c:v>1.0070954451819638</c:v>
                </c:pt>
                <c:pt idx="187">
                  <c:v>1.0070954451819638</c:v>
                </c:pt>
                <c:pt idx="188">
                  <c:v>1.0070954451819638</c:v>
                </c:pt>
                <c:pt idx="189">
                  <c:v>1.0070954451819638</c:v>
                </c:pt>
                <c:pt idx="190">
                  <c:v>1.0070954451819638</c:v>
                </c:pt>
                <c:pt idx="191">
                  <c:v>1.0070954451819638</c:v>
                </c:pt>
                <c:pt idx="192">
                  <c:v>1.0055695429922942</c:v>
                </c:pt>
                <c:pt idx="193">
                  <c:v>1.0055695429922942</c:v>
                </c:pt>
                <c:pt idx="194">
                  <c:v>1.0055695429922942</c:v>
                </c:pt>
                <c:pt idx="195">
                  <c:v>1.0055695429922942</c:v>
                </c:pt>
                <c:pt idx="196">
                  <c:v>1.0040436408026245</c:v>
                </c:pt>
                <c:pt idx="197">
                  <c:v>1.0040436408026245</c:v>
                </c:pt>
                <c:pt idx="198">
                  <c:v>1.0040436408026245</c:v>
                </c:pt>
                <c:pt idx="199">
                  <c:v>1.0040436408026245</c:v>
                </c:pt>
                <c:pt idx="200">
                  <c:v>1.0025177386129549</c:v>
                </c:pt>
                <c:pt idx="201">
                  <c:v>1.0025177386129549</c:v>
                </c:pt>
                <c:pt idx="202">
                  <c:v>1.0025177386129549</c:v>
                </c:pt>
                <c:pt idx="203">
                  <c:v>1.0025177386129549</c:v>
                </c:pt>
                <c:pt idx="204">
                  <c:v>1.0009918364232853</c:v>
                </c:pt>
                <c:pt idx="205">
                  <c:v>1.0009918364232853</c:v>
                </c:pt>
                <c:pt idx="206">
                  <c:v>1.0009918364232853</c:v>
                </c:pt>
                <c:pt idx="207">
                  <c:v>1.0009918364232853</c:v>
                </c:pt>
                <c:pt idx="208">
                  <c:v>1.0009918364232853</c:v>
                </c:pt>
                <c:pt idx="209">
                  <c:v>1.0009918364232853</c:v>
                </c:pt>
                <c:pt idx="210">
                  <c:v>1.0009918364232853</c:v>
                </c:pt>
                <c:pt idx="211">
                  <c:v>0.99946593423361552</c:v>
                </c:pt>
                <c:pt idx="212">
                  <c:v>0.99946593423361552</c:v>
                </c:pt>
                <c:pt idx="213">
                  <c:v>0.99946593423361552</c:v>
                </c:pt>
                <c:pt idx="214">
                  <c:v>0.99946593423361552</c:v>
                </c:pt>
                <c:pt idx="215">
                  <c:v>0.99946593423361552</c:v>
                </c:pt>
                <c:pt idx="216">
                  <c:v>0.99946593423361552</c:v>
                </c:pt>
                <c:pt idx="217">
                  <c:v>0.99946593423361552</c:v>
                </c:pt>
                <c:pt idx="218">
                  <c:v>0.99946593423361552</c:v>
                </c:pt>
                <c:pt idx="219">
                  <c:v>0.99946593423361552</c:v>
                </c:pt>
                <c:pt idx="220">
                  <c:v>0.99946593423361552</c:v>
                </c:pt>
                <c:pt idx="221">
                  <c:v>0.99946593423361552</c:v>
                </c:pt>
                <c:pt idx="222">
                  <c:v>0.99946593423361552</c:v>
                </c:pt>
                <c:pt idx="223">
                  <c:v>0.99946593423361552</c:v>
                </c:pt>
                <c:pt idx="224">
                  <c:v>0.99946593423361552</c:v>
                </c:pt>
                <c:pt idx="225">
                  <c:v>0.99946593423361552</c:v>
                </c:pt>
                <c:pt idx="226">
                  <c:v>0.99946593423361552</c:v>
                </c:pt>
                <c:pt idx="227">
                  <c:v>0.99946593423361552</c:v>
                </c:pt>
                <c:pt idx="228">
                  <c:v>0.99946593423361552</c:v>
                </c:pt>
                <c:pt idx="229">
                  <c:v>0.99946593423361552</c:v>
                </c:pt>
                <c:pt idx="230">
                  <c:v>0.99946593423361552</c:v>
                </c:pt>
                <c:pt idx="231">
                  <c:v>0.99946593423361552</c:v>
                </c:pt>
                <c:pt idx="232">
                  <c:v>1.0009918364232853</c:v>
                </c:pt>
                <c:pt idx="233">
                  <c:v>1.0009918364232853</c:v>
                </c:pt>
                <c:pt idx="234">
                  <c:v>1.0009918364232853</c:v>
                </c:pt>
                <c:pt idx="235">
                  <c:v>1.0009918364232853</c:v>
                </c:pt>
                <c:pt idx="236">
                  <c:v>1.0009918364232853</c:v>
                </c:pt>
                <c:pt idx="237">
                  <c:v>1.0009918364232853</c:v>
                </c:pt>
                <c:pt idx="238">
                  <c:v>1.0009918364232853</c:v>
                </c:pt>
                <c:pt idx="239">
                  <c:v>1.0009918364232853</c:v>
                </c:pt>
                <c:pt idx="240">
                  <c:v>1.0009918364232853</c:v>
                </c:pt>
                <c:pt idx="241">
                  <c:v>1.0009918364232853</c:v>
                </c:pt>
                <c:pt idx="242">
                  <c:v>1.0009918364232853</c:v>
                </c:pt>
                <c:pt idx="243">
                  <c:v>1.0009918364232853</c:v>
                </c:pt>
                <c:pt idx="244">
                  <c:v>1.0009918364232853</c:v>
                </c:pt>
                <c:pt idx="245">
                  <c:v>1.0009918364232853</c:v>
                </c:pt>
                <c:pt idx="246">
                  <c:v>1.0009918364232853</c:v>
                </c:pt>
                <c:pt idx="247">
                  <c:v>1.0009918364232853</c:v>
                </c:pt>
                <c:pt idx="248">
                  <c:v>1.0009918364232853</c:v>
                </c:pt>
                <c:pt idx="249">
                  <c:v>1.0009918364232853</c:v>
                </c:pt>
                <c:pt idx="250">
                  <c:v>1.0009918364232853</c:v>
                </c:pt>
                <c:pt idx="251">
                  <c:v>1.0009918364232853</c:v>
                </c:pt>
                <c:pt idx="252">
                  <c:v>1.0009918364232853</c:v>
                </c:pt>
                <c:pt idx="253">
                  <c:v>1.0009918364232853</c:v>
                </c:pt>
                <c:pt idx="254">
                  <c:v>1.0009918364232853</c:v>
                </c:pt>
                <c:pt idx="255">
                  <c:v>1.0009918364232853</c:v>
                </c:pt>
                <c:pt idx="256">
                  <c:v>1.0009918364232853</c:v>
                </c:pt>
                <c:pt idx="257">
                  <c:v>1.0009918364232853</c:v>
                </c:pt>
                <c:pt idx="258">
                  <c:v>1.0009918364232853</c:v>
                </c:pt>
                <c:pt idx="259">
                  <c:v>1.0009918364232853</c:v>
                </c:pt>
                <c:pt idx="260">
                  <c:v>1.0009918364232853</c:v>
                </c:pt>
                <c:pt idx="261">
                  <c:v>1.0009918364232853</c:v>
                </c:pt>
                <c:pt idx="262">
                  <c:v>1.0009918364232853</c:v>
                </c:pt>
                <c:pt idx="263">
                  <c:v>1.0009918364232853</c:v>
                </c:pt>
                <c:pt idx="264">
                  <c:v>1.0009918364232853</c:v>
                </c:pt>
                <c:pt idx="265">
                  <c:v>1.0009918364232853</c:v>
                </c:pt>
                <c:pt idx="266">
                  <c:v>1.0009918364232853</c:v>
                </c:pt>
                <c:pt idx="267">
                  <c:v>1.0009918364232853</c:v>
                </c:pt>
                <c:pt idx="268">
                  <c:v>1.0009918364232853</c:v>
                </c:pt>
                <c:pt idx="269">
                  <c:v>1.0009918364232853</c:v>
                </c:pt>
                <c:pt idx="270">
                  <c:v>1.0009918364232853</c:v>
                </c:pt>
                <c:pt idx="271">
                  <c:v>1.0009918364232853</c:v>
                </c:pt>
                <c:pt idx="272">
                  <c:v>1.0009918364232853</c:v>
                </c:pt>
                <c:pt idx="273">
                  <c:v>1.0009918364232853</c:v>
                </c:pt>
                <c:pt idx="274">
                  <c:v>0.99946593423361552</c:v>
                </c:pt>
                <c:pt idx="275">
                  <c:v>0.99946593423361552</c:v>
                </c:pt>
                <c:pt idx="276">
                  <c:v>0.99946593423361552</c:v>
                </c:pt>
                <c:pt idx="277">
                  <c:v>0.99946593423361552</c:v>
                </c:pt>
                <c:pt idx="278">
                  <c:v>0.99946593423361552</c:v>
                </c:pt>
                <c:pt idx="279">
                  <c:v>0.99946593423361552</c:v>
                </c:pt>
                <c:pt idx="280">
                  <c:v>0.99946593423361552</c:v>
                </c:pt>
                <c:pt idx="281">
                  <c:v>0.99946593423361552</c:v>
                </c:pt>
                <c:pt idx="282">
                  <c:v>0.99946593423361552</c:v>
                </c:pt>
                <c:pt idx="283">
                  <c:v>0.99946593423361552</c:v>
                </c:pt>
                <c:pt idx="284">
                  <c:v>0.99946593423361552</c:v>
                </c:pt>
                <c:pt idx="285">
                  <c:v>0.99946593423361552</c:v>
                </c:pt>
                <c:pt idx="286">
                  <c:v>0.99946593423361552</c:v>
                </c:pt>
                <c:pt idx="287">
                  <c:v>0.99946593423361552</c:v>
                </c:pt>
                <c:pt idx="288">
                  <c:v>0.99946593423361552</c:v>
                </c:pt>
                <c:pt idx="289">
                  <c:v>0.99946593423361552</c:v>
                </c:pt>
                <c:pt idx="290">
                  <c:v>0.99946593423361552</c:v>
                </c:pt>
                <c:pt idx="291">
                  <c:v>0.99946593423361552</c:v>
                </c:pt>
                <c:pt idx="292">
                  <c:v>0.99946593423361552</c:v>
                </c:pt>
                <c:pt idx="293">
                  <c:v>0.99946593423361552</c:v>
                </c:pt>
                <c:pt idx="294">
                  <c:v>0.99946593423361552</c:v>
                </c:pt>
                <c:pt idx="295">
                  <c:v>0.99946593423361552</c:v>
                </c:pt>
                <c:pt idx="296">
                  <c:v>0.99946593423361552</c:v>
                </c:pt>
                <c:pt idx="297">
                  <c:v>0.99946593423361552</c:v>
                </c:pt>
                <c:pt idx="298">
                  <c:v>0.99946593423361552</c:v>
                </c:pt>
                <c:pt idx="299">
                  <c:v>1.0009918364232853</c:v>
                </c:pt>
                <c:pt idx="300">
                  <c:v>1.0009918364232853</c:v>
                </c:pt>
                <c:pt idx="301">
                  <c:v>1.0009918364232853</c:v>
                </c:pt>
                <c:pt idx="302">
                  <c:v>1.0009918364232853</c:v>
                </c:pt>
                <c:pt idx="303">
                  <c:v>1.0009918364232853</c:v>
                </c:pt>
                <c:pt idx="304">
                  <c:v>1.0009918364232853</c:v>
                </c:pt>
                <c:pt idx="305">
                  <c:v>1.0009918364232853</c:v>
                </c:pt>
                <c:pt idx="306">
                  <c:v>1.0009918364232853</c:v>
                </c:pt>
                <c:pt idx="307">
                  <c:v>1.0009918364232853</c:v>
                </c:pt>
                <c:pt idx="308">
                  <c:v>1.0009918364232853</c:v>
                </c:pt>
                <c:pt idx="309">
                  <c:v>1.0009918364232853</c:v>
                </c:pt>
                <c:pt idx="310">
                  <c:v>1.0009918364232853</c:v>
                </c:pt>
                <c:pt idx="311">
                  <c:v>1.0009918364232853</c:v>
                </c:pt>
                <c:pt idx="312">
                  <c:v>1.0009918364232853</c:v>
                </c:pt>
                <c:pt idx="313">
                  <c:v>1.0009918364232853</c:v>
                </c:pt>
                <c:pt idx="314">
                  <c:v>1.0009918364232853</c:v>
                </c:pt>
                <c:pt idx="315">
                  <c:v>1.0009918364232853</c:v>
                </c:pt>
                <c:pt idx="316">
                  <c:v>1.0009918364232853</c:v>
                </c:pt>
                <c:pt idx="317">
                  <c:v>1.0009918364232853</c:v>
                </c:pt>
                <c:pt idx="318">
                  <c:v>1.0009918364232853</c:v>
                </c:pt>
                <c:pt idx="319">
                  <c:v>1.0009918364232853</c:v>
                </c:pt>
                <c:pt idx="320">
                  <c:v>1.0009918364232853</c:v>
                </c:pt>
                <c:pt idx="321">
                  <c:v>1.0009918364232853</c:v>
                </c:pt>
                <c:pt idx="322">
                  <c:v>1.0009918364232853</c:v>
                </c:pt>
                <c:pt idx="323">
                  <c:v>1.0009918364232853</c:v>
                </c:pt>
                <c:pt idx="324">
                  <c:v>1.0009918364232853</c:v>
                </c:pt>
                <c:pt idx="325">
                  <c:v>1.0009918364232853</c:v>
                </c:pt>
                <c:pt idx="326">
                  <c:v>1.0009918364232853</c:v>
                </c:pt>
                <c:pt idx="327">
                  <c:v>1.0009918364232853</c:v>
                </c:pt>
                <c:pt idx="328">
                  <c:v>0.99946593423361552</c:v>
                </c:pt>
                <c:pt idx="329">
                  <c:v>0.99946593423361552</c:v>
                </c:pt>
                <c:pt idx="330">
                  <c:v>0.99946593423361552</c:v>
                </c:pt>
                <c:pt idx="331">
                  <c:v>0.99946593423361552</c:v>
                </c:pt>
                <c:pt idx="332">
                  <c:v>0.99946593423361552</c:v>
                </c:pt>
                <c:pt idx="333">
                  <c:v>0.99946593423361552</c:v>
                </c:pt>
                <c:pt idx="334">
                  <c:v>0.99946593423361552</c:v>
                </c:pt>
                <c:pt idx="335">
                  <c:v>0.99946593423361552</c:v>
                </c:pt>
                <c:pt idx="336">
                  <c:v>0.99946593423361552</c:v>
                </c:pt>
                <c:pt idx="337">
                  <c:v>0.99946593423361552</c:v>
                </c:pt>
                <c:pt idx="338">
                  <c:v>0.99946593423361552</c:v>
                </c:pt>
                <c:pt idx="339">
                  <c:v>0.99946593423361552</c:v>
                </c:pt>
                <c:pt idx="340">
                  <c:v>0.99946593423361552</c:v>
                </c:pt>
                <c:pt idx="341">
                  <c:v>0.99946593423361552</c:v>
                </c:pt>
                <c:pt idx="342">
                  <c:v>0.99946593423361552</c:v>
                </c:pt>
                <c:pt idx="343">
                  <c:v>0.99946593423361552</c:v>
                </c:pt>
                <c:pt idx="344">
                  <c:v>0.99946593423361552</c:v>
                </c:pt>
                <c:pt idx="345">
                  <c:v>0.99946593423361552</c:v>
                </c:pt>
                <c:pt idx="346">
                  <c:v>0.99946593423361552</c:v>
                </c:pt>
                <c:pt idx="347">
                  <c:v>0.99946593423361552</c:v>
                </c:pt>
                <c:pt idx="348">
                  <c:v>0.99946593423361552</c:v>
                </c:pt>
                <c:pt idx="349">
                  <c:v>0.99946593423361552</c:v>
                </c:pt>
                <c:pt idx="350">
                  <c:v>0.99946593423361552</c:v>
                </c:pt>
                <c:pt idx="351">
                  <c:v>0.99946593423361552</c:v>
                </c:pt>
                <c:pt idx="352">
                  <c:v>0.99946593423361552</c:v>
                </c:pt>
                <c:pt idx="353">
                  <c:v>0.99946593423361552</c:v>
                </c:pt>
                <c:pt idx="354">
                  <c:v>0.99946593423361552</c:v>
                </c:pt>
                <c:pt idx="355">
                  <c:v>1.0009918364232853</c:v>
                </c:pt>
                <c:pt idx="356">
                  <c:v>1.0009918364232853</c:v>
                </c:pt>
                <c:pt idx="357">
                  <c:v>1.0009918364232853</c:v>
                </c:pt>
                <c:pt idx="358">
                  <c:v>1.0009918364232853</c:v>
                </c:pt>
                <c:pt idx="359">
                  <c:v>1.0009918364232853</c:v>
                </c:pt>
                <c:pt idx="360">
                  <c:v>1.0009918364232853</c:v>
                </c:pt>
                <c:pt idx="361">
                  <c:v>1.0009918364232853</c:v>
                </c:pt>
                <c:pt idx="362">
                  <c:v>1.0009918364232853</c:v>
                </c:pt>
                <c:pt idx="363">
                  <c:v>1.0009918364232853</c:v>
                </c:pt>
                <c:pt idx="364">
                  <c:v>1.0009918364232853</c:v>
                </c:pt>
                <c:pt idx="365">
                  <c:v>1.0009918364232853</c:v>
                </c:pt>
                <c:pt idx="366">
                  <c:v>1.0009918364232853</c:v>
                </c:pt>
                <c:pt idx="367">
                  <c:v>1.0009918364232853</c:v>
                </c:pt>
                <c:pt idx="368">
                  <c:v>1.0009918364232853</c:v>
                </c:pt>
                <c:pt idx="369">
                  <c:v>1.0009918364232853</c:v>
                </c:pt>
                <c:pt idx="370">
                  <c:v>1.0009918364232853</c:v>
                </c:pt>
                <c:pt idx="371">
                  <c:v>1.0009918364232853</c:v>
                </c:pt>
                <c:pt idx="372">
                  <c:v>1.0009918364232853</c:v>
                </c:pt>
                <c:pt idx="373">
                  <c:v>1.0009918364232853</c:v>
                </c:pt>
                <c:pt idx="374">
                  <c:v>1.0009918364232853</c:v>
                </c:pt>
                <c:pt idx="375">
                  <c:v>1.0009918364232853</c:v>
                </c:pt>
                <c:pt idx="376">
                  <c:v>1.0009918364232853</c:v>
                </c:pt>
                <c:pt idx="377">
                  <c:v>1.0009918364232853</c:v>
                </c:pt>
                <c:pt idx="378">
                  <c:v>1.0009918364232853</c:v>
                </c:pt>
                <c:pt idx="379">
                  <c:v>1.0009918364232853</c:v>
                </c:pt>
                <c:pt idx="380">
                  <c:v>1.0009918364232853</c:v>
                </c:pt>
                <c:pt idx="381">
                  <c:v>1.0009918364232853</c:v>
                </c:pt>
                <c:pt idx="382">
                  <c:v>1.0009918364232853</c:v>
                </c:pt>
                <c:pt idx="383">
                  <c:v>0.99946593423361552</c:v>
                </c:pt>
                <c:pt idx="384">
                  <c:v>0.99946593423361552</c:v>
                </c:pt>
                <c:pt idx="385">
                  <c:v>0.99946593423361552</c:v>
                </c:pt>
                <c:pt idx="386">
                  <c:v>0.99946593423361552</c:v>
                </c:pt>
                <c:pt idx="387">
                  <c:v>0.99946593423361552</c:v>
                </c:pt>
                <c:pt idx="388">
                  <c:v>0.99946593423361552</c:v>
                </c:pt>
                <c:pt idx="389">
                  <c:v>0.99946593423361552</c:v>
                </c:pt>
                <c:pt idx="390">
                  <c:v>0.99946593423361552</c:v>
                </c:pt>
                <c:pt idx="391">
                  <c:v>0.99946593423361552</c:v>
                </c:pt>
                <c:pt idx="392">
                  <c:v>0.99946593423361552</c:v>
                </c:pt>
                <c:pt idx="393">
                  <c:v>0.99946593423361552</c:v>
                </c:pt>
                <c:pt idx="394">
                  <c:v>0.99946593423361552</c:v>
                </c:pt>
                <c:pt idx="395">
                  <c:v>0.99946593423361552</c:v>
                </c:pt>
                <c:pt idx="396">
                  <c:v>0.99946593423361552</c:v>
                </c:pt>
                <c:pt idx="397">
                  <c:v>0.99946593423361552</c:v>
                </c:pt>
                <c:pt idx="398">
                  <c:v>0.99946593423361552</c:v>
                </c:pt>
                <c:pt idx="399">
                  <c:v>0.99946593423361552</c:v>
                </c:pt>
                <c:pt idx="400">
                  <c:v>0.99946593423361552</c:v>
                </c:pt>
                <c:pt idx="401">
                  <c:v>0.99946593423361552</c:v>
                </c:pt>
                <c:pt idx="402">
                  <c:v>0.99946593423361552</c:v>
                </c:pt>
                <c:pt idx="403">
                  <c:v>0.99946593423361552</c:v>
                </c:pt>
                <c:pt idx="404">
                  <c:v>0.99946593423361552</c:v>
                </c:pt>
                <c:pt idx="405">
                  <c:v>0.99946593423361552</c:v>
                </c:pt>
                <c:pt idx="406">
                  <c:v>0.99946593423361552</c:v>
                </c:pt>
                <c:pt idx="407">
                  <c:v>0.99946593423361552</c:v>
                </c:pt>
                <c:pt idx="408">
                  <c:v>0.99946593423361552</c:v>
                </c:pt>
                <c:pt idx="409">
                  <c:v>0.99946593423361552</c:v>
                </c:pt>
                <c:pt idx="410">
                  <c:v>1.0009918364232853</c:v>
                </c:pt>
                <c:pt idx="411">
                  <c:v>1.0009918364232853</c:v>
                </c:pt>
                <c:pt idx="412">
                  <c:v>1.0009918364232853</c:v>
                </c:pt>
                <c:pt idx="413">
                  <c:v>1.0009918364232853</c:v>
                </c:pt>
                <c:pt idx="414">
                  <c:v>1.0009918364232853</c:v>
                </c:pt>
                <c:pt idx="415">
                  <c:v>1.0009918364232853</c:v>
                </c:pt>
                <c:pt idx="416">
                  <c:v>1.0009918364232853</c:v>
                </c:pt>
                <c:pt idx="417">
                  <c:v>1.0009918364232853</c:v>
                </c:pt>
                <c:pt idx="418">
                  <c:v>1.0009918364232853</c:v>
                </c:pt>
                <c:pt idx="419">
                  <c:v>1.0009918364232853</c:v>
                </c:pt>
                <c:pt idx="420">
                  <c:v>1.0009918364232853</c:v>
                </c:pt>
                <c:pt idx="421">
                  <c:v>1.0009918364232853</c:v>
                </c:pt>
                <c:pt idx="422">
                  <c:v>1.0009918364232853</c:v>
                </c:pt>
                <c:pt idx="423">
                  <c:v>1.0009918364232853</c:v>
                </c:pt>
                <c:pt idx="424">
                  <c:v>1.0009918364232853</c:v>
                </c:pt>
                <c:pt idx="425">
                  <c:v>1.0009918364232853</c:v>
                </c:pt>
                <c:pt idx="426">
                  <c:v>1.0009918364232853</c:v>
                </c:pt>
                <c:pt idx="427">
                  <c:v>1.0009918364232853</c:v>
                </c:pt>
                <c:pt idx="428">
                  <c:v>1.0009918364232853</c:v>
                </c:pt>
                <c:pt idx="429">
                  <c:v>1.0009918364232853</c:v>
                </c:pt>
                <c:pt idx="430">
                  <c:v>1.0009918364232853</c:v>
                </c:pt>
                <c:pt idx="431">
                  <c:v>1.0009918364232853</c:v>
                </c:pt>
                <c:pt idx="432">
                  <c:v>1.0009918364232853</c:v>
                </c:pt>
                <c:pt idx="433">
                  <c:v>1.0009918364232853</c:v>
                </c:pt>
                <c:pt idx="434">
                  <c:v>1.0009918364232853</c:v>
                </c:pt>
                <c:pt idx="435">
                  <c:v>1.0009918364232853</c:v>
                </c:pt>
                <c:pt idx="436">
                  <c:v>1.0009918364232853</c:v>
                </c:pt>
                <c:pt idx="437">
                  <c:v>0.99946593423361552</c:v>
                </c:pt>
                <c:pt idx="438">
                  <c:v>0.99946593423361552</c:v>
                </c:pt>
                <c:pt idx="439">
                  <c:v>0.99946593423361552</c:v>
                </c:pt>
                <c:pt idx="440">
                  <c:v>0.99946593423361552</c:v>
                </c:pt>
                <c:pt idx="441">
                  <c:v>0.99946593423361552</c:v>
                </c:pt>
                <c:pt idx="442">
                  <c:v>0.99946593423361552</c:v>
                </c:pt>
                <c:pt idx="443">
                  <c:v>0.99946593423361552</c:v>
                </c:pt>
                <c:pt idx="444">
                  <c:v>0.99946593423361552</c:v>
                </c:pt>
                <c:pt idx="445">
                  <c:v>0.99946593423361552</c:v>
                </c:pt>
                <c:pt idx="446">
                  <c:v>0.99946593423361552</c:v>
                </c:pt>
                <c:pt idx="447">
                  <c:v>0.99946593423361552</c:v>
                </c:pt>
                <c:pt idx="448">
                  <c:v>0.99946593423361552</c:v>
                </c:pt>
                <c:pt idx="449">
                  <c:v>0.99946593423361552</c:v>
                </c:pt>
                <c:pt idx="450">
                  <c:v>0.99946593423361552</c:v>
                </c:pt>
                <c:pt idx="451">
                  <c:v>0.99946593423361552</c:v>
                </c:pt>
                <c:pt idx="452">
                  <c:v>0.99946593423361552</c:v>
                </c:pt>
                <c:pt idx="453">
                  <c:v>0.99946593423361552</c:v>
                </c:pt>
                <c:pt idx="454">
                  <c:v>0.99946593423361552</c:v>
                </c:pt>
                <c:pt idx="455">
                  <c:v>0.99946593423361552</c:v>
                </c:pt>
                <c:pt idx="456">
                  <c:v>0.99946593423361552</c:v>
                </c:pt>
                <c:pt idx="457">
                  <c:v>0.99946593423361552</c:v>
                </c:pt>
                <c:pt idx="458">
                  <c:v>0.99946593423361552</c:v>
                </c:pt>
                <c:pt idx="459">
                  <c:v>0.99946593423361552</c:v>
                </c:pt>
                <c:pt idx="460">
                  <c:v>0.99946593423361552</c:v>
                </c:pt>
                <c:pt idx="461">
                  <c:v>0.99946593423361552</c:v>
                </c:pt>
                <c:pt idx="462">
                  <c:v>0.99946593423361552</c:v>
                </c:pt>
                <c:pt idx="463">
                  <c:v>0.99946593423361552</c:v>
                </c:pt>
                <c:pt idx="464">
                  <c:v>1.0009918364232853</c:v>
                </c:pt>
                <c:pt idx="465">
                  <c:v>1.0009918364232853</c:v>
                </c:pt>
                <c:pt idx="466">
                  <c:v>1.0009918364232853</c:v>
                </c:pt>
                <c:pt idx="467">
                  <c:v>1.0009918364232853</c:v>
                </c:pt>
                <c:pt idx="468">
                  <c:v>1.0009918364232853</c:v>
                </c:pt>
                <c:pt idx="469">
                  <c:v>1.0009918364232853</c:v>
                </c:pt>
                <c:pt idx="470">
                  <c:v>1.0009918364232853</c:v>
                </c:pt>
                <c:pt idx="471">
                  <c:v>1.0009918364232853</c:v>
                </c:pt>
                <c:pt idx="472">
                  <c:v>1.0009918364232853</c:v>
                </c:pt>
                <c:pt idx="473">
                  <c:v>1.0009918364232853</c:v>
                </c:pt>
                <c:pt idx="474">
                  <c:v>1.0009918364232853</c:v>
                </c:pt>
                <c:pt idx="475">
                  <c:v>1.0009918364232853</c:v>
                </c:pt>
                <c:pt idx="476">
                  <c:v>1.0009918364232853</c:v>
                </c:pt>
                <c:pt idx="477">
                  <c:v>1.0009918364232853</c:v>
                </c:pt>
                <c:pt idx="478">
                  <c:v>1.0009918364232853</c:v>
                </c:pt>
                <c:pt idx="479">
                  <c:v>1.0009918364232853</c:v>
                </c:pt>
                <c:pt idx="480">
                  <c:v>1.0009918364232853</c:v>
                </c:pt>
                <c:pt idx="481">
                  <c:v>1.0009918364232853</c:v>
                </c:pt>
                <c:pt idx="482">
                  <c:v>1.0009918364232853</c:v>
                </c:pt>
                <c:pt idx="483">
                  <c:v>1.0009918364232853</c:v>
                </c:pt>
                <c:pt idx="484">
                  <c:v>1.0009918364232853</c:v>
                </c:pt>
                <c:pt idx="485">
                  <c:v>1.0009918364232853</c:v>
                </c:pt>
                <c:pt idx="486">
                  <c:v>1.0009918364232853</c:v>
                </c:pt>
                <c:pt idx="487">
                  <c:v>1.0009918364232853</c:v>
                </c:pt>
                <c:pt idx="488">
                  <c:v>1.0009918364232853</c:v>
                </c:pt>
                <c:pt idx="489">
                  <c:v>1.0009918364232853</c:v>
                </c:pt>
                <c:pt idx="490">
                  <c:v>1.0009918364232853</c:v>
                </c:pt>
                <c:pt idx="491">
                  <c:v>0.99946593423361552</c:v>
                </c:pt>
                <c:pt idx="492">
                  <c:v>0.99946593423361552</c:v>
                </c:pt>
                <c:pt idx="493">
                  <c:v>0.99946593423361552</c:v>
                </c:pt>
                <c:pt idx="494">
                  <c:v>0.99946593423361552</c:v>
                </c:pt>
                <c:pt idx="495">
                  <c:v>0.99946593423361552</c:v>
                </c:pt>
                <c:pt idx="496">
                  <c:v>0.99946593423361552</c:v>
                </c:pt>
                <c:pt idx="497">
                  <c:v>0.99946593423361552</c:v>
                </c:pt>
                <c:pt idx="498">
                  <c:v>0.99946593423361552</c:v>
                </c:pt>
                <c:pt idx="499">
                  <c:v>0.99946593423361552</c:v>
                </c:pt>
                <c:pt idx="500">
                  <c:v>0.99946593423361552</c:v>
                </c:pt>
                <c:pt idx="501">
                  <c:v>0.99946593423361552</c:v>
                </c:pt>
                <c:pt idx="502">
                  <c:v>0.99946593423361552</c:v>
                </c:pt>
                <c:pt idx="503">
                  <c:v>0.99946593423361552</c:v>
                </c:pt>
                <c:pt idx="504">
                  <c:v>0.99946593423361552</c:v>
                </c:pt>
                <c:pt idx="505">
                  <c:v>0.99946593423361552</c:v>
                </c:pt>
                <c:pt idx="506">
                  <c:v>0.99946593423361552</c:v>
                </c:pt>
                <c:pt idx="507">
                  <c:v>0.99946593423361552</c:v>
                </c:pt>
                <c:pt idx="508">
                  <c:v>0.99946593423361552</c:v>
                </c:pt>
                <c:pt idx="509">
                  <c:v>0.99946593423361552</c:v>
                </c:pt>
                <c:pt idx="510">
                  <c:v>0.99946593423361552</c:v>
                </c:pt>
                <c:pt idx="511">
                  <c:v>0.99946593423361552</c:v>
                </c:pt>
                <c:pt idx="512">
                  <c:v>0.99946593423361552</c:v>
                </c:pt>
                <c:pt idx="513">
                  <c:v>0.99946593423361552</c:v>
                </c:pt>
                <c:pt idx="514">
                  <c:v>0.99946593423361552</c:v>
                </c:pt>
                <c:pt idx="515">
                  <c:v>0.99946593423361552</c:v>
                </c:pt>
                <c:pt idx="516">
                  <c:v>0.99946593423361552</c:v>
                </c:pt>
                <c:pt idx="517">
                  <c:v>0.99946593423361552</c:v>
                </c:pt>
                <c:pt idx="518">
                  <c:v>1.0009918364232853</c:v>
                </c:pt>
                <c:pt idx="519">
                  <c:v>1.0009918364232853</c:v>
                </c:pt>
                <c:pt idx="520">
                  <c:v>1.0009918364232853</c:v>
                </c:pt>
                <c:pt idx="521">
                  <c:v>1.0009918364232853</c:v>
                </c:pt>
                <c:pt idx="522">
                  <c:v>1.0009918364232853</c:v>
                </c:pt>
                <c:pt idx="523">
                  <c:v>1.0009918364232853</c:v>
                </c:pt>
                <c:pt idx="524">
                  <c:v>1.0009918364232853</c:v>
                </c:pt>
                <c:pt idx="525">
                  <c:v>1.0009918364232853</c:v>
                </c:pt>
                <c:pt idx="526">
                  <c:v>1.0009918364232853</c:v>
                </c:pt>
                <c:pt idx="527">
                  <c:v>1.0009918364232853</c:v>
                </c:pt>
                <c:pt idx="528">
                  <c:v>1.0009918364232853</c:v>
                </c:pt>
                <c:pt idx="529">
                  <c:v>1.0009918364232853</c:v>
                </c:pt>
                <c:pt idx="530">
                  <c:v>1.0009918364232853</c:v>
                </c:pt>
                <c:pt idx="531">
                  <c:v>1.0009918364232853</c:v>
                </c:pt>
                <c:pt idx="532">
                  <c:v>1.0009918364232853</c:v>
                </c:pt>
                <c:pt idx="533">
                  <c:v>1.0009918364232853</c:v>
                </c:pt>
                <c:pt idx="534">
                  <c:v>1.0009918364232853</c:v>
                </c:pt>
                <c:pt idx="535">
                  <c:v>1.0009918364232853</c:v>
                </c:pt>
                <c:pt idx="536">
                  <c:v>1.0009918364232853</c:v>
                </c:pt>
                <c:pt idx="537">
                  <c:v>1.0009918364232853</c:v>
                </c:pt>
                <c:pt idx="538">
                  <c:v>1.0009918364232853</c:v>
                </c:pt>
                <c:pt idx="539">
                  <c:v>1.0009918364232853</c:v>
                </c:pt>
                <c:pt idx="540">
                  <c:v>1.0009918364232853</c:v>
                </c:pt>
                <c:pt idx="541">
                  <c:v>1.0009918364232853</c:v>
                </c:pt>
                <c:pt idx="542">
                  <c:v>1.0009918364232853</c:v>
                </c:pt>
                <c:pt idx="543">
                  <c:v>1.0009918364232853</c:v>
                </c:pt>
                <c:pt idx="544">
                  <c:v>1.0009918364232853</c:v>
                </c:pt>
                <c:pt idx="545">
                  <c:v>0.99946593423361552</c:v>
                </c:pt>
                <c:pt idx="546">
                  <c:v>0.99946593423361552</c:v>
                </c:pt>
                <c:pt idx="547">
                  <c:v>0.99946593423361552</c:v>
                </c:pt>
                <c:pt idx="548">
                  <c:v>0.99946593423361552</c:v>
                </c:pt>
                <c:pt idx="549">
                  <c:v>0.99946593423361552</c:v>
                </c:pt>
                <c:pt idx="550">
                  <c:v>0.99946593423361552</c:v>
                </c:pt>
                <c:pt idx="551">
                  <c:v>0.99946593423361552</c:v>
                </c:pt>
                <c:pt idx="552">
                  <c:v>0.99946593423361552</c:v>
                </c:pt>
                <c:pt idx="553">
                  <c:v>0.99946593423361552</c:v>
                </c:pt>
                <c:pt idx="554">
                  <c:v>0.99946593423361552</c:v>
                </c:pt>
                <c:pt idx="555">
                  <c:v>0.99946593423361552</c:v>
                </c:pt>
                <c:pt idx="556">
                  <c:v>0.99946593423361552</c:v>
                </c:pt>
                <c:pt idx="557">
                  <c:v>0.99946593423361552</c:v>
                </c:pt>
                <c:pt idx="558">
                  <c:v>0.99946593423361552</c:v>
                </c:pt>
                <c:pt idx="559">
                  <c:v>0.99946593423361552</c:v>
                </c:pt>
                <c:pt idx="560">
                  <c:v>0.99946593423361552</c:v>
                </c:pt>
                <c:pt idx="561">
                  <c:v>0.99946593423361552</c:v>
                </c:pt>
                <c:pt idx="562">
                  <c:v>0.99946593423361552</c:v>
                </c:pt>
                <c:pt idx="563">
                  <c:v>0.99946593423361552</c:v>
                </c:pt>
                <c:pt idx="564">
                  <c:v>0.99946593423361552</c:v>
                </c:pt>
                <c:pt idx="565">
                  <c:v>0.99946593423361552</c:v>
                </c:pt>
                <c:pt idx="566">
                  <c:v>0.99946593423361552</c:v>
                </c:pt>
                <c:pt idx="567">
                  <c:v>0.99946593423361552</c:v>
                </c:pt>
                <c:pt idx="568">
                  <c:v>0.99946593423361552</c:v>
                </c:pt>
                <c:pt idx="569">
                  <c:v>0.99946593423361552</c:v>
                </c:pt>
                <c:pt idx="570">
                  <c:v>0.99946593423361552</c:v>
                </c:pt>
                <c:pt idx="571">
                  <c:v>0.99946593423361552</c:v>
                </c:pt>
                <c:pt idx="572">
                  <c:v>1.0009918364232853</c:v>
                </c:pt>
                <c:pt idx="573">
                  <c:v>1.0009918364232853</c:v>
                </c:pt>
                <c:pt idx="574">
                  <c:v>1.0009918364232853</c:v>
                </c:pt>
                <c:pt idx="575">
                  <c:v>1.0009918364232853</c:v>
                </c:pt>
                <c:pt idx="576">
                  <c:v>1.0009918364232853</c:v>
                </c:pt>
                <c:pt idx="577">
                  <c:v>1.0009918364232853</c:v>
                </c:pt>
                <c:pt idx="578">
                  <c:v>1.0009918364232853</c:v>
                </c:pt>
                <c:pt idx="579">
                  <c:v>1.0009918364232853</c:v>
                </c:pt>
                <c:pt idx="580">
                  <c:v>1.0009918364232853</c:v>
                </c:pt>
                <c:pt idx="581">
                  <c:v>1.0009918364232853</c:v>
                </c:pt>
                <c:pt idx="582">
                  <c:v>1.0009918364232853</c:v>
                </c:pt>
                <c:pt idx="583">
                  <c:v>1.0009918364232853</c:v>
                </c:pt>
                <c:pt idx="584">
                  <c:v>1.0009918364232853</c:v>
                </c:pt>
                <c:pt idx="585">
                  <c:v>1.0009918364232853</c:v>
                </c:pt>
                <c:pt idx="586">
                  <c:v>1.0009918364232853</c:v>
                </c:pt>
                <c:pt idx="587">
                  <c:v>1.0009918364232853</c:v>
                </c:pt>
                <c:pt idx="588">
                  <c:v>1.0009918364232853</c:v>
                </c:pt>
                <c:pt idx="589">
                  <c:v>1.0009918364232853</c:v>
                </c:pt>
                <c:pt idx="590">
                  <c:v>1.0009918364232853</c:v>
                </c:pt>
                <c:pt idx="591">
                  <c:v>1.0009918364232853</c:v>
                </c:pt>
                <c:pt idx="592">
                  <c:v>1.0009918364232853</c:v>
                </c:pt>
                <c:pt idx="593">
                  <c:v>1.0009918364232853</c:v>
                </c:pt>
                <c:pt idx="594">
                  <c:v>1.0009918364232853</c:v>
                </c:pt>
                <c:pt idx="595">
                  <c:v>1.0009918364232853</c:v>
                </c:pt>
                <c:pt idx="596">
                  <c:v>1.0009918364232853</c:v>
                </c:pt>
                <c:pt idx="597">
                  <c:v>1.0009918364232853</c:v>
                </c:pt>
                <c:pt idx="598">
                  <c:v>1.0009918364232853</c:v>
                </c:pt>
                <c:pt idx="599">
                  <c:v>0.99946593423361552</c:v>
                </c:pt>
                <c:pt idx="600">
                  <c:v>0.99946593423361552</c:v>
                </c:pt>
                <c:pt idx="601">
                  <c:v>0.99946593423361552</c:v>
                </c:pt>
                <c:pt idx="602">
                  <c:v>0.99946593423361552</c:v>
                </c:pt>
                <c:pt idx="603">
                  <c:v>0.99946593423361552</c:v>
                </c:pt>
                <c:pt idx="604">
                  <c:v>0.99946593423361552</c:v>
                </c:pt>
                <c:pt idx="605">
                  <c:v>0.99946593423361552</c:v>
                </c:pt>
                <c:pt idx="606">
                  <c:v>0.99946593423361552</c:v>
                </c:pt>
                <c:pt idx="607">
                  <c:v>0.99946593423361552</c:v>
                </c:pt>
                <c:pt idx="608">
                  <c:v>0.99946593423361552</c:v>
                </c:pt>
                <c:pt idx="609">
                  <c:v>0.99946593423361552</c:v>
                </c:pt>
                <c:pt idx="610">
                  <c:v>0.99946593423361552</c:v>
                </c:pt>
                <c:pt idx="611">
                  <c:v>0.99946593423361552</c:v>
                </c:pt>
                <c:pt idx="612">
                  <c:v>0.99946593423361552</c:v>
                </c:pt>
                <c:pt idx="613">
                  <c:v>0.99946593423361552</c:v>
                </c:pt>
                <c:pt idx="614">
                  <c:v>0.99946593423361552</c:v>
                </c:pt>
                <c:pt idx="615">
                  <c:v>0.99946593423361552</c:v>
                </c:pt>
                <c:pt idx="616">
                  <c:v>0.99946593423361552</c:v>
                </c:pt>
                <c:pt idx="617">
                  <c:v>0.99946593423361552</c:v>
                </c:pt>
                <c:pt idx="618">
                  <c:v>0.99946593423361552</c:v>
                </c:pt>
                <c:pt idx="619">
                  <c:v>0.99946593423361552</c:v>
                </c:pt>
                <c:pt idx="620">
                  <c:v>0.99946593423361552</c:v>
                </c:pt>
                <c:pt idx="621">
                  <c:v>0.99946593423361552</c:v>
                </c:pt>
                <c:pt idx="622">
                  <c:v>0.99946593423361552</c:v>
                </c:pt>
                <c:pt idx="623">
                  <c:v>0.99946593423361552</c:v>
                </c:pt>
                <c:pt idx="624">
                  <c:v>0.99946593423361552</c:v>
                </c:pt>
                <c:pt idx="625">
                  <c:v>0.99946593423361552</c:v>
                </c:pt>
                <c:pt idx="626">
                  <c:v>1.0009918364232853</c:v>
                </c:pt>
                <c:pt idx="627">
                  <c:v>1.0009918364232853</c:v>
                </c:pt>
                <c:pt idx="628">
                  <c:v>1.0009918364232853</c:v>
                </c:pt>
                <c:pt idx="629">
                  <c:v>1.0009918364232853</c:v>
                </c:pt>
                <c:pt idx="630">
                  <c:v>1.0009918364232853</c:v>
                </c:pt>
                <c:pt idx="631">
                  <c:v>1.0009918364232853</c:v>
                </c:pt>
                <c:pt idx="632">
                  <c:v>1.0009918364232853</c:v>
                </c:pt>
                <c:pt idx="633">
                  <c:v>1.0009918364232853</c:v>
                </c:pt>
                <c:pt idx="634">
                  <c:v>1.0009918364232853</c:v>
                </c:pt>
                <c:pt idx="635">
                  <c:v>1.0009918364232853</c:v>
                </c:pt>
                <c:pt idx="636">
                  <c:v>1.0009918364232853</c:v>
                </c:pt>
                <c:pt idx="637">
                  <c:v>1.0009918364232853</c:v>
                </c:pt>
                <c:pt idx="638">
                  <c:v>1.0009918364232853</c:v>
                </c:pt>
                <c:pt idx="639">
                  <c:v>1.0009918364232853</c:v>
                </c:pt>
                <c:pt idx="640">
                  <c:v>1.0009918364232853</c:v>
                </c:pt>
                <c:pt idx="641">
                  <c:v>1.0009918364232853</c:v>
                </c:pt>
                <c:pt idx="642">
                  <c:v>1.0009918364232853</c:v>
                </c:pt>
                <c:pt idx="643">
                  <c:v>1.0009918364232853</c:v>
                </c:pt>
                <c:pt idx="644">
                  <c:v>1.0009918364232853</c:v>
                </c:pt>
                <c:pt idx="645">
                  <c:v>1.0009918364232853</c:v>
                </c:pt>
                <c:pt idx="646">
                  <c:v>1.0009918364232853</c:v>
                </c:pt>
                <c:pt idx="647">
                  <c:v>1.0009918364232853</c:v>
                </c:pt>
                <c:pt idx="648">
                  <c:v>1.0009918364232853</c:v>
                </c:pt>
                <c:pt idx="649">
                  <c:v>1.0009918364232853</c:v>
                </c:pt>
                <c:pt idx="650">
                  <c:v>1.0009918364232853</c:v>
                </c:pt>
                <c:pt idx="651">
                  <c:v>1.0009918364232853</c:v>
                </c:pt>
                <c:pt idx="652">
                  <c:v>1.0009918364232853</c:v>
                </c:pt>
                <c:pt idx="653">
                  <c:v>0.99946593423361552</c:v>
                </c:pt>
                <c:pt idx="654">
                  <c:v>0.99946593423361552</c:v>
                </c:pt>
                <c:pt idx="655">
                  <c:v>0.99946593423361552</c:v>
                </c:pt>
                <c:pt idx="656">
                  <c:v>0.99946593423361552</c:v>
                </c:pt>
                <c:pt idx="657">
                  <c:v>0.99946593423361552</c:v>
                </c:pt>
                <c:pt idx="658">
                  <c:v>0.99946593423361552</c:v>
                </c:pt>
                <c:pt idx="659">
                  <c:v>0.99946593423361552</c:v>
                </c:pt>
                <c:pt idx="660">
                  <c:v>0.99946593423361552</c:v>
                </c:pt>
                <c:pt idx="661">
                  <c:v>0.99946593423361552</c:v>
                </c:pt>
                <c:pt idx="662">
                  <c:v>0.99946593423361552</c:v>
                </c:pt>
                <c:pt idx="663">
                  <c:v>0.99946593423361552</c:v>
                </c:pt>
                <c:pt idx="664">
                  <c:v>0.99946593423361552</c:v>
                </c:pt>
                <c:pt idx="665">
                  <c:v>0.99946593423361552</c:v>
                </c:pt>
                <c:pt idx="666">
                  <c:v>0.99946593423361552</c:v>
                </c:pt>
                <c:pt idx="667">
                  <c:v>0.99946593423361552</c:v>
                </c:pt>
                <c:pt idx="668">
                  <c:v>0.99946593423361552</c:v>
                </c:pt>
                <c:pt idx="669">
                  <c:v>0.99946593423361552</c:v>
                </c:pt>
                <c:pt idx="670">
                  <c:v>0.99946593423361552</c:v>
                </c:pt>
                <c:pt idx="671">
                  <c:v>0.99946593423361552</c:v>
                </c:pt>
                <c:pt idx="672">
                  <c:v>0.99946593423361552</c:v>
                </c:pt>
                <c:pt idx="673">
                  <c:v>0.99946593423361552</c:v>
                </c:pt>
                <c:pt idx="674">
                  <c:v>0.99946593423361552</c:v>
                </c:pt>
                <c:pt idx="675">
                  <c:v>0.99946593423361552</c:v>
                </c:pt>
                <c:pt idx="676">
                  <c:v>0.99946593423361552</c:v>
                </c:pt>
                <c:pt idx="677">
                  <c:v>0.99946593423361552</c:v>
                </c:pt>
                <c:pt idx="678">
                  <c:v>0.99946593423361552</c:v>
                </c:pt>
                <c:pt idx="679">
                  <c:v>0.99946593423361552</c:v>
                </c:pt>
                <c:pt idx="680">
                  <c:v>1.0009918364232853</c:v>
                </c:pt>
                <c:pt idx="681">
                  <c:v>1.0009918364232853</c:v>
                </c:pt>
                <c:pt idx="682">
                  <c:v>1.0009918364232853</c:v>
                </c:pt>
                <c:pt idx="683">
                  <c:v>1.0009918364232853</c:v>
                </c:pt>
                <c:pt idx="684">
                  <c:v>1.0009918364232853</c:v>
                </c:pt>
                <c:pt idx="685">
                  <c:v>1.0009918364232853</c:v>
                </c:pt>
                <c:pt idx="686">
                  <c:v>1.0009918364232853</c:v>
                </c:pt>
                <c:pt idx="687">
                  <c:v>1.0009918364232853</c:v>
                </c:pt>
                <c:pt idx="688">
                  <c:v>1.0009918364232853</c:v>
                </c:pt>
                <c:pt idx="689">
                  <c:v>1.0009918364232853</c:v>
                </c:pt>
                <c:pt idx="690">
                  <c:v>1.0009918364232853</c:v>
                </c:pt>
                <c:pt idx="691">
                  <c:v>1.0009918364232853</c:v>
                </c:pt>
                <c:pt idx="692">
                  <c:v>1.0009918364232853</c:v>
                </c:pt>
                <c:pt idx="693">
                  <c:v>1.0009918364232853</c:v>
                </c:pt>
                <c:pt idx="694">
                  <c:v>1.0009918364232853</c:v>
                </c:pt>
                <c:pt idx="695">
                  <c:v>1.0009918364232853</c:v>
                </c:pt>
                <c:pt idx="696">
                  <c:v>1.0009918364232853</c:v>
                </c:pt>
                <c:pt idx="697">
                  <c:v>1.0009918364232853</c:v>
                </c:pt>
                <c:pt idx="698">
                  <c:v>1.0009918364232853</c:v>
                </c:pt>
                <c:pt idx="699">
                  <c:v>1.0009918364232853</c:v>
                </c:pt>
                <c:pt idx="700">
                  <c:v>1.0009918364232853</c:v>
                </c:pt>
                <c:pt idx="701">
                  <c:v>1.0009918364232853</c:v>
                </c:pt>
                <c:pt idx="702">
                  <c:v>1.0009918364232853</c:v>
                </c:pt>
                <c:pt idx="703">
                  <c:v>1.0009918364232853</c:v>
                </c:pt>
                <c:pt idx="704">
                  <c:v>1.0009918364232853</c:v>
                </c:pt>
                <c:pt idx="705">
                  <c:v>1.0009918364232853</c:v>
                </c:pt>
                <c:pt idx="706">
                  <c:v>1.0009918364232853</c:v>
                </c:pt>
                <c:pt idx="707">
                  <c:v>0.99946593423361552</c:v>
                </c:pt>
                <c:pt idx="708">
                  <c:v>0.99946593423361552</c:v>
                </c:pt>
                <c:pt idx="709">
                  <c:v>0.99946593423361552</c:v>
                </c:pt>
                <c:pt idx="710">
                  <c:v>0.99946593423361552</c:v>
                </c:pt>
                <c:pt idx="711">
                  <c:v>0.99946593423361552</c:v>
                </c:pt>
                <c:pt idx="712">
                  <c:v>0.99946593423361552</c:v>
                </c:pt>
                <c:pt idx="713">
                  <c:v>0.99946593423361552</c:v>
                </c:pt>
                <c:pt idx="714">
                  <c:v>0.99946593423361552</c:v>
                </c:pt>
                <c:pt idx="715">
                  <c:v>0.99946593423361552</c:v>
                </c:pt>
                <c:pt idx="716">
                  <c:v>0.99946593423361552</c:v>
                </c:pt>
                <c:pt idx="717">
                  <c:v>0.99946593423361552</c:v>
                </c:pt>
                <c:pt idx="718">
                  <c:v>0.99946593423361552</c:v>
                </c:pt>
                <c:pt idx="719">
                  <c:v>0.99946593423361552</c:v>
                </c:pt>
                <c:pt idx="720">
                  <c:v>0.99946593423361552</c:v>
                </c:pt>
                <c:pt idx="721">
                  <c:v>0.99946593423361552</c:v>
                </c:pt>
                <c:pt idx="722">
                  <c:v>0.99946593423361552</c:v>
                </c:pt>
                <c:pt idx="723">
                  <c:v>0.99946593423361552</c:v>
                </c:pt>
                <c:pt idx="724">
                  <c:v>0.99946593423361552</c:v>
                </c:pt>
                <c:pt idx="725">
                  <c:v>0.99946593423361552</c:v>
                </c:pt>
                <c:pt idx="726">
                  <c:v>0.99946593423361552</c:v>
                </c:pt>
                <c:pt idx="727">
                  <c:v>0.99946593423361552</c:v>
                </c:pt>
                <c:pt idx="728">
                  <c:v>0.99946593423361552</c:v>
                </c:pt>
                <c:pt idx="729">
                  <c:v>0.99946593423361552</c:v>
                </c:pt>
                <c:pt idx="730">
                  <c:v>0.99946593423361552</c:v>
                </c:pt>
                <c:pt idx="731">
                  <c:v>0.99946593423361552</c:v>
                </c:pt>
                <c:pt idx="732">
                  <c:v>0.99946593423361552</c:v>
                </c:pt>
                <c:pt idx="733">
                  <c:v>0.99946593423361552</c:v>
                </c:pt>
                <c:pt idx="734">
                  <c:v>1.0009918364232853</c:v>
                </c:pt>
                <c:pt idx="735">
                  <c:v>1.0009918364232853</c:v>
                </c:pt>
                <c:pt idx="736">
                  <c:v>1.0009918364232853</c:v>
                </c:pt>
                <c:pt idx="737">
                  <c:v>1.0009918364232853</c:v>
                </c:pt>
                <c:pt idx="738">
                  <c:v>1.0009918364232853</c:v>
                </c:pt>
                <c:pt idx="739">
                  <c:v>1.0009918364232853</c:v>
                </c:pt>
                <c:pt idx="740">
                  <c:v>1.0009918364232853</c:v>
                </c:pt>
                <c:pt idx="741">
                  <c:v>1.0009918364232853</c:v>
                </c:pt>
                <c:pt idx="742">
                  <c:v>1.0009918364232853</c:v>
                </c:pt>
                <c:pt idx="743">
                  <c:v>1.0009918364232853</c:v>
                </c:pt>
                <c:pt idx="744">
                  <c:v>1.0009918364232853</c:v>
                </c:pt>
                <c:pt idx="745">
                  <c:v>1.0009918364232853</c:v>
                </c:pt>
                <c:pt idx="746">
                  <c:v>1.0009918364232853</c:v>
                </c:pt>
                <c:pt idx="747">
                  <c:v>1.0009918364232853</c:v>
                </c:pt>
                <c:pt idx="748">
                  <c:v>1.0009918364232853</c:v>
                </c:pt>
                <c:pt idx="749">
                  <c:v>1.0009918364232853</c:v>
                </c:pt>
                <c:pt idx="750">
                  <c:v>1.0009918364232853</c:v>
                </c:pt>
                <c:pt idx="751">
                  <c:v>1.0009918364232853</c:v>
                </c:pt>
                <c:pt idx="752">
                  <c:v>1.0009918364232853</c:v>
                </c:pt>
                <c:pt idx="753">
                  <c:v>1.0009918364232853</c:v>
                </c:pt>
                <c:pt idx="754">
                  <c:v>1.0009918364232853</c:v>
                </c:pt>
                <c:pt idx="755">
                  <c:v>1.0009918364232853</c:v>
                </c:pt>
                <c:pt idx="756">
                  <c:v>1.0009918364232853</c:v>
                </c:pt>
                <c:pt idx="757">
                  <c:v>1.0009918364232853</c:v>
                </c:pt>
                <c:pt idx="758">
                  <c:v>1.0009918364232853</c:v>
                </c:pt>
                <c:pt idx="759">
                  <c:v>1.0009918364232853</c:v>
                </c:pt>
                <c:pt idx="760">
                  <c:v>1.0009918364232853</c:v>
                </c:pt>
                <c:pt idx="761">
                  <c:v>0.99946593423361552</c:v>
                </c:pt>
                <c:pt idx="762">
                  <c:v>0.99946593423361552</c:v>
                </c:pt>
                <c:pt idx="763">
                  <c:v>0.99946593423361552</c:v>
                </c:pt>
                <c:pt idx="764">
                  <c:v>0.99946593423361552</c:v>
                </c:pt>
                <c:pt idx="765">
                  <c:v>0.99946593423361552</c:v>
                </c:pt>
                <c:pt idx="766">
                  <c:v>0.99946593423361552</c:v>
                </c:pt>
                <c:pt idx="767">
                  <c:v>0.99946593423361552</c:v>
                </c:pt>
                <c:pt idx="768">
                  <c:v>0.99946593423361552</c:v>
                </c:pt>
                <c:pt idx="769">
                  <c:v>0.99946593423361552</c:v>
                </c:pt>
                <c:pt idx="770">
                  <c:v>0.99946593423361552</c:v>
                </c:pt>
                <c:pt idx="771">
                  <c:v>0.99946593423361552</c:v>
                </c:pt>
                <c:pt idx="772">
                  <c:v>0.99946593423361552</c:v>
                </c:pt>
                <c:pt idx="773">
                  <c:v>0.99946593423361552</c:v>
                </c:pt>
                <c:pt idx="774">
                  <c:v>0.99946593423361552</c:v>
                </c:pt>
                <c:pt idx="775">
                  <c:v>0.99946593423361552</c:v>
                </c:pt>
                <c:pt idx="776">
                  <c:v>0.99946593423361552</c:v>
                </c:pt>
                <c:pt idx="777">
                  <c:v>0.99946593423361552</c:v>
                </c:pt>
                <c:pt idx="778">
                  <c:v>0.99946593423361552</c:v>
                </c:pt>
                <c:pt idx="779">
                  <c:v>0.99946593423361552</c:v>
                </c:pt>
                <c:pt idx="780">
                  <c:v>0.99946593423361552</c:v>
                </c:pt>
                <c:pt idx="781">
                  <c:v>0.99946593423361552</c:v>
                </c:pt>
                <c:pt idx="782">
                  <c:v>0.99946593423361552</c:v>
                </c:pt>
                <c:pt idx="783">
                  <c:v>0.99946593423361552</c:v>
                </c:pt>
                <c:pt idx="784">
                  <c:v>0.99946593423361552</c:v>
                </c:pt>
                <c:pt idx="785">
                  <c:v>0.99946593423361552</c:v>
                </c:pt>
                <c:pt idx="786">
                  <c:v>0.99946593423361552</c:v>
                </c:pt>
                <c:pt idx="787">
                  <c:v>0.99946593423361552</c:v>
                </c:pt>
                <c:pt idx="788">
                  <c:v>0.99946593423361552</c:v>
                </c:pt>
                <c:pt idx="789">
                  <c:v>0.99946593423361552</c:v>
                </c:pt>
                <c:pt idx="790">
                  <c:v>0.99946593423361552</c:v>
                </c:pt>
                <c:pt idx="791">
                  <c:v>0.99946593423361552</c:v>
                </c:pt>
                <c:pt idx="792">
                  <c:v>0.99946593423361552</c:v>
                </c:pt>
                <c:pt idx="793">
                  <c:v>0.99946593423361552</c:v>
                </c:pt>
                <c:pt idx="794">
                  <c:v>0.99946593423361552</c:v>
                </c:pt>
                <c:pt idx="795">
                  <c:v>0.99946593423361552</c:v>
                </c:pt>
                <c:pt idx="796">
                  <c:v>0.99946593423361552</c:v>
                </c:pt>
                <c:pt idx="797">
                  <c:v>0.99946593423361552</c:v>
                </c:pt>
                <c:pt idx="798">
                  <c:v>0.99946593423361552</c:v>
                </c:pt>
                <c:pt idx="799">
                  <c:v>0.99946593423361552</c:v>
                </c:pt>
                <c:pt idx="800">
                  <c:v>0.99946593423361552</c:v>
                </c:pt>
                <c:pt idx="801">
                  <c:v>0.99946593423361552</c:v>
                </c:pt>
                <c:pt idx="802">
                  <c:v>0.99946593423361552</c:v>
                </c:pt>
                <c:pt idx="803">
                  <c:v>0.99946593423361552</c:v>
                </c:pt>
                <c:pt idx="804">
                  <c:v>0.99946593423361552</c:v>
                </c:pt>
                <c:pt idx="805">
                  <c:v>0.99946593423361552</c:v>
                </c:pt>
                <c:pt idx="806">
                  <c:v>0.99946593423361552</c:v>
                </c:pt>
                <c:pt idx="807">
                  <c:v>0.99946593423361552</c:v>
                </c:pt>
                <c:pt idx="808">
                  <c:v>0.99946593423361552</c:v>
                </c:pt>
                <c:pt idx="809">
                  <c:v>0.99946593423361552</c:v>
                </c:pt>
                <c:pt idx="810">
                  <c:v>0.99946593423361552</c:v>
                </c:pt>
                <c:pt idx="811">
                  <c:v>0.99946593423361552</c:v>
                </c:pt>
                <c:pt idx="812">
                  <c:v>0.99946593423361552</c:v>
                </c:pt>
                <c:pt idx="813">
                  <c:v>0.99946593423361552</c:v>
                </c:pt>
                <c:pt idx="814">
                  <c:v>0.99946593423361552</c:v>
                </c:pt>
                <c:pt idx="815">
                  <c:v>0.99946593423361552</c:v>
                </c:pt>
                <c:pt idx="816">
                  <c:v>0.99946593423361552</c:v>
                </c:pt>
                <c:pt idx="817">
                  <c:v>0.99946593423361552</c:v>
                </c:pt>
                <c:pt idx="818">
                  <c:v>0.99946593423361552</c:v>
                </c:pt>
                <c:pt idx="819">
                  <c:v>0.99946593423361552</c:v>
                </c:pt>
                <c:pt idx="820">
                  <c:v>0.99946593423361552</c:v>
                </c:pt>
                <c:pt idx="821">
                  <c:v>0.99946593423361552</c:v>
                </c:pt>
                <c:pt idx="822">
                  <c:v>0.99946593423361552</c:v>
                </c:pt>
                <c:pt idx="823">
                  <c:v>0.99946593423361552</c:v>
                </c:pt>
                <c:pt idx="824">
                  <c:v>0.99946593423361552</c:v>
                </c:pt>
                <c:pt idx="825">
                  <c:v>0.99946593423361552</c:v>
                </c:pt>
                <c:pt idx="826">
                  <c:v>0.99946593423361552</c:v>
                </c:pt>
                <c:pt idx="827">
                  <c:v>0.99946593423361552</c:v>
                </c:pt>
                <c:pt idx="828">
                  <c:v>0.99946593423361552</c:v>
                </c:pt>
                <c:pt idx="829">
                  <c:v>0.99946593423361552</c:v>
                </c:pt>
                <c:pt idx="830">
                  <c:v>0.99946593423361552</c:v>
                </c:pt>
                <c:pt idx="831">
                  <c:v>0.99946593423361552</c:v>
                </c:pt>
                <c:pt idx="832">
                  <c:v>0.99946593423361552</c:v>
                </c:pt>
                <c:pt idx="833">
                  <c:v>0.99946593423361552</c:v>
                </c:pt>
                <c:pt idx="834">
                  <c:v>0.99946593423361552</c:v>
                </c:pt>
                <c:pt idx="835">
                  <c:v>0.99946593423361552</c:v>
                </c:pt>
                <c:pt idx="836">
                  <c:v>0.99946593423361552</c:v>
                </c:pt>
                <c:pt idx="837">
                  <c:v>0.99946593423361552</c:v>
                </c:pt>
                <c:pt idx="838">
                  <c:v>0.99946593423361552</c:v>
                </c:pt>
                <c:pt idx="839">
                  <c:v>0.99946593423361552</c:v>
                </c:pt>
                <c:pt idx="840">
                  <c:v>0.99946593423361552</c:v>
                </c:pt>
                <c:pt idx="841">
                  <c:v>0.99946593423361552</c:v>
                </c:pt>
                <c:pt idx="842">
                  <c:v>0.99946593423361552</c:v>
                </c:pt>
                <c:pt idx="843">
                  <c:v>0.99946593423361552</c:v>
                </c:pt>
                <c:pt idx="844">
                  <c:v>0.99946593423361552</c:v>
                </c:pt>
                <c:pt idx="845">
                  <c:v>0.99946593423361552</c:v>
                </c:pt>
                <c:pt idx="846">
                  <c:v>0.99946593423361552</c:v>
                </c:pt>
                <c:pt idx="847">
                  <c:v>0.99946593423361552</c:v>
                </c:pt>
                <c:pt idx="848">
                  <c:v>0.99946593423361552</c:v>
                </c:pt>
                <c:pt idx="849">
                  <c:v>0.99946593423361552</c:v>
                </c:pt>
                <c:pt idx="850">
                  <c:v>0.99946593423361552</c:v>
                </c:pt>
                <c:pt idx="851">
                  <c:v>0.99946593423361552</c:v>
                </c:pt>
                <c:pt idx="852">
                  <c:v>0.99946593423361552</c:v>
                </c:pt>
                <c:pt idx="853">
                  <c:v>0.99946593423361552</c:v>
                </c:pt>
                <c:pt idx="854">
                  <c:v>0.99946593423361552</c:v>
                </c:pt>
                <c:pt idx="855">
                  <c:v>0.99946593423361552</c:v>
                </c:pt>
                <c:pt idx="856">
                  <c:v>0.99946593423361552</c:v>
                </c:pt>
                <c:pt idx="857">
                  <c:v>0.99946593423361552</c:v>
                </c:pt>
                <c:pt idx="858">
                  <c:v>0.99946593423361552</c:v>
                </c:pt>
                <c:pt idx="859">
                  <c:v>0.99946593423361552</c:v>
                </c:pt>
                <c:pt idx="860">
                  <c:v>0.99946593423361552</c:v>
                </c:pt>
                <c:pt idx="861">
                  <c:v>0.99946593423361552</c:v>
                </c:pt>
                <c:pt idx="862">
                  <c:v>0.99946593423361552</c:v>
                </c:pt>
                <c:pt idx="863">
                  <c:v>0.99946593423361552</c:v>
                </c:pt>
                <c:pt idx="864">
                  <c:v>0.99946593423361552</c:v>
                </c:pt>
                <c:pt idx="865">
                  <c:v>0.99946593423361552</c:v>
                </c:pt>
                <c:pt idx="866">
                  <c:v>0.99946593423361552</c:v>
                </c:pt>
                <c:pt idx="867">
                  <c:v>0.99946593423361552</c:v>
                </c:pt>
                <c:pt idx="868">
                  <c:v>0.99946593423361552</c:v>
                </c:pt>
                <c:pt idx="869">
                  <c:v>0.99946593423361552</c:v>
                </c:pt>
                <c:pt idx="870">
                  <c:v>0.99946593423361552</c:v>
                </c:pt>
                <c:pt idx="871">
                  <c:v>0.99946593423361552</c:v>
                </c:pt>
                <c:pt idx="872">
                  <c:v>0.99946593423361552</c:v>
                </c:pt>
                <c:pt idx="873">
                  <c:v>0.99946593423361552</c:v>
                </c:pt>
                <c:pt idx="874">
                  <c:v>0.99946593423361552</c:v>
                </c:pt>
                <c:pt idx="875">
                  <c:v>0.99946593423361552</c:v>
                </c:pt>
                <c:pt idx="876">
                  <c:v>0.99946593423361552</c:v>
                </c:pt>
                <c:pt idx="877">
                  <c:v>0.99946593423361552</c:v>
                </c:pt>
                <c:pt idx="878">
                  <c:v>0.99946593423361552</c:v>
                </c:pt>
                <c:pt idx="879">
                  <c:v>0.99946593423361552</c:v>
                </c:pt>
                <c:pt idx="880">
                  <c:v>0.99946593423361552</c:v>
                </c:pt>
                <c:pt idx="881">
                  <c:v>0.99946593423361552</c:v>
                </c:pt>
                <c:pt idx="882">
                  <c:v>0.99946593423361552</c:v>
                </c:pt>
                <c:pt idx="883">
                  <c:v>0.99946593423361552</c:v>
                </c:pt>
                <c:pt idx="884">
                  <c:v>0.99946593423361552</c:v>
                </c:pt>
                <c:pt idx="885">
                  <c:v>0.99946593423361552</c:v>
                </c:pt>
                <c:pt idx="886">
                  <c:v>0.99946593423361552</c:v>
                </c:pt>
                <c:pt idx="887">
                  <c:v>0.99946593423361552</c:v>
                </c:pt>
                <c:pt idx="888">
                  <c:v>0.99946593423361552</c:v>
                </c:pt>
                <c:pt idx="889">
                  <c:v>0.99946593423361552</c:v>
                </c:pt>
                <c:pt idx="890">
                  <c:v>0.99946593423361552</c:v>
                </c:pt>
                <c:pt idx="891">
                  <c:v>0.99946593423361552</c:v>
                </c:pt>
                <c:pt idx="892">
                  <c:v>0.99946593423361552</c:v>
                </c:pt>
                <c:pt idx="893">
                  <c:v>0.99946593423361552</c:v>
                </c:pt>
                <c:pt idx="894">
                  <c:v>0.99946593423361552</c:v>
                </c:pt>
                <c:pt idx="895">
                  <c:v>0.99946593423361552</c:v>
                </c:pt>
                <c:pt idx="896">
                  <c:v>0.99946593423361552</c:v>
                </c:pt>
                <c:pt idx="897">
                  <c:v>0.99946593423361552</c:v>
                </c:pt>
                <c:pt idx="898">
                  <c:v>0.99946593423361552</c:v>
                </c:pt>
                <c:pt idx="899">
                  <c:v>0.99946593423361552</c:v>
                </c:pt>
                <c:pt idx="900">
                  <c:v>0.99946593423361552</c:v>
                </c:pt>
                <c:pt idx="901">
                  <c:v>0.99946593423361552</c:v>
                </c:pt>
                <c:pt idx="902">
                  <c:v>0.99946593423361552</c:v>
                </c:pt>
                <c:pt idx="903">
                  <c:v>0.99946593423361552</c:v>
                </c:pt>
                <c:pt idx="904">
                  <c:v>0.99946593423361552</c:v>
                </c:pt>
                <c:pt idx="905">
                  <c:v>0.99946593423361552</c:v>
                </c:pt>
                <c:pt idx="906">
                  <c:v>0.99946593423361552</c:v>
                </c:pt>
                <c:pt idx="907">
                  <c:v>0.99946593423361552</c:v>
                </c:pt>
                <c:pt idx="908">
                  <c:v>0.99946593423361552</c:v>
                </c:pt>
                <c:pt idx="909">
                  <c:v>0.99946593423361552</c:v>
                </c:pt>
                <c:pt idx="910">
                  <c:v>0.99946593423361552</c:v>
                </c:pt>
                <c:pt idx="911">
                  <c:v>0.99946593423361552</c:v>
                </c:pt>
                <c:pt idx="912">
                  <c:v>0.99946593423361552</c:v>
                </c:pt>
                <c:pt idx="913">
                  <c:v>0.99946593423361552</c:v>
                </c:pt>
                <c:pt idx="914">
                  <c:v>0.99946593423361552</c:v>
                </c:pt>
                <c:pt idx="915">
                  <c:v>0.99946593423361552</c:v>
                </c:pt>
                <c:pt idx="916">
                  <c:v>0.99946593423361552</c:v>
                </c:pt>
                <c:pt idx="917">
                  <c:v>0.99946593423361552</c:v>
                </c:pt>
                <c:pt idx="918">
                  <c:v>0.99946593423361552</c:v>
                </c:pt>
                <c:pt idx="919">
                  <c:v>0.99946593423361552</c:v>
                </c:pt>
                <c:pt idx="920">
                  <c:v>0.99946593423361552</c:v>
                </c:pt>
                <c:pt idx="921">
                  <c:v>0.99946593423361552</c:v>
                </c:pt>
                <c:pt idx="922">
                  <c:v>0.99946593423361552</c:v>
                </c:pt>
                <c:pt idx="923">
                  <c:v>0.99946593423361552</c:v>
                </c:pt>
                <c:pt idx="924">
                  <c:v>0.99946593423361552</c:v>
                </c:pt>
                <c:pt idx="925">
                  <c:v>0.99946593423361552</c:v>
                </c:pt>
                <c:pt idx="926">
                  <c:v>0.99946593423361552</c:v>
                </c:pt>
                <c:pt idx="927">
                  <c:v>0.99946593423361552</c:v>
                </c:pt>
                <c:pt idx="928">
                  <c:v>0.99946593423361552</c:v>
                </c:pt>
                <c:pt idx="929">
                  <c:v>0.99946593423361552</c:v>
                </c:pt>
                <c:pt idx="930">
                  <c:v>0.99946593423361552</c:v>
                </c:pt>
                <c:pt idx="931">
                  <c:v>0.99946593423361552</c:v>
                </c:pt>
                <c:pt idx="932">
                  <c:v>0.99946593423361552</c:v>
                </c:pt>
                <c:pt idx="933">
                  <c:v>0.99946593423361552</c:v>
                </c:pt>
                <c:pt idx="934">
                  <c:v>0.99946593423361552</c:v>
                </c:pt>
                <c:pt idx="935">
                  <c:v>0.99946593423361552</c:v>
                </c:pt>
                <c:pt idx="936">
                  <c:v>0.99946593423361552</c:v>
                </c:pt>
                <c:pt idx="937">
                  <c:v>0.99946593423361552</c:v>
                </c:pt>
                <c:pt idx="938">
                  <c:v>0.99946593423361552</c:v>
                </c:pt>
                <c:pt idx="939">
                  <c:v>0.99946593423361552</c:v>
                </c:pt>
                <c:pt idx="940">
                  <c:v>0.99946593423361552</c:v>
                </c:pt>
                <c:pt idx="941">
                  <c:v>0.99946593423361552</c:v>
                </c:pt>
                <c:pt idx="942">
                  <c:v>0.99946593423361552</c:v>
                </c:pt>
                <c:pt idx="943">
                  <c:v>0.99946593423361552</c:v>
                </c:pt>
                <c:pt idx="944">
                  <c:v>0.99946593423361552</c:v>
                </c:pt>
                <c:pt idx="945">
                  <c:v>0.99946593423361552</c:v>
                </c:pt>
                <c:pt idx="946">
                  <c:v>0.99946593423361552</c:v>
                </c:pt>
                <c:pt idx="947">
                  <c:v>0.99946593423361552</c:v>
                </c:pt>
                <c:pt idx="948">
                  <c:v>0.99946593423361552</c:v>
                </c:pt>
                <c:pt idx="949">
                  <c:v>0.99946593423361552</c:v>
                </c:pt>
                <c:pt idx="950">
                  <c:v>0.99946593423361552</c:v>
                </c:pt>
                <c:pt idx="951">
                  <c:v>0.99946593423361552</c:v>
                </c:pt>
                <c:pt idx="952">
                  <c:v>0.99946593423361552</c:v>
                </c:pt>
                <c:pt idx="953">
                  <c:v>0.99946593423361552</c:v>
                </c:pt>
                <c:pt idx="954">
                  <c:v>0.99946593423361552</c:v>
                </c:pt>
                <c:pt idx="955">
                  <c:v>0.99946593423361552</c:v>
                </c:pt>
                <c:pt idx="956">
                  <c:v>0.99946593423361552</c:v>
                </c:pt>
                <c:pt idx="957">
                  <c:v>0.99946593423361552</c:v>
                </c:pt>
                <c:pt idx="958">
                  <c:v>0.99946593423361552</c:v>
                </c:pt>
                <c:pt idx="959">
                  <c:v>0.99946593423361552</c:v>
                </c:pt>
                <c:pt idx="960">
                  <c:v>0.99946593423361552</c:v>
                </c:pt>
                <c:pt idx="961">
                  <c:v>0.99946593423361552</c:v>
                </c:pt>
                <c:pt idx="962">
                  <c:v>0.99946593423361552</c:v>
                </c:pt>
                <c:pt idx="963">
                  <c:v>0.99946593423361552</c:v>
                </c:pt>
                <c:pt idx="964">
                  <c:v>0.99946593423361552</c:v>
                </c:pt>
                <c:pt idx="965">
                  <c:v>0.99946593423361552</c:v>
                </c:pt>
                <c:pt idx="966">
                  <c:v>0.99946593423361552</c:v>
                </c:pt>
                <c:pt idx="967">
                  <c:v>0.99946593423361552</c:v>
                </c:pt>
                <c:pt idx="968">
                  <c:v>0.99946593423361552</c:v>
                </c:pt>
                <c:pt idx="969">
                  <c:v>0.99946593423361552</c:v>
                </c:pt>
                <c:pt idx="970">
                  <c:v>0.99946593423361552</c:v>
                </c:pt>
                <c:pt idx="971">
                  <c:v>0.99946593423361552</c:v>
                </c:pt>
                <c:pt idx="972">
                  <c:v>0.99946593423361552</c:v>
                </c:pt>
                <c:pt idx="973">
                  <c:v>0.99946593423361552</c:v>
                </c:pt>
                <c:pt idx="974">
                  <c:v>0.99946593423361552</c:v>
                </c:pt>
                <c:pt idx="975">
                  <c:v>0.99946593423361552</c:v>
                </c:pt>
                <c:pt idx="976">
                  <c:v>0.99946593423361552</c:v>
                </c:pt>
                <c:pt idx="977">
                  <c:v>0.99946593423361552</c:v>
                </c:pt>
                <c:pt idx="978">
                  <c:v>0.99946593423361552</c:v>
                </c:pt>
                <c:pt idx="979">
                  <c:v>0.99946593423361552</c:v>
                </c:pt>
                <c:pt idx="980">
                  <c:v>0.99946593423361552</c:v>
                </c:pt>
                <c:pt idx="981">
                  <c:v>0.99946593423361552</c:v>
                </c:pt>
                <c:pt idx="982">
                  <c:v>0.99946593423361552</c:v>
                </c:pt>
                <c:pt idx="983">
                  <c:v>0.99946593423361552</c:v>
                </c:pt>
                <c:pt idx="984">
                  <c:v>0.99946593423361552</c:v>
                </c:pt>
                <c:pt idx="985">
                  <c:v>0.99946593423361552</c:v>
                </c:pt>
                <c:pt idx="986">
                  <c:v>0.99946593423361552</c:v>
                </c:pt>
                <c:pt idx="987">
                  <c:v>0.99946593423361552</c:v>
                </c:pt>
                <c:pt idx="988">
                  <c:v>0.99946593423361552</c:v>
                </c:pt>
                <c:pt idx="989">
                  <c:v>0.99946593423361552</c:v>
                </c:pt>
                <c:pt idx="990">
                  <c:v>0.99946593423361552</c:v>
                </c:pt>
                <c:pt idx="991">
                  <c:v>0.99946593423361552</c:v>
                </c:pt>
                <c:pt idx="992">
                  <c:v>0.99946593423361552</c:v>
                </c:pt>
                <c:pt idx="993">
                  <c:v>0.99946593423361552</c:v>
                </c:pt>
                <c:pt idx="994">
                  <c:v>0.99946593423361552</c:v>
                </c:pt>
                <c:pt idx="995">
                  <c:v>0.99946593423361552</c:v>
                </c:pt>
                <c:pt idx="996">
                  <c:v>0.99946593423361552</c:v>
                </c:pt>
                <c:pt idx="997">
                  <c:v>0.99946593423361552</c:v>
                </c:pt>
                <c:pt idx="998">
                  <c:v>0.99946593423361552</c:v>
                </c:pt>
                <c:pt idx="999">
                  <c:v>0.99946593423361552</c:v>
                </c:pt>
                <c:pt idx="1000">
                  <c:v>0.99946593423361552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78-4FD2-BB48-FA8CA7329F8B}"/>
            </c:ext>
          </c:extLst>
        </c:ser>
        <c:ser>
          <c:idx val="1"/>
          <c:order val="1"/>
          <c:tx>
            <c:strRef>
              <c:f>Лист4!$M$1</c:f>
              <c:strCache>
                <c:ptCount val="1"/>
                <c:pt idx="0">
                  <c:v>g(nT0)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Лист4!$M$2:$M$1002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78-4FD2-BB48-FA8CA7329F8B}"/>
            </c:ext>
          </c:extLst>
        </c:ser>
        <c:ser>
          <c:idx val="2"/>
          <c:order val="2"/>
          <c:tx>
            <c:strRef>
              <c:f>Лист4!$X$1</c:f>
              <c:strCache>
                <c:ptCount val="1"/>
                <c:pt idx="0">
                  <c:v>Граница верх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Лист4!$X$2:$X$1003</c:f>
              <c:numCache>
                <c:formatCode>0.000</c:formatCode>
                <c:ptCount val="10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1.05</c:v>
                </c:pt>
                <c:pt idx="41">
                  <c:v>1.05</c:v>
                </c:pt>
                <c:pt idx="42">
                  <c:v>1.05</c:v>
                </c:pt>
                <c:pt idx="43">
                  <c:v>1.05</c:v>
                </c:pt>
                <c:pt idx="44">
                  <c:v>1.05</c:v>
                </c:pt>
                <c:pt idx="45">
                  <c:v>1.05</c:v>
                </c:pt>
                <c:pt idx="46">
                  <c:v>1.05</c:v>
                </c:pt>
                <c:pt idx="47">
                  <c:v>1.05</c:v>
                </c:pt>
                <c:pt idx="48">
                  <c:v>1.05</c:v>
                </c:pt>
                <c:pt idx="49">
                  <c:v>1.05</c:v>
                </c:pt>
                <c:pt idx="50">
                  <c:v>1.05</c:v>
                </c:pt>
                <c:pt idx="51">
                  <c:v>1.05</c:v>
                </c:pt>
                <c:pt idx="52">
                  <c:v>1.05</c:v>
                </c:pt>
                <c:pt idx="53">
                  <c:v>1.05</c:v>
                </c:pt>
                <c:pt idx="54">
                  <c:v>1.05</c:v>
                </c:pt>
                <c:pt idx="55">
                  <c:v>1.05</c:v>
                </c:pt>
                <c:pt idx="56">
                  <c:v>1.05</c:v>
                </c:pt>
                <c:pt idx="57">
                  <c:v>1.05</c:v>
                </c:pt>
                <c:pt idx="58">
                  <c:v>1.05</c:v>
                </c:pt>
                <c:pt idx="59">
                  <c:v>1.05</c:v>
                </c:pt>
                <c:pt idx="60">
                  <c:v>1.05</c:v>
                </c:pt>
                <c:pt idx="61">
                  <c:v>1.05</c:v>
                </c:pt>
                <c:pt idx="62">
                  <c:v>1.05</c:v>
                </c:pt>
                <c:pt idx="63">
                  <c:v>1.05</c:v>
                </c:pt>
                <c:pt idx="64">
                  <c:v>1.05</c:v>
                </c:pt>
                <c:pt idx="65">
                  <c:v>1.05</c:v>
                </c:pt>
                <c:pt idx="66">
                  <c:v>1.05</c:v>
                </c:pt>
                <c:pt idx="67">
                  <c:v>1.05</c:v>
                </c:pt>
                <c:pt idx="68">
                  <c:v>1.05</c:v>
                </c:pt>
                <c:pt idx="69">
                  <c:v>1.05</c:v>
                </c:pt>
                <c:pt idx="70">
                  <c:v>1.05</c:v>
                </c:pt>
                <c:pt idx="71">
                  <c:v>1.05</c:v>
                </c:pt>
                <c:pt idx="72">
                  <c:v>1.05</c:v>
                </c:pt>
                <c:pt idx="73">
                  <c:v>1.05</c:v>
                </c:pt>
                <c:pt idx="74">
                  <c:v>1.05</c:v>
                </c:pt>
                <c:pt idx="75">
                  <c:v>1.05</c:v>
                </c:pt>
                <c:pt idx="76">
                  <c:v>1.05</c:v>
                </c:pt>
                <c:pt idx="77">
                  <c:v>1.05</c:v>
                </c:pt>
                <c:pt idx="78">
                  <c:v>1.05</c:v>
                </c:pt>
                <c:pt idx="79">
                  <c:v>1.05</c:v>
                </c:pt>
                <c:pt idx="80">
                  <c:v>1.05</c:v>
                </c:pt>
                <c:pt idx="81">
                  <c:v>1.05</c:v>
                </c:pt>
                <c:pt idx="82">
                  <c:v>1.05</c:v>
                </c:pt>
                <c:pt idx="83">
                  <c:v>1.05</c:v>
                </c:pt>
                <c:pt idx="84">
                  <c:v>1.05</c:v>
                </c:pt>
                <c:pt idx="85">
                  <c:v>1.05</c:v>
                </c:pt>
                <c:pt idx="86">
                  <c:v>1.05</c:v>
                </c:pt>
                <c:pt idx="87">
                  <c:v>1.05</c:v>
                </c:pt>
                <c:pt idx="88">
                  <c:v>1.05</c:v>
                </c:pt>
                <c:pt idx="89">
                  <c:v>1.05</c:v>
                </c:pt>
                <c:pt idx="90">
                  <c:v>1.05</c:v>
                </c:pt>
                <c:pt idx="91">
                  <c:v>1.05</c:v>
                </c:pt>
                <c:pt idx="92">
                  <c:v>1.05</c:v>
                </c:pt>
                <c:pt idx="93">
                  <c:v>1.05</c:v>
                </c:pt>
                <c:pt idx="94">
                  <c:v>1.05</c:v>
                </c:pt>
                <c:pt idx="95">
                  <c:v>1.05</c:v>
                </c:pt>
                <c:pt idx="96">
                  <c:v>1.05</c:v>
                </c:pt>
                <c:pt idx="97">
                  <c:v>1.05</c:v>
                </c:pt>
                <c:pt idx="98">
                  <c:v>1.05</c:v>
                </c:pt>
                <c:pt idx="99">
                  <c:v>1.05</c:v>
                </c:pt>
                <c:pt idx="100">
                  <c:v>1.05</c:v>
                </c:pt>
                <c:pt idx="101">
                  <c:v>1.05</c:v>
                </c:pt>
                <c:pt idx="102">
                  <c:v>1.05</c:v>
                </c:pt>
                <c:pt idx="103">
                  <c:v>1.05</c:v>
                </c:pt>
                <c:pt idx="104">
                  <c:v>1.05</c:v>
                </c:pt>
                <c:pt idx="105">
                  <c:v>1.05</c:v>
                </c:pt>
                <c:pt idx="106">
                  <c:v>1.05</c:v>
                </c:pt>
                <c:pt idx="107">
                  <c:v>1.05</c:v>
                </c:pt>
                <c:pt idx="108">
                  <c:v>1.05</c:v>
                </c:pt>
                <c:pt idx="109">
                  <c:v>1.05</c:v>
                </c:pt>
                <c:pt idx="110">
                  <c:v>1.05</c:v>
                </c:pt>
                <c:pt idx="111">
                  <c:v>1.05</c:v>
                </c:pt>
                <c:pt idx="112">
                  <c:v>1.05</c:v>
                </c:pt>
                <c:pt idx="113">
                  <c:v>1.05</c:v>
                </c:pt>
                <c:pt idx="114">
                  <c:v>1.05</c:v>
                </c:pt>
                <c:pt idx="115">
                  <c:v>1.05</c:v>
                </c:pt>
                <c:pt idx="116">
                  <c:v>1.05</c:v>
                </c:pt>
                <c:pt idx="117">
                  <c:v>1.05</c:v>
                </c:pt>
                <c:pt idx="118">
                  <c:v>1.05</c:v>
                </c:pt>
                <c:pt idx="119">
                  <c:v>1.05</c:v>
                </c:pt>
                <c:pt idx="120">
                  <c:v>1.05</c:v>
                </c:pt>
                <c:pt idx="121">
                  <c:v>1.05</c:v>
                </c:pt>
                <c:pt idx="122">
                  <c:v>1.05</c:v>
                </c:pt>
                <c:pt idx="123">
                  <c:v>1.05</c:v>
                </c:pt>
                <c:pt idx="124">
                  <c:v>1.05</c:v>
                </c:pt>
                <c:pt idx="125">
                  <c:v>1.05</c:v>
                </c:pt>
                <c:pt idx="126">
                  <c:v>1.05</c:v>
                </c:pt>
                <c:pt idx="127">
                  <c:v>1.05</c:v>
                </c:pt>
                <c:pt idx="128">
                  <c:v>1.05</c:v>
                </c:pt>
                <c:pt idx="129">
                  <c:v>1.05</c:v>
                </c:pt>
                <c:pt idx="130">
                  <c:v>1.05</c:v>
                </c:pt>
                <c:pt idx="131">
                  <c:v>1.05</c:v>
                </c:pt>
                <c:pt idx="132">
                  <c:v>1.05</c:v>
                </c:pt>
                <c:pt idx="133">
                  <c:v>1.05</c:v>
                </c:pt>
                <c:pt idx="134">
                  <c:v>1.05</c:v>
                </c:pt>
                <c:pt idx="135">
                  <c:v>1.05</c:v>
                </c:pt>
                <c:pt idx="136">
                  <c:v>1.05</c:v>
                </c:pt>
                <c:pt idx="137">
                  <c:v>1.05</c:v>
                </c:pt>
                <c:pt idx="138">
                  <c:v>1.05</c:v>
                </c:pt>
                <c:pt idx="139">
                  <c:v>1.05</c:v>
                </c:pt>
                <c:pt idx="140">
                  <c:v>1.05</c:v>
                </c:pt>
                <c:pt idx="141">
                  <c:v>1.05</c:v>
                </c:pt>
                <c:pt idx="142">
                  <c:v>1.05</c:v>
                </c:pt>
                <c:pt idx="143">
                  <c:v>1.05</c:v>
                </c:pt>
                <c:pt idx="144">
                  <c:v>1.05</c:v>
                </c:pt>
                <c:pt idx="145">
                  <c:v>1.05</c:v>
                </c:pt>
                <c:pt idx="146">
                  <c:v>1.05</c:v>
                </c:pt>
                <c:pt idx="147">
                  <c:v>1.05</c:v>
                </c:pt>
                <c:pt idx="148">
                  <c:v>1.05</c:v>
                </c:pt>
                <c:pt idx="149">
                  <c:v>1.05</c:v>
                </c:pt>
                <c:pt idx="150">
                  <c:v>1.05</c:v>
                </c:pt>
                <c:pt idx="151">
                  <c:v>1.05</c:v>
                </c:pt>
                <c:pt idx="152">
                  <c:v>1.05</c:v>
                </c:pt>
                <c:pt idx="153">
                  <c:v>1.05</c:v>
                </c:pt>
                <c:pt idx="154">
                  <c:v>1.05</c:v>
                </c:pt>
                <c:pt idx="155">
                  <c:v>1.05</c:v>
                </c:pt>
                <c:pt idx="156">
                  <c:v>1.05</c:v>
                </c:pt>
                <c:pt idx="157">
                  <c:v>1.05</c:v>
                </c:pt>
                <c:pt idx="158">
                  <c:v>1.05</c:v>
                </c:pt>
                <c:pt idx="159">
                  <c:v>1.05</c:v>
                </c:pt>
                <c:pt idx="160">
                  <c:v>1.05</c:v>
                </c:pt>
                <c:pt idx="161">
                  <c:v>1.05</c:v>
                </c:pt>
                <c:pt idx="162">
                  <c:v>1.05</c:v>
                </c:pt>
                <c:pt idx="163">
                  <c:v>1.05</c:v>
                </c:pt>
                <c:pt idx="164">
                  <c:v>1.05</c:v>
                </c:pt>
                <c:pt idx="165">
                  <c:v>1.05</c:v>
                </c:pt>
                <c:pt idx="166">
                  <c:v>1.05</c:v>
                </c:pt>
                <c:pt idx="167">
                  <c:v>1.05</c:v>
                </c:pt>
                <c:pt idx="168">
                  <c:v>1.05</c:v>
                </c:pt>
                <c:pt idx="169">
                  <c:v>1.05</c:v>
                </c:pt>
                <c:pt idx="170">
                  <c:v>1.05</c:v>
                </c:pt>
                <c:pt idx="171">
                  <c:v>1.05</c:v>
                </c:pt>
                <c:pt idx="172">
                  <c:v>1.05</c:v>
                </c:pt>
                <c:pt idx="173">
                  <c:v>1.05</c:v>
                </c:pt>
                <c:pt idx="174">
                  <c:v>1.05</c:v>
                </c:pt>
                <c:pt idx="175">
                  <c:v>1.05</c:v>
                </c:pt>
                <c:pt idx="176">
                  <c:v>1.05</c:v>
                </c:pt>
                <c:pt idx="177">
                  <c:v>1.05</c:v>
                </c:pt>
                <c:pt idx="178">
                  <c:v>1.05</c:v>
                </c:pt>
                <c:pt idx="179">
                  <c:v>1.05</c:v>
                </c:pt>
                <c:pt idx="180">
                  <c:v>1.05</c:v>
                </c:pt>
                <c:pt idx="181">
                  <c:v>1.05</c:v>
                </c:pt>
                <c:pt idx="182">
                  <c:v>1.05</c:v>
                </c:pt>
                <c:pt idx="183">
                  <c:v>1.05</c:v>
                </c:pt>
                <c:pt idx="184">
                  <c:v>1.05</c:v>
                </c:pt>
                <c:pt idx="185">
                  <c:v>1.05</c:v>
                </c:pt>
                <c:pt idx="186">
                  <c:v>1.05</c:v>
                </c:pt>
                <c:pt idx="187">
                  <c:v>1.05</c:v>
                </c:pt>
                <c:pt idx="188">
                  <c:v>1.05</c:v>
                </c:pt>
                <c:pt idx="189">
                  <c:v>1.05</c:v>
                </c:pt>
                <c:pt idx="190">
                  <c:v>1.05</c:v>
                </c:pt>
                <c:pt idx="191">
                  <c:v>1.05</c:v>
                </c:pt>
                <c:pt idx="192">
                  <c:v>1.05</c:v>
                </c:pt>
                <c:pt idx="193">
                  <c:v>1.05</c:v>
                </c:pt>
                <c:pt idx="194">
                  <c:v>1.05</c:v>
                </c:pt>
                <c:pt idx="195">
                  <c:v>1.05</c:v>
                </c:pt>
                <c:pt idx="196">
                  <c:v>1.05</c:v>
                </c:pt>
                <c:pt idx="197">
                  <c:v>1.05</c:v>
                </c:pt>
                <c:pt idx="198">
                  <c:v>1.05</c:v>
                </c:pt>
                <c:pt idx="199">
                  <c:v>1.05</c:v>
                </c:pt>
                <c:pt idx="200">
                  <c:v>1.05</c:v>
                </c:pt>
                <c:pt idx="201">
                  <c:v>1.05</c:v>
                </c:pt>
                <c:pt idx="202">
                  <c:v>1.05</c:v>
                </c:pt>
                <c:pt idx="203">
                  <c:v>1.05</c:v>
                </c:pt>
                <c:pt idx="204">
                  <c:v>1.05</c:v>
                </c:pt>
                <c:pt idx="205">
                  <c:v>1.05</c:v>
                </c:pt>
                <c:pt idx="206">
                  <c:v>1.05</c:v>
                </c:pt>
                <c:pt idx="207">
                  <c:v>1.05</c:v>
                </c:pt>
                <c:pt idx="208">
                  <c:v>1.05</c:v>
                </c:pt>
                <c:pt idx="209">
                  <c:v>1.05</c:v>
                </c:pt>
                <c:pt idx="210">
                  <c:v>1.05</c:v>
                </c:pt>
                <c:pt idx="211">
                  <c:v>1.05</c:v>
                </c:pt>
                <c:pt idx="212">
                  <c:v>1.05</c:v>
                </c:pt>
                <c:pt idx="213">
                  <c:v>1.05</c:v>
                </c:pt>
                <c:pt idx="214">
                  <c:v>1.05</c:v>
                </c:pt>
                <c:pt idx="215">
                  <c:v>1.05</c:v>
                </c:pt>
                <c:pt idx="216">
                  <c:v>1.05</c:v>
                </c:pt>
                <c:pt idx="217">
                  <c:v>1.05</c:v>
                </c:pt>
                <c:pt idx="218">
                  <c:v>1.05</c:v>
                </c:pt>
                <c:pt idx="219">
                  <c:v>1.05</c:v>
                </c:pt>
                <c:pt idx="220">
                  <c:v>1.05</c:v>
                </c:pt>
                <c:pt idx="221">
                  <c:v>1.05</c:v>
                </c:pt>
                <c:pt idx="222">
                  <c:v>1.05</c:v>
                </c:pt>
                <c:pt idx="223">
                  <c:v>1.05</c:v>
                </c:pt>
                <c:pt idx="224">
                  <c:v>1.05</c:v>
                </c:pt>
                <c:pt idx="225">
                  <c:v>1.05</c:v>
                </c:pt>
                <c:pt idx="226">
                  <c:v>1.05</c:v>
                </c:pt>
                <c:pt idx="227">
                  <c:v>1.05</c:v>
                </c:pt>
                <c:pt idx="228">
                  <c:v>1.05</c:v>
                </c:pt>
                <c:pt idx="229">
                  <c:v>1.05</c:v>
                </c:pt>
                <c:pt idx="230">
                  <c:v>1.05</c:v>
                </c:pt>
                <c:pt idx="231">
                  <c:v>1.05</c:v>
                </c:pt>
                <c:pt idx="232">
                  <c:v>1.05</c:v>
                </c:pt>
                <c:pt idx="233">
                  <c:v>1.05</c:v>
                </c:pt>
                <c:pt idx="234">
                  <c:v>1.05</c:v>
                </c:pt>
                <c:pt idx="235">
                  <c:v>1.05</c:v>
                </c:pt>
                <c:pt idx="236">
                  <c:v>1.05</c:v>
                </c:pt>
                <c:pt idx="237">
                  <c:v>1.05</c:v>
                </c:pt>
                <c:pt idx="238">
                  <c:v>1.05</c:v>
                </c:pt>
                <c:pt idx="239">
                  <c:v>1.05</c:v>
                </c:pt>
                <c:pt idx="240">
                  <c:v>1.05</c:v>
                </c:pt>
                <c:pt idx="241">
                  <c:v>1.05</c:v>
                </c:pt>
                <c:pt idx="242">
                  <c:v>1.05</c:v>
                </c:pt>
                <c:pt idx="243">
                  <c:v>1.05</c:v>
                </c:pt>
                <c:pt idx="244">
                  <c:v>1.05</c:v>
                </c:pt>
                <c:pt idx="245">
                  <c:v>1.05</c:v>
                </c:pt>
                <c:pt idx="246">
                  <c:v>1.05</c:v>
                </c:pt>
                <c:pt idx="247">
                  <c:v>1.05</c:v>
                </c:pt>
                <c:pt idx="248">
                  <c:v>1.05</c:v>
                </c:pt>
                <c:pt idx="249">
                  <c:v>1.05</c:v>
                </c:pt>
                <c:pt idx="250">
                  <c:v>1.05</c:v>
                </c:pt>
                <c:pt idx="251">
                  <c:v>1.05</c:v>
                </c:pt>
                <c:pt idx="252">
                  <c:v>1.05</c:v>
                </c:pt>
                <c:pt idx="253">
                  <c:v>1.05</c:v>
                </c:pt>
                <c:pt idx="254">
                  <c:v>1.05</c:v>
                </c:pt>
                <c:pt idx="255">
                  <c:v>1.05</c:v>
                </c:pt>
                <c:pt idx="256">
                  <c:v>1.05</c:v>
                </c:pt>
                <c:pt idx="257">
                  <c:v>1.05</c:v>
                </c:pt>
                <c:pt idx="258">
                  <c:v>1.05</c:v>
                </c:pt>
                <c:pt idx="259">
                  <c:v>1.05</c:v>
                </c:pt>
                <c:pt idx="260">
                  <c:v>1.05</c:v>
                </c:pt>
                <c:pt idx="261">
                  <c:v>1.05</c:v>
                </c:pt>
                <c:pt idx="262">
                  <c:v>1.05</c:v>
                </c:pt>
                <c:pt idx="263">
                  <c:v>1.05</c:v>
                </c:pt>
                <c:pt idx="264">
                  <c:v>1.05</c:v>
                </c:pt>
                <c:pt idx="265">
                  <c:v>1.05</c:v>
                </c:pt>
                <c:pt idx="266">
                  <c:v>1.05</c:v>
                </c:pt>
                <c:pt idx="267">
                  <c:v>1.05</c:v>
                </c:pt>
                <c:pt idx="268">
                  <c:v>1.05</c:v>
                </c:pt>
                <c:pt idx="269">
                  <c:v>1.05</c:v>
                </c:pt>
                <c:pt idx="270">
                  <c:v>1.05</c:v>
                </c:pt>
                <c:pt idx="271">
                  <c:v>1.05</c:v>
                </c:pt>
                <c:pt idx="272">
                  <c:v>1.05</c:v>
                </c:pt>
                <c:pt idx="273">
                  <c:v>1.05</c:v>
                </c:pt>
                <c:pt idx="274">
                  <c:v>1.05</c:v>
                </c:pt>
                <c:pt idx="275">
                  <c:v>1.05</c:v>
                </c:pt>
                <c:pt idx="276">
                  <c:v>1.05</c:v>
                </c:pt>
                <c:pt idx="277">
                  <c:v>1.05</c:v>
                </c:pt>
                <c:pt idx="278">
                  <c:v>1.05</c:v>
                </c:pt>
                <c:pt idx="279">
                  <c:v>1.05</c:v>
                </c:pt>
                <c:pt idx="280">
                  <c:v>1.05</c:v>
                </c:pt>
                <c:pt idx="281">
                  <c:v>1.05</c:v>
                </c:pt>
                <c:pt idx="282">
                  <c:v>1.05</c:v>
                </c:pt>
                <c:pt idx="283">
                  <c:v>1.05</c:v>
                </c:pt>
                <c:pt idx="284">
                  <c:v>1.05</c:v>
                </c:pt>
                <c:pt idx="285">
                  <c:v>1.05</c:v>
                </c:pt>
                <c:pt idx="286">
                  <c:v>1.05</c:v>
                </c:pt>
                <c:pt idx="287">
                  <c:v>1.05</c:v>
                </c:pt>
                <c:pt idx="288">
                  <c:v>1.05</c:v>
                </c:pt>
                <c:pt idx="289">
                  <c:v>1.05</c:v>
                </c:pt>
                <c:pt idx="290">
                  <c:v>1.05</c:v>
                </c:pt>
                <c:pt idx="291">
                  <c:v>1.05</c:v>
                </c:pt>
                <c:pt idx="292">
                  <c:v>1.05</c:v>
                </c:pt>
                <c:pt idx="293">
                  <c:v>1.05</c:v>
                </c:pt>
                <c:pt idx="294">
                  <c:v>1.05</c:v>
                </c:pt>
                <c:pt idx="295">
                  <c:v>1.05</c:v>
                </c:pt>
                <c:pt idx="296">
                  <c:v>1.05</c:v>
                </c:pt>
                <c:pt idx="297">
                  <c:v>1.05</c:v>
                </c:pt>
                <c:pt idx="298">
                  <c:v>1.05</c:v>
                </c:pt>
                <c:pt idx="299">
                  <c:v>1.05</c:v>
                </c:pt>
                <c:pt idx="300">
                  <c:v>1.05</c:v>
                </c:pt>
                <c:pt idx="301">
                  <c:v>1.05</c:v>
                </c:pt>
                <c:pt idx="302">
                  <c:v>1.05</c:v>
                </c:pt>
                <c:pt idx="303">
                  <c:v>1.05</c:v>
                </c:pt>
                <c:pt idx="304">
                  <c:v>1.05</c:v>
                </c:pt>
                <c:pt idx="305">
                  <c:v>1.05</c:v>
                </c:pt>
                <c:pt idx="306">
                  <c:v>1.05</c:v>
                </c:pt>
                <c:pt idx="307">
                  <c:v>1.05</c:v>
                </c:pt>
                <c:pt idx="308">
                  <c:v>1.05</c:v>
                </c:pt>
                <c:pt idx="309">
                  <c:v>1.05</c:v>
                </c:pt>
                <c:pt idx="310">
                  <c:v>1.05</c:v>
                </c:pt>
                <c:pt idx="311">
                  <c:v>1.05</c:v>
                </c:pt>
                <c:pt idx="312">
                  <c:v>1.05</c:v>
                </c:pt>
                <c:pt idx="313">
                  <c:v>1.05</c:v>
                </c:pt>
                <c:pt idx="314">
                  <c:v>1.05</c:v>
                </c:pt>
                <c:pt idx="315">
                  <c:v>1.05</c:v>
                </c:pt>
                <c:pt idx="316">
                  <c:v>1.05</c:v>
                </c:pt>
                <c:pt idx="317">
                  <c:v>1.05</c:v>
                </c:pt>
                <c:pt idx="318">
                  <c:v>1.05</c:v>
                </c:pt>
                <c:pt idx="319">
                  <c:v>1.05</c:v>
                </c:pt>
                <c:pt idx="320">
                  <c:v>1.05</c:v>
                </c:pt>
                <c:pt idx="321">
                  <c:v>1.05</c:v>
                </c:pt>
                <c:pt idx="322">
                  <c:v>1.05</c:v>
                </c:pt>
                <c:pt idx="323">
                  <c:v>1.05</c:v>
                </c:pt>
                <c:pt idx="324">
                  <c:v>1.05</c:v>
                </c:pt>
                <c:pt idx="325">
                  <c:v>1.05</c:v>
                </c:pt>
                <c:pt idx="326">
                  <c:v>1.05</c:v>
                </c:pt>
                <c:pt idx="327">
                  <c:v>1.05</c:v>
                </c:pt>
                <c:pt idx="328">
                  <c:v>1.05</c:v>
                </c:pt>
                <c:pt idx="329">
                  <c:v>1.05</c:v>
                </c:pt>
                <c:pt idx="330">
                  <c:v>1.05</c:v>
                </c:pt>
                <c:pt idx="331">
                  <c:v>1.05</c:v>
                </c:pt>
                <c:pt idx="332">
                  <c:v>1.05</c:v>
                </c:pt>
                <c:pt idx="333">
                  <c:v>1.05</c:v>
                </c:pt>
                <c:pt idx="334">
                  <c:v>1.05</c:v>
                </c:pt>
                <c:pt idx="335">
                  <c:v>1.05</c:v>
                </c:pt>
                <c:pt idx="336">
                  <c:v>1.05</c:v>
                </c:pt>
                <c:pt idx="337">
                  <c:v>1.05</c:v>
                </c:pt>
                <c:pt idx="338">
                  <c:v>1.05</c:v>
                </c:pt>
                <c:pt idx="339">
                  <c:v>1.05</c:v>
                </c:pt>
                <c:pt idx="340">
                  <c:v>1.05</c:v>
                </c:pt>
                <c:pt idx="341">
                  <c:v>1.05</c:v>
                </c:pt>
                <c:pt idx="342">
                  <c:v>1.05</c:v>
                </c:pt>
                <c:pt idx="343">
                  <c:v>1.05</c:v>
                </c:pt>
                <c:pt idx="344">
                  <c:v>1.05</c:v>
                </c:pt>
                <c:pt idx="345">
                  <c:v>1.05</c:v>
                </c:pt>
                <c:pt idx="346">
                  <c:v>1.05</c:v>
                </c:pt>
                <c:pt idx="347">
                  <c:v>1.05</c:v>
                </c:pt>
                <c:pt idx="348">
                  <c:v>1.05</c:v>
                </c:pt>
                <c:pt idx="349">
                  <c:v>1.05</c:v>
                </c:pt>
                <c:pt idx="350">
                  <c:v>1.05</c:v>
                </c:pt>
                <c:pt idx="351">
                  <c:v>1.05</c:v>
                </c:pt>
                <c:pt idx="352">
                  <c:v>1.05</c:v>
                </c:pt>
                <c:pt idx="353">
                  <c:v>1.05</c:v>
                </c:pt>
                <c:pt idx="354">
                  <c:v>1.05</c:v>
                </c:pt>
                <c:pt idx="355">
                  <c:v>1.05</c:v>
                </c:pt>
                <c:pt idx="356">
                  <c:v>1.05</c:v>
                </c:pt>
                <c:pt idx="357">
                  <c:v>1.05</c:v>
                </c:pt>
                <c:pt idx="358">
                  <c:v>1.05</c:v>
                </c:pt>
                <c:pt idx="359">
                  <c:v>1.05</c:v>
                </c:pt>
                <c:pt idx="360">
                  <c:v>1.05</c:v>
                </c:pt>
                <c:pt idx="361">
                  <c:v>1.05</c:v>
                </c:pt>
                <c:pt idx="362">
                  <c:v>1.05</c:v>
                </c:pt>
                <c:pt idx="363">
                  <c:v>1.05</c:v>
                </c:pt>
                <c:pt idx="364">
                  <c:v>1.05</c:v>
                </c:pt>
                <c:pt idx="365">
                  <c:v>1.05</c:v>
                </c:pt>
                <c:pt idx="366">
                  <c:v>1.05</c:v>
                </c:pt>
                <c:pt idx="367">
                  <c:v>1.05</c:v>
                </c:pt>
                <c:pt idx="368">
                  <c:v>1.05</c:v>
                </c:pt>
                <c:pt idx="369">
                  <c:v>1.05</c:v>
                </c:pt>
                <c:pt idx="370">
                  <c:v>1.05</c:v>
                </c:pt>
                <c:pt idx="371">
                  <c:v>1.05</c:v>
                </c:pt>
                <c:pt idx="372">
                  <c:v>1.05</c:v>
                </c:pt>
                <c:pt idx="373">
                  <c:v>1.05</c:v>
                </c:pt>
                <c:pt idx="374">
                  <c:v>1.05</c:v>
                </c:pt>
                <c:pt idx="375">
                  <c:v>1.05</c:v>
                </c:pt>
                <c:pt idx="376">
                  <c:v>1.05</c:v>
                </c:pt>
                <c:pt idx="377">
                  <c:v>1.05</c:v>
                </c:pt>
                <c:pt idx="378">
                  <c:v>1.05</c:v>
                </c:pt>
                <c:pt idx="379">
                  <c:v>1.05</c:v>
                </c:pt>
                <c:pt idx="380">
                  <c:v>1.05</c:v>
                </c:pt>
                <c:pt idx="381">
                  <c:v>1.05</c:v>
                </c:pt>
                <c:pt idx="382">
                  <c:v>1.05</c:v>
                </c:pt>
                <c:pt idx="383">
                  <c:v>1.05</c:v>
                </c:pt>
                <c:pt idx="384">
                  <c:v>1.05</c:v>
                </c:pt>
                <c:pt idx="385">
                  <c:v>1.05</c:v>
                </c:pt>
                <c:pt idx="386">
                  <c:v>1.05</c:v>
                </c:pt>
                <c:pt idx="387">
                  <c:v>1.05</c:v>
                </c:pt>
                <c:pt idx="388">
                  <c:v>1.05</c:v>
                </c:pt>
                <c:pt idx="389">
                  <c:v>1.05</c:v>
                </c:pt>
                <c:pt idx="390">
                  <c:v>1.05</c:v>
                </c:pt>
                <c:pt idx="391">
                  <c:v>1.05</c:v>
                </c:pt>
                <c:pt idx="392">
                  <c:v>1.05</c:v>
                </c:pt>
                <c:pt idx="393">
                  <c:v>1.05</c:v>
                </c:pt>
                <c:pt idx="394">
                  <c:v>1.05</c:v>
                </c:pt>
                <c:pt idx="395">
                  <c:v>1.05</c:v>
                </c:pt>
                <c:pt idx="396">
                  <c:v>1.05</c:v>
                </c:pt>
                <c:pt idx="397">
                  <c:v>1.05</c:v>
                </c:pt>
                <c:pt idx="398">
                  <c:v>1.05</c:v>
                </c:pt>
                <c:pt idx="399">
                  <c:v>1.05</c:v>
                </c:pt>
                <c:pt idx="400">
                  <c:v>1.05</c:v>
                </c:pt>
                <c:pt idx="401">
                  <c:v>1.05</c:v>
                </c:pt>
                <c:pt idx="402">
                  <c:v>1.05</c:v>
                </c:pt>
                <c:pt idx="403">
                  <c:v>1.05</c:v>
                </c:pt>
                <c:pt idx="404">
                  <c:v>1.05</c:v>
                </c:pt>
                <c:pt idx="405">
                  <c:v>1.05</c:v>
                </c:pt>
                <c:pt idx="406">
                  <c:v>1.05</c:v>
                </c:pt>
                <c:pt idx="407">
                  <c:v>1.05</c:v>
                </c:pt>
                <c:pt idx="408">
                  <c:v>1.05</c:v>
                </c:pt>
                <c:pt idx="409">
                  <c:v>1.05</c:v>
                </c:pt>
                <c:pt idx="410">
                  <c:v>1.05</c:v>
                </c:pt>
                <c:pt idx="411">
                  <c:v>1.05</c:v>
                </c:pt>
                <c:pt idx="412">
                  <c:v>1.05</c:v>
                </c:pt>
                <c:pt idx="413">
                  <c:v>1.05</c:v>
                </c:pt>
                <c:pt idx="414">
                  <c:v>1.05</c:v>
                </c:pt>
                <c:pt idx="415">
                  <c:v>1.05</c:v>
                </c:pt>
                <c:pt idx="416">
                  <c:v>1.05</c:v>
                </c:pt>
                <c:pt idx="417">
                  <c:v>1.05</c:v>
                </c:pt>
                <c:pt idx="418">
                  <c:v>1.05</c:v>
                </c:pt>
                <c:pt idx="419">
                  <c:v>1.05</c:v>
                </c:pt>
                <c:pt idx="420">
                  <c:v>1.05</c:v>
                </c:pt>
                <c:pt idx="421">
                  <c:v>1.05</c:v>
                </c:pt>
                <c:pt idx="422">
                  <c:v>1.05</c:v>
                </c:pt>
                <c:pt idx="423">
                  <c:v>1.05</c:v>
                </c:pt>
                <c:pt idx="424">
                  <c:v>1.05</c:v>
                </c:pt>
                <c:pt idx="425">
                  <c:v>1.05</c:v>
                </c:pt>
                <c:pt idx="426">
                  <c:v>1.05</c:v>
                </c:pt>
                <c:pt idx="427">
                  <c:v>1.05</c:v>
                </c:pt>
                <c:pt idx="428">
                  <c:v>1.05</c:v>
                </c:pt>
                <c:pt idx="429">
                  <c:v>1.05</c:v>
                </c:pt>
                <c:pt idx="430">
                  <c:v>1.05</c:v>
                </c:pt>
                <c:pt idx="431">
                  <c:v>1.05</c:v>
                </c:pt>
                <c:pt idx="432">
                  <c:v>1.05</c:v>
                </c:pt>
                <c:pt idx="433">
                  <c:v>1.05</c:v>
                </c:pt>
                <c:pt idx="434">
                  <c:v>1.05</c:v>
                </c:pt>
                <c:pt idx="435">
                  <c:v>1.05</c:v>
                </c:pt>
                <c:pt idx="436">
                  <c:v>1.05</c:v>
                </c:pt>
                <c:pt idx="437">
                  <c:v>1.05</c:v>
                </c:pt>
                <c:pt idx="438">
                  <c:v>1.05</c:v>
                </c:pt>
                <c:pt idx="439">
                  <c:v>1.05</c:v>
                </c:pt>
                <c:pt idx="440">
                  <c:v>1.05</c:v>
                </c:pt>
                <c:pt idx="441">
                  <c:v>1.05</c:v>
                </c:pt>
                <c:pt idx="442">
                  <c:v>1.05</c:v>
                </c:pt>
                <c:pt idx="443">
                  <c:v>1.05</c:v>
                </c:pt>
                <c:pt idx="444">
                  <c:v>1.05</c:v>
                </c:pt>
                <c:pt idx="445">
                  <c:v>1.05</c:v>
                </c:pt>
                <c:pt idx="446">
                  <c:v>1.05</c:v>
                </c:pt>
                <c:pt idx="447">
                  <c:v>1.05</c:v>
                </c:pt>
                <c:pt idx="448">
                  <c:v>1.05</c:v>
                </c:pt>
                <c:pt idx="449">
                  <c:v>1.05</c:v>
                </c:pt>
                <c:pt idx="450">
                  <c:v>1.05</c:v>
                </c:pt>
                <c:pt idx="451">
                  <c:v>1.05</c:v>
                </c:pt>
                <c:pt idx="452">
                  <c:v>1.05</c:v>
                </c:pt>
                <c:pt idx="453">
                  <c:v>1.05</c:v>
                </c:pt>
                <c:pt idx="454">
                  <c:v>1.05</c:v>
                </c:pt>
                <c:pt idx="455">
                  <c:v>1.05</c:v>
                </c:pt>
                <c:pt idx="456">
                  <c:v>1.05</c:v>
                </c:pt>
                <c:pt idx="457">
                  <c:v>1.05</c:v>
                </c:pt>
                <c:pt idx="458">
                  <c:v>1.05</c:v>
                </c:pt>
                <c:pt idx="459">
                  <c:v>1.05</c:v>
                </c:pt>
                <c:pt idx="460">
                  <c:v>1.05</c:v>
                </c:pt>
                <c:pt idx="461">
                  <c:v>1.05</c:v>
                </c:pt>
                <c:pt idx="462">
                  <c:v>1.05</c:v>
                </c:pt>
                <c:pt idx="463">
                  <c:v>1.05</c:v>
                </c:pt>
                <c:pt idx="464">
                  <c:v>1.05</c:v>
                </c:pt>
                <c:pt idx="465">
                  <c:v>1.05</c:v>
                </c:pt>
                <c:pt idx="466">
                  <c:v>1.05</c:v>
                </c:pt>
                <c:pt idx="467">
                  <c:v>1.05</c:v>
                </c:pt>
                <c:pt idx="468">
                  <c:v>1.05</c:v>
                </c:pt>
                <c:pt idx="469">
                  <c:v>1.05</c:v>
                </c:pt>
                <c:pt idx="470">
                  <c:v>1.05</c:v>
                </c:pt>
                <c:pt idx="471">
                  <c:v>1.05</c:v>
                </c:pt>
                <c:pt idx="472">
                  <c:v>1.05</c:v>
                </c:pt>
                <c:pt idx="473">
                  <c:v>1.05</c:v>
                </c:pt>
                <c:pt idx="474">
                  <c:v>1.05</c:v>
                </c:pt>
                <c:pt idx="475">
                  <c:v>1.05</c:v>
                </c:pt>
                <c:pt idx="476">
                  <c:v>1.05</c:v>
                </c:pt>
                <c:pt idx="477">
                  <c:v>1.05</c:v>
                </c:pt>
                <c:pt idx="478">
                  <c:v>1.05</c:v>
                </c:pt>
                <c:pt idx="479">
                  <c:v>1.05</c:v>
                </c:pt>
                <c:pt idx="480">
                  <c:v>1.05</c:v>
                </c:pt>
                <c:pt idx="481">
                  <c:v>1.05</c:v>
                </c:pt>
                <c:pt idx="482">
                  <c:v>1.05</c:v>
                </c:pt>
                <c:pt idx="483">
                  <c:v>1.05</c:v>
                </c:pt>
                <c:pt idx="484">
                  <c:v>1.05</c:v>
                </c:pt>
                <c:pt idx="485">
                  <c:v>1.05</c:v>
                </c:pt>
                <c:pt idx="486">
                  <c:v>1.05</c:v>
                </c:pt>
                <c:pt idx="487">
                  <c:v>1.05</c:v>
                </c:pt>
                <c:pt idx="488">
                  <c:v>1.05</c:v>
                </c:pt>
                <c:pt idx="489">
                  <c:v>1.05</c:v>
                </c:pt>
                <c:pt idx="490">
                  <c:v>1.05</c:v>
                </c:pt>
                <c:pt idx="491">
                  <c:v>1.05</c:v>
                </c:pt>
                <c:pt idx="492">
                  <c:v>1.05</c:v>
                </c:pt>
                <c:pt idx="493">
                  <c:v>1.05</c:v>
                </c:pt>
                <c:pt idx="494">
                  <c:v>1.05</c:v>
                </c:pt>
                <c:pt idx="495">
                  <c:v>1.05</c:v>
                </c:pt>
                <c:pt idx="496">
                  <c:v>1.05</c:v>
                </c:pt>
                <c:pt idx="497">
                  <c:v>1.05</c:v>
                </c:pt>
                <c:pt idx="498">
                  <c:v>1.05</c:v>
                </c:pt>
                <c:pt idx="499">
                  <c:v>1.05</c:v>
                </c:pt>
                <c:pt idx="500">
                  <c:v>1.05</c:v>
                </c:pt>
                <c:pt idx="501">
                  <c:v>1.05</c:v>
                </c:pt>
                <c:pt idx="502">
                  <c:v>1.05</c:v>
                </c:pt>
                <c:pt idx="503">
                  <c:v>1.05</c:v>
                </c:pt>
                <c:pt idx="504">
                  <c:v>1.05</c:v>
                </c:pt>
                <c:pt idx="505">
                  <c:v>1.05</c:v>
                </c:pt>
                <c:pt idx="506">
                  <c:v>1.05</c:v>
                </c:pt>
                <c:pt idx="507">
                  <c:v>1.05</c:v>
                </c:pt>
                <c:pt idx="508">
                  <c:v>1.05</c:v>
                </c:pt>
                <c:pt idx="509">
                  <c:v>1.05</c:v>
                </c:pt>
                <c:pt idx="510">
                  <c:v>1.05</c:v>
                </c:pt>
                <c:pt idx="511">
                  <c:v>1.05</c:v>
                </c:pt>
                <c:pt idx="512">
                  <c:v>1.05</c:v>
                </c:pt>
                <c:pt idx="513">
                  <c:v>1.05</c:v>
                </c:pt>
                <c:pt idx="514">
                  <c:v>1.05</c:v>
                </c:pt>
                <c:pt idx="515">
                  <c:v>1.05</c:v>
                </c:pt>
                <c:pt idx="516">
                  <c:v>1.05</c:v>
                </c:pt>
                <c:pt idx="517">
                  <c:v>1.05</c:v>
                </c:pt>
                <c:pt idx="518">
                  <c:v>1.05</c:v>
                </c:pt>
                <c:pt idx="519">
                  <c:v>1.05</c:v>
                </c:pt>
                <c:pt idx="520">
                  <c:v>1.05</c:v>
                </c:pt>
                <c:pt idx="521">
                  <c:v>1.05</c:v>
                </c:pt>
                <c:pt idx="522">
                  <c:v>1.05</c:v>
                </c:pt>
                <c:pt idx="523">
                  <c:v>1.05</c:v>
                </c:pt>
                <c:pt idx="524">
                  <c:v>1.05</c:v>
                </c:pt>
                <c:pt idx="525">
                  <c:v>1.05</c:v>
                </c:pt>
                <c:pt idx="526">
                  <c:v>1.05</c:v>
                </c:pt>
                <c:pt idx="527">
                  <c:v>1.05</c:v>
                </c:pt>
                <c:pt idx="528">
                  <c:v>1.05</c:v>
                </c:pt>
                <c:pt idx="529">
                  <c:v>1.05</c:v>
                </c:pt>
                <c:pt idx="530">
                  <c:v>1.05</c:v>
                </c:pt>
                <c:pt idx="531">
                  <c:v>1.05</c:v>
                </c:pt>
                <c:pt idx="532">
                  <c:v>1.05</c:v>
                </c:pt>
                <c:pt idx="533">
                  <c:v>1.05</c:v>
                </c:pt>
                <c:pt idx="534">
                  <c:v>1.05</c:v>
                </c:pt>
                <c:pt idx="535">
                  <c:v>1.05</c:v>
                </c:pt>
                <c:pt idx="536">
                  <c:v>1.05</c:v>
                </c:pt>
                <c:pt idx="537">
                  <c:v>1.05</c:v>
                </c:pt>
                <c:pt idx="538">
                  <c:v>1.05</c:v>
                </c:pt>
                <c:pt idx="539">
                  <c:v>1.05</c:v>
                </c:pt>
                <c:pt idx="540">
                  <c:v>1.05</c:v>
                </c:pt>
                <c:pt idx="541">
                  <c:v>1.05</c:v>
                </c:pt>
                <c:pt idx="542">
                  <c:v>1.05</c:v>
                </c:pt>
                <c:pt idx="543">
                  <c:v>1.05</c:v>
                </c:pt>
                <c:pt idx="544">
                  <c:v>1.05</c:v>
                </c:pt>
                <c:pt idx="545">
                  <c:v>1.05</c:v>
                </c:pt>
                <c:pt idx="546">
                  <c:v>1.05</c:v>
                </c:pt>
                <c:pt idx="547">
                  <c:v>1.05</c:v>
                </c:pt>
                <c:pt idx="548">
                  <c:v>1.05</c:v>
                </c:pt>
                <c:pt idx="549">
                  <c:v>1.05</c:v>
                </c:pt>
                <c:pt idx="550">
                  <c:v>1.05</c:v>
                </c:pt>
                <c:pt idx="551">
                  <c:v>1.05</c:v>
                </c:pt>
                <c:pt idx="552">
                  <c:v>1.05</c:v>
                </c:pt>
                <c:pt idx="553">
                  <c:v>1.05</c:v>
                </c:pt>
                <c:pt idx="554">
                  <c:v>1.05</c:v>
                </c:pt>
                <c:pt idx="555">
                  <c:v>1.05</c:v>
                </c:pt>
                <c:pt idx="556">
                  <c:v>1.05</c:v>
                </c:pt>
                <c:pt idx="557">
                  <c:v>1.05</c:v>
                </c:pt>
                <c:pt idx="558">
                  <c:v>1.05</c:v>
                </c:pt>
                <c:pt idx="559">
                  <c:v>1.05</c:v>
                </c:pt>
                <c:pt idx="560">
                  <c:v>1.05</c:v>
                </c:pt>
                <c:pt idx="561">
                  <c:v>1.05</c:v>
                </c:pt>
                <c:pt idx="562">
                  <c:v>1.05</c:v>
                </c:pt>
                <c:pt idx="563">
                  <c:v>1.05</c:v>
                </c:pt>
                <c:pt idx="564">
                  <c:v>1.05</c:v>
                </c:pt>
                <c:pt idx="565">
                  <c:v>1.05</c:v>
                </c:pt>
                <c:pt idx="566">
                  <c:v>1.05</c:v>
                </c:pt>
                <c:pt idx="567">
                  <c:v>1.05</c:v>
                </c:pt>
                <c:pt idx="568">
                  <c:v>1.05</c:v>
                </c:pt>
                <c:pt idx="569">
                  <c:v>1.05</c:v>
                </c:pt>
                <c:pt idx="570">
                  <c:v>1.05</c:v>
                </c:pt>
                <c:pt idx="571">
                  <c:v>1.05</c:v>
                </c:pt>
                <c:pt idx="572">
                  <c:v>1.05</c:v>
                </c:pt>
                <c:pt idx="573">
                  <c:v>1.05</c:v>
                </c:pt>
                <c:pt idx="574">
                  <c:v>1.05</c:v>
                </c:pt>
                <c:pt idx="575">
                  <c:v>1.05</c:v>
                </c:pt>
                <c:pt idx="576">
                  <c:v>1.05</c:v>
                </c:pt>
                <c:pt idx="577">
                  <c:v>1.05</c:v>
                </c:pt>
                <c:pt idx="578">
                  <c:v>1.05</c:v>
                </c:pt>
                <c:pt idx="579">
                  <c:v>1.05</c:v>
                </c:pt>
                <c:pt idx="580">
                  <c:v>1.05</c:v>
                </c:pt>
                <c:pt idx="581">
                  <c:v>1.05</c:v>
                </c:pt>
                <c:pt idx="582">
                  <c:v>1.05</c:v>
                </c:pt>
                <c:pt idx="583">
                  <c:v>1.05</c:v>
                </c:pt>
                <c:pt idx="584">
                  <c:v>1.05</c:v>
                </c:pt>
                <c:pt idx="585">
                  <c:v>1.05</c:v>
                </c:pt>
                <c:pt idx="586">
                  <c:v>1.05</c:v>
                </c:pt>
                <c:pt idx="587">
                  <c:v>1.05</c:v>
                </c:pt>
                <c:pt idx="588">
                  <c:v>1.05</c:v>
                </c:pt>
                <c:pt idx="589">
                  <c:v>1.05</c:v>
                </c:pt>
                <c:pt idx="590">
                  <c:v>1.05</c:v>
                </c:pt>
                <c:pt idx="591">
                  <c:v>1.05</c:v>
                </c:pt>
                <c:pt idx="592">
                  <c:v>1.05</c:v>
                </c:pt>
                <c:pt idx="593">
                  <c:v>1.05</c:v>
                </c:pt>
                <c:pt idx="594">
                  <c:v>1.05</c:v>
                </c:pt>
                <c:pt idx="595">
                  <c:v>1.05</c:v>
                </c:pt>
                <c:pt idx="596">
                  <c:v>1.05</c:v>
                </c:pt>
                <c:pt idx="597">
                  <c:v>1.05</c:v>
                </c:pt>
                <c:pt idx="598">
                  <c:v>1.05</c:v>
                </c:pt>
                <c:pt idx="599">
                  <c:v>1.05</c:v>
                </c:pt>
                <c:pt idx="600">
                  <c:v>1.05</c:v>
                </c:pt>
                <c:pt idx="601">
                  <c:v>1.05</c:v>
                </c:pt>
                <c:pt idx="602">
                  <c:v>1.05</c:v>
                </c:pt>
                <c:pt idx="603">
                  <c:v>1.05</c:v>
                </c:pt>
                <c:pt idx="604">
                  <c:v>1.05</c:v>
                </c:pt>
                <c:pt idx="605">
                  <c:v>1.05</c:v>
                </c:pt>
                <c:pt idx="606">
                  <c:v>1.05</c:v>
                </c:pt>
                <c:pt idx="607">
                  <c:v>1.05</c:v>
                </c:pt>
                <c:pt idx="608">
                  <c:v>1.05</c:v>
                </c:pt>
                <c:pt idx="609">
                  <c:v>1.05</c:v>
                </c:pt>
                <c:pt idx="610">
                  <c:v>1.05</c:v>
                </c:pt>
                <c:pt idx="611">
                  <c:v>1.05</c:v>
                </c:pt>
                <c:pt idx="612">
                  <c:v>1.05</c:v>
                </c:pt>
                <c:pt idx="613">
                  <c:v>1.05</c:v>
                </c:pt>
                <c:pt idx="614">
                  <c:v>1.05</c:v>
                </c:pt>
                <c:pt idx="615">
                  <c:v>1.05</c:v>
                </c:pt>
                <c:pt idx="616">
                  <c:v>1.05</c:v>
                </c:pt>
                <c:pt idx="617">
                  <c:v>1.05</c:v>
                </c:pt>
                <c:pt idx="618">
                  <c:v>1.05</c:v>
                </c:pt>
                <c:pt idx="619">
                  <c:v>1.05</c:v>
                </c:pt>
                <c:pt idx="620">
                  <c:v>1.05</c:v>
                </c:pt>
                <c:pt idx="621">
                  <c:v>1.05</c:v>
                </c:pt>
                <c:pt idx="622">
                  <c:v>1.05</c:v>
                </c:pt>
                <c:pt idx="623">
                  <c:v>1.05</c:v>
                </c:pt>
                <c:pt idx="624">
                  <c:v>1.05</c:v>
                </c:pt>
                <c:pt idx="625">
                  <c:v>1.05</c:v>
                </c:pt>
                <c:pt idx="626">
                  <c:v>1.05</c:v>
                </c:pt>
                <c:pt idx="627">
                  <c:v>1.05</c:v>
                </c:pt>
                <c:pt idx="628">
                  <c:v>1.05</c:v>
                </c:pt>
                <c:pt idx="629">
                  <c:v>1.05</c:v>
                </c:pt>
                <c:pt idx="630">
                  <c:v>1.05</c:v>
                </c:pt>
                <c:pt idx="631">
                  <c:v>1.05</c:v>
                </c:pt>
                <c:pt idx="632">
                  <c:v>1.05</c:v>
                </c:pt>
                <c:pt idx="633">
                  <c:v>1.05</c:v>
                </c:pt>
                <c:pt idx="634">
                  <c:v>1.05</c:v>
                </c:pt>
                <c:pt idx="635">
                  <c:v>1.05</c:v>
                </c:pt>
                <c:pt idx="636">
                  <c:v>1.05</c:v>
                </c:pt>
                <c:pt idx="637">
                  <c:v>1.05</c:v>
                </c:pt>
                <c:pt idx="638">
                  <c:v>1.05</c:v>
                </c:pt>
                <c:pt idx="639">
                  <c:v>1.05</c:v>
                </c:pt>
                <c:pt idx="640">
                  <c:v>1.05</c:v>
                </c:pt>
                <c:pt idx="641">
                  <c:v>1.05</c:v>
                </c:pt>
                <c:pt idx="642">
                  <c:v>1.05</c:v>
                </c:pt>
                <c:pt idx="643">
                  <c:v>1.05</c:v>
                </c:pt>
                <c:pt idx="644">
                  <c:v>1.05</c:v>
                </c:pt>
                <c:pt idx="645">
                  <c:v>1.05</c:v>
                </c:pt>
                <c:pt idx="646">
                  <c:v>1.05</c:v>
                </c:pt>
                <c:pt idx="647">
                  <c:v>1.05</c:v>
                </c:pt>
                <c:pt idx="648">
                  <c:v>1.05</c:v>
                </c:pt>
                <c:pt idx="649">
                  <c:v>1.05</c:v>
                </c:pt>
                <c:pt idx="650">
                  <c:v>1.05</c:v>
                </c:pt>
                <c:pt idx="651">
                  <c:v>1.05</c:v>
                </c:pt>
                <c:pt idx="652">
                  <c:v>1.05</c:v>
                </c:pt>
                <c:pt idx="653">
                  <c:v>1.05</c:v>
                </c:pt>
                <c:pt idx="654">
                  <c:v>1.05</c:v>
                </c:pt>
                <c:pt idx="655">
                  <c:v>1.05</c:v>
                </c:pt>
                <c:pt idx="656">
                  <c:v>1.05</c:v>
                </c:pt>
                <c:pt idx="657">
                  <c:v>1.05</c:v>
                </c:pt>
                <c:pt idx="658">
                  <c:v>1.05</c:v>
                </c:pt>
                <c:pt idx="659">
                  <c:v>1.05</c:v>
                </c:pt>
                <c:pt idx="660">
                  <c:v>1.05</c:v>
                </c:pt>
                <c:pt idx="661">
                  <c:v>1.05</c:v>
                </c:pt>
                <c:pt idx="662">
                  <c:v>1.05</c:v>
                </c:pt>
                <c:pt idx="663">
                  <c:v>1.05</c:v>
                </c:pt>
                <c:pt idx="664">
                  <c:v>1.05</c:v>
                </c:pt>
                <c:pt idx="665">
                  <c:v>1.05</c:v>
                </c:pt>
                <c:pt idx="666">
                  <c:v>1.05</c:v>
                </c:pt>
                <c:pt idx="667">
                  <c:v>1.05</c:v>
                </c:pt>
                <c:pt idx="668">
                  <c:v>1.05</c:v>
                </c:pt>
                <c:pt idx="669">
                  <c:v>1.05</c:v>
                </c:pt>
                <c:pt idx="670">
                  <c:v>1.05</c:v>
                </c:pt>
                <c:pt idx="671">
                  <c:v>1.05</c:v>
                </c:pt>
                <c:pt idx="672">
                  <c:v>1.05</c:v>
                </c:pt>
                <c:pt idx="673">
                  <c:v>1.05</c:v>
                </c:pt>
                <c:pt idx="674">
                  <c:v>1.05</c:v>
                </c:pt>
                <c:pt idx="675">
                  <c:v>1.05</c:v>
                </c:pt>
                <c:pt idx="676">
                  <c:v>1.05</c:v>
                </c:pt>
                <c:pt idx="677">
                  <c:v>1.05</c:v>
                </c:pt>
                <c:pt idx="678">
                  <c:v>1.05</c:v>
                </c:pt>
                <c:pt idx="679">
                  <c:v>1.05</c:v>
                </c:pt>
                <c:pt idx="680">
                  <c:v>1.05</c:v>
                </c:pt>
                <c:pt idx="681">
                  <c:v>1.05</c:v>
                </c:pt>
                <c:pt idx="682">
                  <c:v>1.05</c:v>
                </c:pt>
                <c:pt idx="683">
                  <c:v>1.05</c:v>
                </c:pt>
                <c:pt idx="684">
                  <c:v>1.05</c:v>
                </c:pt>
                <c:pt idx="685">
                  <c:v>1.05</c:v>
                </c:pt>
                <c:pt idx="686">
                  <c:v>1.05</c:v>
                </c:pt>
                <c:pt idx="687">
                  <c:v>1.05</c:v>
                </c:pt>
                <c:pt idx="688">
                  <c:v>1.05</c:v>
                </c:pt>
                <c:pt idx="689">
                  <c:v>1.05</c:v>
                </c:pt>
                <c:pt idx="690">
                  <c:v>1.05</c:v>
                </c:pt>
                <c:pt idx="691">
                  <c:v>1.05</c:v>
                </c:pt>
                <c:pt idx="692">
                  <c:v>1.05</c:v>
                </c:pt>
                <c:pt idx="693">
                  <c:v>1.05</c:v>
                </c:pt>
                <c:pt idx="694">
                  <c:v>1.05</c:v>
                </c:pt>
                <c:pt idx="695">
                  <c:v>1.05</c:v>
                </c:pt>
                <c:pt idx="696">
                  <c:v>1.05</c:v>
                </c:pt>
                <c:pt idx="697">
                  <c:v>1.05</c:v>
                </c:pt>
                <c:pt idx="698">
                  <c:v>1.05</c:v>
                </c:pt>
                <c:pt idx="699">
                  <c:v>1.05</c:v>
                </c:pt>
                <c:pt idx="700">
                  <c:v>1.05</c:v>
                </c:pt>
                <c:pt idx="701">
                  <c:v>1.05</c:v>
                </c:pt>
                <c:pt idx="702">
                  <c:v>1.05</c:v>
                </c:pt>
                <c:pt idx="703">
                  <c:v>1.05</c:v>
                </c:pt>
                <c:pt idx="704">
                  <c:v>1.05</c:v>
                </c:pt>
                <c:pt idx="705">
                  <c:v>1.05</c:v>
                </c:pt>
                <c:pt idx="706">
                  <c:v>1.05</c:v>
                </c:pt>
                <c:pt idx="707">
                  <c:v>1.05</c:v>
                </c:pt>
                <c:pt idx="708">
                  <c:v>1.05</c:v>
                </c:pt>
                <c:pt idx="709">
                  <c:v>1.05</c:v>
                </c:pt>
                <c:pt idx="710">
                  <c:v>1.05</c:v>
                </c:pt>
                <c:pt idx="711">
                  <c:v>1.05</c:v>
                </c:pt>
                <c:pt idx="712">
                  <c:v>1.05</c:v>
                </c:pt>
                <c:pt idx="713">
                  <c:v>1.05</c:v>
                </c:pt>
                <c:pt idx="714">
                  <c:v>1.05</c:v>
                </c:pt>
                <c:pt idx="715">
                  <c:v>1.05</c:v>
                </c:pt>
                <c:pt idx="716">
                  <c:v>1.05</c:v>
                </c:pt>
                <c:pt idx="717">
                  <c:v>1.05</c:v>
                </c:pt>
                <c:pt idx="718">
                  <c:v>1.05</c:v>
                </c:pt>
                <c:pt idx="719">
                  <c:v>1.05</c:v>
                </c:pt>
                <c:pt idx="720">
                  <c:v>1.05</c:v>
                </c:pt>
                <c:pt idx="721">
                  <c:v>1.05</c:v>
                </c:pt>
                <c:pt idx="722">
                  <c:v>1.05</c:v>
                </c:pt>
                <c:pt idx="723">
                  <c:v>1.05</c:v>
                </c:pt>
                <c:pt idx="724">
                  <c:v>1.05</c:v>
                </c:pt>
                <c:pt idx="725">
                  <c:v>1.05</c:v>
                </c:pt>
                <c:pt idx="726">
                  <c:v>1.05</c:v>
                </c:pt>
                <c:pt idx="727">
                  <c:v>1.05</c:v>
                </c:pt>
                <c:pt idx="728">
                  <c:v>1.05</c:v>
                </c:pt>
                <c:pt idx="729">
                  <c:v>1.05</c:v>
                </c:pt>
                <c:pt idx="730">
                  <c:v>1.05</c:v>
                </c:pt>
                <c:pt idx="731">
                  <c:v>1.05</c:v>
                </c:pt>
                <c:pt idx="732">
                  <c:v>1.05</c:v>
                </c:pt>
                <c:pt idx="733">
                  <c:v>1.05</c:v>
                </c:pt>
                <c:pt idx="734">
                  <c:v>1.05</c:v>
                </c:pt>
                <c:pt idx="735">
                  <c:v>1.05</c:v>
                </c:pt>
                <c:pt idx="736">
                  <c:v>1.05</c:v>
                </c:pt>
                <c:pt idx="737">
                  <c:v>1.05</c:v>
                </c:pt>
                <c:pt idx="738">
                  <c:v>1.05</c:v>
                </c:pt>
                <c:pt idx="739">
                  <c:v>1.05</c:v>
                </c:pt>
                <c:pt idx="740">
                  <c:v>1.05</c:v>
                </c:pt>
                <c:pt idx="741">
                  <c:v>1.05</c:v>
                </c:pt>
                <c:pt idx="742">
                  <c:v>1.05</c:v>
                </c:pt>
                <c:pt idx="743">
                  <c:v>1.05</c:v>
                </c:pt>
                <c:pt idx="744">
                  <c:v>1.05</c:v>
                </c:pt>
                <c:pt idx="745">
                  <c:v>1.05</c:v>
                </c:pt>
                <c:pt idx="746">
                  <c:v>1.05</c:v>
                </c:pt>
                <c:pt idx="747">
                  <c:v>1.05</c:v>
                </c:pt>
                <c:pt idx="748">
                  <c:v>1.05</c:v>
                </c:pt>
                <c:pt idx="749">
                  <c:v>1.05</c:v>
                </c:pt>
                <c:pt idx="750">
                  <c:v>1.05</c:v>
                </c:pt>
                <c:pt idx="751">
                  <c:v>1.05</c:v>
                </c:pt>
                <c:pt idx="752">
                  <c:v>1.05</c:v>
                </c:pt>
                <c:pt idx="753">
                  <c:v>1.05</c:v>
                </c:pt>
                <c:pt idx="754">
                  <c:v>1.05</c:v>
                </c:pt>
                <c:pt idx="755">
                  <c:v>1.05</c:v>
                </c:pt>
                <c:pt idx="756">
                  <c:v>1.05</c:v>
                </c:pt>
                <c:pt idx="757">
                  <c:v>1.05</c:v>
                </c:pt>
                <c:pt idx="758">
                  <c:v>1.05</c:v>
                </c:pt>
                <c:pt idx="759">
                  <c:v>1.05</c:v>
                </c:pt>
                <c:pt idx="760">
                  <c:v>1.05</c:v>
                </c:pt>
                <c:pt idx="761">
                  <c:v>1.05</c:v>
                </c:pt>
                <c:pt idx="762">
                  <c:v>1.05</c:v>
                </c:pt>
                <c:pt idx="763">
                  <c:v>1.05</c:v>
                </c:pt>
                <c:pt idx="764">
                  <c:v>1.05</c:v>
                </c:pt>
                <c:pt idx="765">
                  <c:v>1.05</c:v>
                </c:pt>
                <c:pt idx="766">
                  <c:v>1.05</c:v>
                </c:pt>
                <c:pt idx="767">
                  <c:v>1.05</c:v>
                </c:pt>
                <c:pt idx="768">
                  <c:v>1.05</c:v>
                </c:pt>
                <c:pt idx="769">
                  <c:v>1.05</c:v>
                </c:pt>
                <c:pt idx="770">
                  <c:v>1.05</c:v>
                </c:pt>
                <c:pt idx="771">
                  <c:v>1.05</c:v>
                </c:pt>
                <c:pt idx="772">
                  <c:v>1.05</c:v>
                </c:pt>
                <c:pt idx="773">
                  <c:v>1.05</c:v>
                </c:pt>
                <c:pt idx="774">
                  <c:v>1.05</c:v>
                </c:pt>
                <c:pt idx="775">
                  <c:v>1.05</c:v>
                </c:pt>
                <c:pt idx="776">
                  <c:v>1.05</c:v>
                </c:pt>
                <c:pt idx="777">
                  <c:v>1.05</c:v>
                </c:pt>
                <c:pt idx="778">
                  <c:v>1.05</c:v>
                </c:pt>
                <c:pt idx="779">
                  <c:v>1.05</c:v>
                </c:pt>
                <c:pt idx="780">
                  <c:v>1.05</c:v>
                </c:pt>
                <c:pt idx="781">
                  <c:v>1.05</c:v>
                </c:pt>
                <c:pt idx="782">
                  <c:v>1.05</c:v>
                </c:pt>
                <c:pt idx="783">
                  <c:v>1.05</c:v>
                </c:pt>
                <c:pt idx="784">
                  <c:v>1.05</c:v>
                </c:pt>
                <c:pt idx="785">
                  <c:v>1.05</c:v>
                </c:pt>
                <c:pt idx="786">
                  <c:v>1.05</c:v>
                </c:pt>
                <c:pt idx="787">
                  <c:v>1.05</c:v>
                </c:pt>
                <c:pt idx="788">
                  <c:v>1.05</c:v>
                </c:pt>
                <c:pt idx="789">
                  <c:v>1.05</c:v>
                </c:pt>
                <c:pt idx="790">
                  <c:v>1.05</c:v>
                </c:pt>
                <c:pt idx="791">
                  <c:v>1.05</c:v>
                </c:pt>
                <c:pt idx="792">
                  <c:v>1.05</c:v>
                </c:pt>
                <c:pt idx="793">
                  <c:v>1.05</c:v>
                </c:pt>
                <c:pt idx="794">
                  <c:v>1.05</c:v>
                </c:pt>
                <c:pt idx="795">
                  <c:v>1.05</c:v>
                </c:pt>
                <c:pt idx="796">
                  <c:v>1.05</c:v>
                </c:pt>
                <c:pt idx="797">
                  <c:v>1.05</c:v>
                </c:pt>
                <c:pt idx="798">
                  <c:v>1.05</c:v>
                </c:pt>
                <c:pt idx="799">
                  <c:v>1.05</c:v>
                </c:pt>
                <c:pt idx="800">
                  <c:v>1.05</c:v>
                </c:pt>
                <c:pt idx="801">
                  <c:v>1.05</c:v>
                </c:pt>
                <c:pt idx="802">
                  <c:v>1.05</c:v>
                </c:pt>
                <c:pt idx="803">
                  <c:v>1.05</c:v>
                </c:pt>
                <c:pt idx="804">
                  <c:v>1.05</c:v>
                </c:pt>
                <c:pt idx="805">
                  <c:v>1.05</c:v>
                </c:pt>
                <c:pt idx="806">
                  <c:v>1.05</c:v>
                </c:pt>
                <c:pt idx="807">
                  <c:v>1.05</c:v>
                </c:pt>
                <c:pt idx="808">
                  <c:v>1.05</c:v>
                </c:pt>
                <c:pt idx="809">
                  <c:v>1.05</c:v>
                </c:pt>
                <c:pt idx="810">
                  <c:v>1.05</c:v>
                </c:pt>
                <c:pt idx="811">
                  <c:v>1.05</c:v>
                </c:pt>
                <c:pt idx="812">
                  <c:v>1.05</c:v>
                </c:pt>
                <c:pt idx="813">
                  <c:v>1.05</c:v>
                </c:pt>
                <c:pt idx="814">
                  <c:v>1.05</c:v>
                </c:pt>
                <c:pt idx="815">
                  <c:v>1.05</c:v>
                </c:pt>
                <c:pt idx="816">
                  <c:v>1.05</c:v>
                </c:pt>
                <c:pt idx="817">
                  <c:v>1.05</c:v>
                </c:pt>
                <c:pt idx="818">
                  <c:v>1.05</c:v>
                </c:pt>
                <c:pt idx="819">
                  <c:v>1.05</c:v>
                </c:pt>
                <c:pt idx="820">
                  <c:v>1.05</c:v>
                </c:pt>
                <c:pt idx="821">
                  <c:v>1.05</c:v>
                </c:pt>
                <c:pt idx="822">
                  <c:v>1.05</c:v>
                </c:pt>
                <c:pt idx="823">
                  <c:v>1.05</c:v>
                </c:pt>
                <c:pt idx="824">
                  <c:v>1.05</c:v>
                </c:pt>
                <c:pt idx="825">
                  <c:v>1.05</c:v>
                </c:pt>
                <c:pt idx="826">
                  <c:v>1.05</c:v>
                </c:pt>
                <c:pt idx="827">
                  <c:v>1.05</c:v>
                </c:pt>
                <c:pt idx="828">
                  <c:v>1.05</c:v>
                </c:pt>
                <c:pt idx="829">
                  <c:v>1.05</c:v>
                </c:pt>
                <c:pt idx="830">
                  <c:v>1.05</c:v>
                </c:pt>
                <c:pt idx="831">
                  <c:v>1.05</c:v>
                </c:pt>
                <c:pt idx="832">
                  <c:v>1.05</c:v>
                </c:pt>
                <c:pt idx="833">
                  <c:v>1.05</c:v>
                </c:pt>
                <c:pt idx="834">
                  <c:v>1.05</c:v>
                </c:pt>
                <c:pt idx="835">
                  <c:v>1.05</c:v>
                </c:pt>
                <c:pt idx="836">
                  <c:v>1.05</c:v>
                </c:pt>
                <c:pt idx="837">
                  <c:v>1.05</c:v>
                </c:pt>
                <c:pt idx="838">
                  <c:v>1.05</c:v>
                </c:pt>
                <c:pt idx="839">
                  <c:v>1.05</c:v>
                </c:pt>
                <c:pt idx="840">
                  <c:v>1.05</c:v>
                </c:pt>
                <c:pt idx="841">
                  <c:v>1.05</c:v>
                </c:pt>
                <c:pt idx="842">
                  <c:v>1.05</c:v>
                </c:pt>
                <c:pt idx="843">
                  <c:v>1.05</c:v>
                </c:pt>
                <c:pt idx="844">
                  <c:v>1.05</c:v>
                </c:pt>
                <c:pt idx="845">
                  <c:v>1.05</c:v>
                </c:pt>
                <c:pt idx="846">
                  <c:v>1.05</c:v>
                </c:pt>
                <c:pt idx="847">
                  <c:v>1.05</c:v>
                </c:pt>
                <c:pt idx="848">
                  <c:v>1.05</c:v>
                </c:pt>
                <c:pt idx="849">
                  <c:v>1.05</c:v>
                </c:pt>
                <c:pt idx="850">
                  <c:v>1.05</c:v>
                </c:pt>
                <c:pt idx="851">
                  <c:v>1.05</c:v>
                </c:pt>
                <c:pt idx="852">
                  <c:v>1.05</c:v>
                </c:pt>
                <c:pt idx="853">
                  <c:v>1.05</c:v>
                </c:pt>
                <c:pt idx="854">
                  <c:v>1.05</c:v>
                </c:pt>
                <c:pt idx="855">
                  <c:v>1.05</c:v>
                </c:pt>
                <c:pt idx="856">
                  <c:v>1.05</c:v>
                </c:pt>
                <c:pt idx="857">
                  <c:v>1.05</c:v>
                </c:pt>
                <c:pt idx="858">
                  <c:v>1.05</c:v>
                </c:pt>
                <c:pt idx="859">
                  <c:v>1.05</c:v>
                </c:pt>
                <c:pt idx="860">
                  <c:v>1.05</c:v>
                </c:pt>
                <c:pt idx="861">
                  <c:v>1.05</c:v>
                </c:pt>
                <c:pt idx="862">
                  <c:v>1.05</c:v>
                </c:pt>
                <c:pt idx="863">
                  <c:v>1.05</c:v>
                </c:pt>
                <c:pt idx="864">
                  <c:v>1.05</c:v>
                </c:pt>
                <c:pt idx="865">
                  <c:v>1.05</c:v>
                </c:pt>
                <c:pt idx="866">
                  <c:v>1.05</c:v>
                </c:pt>
                <c:pt idx="867">
                  <c:v>1.05</c:v>
                </c:pt>
                <c:pt idx="868">
                  <c:v>1.05</c:v>
                </c:pt>
                <c:pt idx="869">
                  <c:v>1.05</c:v>
                </c:pt>
                <c:pt idx="870">
                  <c:v>1.05</c:v>
                </c:pt>
                <c:pt idx="871">
                  <c:v>1.05</c:v>
                </c:pt>
                <c:pt idx="872">
                  <c:v>1.05</c:v>
                </c:pt>
                <c:pt idx="873">
                  <c:v>1.05</c:v>
                </c:pt>
                <c:pt idx="874">
                  <c:v>1.05</c:v>
                </c:pt>
                <c:pt idx="875">
                  <c:v>1.05</c:v>
                </c:pt>
                <c:pt idx="876">
                  <c:v>1.05</c:v>
                </c:pt>
                <c:pt idx="877">
                  <c:v>1.05</c:v>
                </c:pt>
                <c:pt idx="878">
                  <c:v>1.05</c:v>
                </c:pt>
                <c:pt idx="879">
                  <c:v>1.05</c:v>
                </c:pt>
                <c:pt idx="880">
                  <c:v>1.05</c:v>
                </c:pt>
                <c:pt idx="881">
                  <c:v>1.05</c:v>
                </c:pt>
                <c:pt idx="882">
                  <c:v>1.05</c:v>
                </c:pt>
                <c:pt idx="883">
                  <c:v>1.05</c:v>
                </c:pt>
                <c:pt idx="884">
                  <c:v>1.05</c:v>
                </c:pt>
                <c:pt idx="885">
                  <c:v>1.05</c:v>
                </c:pt>
                <c:pt idx="886">
                  <c:v>1.05</c:v>
                </c:pt>
                <c:pt idx="887">
                  <c:v>1.05</c:v>
                </c:pt>
                <c:pt idx="888">
                  <c:v>1.05</c:v>
                </c:pt>
                <c:pt idx="889">
                  <c:v>1.05</c:v>
                </c:pt>
                <c:pt idx="890">
                  <c:v>1.05</c:v>
                </c:pt>
                <c:pt idx="891">
                  <c:v>1.05</c:v>
                </c:pt>
                <c:pt idx="892">
                  <c:v>1.05</c:v>
                </c:pt>
                <c:pt idx="893">
                  <c:v>1.05</c:v>
                </c:pt>
                <c:pt idx="894">
                  <c:v>1.05</c:v>
                </c:pt>
                <c:pt idx="895">
                  <c:v>1.05</c:v>
                </c:pt>
                <c:pt idx="896">
                  <c:v>1.05</c:v>
                </c:pt>
                <c:pt idx="897">
                  <c:v>1.05</c:v>
                </c:pt>
                <c:pt idx="898">
                  <c:v>1.05</c:v>
                </c:pt>
                <c:pt idx="899">
                  <c:v>1.05</c:v>
                </c:pt>
                <c:pt idx="900">
                  <c:v>1.05</c:v>
                </c:pt>
                <c:pt idx="901">
                  <c:v>1.05</c:v>
                </c:pt>
                <c:pt idx="902">
                  <c:v>1.05</c:v>
                </c:pt>
                <c:pt idx="903">
                  <c:v>1.05</c:v>
                </c:pt>
                <c:pt idx="904">
                  <c:v>1.05</c:v>
                </c:pt>
                <c:pt idx="905">
                  <c:v>1.05</c:v>
                </c:pt>
                <c:pt idx="906">
                  <c:v>1.05</c:v>
                </c:pt>
                <c:pt idx="907">
                  <c:v>1.05</c:v>
                </c:pt>
                <c:pt idx="908">
                  <c:v>1.05</c:v>
                </c:pt>
                <c:pt idx="909">
                  <c:v>1.05</c:v>
                </c:pt>
                <c:pt idx="910">
                  <c:v>1.05</c:v>
                </c:pt>
                <c:pt idx="911">
                  <c:v>1.05</c:v>
                </c:pt>
                <c:pt idx="912">
                  <c:v>1.05</c:v>
                </c:pt>
                <c:pt idx="913">
                  <c:v>1.05</c:v>
                </c:pt>
                <c:pt idx="914">
                  <c:v>1.05</c:v>
                </c:pt>
                <c:pt idx="915">
                  <c:v>1.05</c:v>
                </c:pt>
                <c:pt idx="916">
                  <c:v>1.05</c:v>
                </c:pt>
                <c:pt idx="917">
                  <c:v>1.05</c:v>
                </c:pt>
                <c:pt idx="918">
                  <c:v>1.05</c:v>
                </c:pt>
                <c:pt idx="919">
                  <c:v>1.05</c:v>
                </c:pt>
                <c:pt idx="920">
                  <c:v>1.05</c:v>
                </c:pt>
                <c:pt idx="921">
                  <c:v>1.05</c:v>
                </c:pt>
                <c:pt idx="922">
                  <c:v>1.05</c:v>
                </c:pt>
                <c:pt idx="923">
                  <c:v>1.05</c:v>
                </c:pt>
                <c:pt idx="924">
                  <c:v>1.05</c:v>
                </c:pt>
                <c:pt idx="925">
                  <c:v>1.05</c:v>
                </c:pt>
                <c:pt idx="926">
                  <c:v>1.05</c:v>
                </c:pt>
                <c:pt idx="927">
                  <c:v>1.05</c:v>
                </c:pt>
                <c:pt idx="928">
                  <c:v>1.05</c:v>
                </c:pt>
                <c:pt idx="929">
                  <c:v>1.05</c:v>
                </c:pt>
                <c:pt idx="930">
                  <c:v>1.05</c:v>
                </c:pt>
                <c:pt idx="931">
                  <c:v>1.05</c:v>
                </c:pt>
                <c:pt idx="932">
                  <c:v>1.05</c:v>
                </c:pt>
                <c:pt idx="933">
                  <c:v>1.05</c:v>
                </c:pt>
                <c:pt idx="934">
                  <c:v>1.05</c:v>
                </c:pt>
                <c:pt idx="935">
                  <c:v>1.05</c:v>
                </c:pt>
                <c:pt idx="936">
                  <c:v>1.05</c:v>
                </c:pt>
                <c:pt idx="937">
                  <c:v>1.05</c:v>
                </c:pt>
                <c:pt idx="938">
                  <c:v>1.05</c:v>
                </c:pt>
                <c:pt idx="939">
                  <c:v>1.05</c:v>
                </c:pt>
                <c:pt idx="940">
                  <c:v>1.05</c:v>
                </c:pt>
                <c:pt idx="941">
                  <c:v>1.05</c:v>
                </c:pt>
                <c:pt idx="942">
                  <c:v>1.05</c:v>
                </c:pt>
                <c:pt idx="943">
                  <c:v>1.05</c:v>
                </c:pt>
                <c:pt idx="944">
                  <c:v>1.05</c:v>
                </c:pt>
                <c:pt idx="945">
                  <c:v>1.05</c:v>
                </c:pt>
                <c:pt idx="946">
                  <c:v>1.05</c:v>
                </c:pt>
                <c:pt idx="947">
                  <c:v>1.05</c:v>
                </c:pt>
                <c:pt idx="948">
                  <c:v>1.05</c:v>
                </c:pt>
                <c:pt idx="949">
                  <c:v>1.05</c:v>
                </c:pt>
                <c:pt idx="950">
                  <c:v>1.05</c:v>
                </c:pt>
                <c:pt idx="951">
                  <c:v>1.05</c:v>
                </c:pt>
                <c:pt idx="952">
                  <c:v>1.05</c:v>
                </c:pt>
                <c:pt idx="953">
                  <c:v>1.05</c:v>
                </c:pt>
                <c:pt idx="954">
                  <c:v>1.05</c:v>
                </c:pt>
                <c:pt idx="955">
                  <c:v>1.05</c:v>
                </c:pt>
                <c:pt idx="956">
                  <c:v>1.05</c:v>
                </c:pt>
                <c:pt idx="957">
                  <c:v>1.05</c:v>
                </c:pt>
                <c:pt idx="958">
                  <c:v>1.05</c:v>
                </c:pt>
                <c:pt idx="959">
                  <c:v>1.05</c:v>
                </c:pt>
                <c:pt idx="960">
                  <c:v>1.05</c:v>
                </c:pt>
                <c:pt idx="961">
                  <c:v>1.05</c:v>
                </c:pt>
                <c:pt idx="962">
                  <c:v>1.05</c:v>
                </c:pt>
                <c:pt idx="963">
                  <c:v>1.05</c:v>
                </c:pt>
                <c:pt idx="964">
                  <c:v>1.05</c:v>
                </c:pt>
                <c:pt idx="965">
                  <c:v>1.05</c:v>
                </c:pt>
                <c:pt idx="966">
                  <c:v>1.05</c:v>
                </c:pt>
                <c:pt idx="967">
                  <c:v>1.05</c:v>
                </c:pt>
                <c:pt idx="968">
                  <c:v>1.05</c:v>
                </c:pt>
                <c:pt idx="969">
                  <c:v>1.05</c:v>
                </c:pt>
                <c:pt idx="970">
                  <c:v>1.05</c:v>
                </c:pt>
                <c:pt idx="971">
                  <c:v>1.05</c:v>
                </c:pt>
                <c:pt idx="972">
                  <c:v>1.05</c:v>
                </c:pt>
                <c:pt idx="973">
                  <c:v>1.05</c:v>
                </c:pt>
                <c:pt idx="974">
                  <c:v>1.05</c:v>
                </c:pt>
                <c:pt idx="975">
                  <c:v>1.05</c:v>
                </c:pt>
                <c:pt idx="976">
                  <c:v>1.05</c:v>
                </c:pt>
                <c:pt idx="977">
                  <c:v>1.05</c:v>
                </c:pt>
                <c:pt idx="978">
                  <c:v>1.05</c:v>
                </c:pt>
                <c:pt idx="979">
                  <c:v>1.05</c:v>
                </c:pt>
                <c:pt idx="980">
                  <c:v>1.05</c:v>
                </c:pt>
                <c:pt idx="981">
                  <c:v>1.05</c:v>
                </c:pt>
                <c:pt idx="982">
                  <c:v>1.05</c:v>
                </c:pt>
                <c:pt idx="983">
                  <c:v>1.05</c:v>
                </c:pt>
                <c:pt idx="984">
                  <c:v>1.05</c:v>
                </c:pt>
                <c:pt idx="985">
                  <c:v>1.05</c:v>
                </c:pt>
                <c:pt idx="986">
                  <c:v>1.05</c:v>
                </c:pt>
                <c:pt idx="987">
                  <c:v>1.05</c:v>
                </c:pt>
                <c:pt idx="988">
                  <c:v>1.05</c:v>
                </c:pt>
                <c:pt idx="989">
                  <c:v>1.05</c:v>
                </c:pt>
                <c:pt idx="990">
                  <c:v>1.05</c:v>
                </c:pt>
                <c:pt idx="991">
                  <c:v>1.05</c:v>
                </c:pt>
                <c:pt idx="992">
                  <c:v>1.05</c:v>
                </c:pt>
                <c:pt idx="993">
                  <c:v>1.05</c:v>
                </c:pt>
                <c:pt idx="994">
                  <c:v>1.05</c:v>
                </c:pt>
                <c:pt idx="995">
                  <c:v>1.05</c:v>
                </c:pt>
                <c:pt idx="996">
                  <c:v>1.05</c:v>
                </c:pt>
                <c:pt idx="997">
                  <c:v>1.05</c:v>
                </c:pt>
                <c:pt idx="998">
                  <c:v>1.05</c:v>
                </c:pt>
                <c:pt idx="999">
                  <c:v>1.05</c:v>
                </c:pt>
                <c:pt idx="1000">
                  <c:v>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78-4FD2-BB48-FA8CA7329F8B}"/>
            </c:ext>
          </c:extLst>
        </c:ser>
        <c:ser>
          <c:idx val="3"/>
          <c:order val="3"/>
          <c:tx>
            <c:strRef>
              <c:f>Лист4!$Y$1</c:f>
              <c:strCache>
                <c:ptCount val="1"/>
                <c:pt idx="0">
                  <c:v>Граница низ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Лист4!$Y$2:$Y$1002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0.95</c:v>
                </c:pt>
                <c:pt idx="57">
                  <c:v>0.95</c:v>
                </c:pt>
                <c:pt idx="58">
                  <c:v>0.95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0.95</c:v>
                </c:pt>
                <c:pt idx="64">
                  <c:v>0.95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0.95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0.95</c:v>
                </c:pt>
                <c:pt idx="123">
                  <c:v>0.95</c:v>
                </c:pt>
                <c:pt idx="124">
                  <c:v>0.95</c:v>
                </c:pt>
                <c:pt idx="125">
                  <c:v>0.95</c:v>
                </c:pt>
                <c:pt idx="126">
                  <c:v>0.95</c:v>
                </c:pt>
                <c:pt idx="127">
                  <c:v>0.95</c:v>
                </c:pt>
                <c:pt idx="128">
                  <c:v>0.95</c:v>
                </c:pt>
                <c:pt idx="129">
                  <c:v>0.95</c:v>
                </c:pt>
                <c:pt idx="130">
                  <c:v>0.95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0.95</c:v>
                </c:pt>
                <c:pt idx="138">
                  <c:v>0.95</c:v>
                </c:pt>
                <c:pt idx="139">
                  <c:v>0.95</c:v>
                </c:pt>
                <c:pt idx="140">
                  <c:v>0.95</c:v>
                </c:pt>
                <c:pt idx="141">
                  <c:v>0.95</c:v>
                </c:pt>
                <c:pt idx="142">
                  <c:v>0.95</c:v>
                </c:pt>
                <c:pt idx="143">
                  <c:v>0.95</c:v>
                </c:pt>
                <c:pt idx="144">
                  <c:v>0.95</c:v>
                </c:pt>
                <c:pt idx="145">
                  <c:v>0.95</c:v>
                </c:pt>
                <c:pt idx="146">
                  <c:v>0.95</c:v>
                </c:pt>
                <c:pt idx="147">
                  <c:v>0.95</c:v>
                </c:pt>
                <c:pt idx="148">
                  <c:v>0.95</c:v>
                </c:pt>
                <c:pt idx="149">
                  <c:v>0.95</c:v>
                </c:pt>
                <c:pt idx="150">
                  <c:v>0.95</c:v>
                </c:pt>
                <c:pt idx="151">
                  <c:v>0.95</c:v>
                </c:pt>
                <c:pt idx="152">
                  <c:v>0.95</c:v>
                </c:pt>
                <c:pt idx="153">
                  <c:v>0.95</c:v>
                </c:pt>
                <c:pt idx="154">
                  <c:v>0.95</c:v>
                </c:pt>
                <c:pt idx="155">
                  <c:v>0.95</c:v>
                </c:pt>
                <c:pt idx="156">
                  <c:v>0.95</c:v>
                </c:pt>
                <c:pt idx="157">
                  <c:v>0.95</c:v>
                </c:pt>
                <c:pt idx="158">
                  <c:v>0.95</c:v>
                </c:pt>
                <c:pt idx="159">
                  <c:v>0.95</c:v>
                </c:pt>
                <c:pt idx="160">
                  <c:v>0.95</c:v>
                </c:pt>
                <c:pt idx="161">
                  <c:v>0.95</c:v>
                </c:pt>
                <c:pt idx="162">
                  <c:v>0.95</c:v>
                </c:pt>
                <c:pt idx="163">
                  <c:v>0.95</c:v>
                </c:pt>
                <c:pt idx="164">
                  <c:v>0.95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0.95</c:v>
                </c:pt>
                <c:pt idx="169">
                  <c:v>0.95</c:v>
                </c:pt>
                <c:pt idx="170">
                  <c:v>0.95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0.95</c:v>
                </c:pt>
                <c:pt idx="178">
                  <c:v>0.95</c:v>
                </c:pt>
                <c:pt idx="179">
                  <c:v>0.95</c:v>
                </c:pt>
                <c:pt idx="180">
                  <c:v>0.95</c:v>
                </c:pt>
                <c:pt idx="181">
                  <c:v>0.95</c:v>
                </c:pt>
                <c:pt idx="182">
                  <c:v>0.95</c:v>
                </c:pt>
                <c:pt idx="183">
                  <c:v>0.95</c:v>
                </c:pt>
                <c:pt idx="184">
                  <c:v>0.95</c:v>
                </c:pt>
                <c:pt idx="185">
                  <c:v>0.95</c:v>
                </c:pt>
                <c:pt idx="186">
                  <c:v>0.95</c:v>
                </c:pt>
                <c:pt idx="187">
                  <c:v>0.95</c:v>
                </c:pt>
                <c:pt idx="188">
                  <c:v>0.95</c:v>
                </c:pt>
                <c:pt idx="189">
                  <c:v>0.95</c:v>
                </c:pt>
                <c:pt idx="190">
                  <c:v>0.95</c:v>
                </c:pt>
                <c:pt idx="191">
                  <c:v>0.95</c:v>
                </c:pt>
                <c:pt idx="192">
                  <c:v>0.95</c:v>
                </c:pt>
                <c:pt idx="193">
                  <c:v>0.95</c:v>
                </c:pt>
                <c:pt idx="194">
                  <c:v>0.95</c:v>
                </c:pt>
                <c:pt idx="195">
                  <c:v>0.95</c:v>
                </c:pt>
                <c:pt idx="196">
                  <c:v>0.95</c:v>
                </c:pt>
                <c:pt idx="197">
                  <c:v>0.95</c:v>
                </c:pt>
                <c:pt idx="198">
                  <c:v>0.95</c:v>
                </c:pt>
                <c:pt idx="199">
                  <c:v>0.95</c:v>
                </c:pt>
                <c:pt idx="200">
                  <c:v>0.95</c:v>
                </c:pt>
                <c:pt idx="201">
                  <c:v>0.95</c:v>
                </c:pt>
                <c:pt idx="202">
                  <c:v>0.95</c:v>
                </c:pt>
                <c:pt idx="203">
                  <c:v>0.95</c:v>
                </c:pt>
                <c:pt idx="204">
                  <c:v>0.95</c:v>
                </c:pt>
                <c:pt idx="205">
                  <c:v>0.95</c:v>
                </c:pt>
                <c:pt idx="206">
                  <c:v>0.95</c:v>
                </c:pt>
                <c:pt idx="207">
                  <c:v>0.95</c:v>
                </c:pt>
                <c:pt idx="208">
                  <c:v>0.95</c:v>
                </c:pt>
                <c:pt idx="209">
                  <c:v>0.95</c:v>
                </c:pt>
                <c:pt idx="210">
                  <c:v>0.95</c:v>
                </c:pt>
                <c:pt idx="211">
                  <c:v>0.95</c:v>
                </c:pt>
                <c:pt idx="212">
                  <c:v>0.95</c:v>
                </c:pt>
                <c:pt idx="213">
                  <c:v>0.95</c:v>
                </c:pt>
                <c:pt idx="214">
                  <c:v>0.95</c:v>
                </c:pt>
                <c:pt idx="215">
                  <c:v>0.95</c:v>
                </c:pt>
                <c:pt idx="216">
                  <c:v>0.95</c:v>
                </c:pt>
                <c:pt idx="217">
                  <c:v>0.95</c:v>
                </c:pt>
                <c:pt idx="218">
                  <c:v>0.95</c:v>
                </c:pt>
                <c:pt idx="219">
                  <c:v>0.95</c:v>
                </c:pt>
                <c:pt idx="220">
                  <c:v>0.95</c:v>
                </c:pt>
                <c:pt idx="221">
                  <c:v>0.95</c:v>
                </c:pt>
                <c:pt idx="222">
                  <c:v>0.95</c:v>
                </c:pt>
                <c:pt idx="223">
                  <c:v>0.95</c:v>
                </c:pt>
                <c:pt idx="224">
                  <c:v>0.95</c:v>
                </c:pt>
                <c:pt idx="225">
                  <c:v>0.95</c:v>
                </c:pt>
                <c:pt idx="226">
                  <c:v>0.95</c:v>
                </c:pt>
                <c:pt idx="227">
                  <c:v>0.95</c:v>
                </c:pt>
                <c:pt idx="228">
                  <c:v>0.95</c:v>
                </c:pt>
                <c:pt idx="229">
                  <c:v>0.95</c:v>
                </c:pt>
                <c:pt idx="230">
                  <c:v>0.95</c:v>
                </c:pt>
                <c:pt idx="231">
                  <c:v>0.95</c:v>
                </c:pt>
                <c:pt idx="232">
                  <c:v>0.95</c:v>
                </c:pt>
                <c:pt idx="233">
                  <c:v>0.95</c:v>
                </c:pt>
                <c:pt idx="234">
                  <c:v>0.95</c:v>
                </c:pt>
                <c:pt idx="235">
                  <c:v>0.95</c:v>
                </c:pt>
                <c:pt idx="236">
                  <c:v>0.95</c:v>
                </c:pt>
                <c:pt idx="237">
                  <c:v>0.95</c:v>
                </c:pt>
                <c:pt idx="238">
                  <c:v>0.95</c:v>
                </c:pt>
                <c:pt idx="239">
                  <c:v>0.95</c:v>
                </c:pt>
                <c:pt idx="240">
                  <c:v>0.95</c:v>
                </c:pt>
                <c:pt idx="241">
                  <c:v>0.95</c:v>
                </c:pt>
                <c:pt idx="242">
                  <c:v>0.95</c:v>
                </c:pt>
                <c:pt idx="243">
                  <c:v>0.95</c:v>
                </c:pt>
                <c:pt idx="244">
                  <c:v>0.95</c:v>
                </c:pt>
                <c:pt idx="245">
                  <c:v>0.95</c:v>
                </c:pt>
                <c:pt idx="246">
                  <c:v>0.95</c:v>
                </c:pt>
                <c:pt idx="247">
                  <c:v>0.95</c:v>
                </c:pt>
                <c:pt idx="248">
                  <c:v>0.95</c:v>
                </c:pt>
                <c:pt idx="249">
                  <c:v>0.95</c:v>
                </c:pt>
                <c:pt idx="250">
                  <c:v>0.95</c:v>
                </c:pt>
                <c:pt idx="251">
                  <c:v>0.95</c:v>
                </c:pt>
                <c:pt idx="252">
                  <c:v>0.95</c:v>
                </c:pt>
                <c:pt idx="253">
                  <c:v>0.95</c:v>
                </c:pt>
                <c:pt idx="254">
                  <c:v>0.95</c:v>
                </c:pt>
                <c:pt idx="255">
                  <c:v>0.95</c:v>
                </c:pt>
                <c:pt idx="256">
                  <c:v>0.95</c:v>
                </c:pt>
                <c:pt idx="257">
                  <c:v>0.95</c:v>
                </c:pt>
                <c:pt idx="258">
                  <c:v>0.95</c:v>
                </c:pt>
                <c:pt idx="259">
                  <c:v>0.95</c:v>
                </c:pt>
                <c:pt idx="260">
                  <c:v>0.95</c:v>
                </c:pt>
                <c:pt idx="261">
                  <c:v>0.95</c:v>
                </c:pt>
                <c:pt idx="262">
                  <c:v>0.95</c:v>
                </c:pt>
                <c:pt idx="263">
                  <c:v>0.95</c:v>
                </c:pt>
                <c:pt idx="264">
                  <c:v>0.95</c:v>
                </c:pt>
                <c:pt idx="265">
                  <c:v>0.95</c:v>
                </c:pt>
                <c:pt idx="266">
                  <c:v>0.95</c:v>
                </c:pt>
                <c:pt idx="267">
                  <c:v>0.95</c:v>
                </c:pt>
                <c:pt idx="268">
                  <c:v>0.95</c:v>
                </c:pt>
                <c:pt idx="269">
                  <c:v>0.95</c:v>
                </c:pt>
                <c:pt idx="270">
                  <c:v>0.95</c:v>
                </c:pt>
                <c:pt idx="271">
                  <c:v>0.95</c:v>
                </c:pt>
                <c:pt idx="272">
                  <c:v>0.95</c:v>
                </c:pt>
                <c:pt idx="273">
                  <c:v>0.95</c:v>
                </c:pt>
                <c:pt idx="274">
                  <c:v>0.95</c:v>
                </c:pt>
                <c:pt idx="275">
                  <c:v>0.95</c:v>
                </c:pt>
                <c:pt idx="276">
                  <c:v>0.95</c:v>
                </c:pt>
                <c:pt idx="277">
                  <c:v>0.95</c:v>
                </c:pt>
                <c:pt idx="278">
                  <c:v>0.95</c:v>
                </c:pt>
                <c:pt idx="279">
                  <c:v>0.95</c:v>
                </c:pt>
                <c:pt idx="280">
                  <c:v>0.95</c:v>
                </c:pt>
                <c:pt idx="281">
                  <c:v>0.95</c:v>
                </c:pt>
                <c:pt idx="282">
                  <c:v>0.95</c:v>
                </c:pt>
                <c:pt idx="283">
                  <c:v>0.95</c:v>
                </c:pt>
                <c:pt idx="284">
                  <c:v>0.95</c:v>
                </c:pt>
                <c:pt idx="285">
                  <c:v>0.95</c:v>
                </c:pt>
                <c:pt idx="286">
                  <c:v>0.95</c:v>
                </c:pt>
                <c:pt idx="287">
                  <c:v>0.95</c:v>
                </c:pt>
                <c:pt idx="288">
                  <c:v>0.95</c:v>
                </c:pt>
                <c:pt idx="289">
                  <c:v>0.95</c:v>
                </c:pt>
                <c:pt idx="290">
                  <c:v>0.95</c:v>
                </c:pt>
                <c:pt idx="291">
                  <c:v>0.95</c:v>
                </c:pt>
                <c:pt idx="292">
                  <c:v>0.95</c:v>
                </c:pt>
                <c:pt idx="293">
                  <c:v>0.95</c:v>
                </c:pt>
                <c:pt idx="294">
                  <c:v>0.95</c:v>
                </c:pt>
                <c:pt idx="295">
                  <c:v>0.95</c:v>
                </c:pt>
                <c:pt idx="296">
                  <c:v>0.95</c:v>
                </c:pt>
                <c:pt idx="297">
                  <c:v>0.95</c:v>
                </c:pt>
                <c:pt idx="298">
                  <c:v>0.95</c:v>
                </c:pt>
                <c:pt idx="299">
                  <c:v>0.95</c:v>
                </c:pt>
                <c:pt idx="300">
                  <c:v>0.95</c:v>
                </c:pt>
                <c:pt idx="301">
                  <c:v>0.95</c:v>
                </c:pt>
                <c:pt idx="302">
                  <c:v>0.95</c:v>
                </c:pt>
                <c:pt idx="303">
                  <c:v>0.95</c:v>
                </c:pt>
                <c:pt idx="304">
                  <c:v>0.95</c:v>
                </c:pt>
                <c:pt idx="305">
                  <c:v>0.95</c:v>
                </c:pt>
                <c:pt idx="306">
                  <c:v>0.95</c:v>
                </c:pt>
                <c:pt idx="307">
                  <c:v>0.95</c:v>
                </c:pt>
                <c:pt idx="308">
                  <c:v>0.95</c:v>
                </c:pt>
                <c:pt idx="309">
                  <c:v>0.95</c:v>
                </c:pt>
                <c:pt idx="310">
                  <c:v>0.95</c:v>
                </c:pt>
                <c:pt idx="311">
                  <c:v>0.95</c:v>
                </c:pt>
                <c:pt idx="312">
                  <c:v>0.95</c:v>
                </c:pt>
                <c:pt idx="313">
                  <c:v>0.95</c:v>
                </c:pt>
                <c:pt idx="314">
                  <c:v>0.95</c:v>
                </c:pt>
                <c:pt idx="315">
                  <c:v>0.95</c:v>
                </c:pt>
                <c:pt idx="316">
                  <c:v>0.95</c:v>
                </c:pt>
                <c:pt idx="317">
                  <c:v>0.95</c:v>
                </c:pt>
                <c:pt idx="318">
                  <c:v>0.95</c:v>
                </c:pt>
                <c:pt idx="319">
                  <c:v>0.95</c:v>
                </c:pt>
                <c:pt idx="320">
                  <c:v>0.95</c:v>
                </c:pt>
                <c:pt idx="321">
                  <c:v>0.95</c:v>
                </c:pt>
                <c:pt idx="322">
                  <c:v>0.95</c:v>
                </c:pt>
                <c:pt idx="323">
                  <c:v>0.95</c:v>
                </c:pt>
                <c:pt idx="324">
                  <c:v>0.95</c:v>
                </c:pt>
                <c:pt idx="325">
                  <c:v>0.95</c:v>
                </c:pt>
                <c:pt idx="326">
                  <c:v>0.95</c:v>
                </c:pt>
                <c:pt idx="327">
                  <c:v>0.95</c:v>
                </c:pt>
                <c:pt idx="328">
                  <c:v>0.95</c:v>
                </c:pt>
                <c:pt idx="329">
                  <c:v>0.95</c:v>
                </c:pt>
                <c:pt idx="330">
                  <c:v>0.95</c:v>
                </c:pt>
                <c:pt idx="331">
                  <c:v>0.95</c:v>
                </c:pt>
                <c:pt idx="332">
                  <c:v>0.95</c:v>
                </c:pt>
                <c:pt idx="333">
                  <c:v>0.95</c:v>
                </c:pt>
                <c:pt idx="334">
                  <c:v>0.95</c:v>
                </c:pt>
                <c:pt idx="335">
                  <c:v>0.95</c:v>
                </c:pt>
                <c:pt idx="336">
                  <c:v>0.95</c:v>
                </c:pt>
                <c:pt idx="337">
                  <c:v>0.95</c:v>
                </c:pt>
                <c:pt idx="338">
                  <c:v>0.95</c:v>
                </c:pt>
                <c:pt idx="339">
                  <c:v>0.95</c:v>
                </c:pt>
                <c:pt idx="340">
                  <c:v>0.95</c:v>
                </c:pt>
                <c:pt idx="341">
                  <c:v>0.95</c:v>
                </c:pt>
                <c:pt idx="342">
                  <c:v>0.95</c:v>
                </c:pt>
                <c:pt idx="343">
                  <c:v>0.95</c:v>
                </c:pt>
                <c:pt idx="344">
                  <c:v>0.95</c:v>
                </c:pt>
                <c:pt idx="345">
                  <c:v>0.95</c:v>
                </c:pt>
                <c:pt idx="346">
                  <c:v>0.95</c:v>
                </c:pt>
                <c:pt idx="347">
                  <c:v>0.95</c:v>
                </c:pt>
                <c:pt idx="348">
                  <c:v>0.95</c:v>
                </c:pt>
                <c:pt idx="349">
                  <c:v>0.95</c:v>
                </c:pt>
                <c:pt idx="350">
                  <c:v>0.95</c:v>
                </c:pt>
                <c:pt idx="351">
                  <c:v>0.95</c:v>
                </c:pt>
                <c:pt idx="352">
                  <c:v>0.95</c:v>
                </c:pt>
                <c:pt idx="353">
                  <c:v>0.95</c:v>
                </c:pt>
                <c:pt idx="354">
                  <c:v>0.95</c:v>
                </c:pt>
                <c:pt idx="355">
                  <c:v>0.95</c:v>
                </c:pt>
                <c:pt idx="356">
                  <c:v>0.95</c:v>
                </c:pt>
                <c:pt idx="357">
                  <c:v>0.95</c:v>
                </c:pt>
                <c:pt idx="358">
                  <c:v>0.95</c:v>
                </c:pt>
                <c:pt idx="359">
                  <c:v>0.95</c:v>
                </c:pt>
                <c:pt idx="360">
                  <c:v>0.95</c:v>
                </c:pt>
                <c:pt idx="361">
                  <c:v>0.95</c:v>
                </c:pt>
                <c:pt idx="362">
                  <c:v>0.95</c:v>
                </c:pt>
                <c:pt idx="363">
                  <c:v>0.95</c:v>
                </c:pt>
                <c:pt idx="364">
                  <c:v>0.95</c:v>
                </c:pt>
                <c:pt idx="365">
                  <c:v>0.95</c:v>
                </c:pt>
                <c:pt idx="366">
                  <c:v>0.95</c:v>
                </c:pt>
                <c:pt idx="367">
                  <c:v>0.95</c:v>
                </c:pt>
                <c:pt idx="368">
                  <c:v>0.95</c:v>
                </c:pt>
                <c:pt idx="369">
                  <c:v>0.95</c:v>
                </c:pt>
                <c:pt idx="370">
                  <c:v>0.95</c:v>
                </c:pt>
                <c:pt idx="371">
                  <c:v>0.95</c:v>
                </c:pt>
                <c:pt idx="372">
                  <c:v>0.95</c:v>
                </c:pt>
                <c:pt idx="373">
                  <c:v>0.95</c:v>
                </c:pt>
                <c:pt idx="374">
                  <c:v>0.95</c:v>
                </c:pt>
                <c:pt idx="375">
                  <c:v>0.95</c:v>
                </c:pt>
                <c:pt idx="376">
                  <c:v>0.95</c:v>
                </c:pt>
                <c:pt idx="377">
                  <c:v>0.95</c:v>
                </c:pt>
                <c:pt idx="378">
                  <c:v>0.95</c:v>
                </c:pt>
                <c:pt idx="379">
                  <c:v>0.95</c:v>
                </c:pt>
                <c:pt idx="380">
                  <c:v>0.95</c:v>
                </c:pt>
                <c:pt idx="381">
                  <c:v>0.95</c:v>
                </c:pt>
                <c:pt idx="382">
                  <c:v>0.95</c:v>
                </c:pt>
                <c:pt idx="383">
                  <c:v>0.95</c:v>
                </c:pt>
                <c:pt idx="384">
                  <c:v>0.95</c:v>
                </c:pt>
                <c:pt idx="385">
                  <c:v>0.95</c:v>
                </c:pt>
                <c:pt idx="386">
                  <c:v>0.95</c:v>
                </c:pt>
                <c:pt idx="387">
                  <c:v>0.95</c:v>
                </c:pt>
                <c:pt idx="388">
                  <c:v>0.95</c:v>
                </c:pt>
                <c:pt idx="389">
                  <c:v>0.95</c:v>
                </c:pt>
                <c:pt idx="390">
                  <c:v>0.95</c:v>
                </c:pt>
                <c:pt idx="391">
                  <c:v>0.95</c:v>
                </c:pt>
                <c:pt idx="392">
                  <c:v>0.95</c:v>
                </c:pt>
                <c:pt idx="393">
                  <c:v>0.95</c:v>
                </c:pt>
                <c:pt idx="394">
                  <c:v>0.95</c:v>
                </c:pt>
                <c:pt idx="395">
                  <c:v>0.95</c:v>
                </c:pt>
                <c:pt idx="396">
                  <c:v>0.95</c:v>
                </c:pt>
                <c:pt idx="397">
                  <c:v>0.95</c:v>
                </c:pt>
                <c:pt idx="398">
                  <c:v>0.95</c:v>
                </c:pt>
                <c:pt idx="399">
                  <c:v>0.95</c:v>
                </c:pt>
                <c:pt idx="400">
                  <c:v>0.95</c:v>
                </c:pt>
                <c:pt idx="401">
                  <c:v>0.95</c:v>
                </c:pt>
                <c:pt idx="402">
                  <c:v>0.95</c:v>
                </c:pt>
                <c:pt idx="403">
                  <c:v>0.95</c:v>
                </c:pt>
                <c:pt idx="404">
                  <c:v>0.95</c:v>
                </c:pt>
                <c:pt idx="405">
                  <c:v>0.95</c:v>
                </c:pt>
                <c:pt idx="406">
                  <c:v>0.95</c:v>
                </c:pt>
                <c:pt idx="407">
                  <c:v>0.95</c:v>
                </c:pt>
                <c:pt idx="408">
                  <c:v>0.95</c:v>
                </c:pt>
                <c:pt idx="409">
                  <c:v>0.95</c:v>
                </c:pt>
                <c:pt idx="410">
                  <c:v>0.95</c:v>
                </c:pt>
                <c:pt idx="411">
                  <c:v>0.95</c:v>
                </c:pt>
                <c:pt idx="412">
                  <c:v>0.95</c:v>
                </c:pt>
                <c:pt idx="413">
                  <c:v>0.95</c:v>
                </c:pt>
                <c:pt idx="414">
                  <c:v>0.95</c:v>
                </c:pt>
                <c:pt idx="415">
                  <c:v>0.95</c:v>
                </c:pt>
                <c:pt idx="416">
                  <c:v>0.95</c:v>
                </c:pt>
                <c:pt idx="417">
                  <c:v>0.95</c:v>
                </c:pt>
                <c:pt idx="418">
                  <c:v>0.95</c:v>
                </c:pt>
                <c:pt idx="419">
                  <c:v>0.95</c:v>
                </c:pt>
                <c:pt idx="420">
                  <c:v>0.95</c:v>
                </c:pt>
                <c:pt idx="421">
                  <c:v>0.95</c:v>
                </c:pt>
                <c:pt idx="422">
                  <c:v>0.95</c:v>
                </c:pt>
                <c:pt idx="423">
                  <c:v>0.95</c:v>
                </c:pt>
                <c:pt idx="424">
                  <c:v>0.95</c:v>
                </c:pt>
                <c:pt idx="425">
                  <c:v>0.95</c:v>
                </c:pt>
                <c:pt idx="426">
                  <c:v>0.95</c:v>
                </c:pt>
                <c:pt idx="427">
                  <c:v>0.95</c:v>
                </c:pt>
                <c:pt idx="428">
                  <c:v>0.95</c:v>
                </c:pt>
                <c:pt idx="429">
                  <c:v>0.95</c:v>
                </c:pt>
                <c:pt idx="430">
                  <c:v>0.95</c:v>
                </c:pt>
                <c:pt idx="431">
                  <c:v>0.95</c:v>
                </c:pt>
                <c:pt idx="432">
                  <c:v>0.95</c:v>
                </c:pt>
                <c:pt idx="433">
                  <c:v>0.95</c:v>
                </c:pt>
                <c:pt idx="434">
                  <c:v>0.95</c:v>
                </c:pt>
                <c:pt idx="435">
                  <c:v>0.95</c:v>
                </c:pt>
                <c:pt idx="436">
                  <c:v>0.95</c:v>
                </c:pt>
                <c:pt idx="437">
                  <c:v>0.95</c:v>
                </c:pt>
                <c:pt idx="438">
                  <c:v>0.95</c:v>
                </c:pt>
                <c:pt idx="439">
                  <c:v>0.95</c:v>
                </c:pt>
                <c:pt idx="440">
                  <c:v>0.95</c:v>
                </c:pt>
                <c:pt idx="441">
                  <c:v>0.95</c:v>
                </c:pt>
                <c:pt idx="442">
                  <c:v>0.95</c:v>
                </c:pt>
                <c:pt idx="443">
                  <c:v>0.95</c:v>
                </c:pt>
                <c:pt idx="444">
                  <c:v>0.95</c:v>
                </c:pt>
                <c:pt idx="445">
                  <c:v>0.95</c:v>
                </c:pt>
                <c:pt idx="446">
                  <c:v>0.95</c:v>
                </c:pt>
                <c:pt idx="447">
                  <c:v>0.95</c:v>
                </c:pt>
                <c:pt idx="448">
                  <c:v>0.95</c:v>
                </c:pt>
                <c:pt idx="449">
                  <c:v>0.95</c:v>
                </c:pt>
                <c:pt idx="450">
                  <c:v>0.95</c:v>
                </c:pt>
                <c:pt idx="451">
                  <c:v>0.95</c:v>
                </c:pt>
                <c:pt idx="452">
                  <c:v>0.95</c:v>
                </c:pt>
                <c:pt idx="453">
                  <c:v>0.95</c:v>
                </c:pt>
                <c:pt idx="454">
                  <c:v>0.95</c:v>
                </c:pt>
                <c:pt idx="455">
                  <c:v>0.95</c:v>
                </c:pt>
                <c:pt idx="456">
                  <c:v>0.95</c:v>
                </c:pt>
                <c:pt idx="457">
                  <c:v>0.95</c:v>
                </c:pt>
                <c:pt idx="458">
                  <c:v>0.95</c:v>
                </c:pt>
                <c:pt idx="459">
                  <c:v>0.95</c:v>
                </c:pt>
                <c:pt idx="460">
                  <c:v>0.95</c:v>
                </c:pt>
                <c:pt idx="461">
                  <c:v>0.95</c:v>
                </c:pt>
                <c:pt idx="462">
                  <c:v>0.95</c:v>
                </c:pt>
                <c:pt idx="463">
                  <c:v>0.95</c:v>
                </c:pt>
                <c:pt idx="464">
                  <c:v>0.95</c:v>
                </c:pt>
                <c:pt idx="465">
                  <c:v>0.95</c:v>
                </c:pt>
                <c:pt idx="466">
                  <c:v>0.95</c:v>
                </c:pt>
                <c:pt idx="467">
                  <c:v>0.95</c:v>
                </c:pt>
                <c:pt idx="468">
                  <c:v>0.95</c:v>
                </c:pt>
                <c:pt idx="469">
                  <c:v>0.95</c:v>
                </c:pt>
                <c:pt idx="470">
                  <c:v>0.95</c:v>
                </c:pt>
                <c:pt idx="471">
                  <c:v>0.95</c:v>
                </c:pt>
                <c:pt idx="472">
                  <c:v>0.95</c:v>
                </c:pt>
                <c:pt idx="473">
                  <c:v>0.95</c:v>
                </c:pt>
                <c:pt idx="474">
                  <c:v>0.95</c:v>
                </c:pt>
                <c:pt idx="475">
                  <c:v>0.95</c:v>
                </c:pt>
                <c:pt idx="476">
                  <c:v>0.95</c:v>
                </c:pt>
                <c:pt idx="477">
                  <c:v>0.95</c:v>
                </c:pt>
                <c:pt idx="478">
                  <c:v>0.95</c:v>
                </c:pt>
                <c:pt idx="479">
                  <c:v>0.95</c:v>
                </c:pt>
                <c:pt idx="480">
                  <c:v>0.95</c:v>
                </c:pt>
                <c:pt idx="481">
                  <c:v>0.95</c:v>
                </c:pt>
                <c:pt idx="482">
                  <c:v>0.95</c:v>
                </c:pt>
                <c:pt idx="483">
                  <c:v>0.95</c:v>
                </c:pt>
                <c:pt idx="484">
                  <c:v>0.95</c:v>
                </c:pt>
                <c:pt idx="485">
                  <c:v>0.95</c:v>
                </c:pt>
                <c:pt idx="486">
                  <c:v>0.95</c:v>
                </c:pt>
                <c:pt idx="487">
                  <c:v>0.95</c:v>
                </c:pt>
                <c:pt idx="488">
                  <c:v>0.95</c:v>
                </c:pt>
                <c:pt idx="489">
                  <c:v>0.95</c:v>
                </c:pt>
                <c:pt idx="490">
                  <c:v>0.95</c:v>
                </c:pt>
                <c:pt idx="491">
                  <c:v>0.95</c:v>
                </c:pt>
                <c:pt idx="492">
                  <c:v>0.95</c:v>
                </c:pt>
                <c:pt idx="493">
                  <c:v>0.95</c:v>
                </c:pt>
                <c:pt idx="494">
                  <c:v>0.95</c:v>
                </c:pt>
                <c:pt idx="495">
                  <c:v>0.95</c:v>
                </c:pt>
                <c:pt idx="496">
                  <c:v>0.95</c:v>
                </c:pt>
                <c:pt idx="497">
                  <c:v>0.95</c:v>
                </c:pt>
                <c:pt idx="498">
                  <c:v>0.95</c:v>
                </c:pt>
                <c:pt idx="499">
                  <c:v>0.95</c:v>
                </c:pt>
                <c:pt idx="500">
                  <c:v>0.95</c:v>
                </c:pt>
                <c:pt idx="501">
                  <c:v>0.95</c:v>
                </c:pt>
                <c:pt idx="502">
                  <c:v>0.95</c:v>
                </c:pt>
                <c:pt idx="503">
                  <c:v>0.95</c:v>
                </c:pt>
                <c:pt idx="504">
                  <c:v>0.95</c:v>
                </c:pt>
                <c:pt idx="505">
                  <c:v>0.95</c:v>
                </c:pt>
                <c:pt idx="506">
                  <c:v>0.95</c:v>
                </c:pt>
                <c:pt idx="507">
                  <c:v>0.95</c:v>
                </c:pt>
                <c:pt idx="508">
                  <c:v>0.95</c:v>
                </c:pt>
                <c:pt idx="509">
                  <c:v>0.95</c:v>
                </c:pt>
                <c:pt idx="510">
                  <c:v>0.95</c:v>
                </c:pt>
                <c:pt idx="511">
                  <c:v>0.95</c:v>
                </c:pt>
                <c:pt idx="512">
                  <c:v>0.95</c:v>
                </c:pt>
                <c:pt idx="513">
                  <c:v>0.95</c:v>
                </c:pt>
                <c:pt idx="514">
                  <c:v>0.95</c:v>
                </c:pt>
                <c:pt idx="515">
                  <c:v>0.95</c:v>
                </c:pt>
                <c:pt idx="516">
                  <c:v>0.95</c:v>
                </c:pt>
                <c:pt idx="517">
                  <c:v>0.95</c:v>
                </c:pt>
                <c:pt idx="518">
                  <c:v>0.95</c:v>
                </c:pt>
                <c:pt idx="519">
                  <c:v>0.95</c:v>
                </c:pt>
                <c:pt idx="520">
                  <c:v>0.95</c:v>
                </c:pt>
                <c:pt idx="521">
                  <c:v>0.95</c:v>
                </c:pt>
                <c:pt idx="522">
                  <c:v>0.95</c:v>
                </c:pt>
                <c:pt idx="523">
                  <c:v>0.95</c:v>
                </c:pt>
                <c:pt idx="524">
                  <c:v>0.95</c:v>
                </c:pt>
                <c:pt idx="525">
                  <c:v>0.95</c:v>
                </c:pt>
                <c:pt idx="526">
                  <c:v>0.95</c:v>
                </c:pt>
                <c:pt idx="527">
                  <c:v>0.95</c:v>
                </c:pt>
                <c:pt idx="528">
                  <c:v>0.95</c:v>
                </c:pt>
                <c:pt idx="529">
                  <c:v>0.95</c:v>
                </c:pt>
                <c:pt idx="530">
                  <c:v>0.95</c:v>
                </c:pt>
                <c:pt idx="531">
                  <c:v>0.95</c:v>
                </c:pt>
                <c:pt idx="532">
                  <c:v>0.95</c:v>
                </c:pt>
                <c:pt idx="533">
                  <c:v>0.95</c:v>
                </c:pt>
                <c:pt idx="534">
                  <c:v>0.95</c:v>
                </c:pt>
                <c:pt idx="535">
                  <c:v>0.95</c:v>
                </c:pt>
                <c:pt idx="536">
                  <c:v>0.95</c:v>
                </c:pt>
                <c:pt idx="537">
                  <c:v>0.95</c:v>
                </c:pt>
                <c:pt idx="538">
                  <c:v>0.95</c:v>
                </c:pt>
                <c:pt idx="539">
                  <c:v>0.95</c:v>
                </c:pt>
                <c:pt idx="540">
                  <c:v>0.95</c:v>
                </c:pt>
                <c:pt idx="541">
                  <c:v>0.95</c:v>
                </c:pt>
                <c:pt idx="542">
                  <c:v>0.95</c:v>
                </c:pt>
                <c:pt idx="543">
                  <c:v>0.95</c:v>
                </c:pt>
                <c:pt idx="544">
                  <c:v>0.95</c:v>
                </c:pt>
                <c:pt idx="545">
                  <c:v>0.95</c:v>
                </c:pt>
                <c:pt idx="546">
                  <c:v>0.95</c:v>
                </c:pt>
                <c:pt idx="547">
                  <c:v>0.95</c:v>
                </c:pt>
                <c:pt idx="548">
                  <c:v>0.95</c:v>
                </c:pt>
                <c:pt idx="549">
                  <c:v>0.95</c:v>
                </c:pt>
                <c:pt idx="550">
                  <c:v>0.95</c:v>
                </c:pt>
                <c:pt idx="551">
                  <c:v>0.95</c:v>
                </c:pt>
                <c:pt idx="552">
                  <c:v>0.95</c:v>
                </c:pt>
                <c:pt idx="553">
                  <c:v>0.95</c:v>
                </c:pt>
                <c:pt idx="554">
                  <c:v>0.95</c:v>
                </c:pt>
                <c:pt idx="555">
                  <c:v>0.95</c:v>
                </c:pt>
                <c:pt idx="556">
                  <c:v>0.95</c:v>
                </c:pt>
                <c:pt idx="557">
                  <c:v>0.95</c:v>
                </c:pt>
                <c:pt idx="558">
                  <c:v>0.95</c:v>
                </c:pt>
                <c:pt idx="559">
                  <c:v>0.95</c:v>
                </c:pt>
                <c:pt idx="560">
                  <c:v>0.95</c:v>
                </c:pt>
                <c:pt idx="561">
                  <c:v>0.95</c:v>
                </c:pt>
                <c:pt idx="562">
                  <c:v>0.95</c:v>
                </c:pt>
                <c:pt idx="563">
                  <c:v>0.95</c:v>
                </c:pt>
                <c:pt idx="564">
                  <c:v>0.95</c:v>
                </c:pt>
                <c:pt idx="565">
                  <c:v>0.95</c:v>
                </c:pt>
                <c:pt idx="566">
                  <c:v>0.95</c:v>
                </c:pt>
                <c:pt idx="567">
                  <c:v>0.95</c:v>
                </c:pt>
                <c:pt idx="568">
                  <c:v>0.95</c:v>
                </c:pt>
                <c:pt idx="569">
                  <c:v>0.95</c:v>
                </c:pt>
                <c:pt idx="570">
                  <c:v>0.95</c:v>
                </c:pt>
                <c:pt idx="571">
                  <c:v>0.95</c:v>
                </c:pt>
                <c:pt idx="572">
                  <c:v>0.95</c:v>
                </c:pt>
                <c:pt idx="573">
                  <c:v>0.95</c:v>
                </c:pt>
                <c:pt idx="574">
                  <c:v>0.95</c:v>
                </c:pt>
                <c:pt idx="575">
                  <c:v>0.95</c:v>
                </c:pt>
                <c:pt idx="576">
                  <c:v>0.95</c:v>
                </c:pt>
                <c:pt idx="577">
                  <c:v>0.95</c:v>
                </c:pt>
                <c:pt idx="578">
                  <c:v>0.95</c:v>
                </c:pt>
                <c:pt idx="579">
                  <c:v>0.95</c:v>
                </c:pt>
                <c:pt idx="580">
                  <c:v>0.95</c:v>
                </c:pt>
                <c:pt idx="581">
                  <c:v>0.95</c:v>
                </c:pt>
                <c:pt idx="582">
                  <c:v>0.95</c:v>
                </c:pt>
                <c:pt idx="583">
                  <c:v>0.95</c:v>
                </c:pt>
                <c:pt idx="584">
                  <c:v>0.95</c:v>
                </c:pt>
                <c:pt idx="585">
                  <c:v>0.95</c:v>
                </c:pt>
                <c:pt idx="586">
                  <c:v>0.95</c:v>
                </c:pt>
                <c:pt idx="587">
                  <c:v>0.95</c:v>
                </c:pt>
                <c:pt idx="588">
                  <c:v>0.95</c:v>
                </c:pt>
                <c:pt idx="589">
                  <c:v>0.95</c:v>
                </c:pt>
                <c:pt idx="590">
                  <c:v>0.95</c:v>
                </c:pt>
                <c:pt idx="591">
                  <c:v>0.95</c:v>
                </c:pt>
                <c:pt idx="592">
                  <c:v>0.95</c:v>
                </c:pt>
                <c:pt idx="593">
                  <c:v>0.95</c:v>
                </c:pt>
                <c:pt idx="594">
                  <c:v>0.95</c:v>
                </c:pt>
                <c:pt idx="595">
                  <c:v>0.95</c:v>
                </c:pt>
                <c:pt idx="596">
                  <c:v>0.95</c:v>
                </c:pt>
                <c:pt idx="597">
                  <c:v>0.95</c:v>
                </c:pt>
                <c:pt idx="598">
                  <c:v>0.95</c:v>
                </c:pt>
                <c:pt idx="599">
                  <c:v>0.95</c:v>
                </c:pt>
                <c:pt idx="600">
                  <c:v>0.95</c:v>
                </c:pt>
                <c:pt idx="601">
                  <c:v>0.95</c:v>
                </c:pt>
                <c:pt idx="602">
                  <c:v>0.95</c:v>
                </c:pt>
                <c:pt idx="603">
                  <c:v>0.95</c:v>
                </c:pt>
                <c:pt idx="604">
                  <c:v>0.95</c:v>
                </c:pt>
                <c:pt idx="605">
                  <c:v>0.95</c:v>
                </c:pt>
                <c:pt idx="606">
                  <c:v>0.95</c:v>
                </c:pt>
                <c:pt idx="607">
                  <c:v>0.95</c:v>
                </c:pt>
                <c:pt idx="608">
                  <c:v>0.95</c:v>
                </c:pt>
                <c:pt idx="609">
                  <c:v>0.95</c:v>
                </c:pt>
                <c:pt idx="610">
                  <c:v>0.95</c:v>
                </c:pt>
                <c:pt idx="611">
                  <c:v>0.95</c:v>
                </c:pt>
                <c:pt idx="612">
                  <c:v>0.95</c:v>
                </c:pt>
                <c:pt idx="613">
                  <c:v>0.95</c:v>
                </c:pt>
                <c:pt idx="614">
                  <c:v>0.95</c:v>
                </c:pt>
                <c:pt idx="615">
                  <c:v>0.95</c:v>
                </c:pt>
                <c:pt idx="616">
                  <c:v>0.95</c:v>
                </c:pt>
                <c:pt idx="617">
                  <c:v>0.95</c:v>
                </c:pt>
                <c:pt idx="618">
                  <c:v>0.95</c:v>
                </c:pt>
                <c:pt idx="619">
                  <c:v>0.95</c:v>
                </c:pt>
                <c:pt idx="620">
                  <c:v>0.95</c:v>
                </c:pt>
                <c:pt idx="621">
                  <c:v>0.95</c:v>
                </c:pt>
                <c:pt idx="622">
                  <c:v>0.95</c:v>
                </c:pt>
                <c:pt idx="623">
                  <c:v>0.95</c:v>
                </c:pt>
                <c:pt idx="624">
                  <c:v>0.95</c:v>
                </c:pt>
                <c:pt idx="625">
                  <c:v>0.95</c:v>
                </c:pt>
                <c:pt idx="626">
                  <c:v>0.95</c:v>
                </c:pt>
                <c:pt idx="627">
                  <c:v>0.95</c:v>
                </c:pt>
                <c:pt idx="628">
                  <c:v>0.95</c:v>
                </c:pt>
                <c:pt idx="629">
                  <c:v>0.95</c:v>
                </c:pt>
                <c:pt idx="630">
                  <c:v>0.95</c:v>
                </c:pt>
                <c:pt idx="631">
                  <c:v>0.95</c:v>
                </c:pt>
                <c:pt idx="632">
                  <c:v>0.95</c:v>
                </c:pt>
                <c:pt idx="633">
                  <c:v>0.95</c:v>
                </c:pt>
                <c:pt idx="634">
                  <c:v>0.95</c:v>
                </c:pt>
                <c:pt idx="635">
                  <c:v>0.95</c:v>
                </c:pt>
                <c:pt idx="636">
                  <c:v>0.95</c:v>
                </c:pt>
                <c:pt idx="637">
                  <c:v>0.95</c:v>
                </c:pt>
                <c:pt idx="638">
                  <c:v>0.95</c:v>
                </c:pt>
                <c:pt idx="639">
                  <c:v>0.95</c:v>
                </c:pt>
                <c:pt idx="640">
                  <c:v>0.95</c:v>
                </c:pt>
                <c:pt idx="641">
                  <c:v>0.95</c:v>
                </c:pt>
                <c:pt idx="642">
                  <c:v>0.95</c:v>
                </c:pt>
                <c:pt idx="643">
                  <c:v>0.95</c:v>
                </c:pt>
                <c:pt idx="644">
                  <c:v>0.95</c:v>
                </c:pt>
                <c:pt idx="645">
                  <c:v>0.95</c:v>
                </c:pt>
                <c:pt idx="646">
                  <c:v>0.95</c:v>
                </c:pt>
                <c:pt idx="647">
                  <c:v>0.95</c:v>
                </c:pt>
                <c:pt idx="648">
                  <c:v>0.95</c:v>
                </c:pt>
                <c:pt idx="649">
                  <c:v>0.95</c:v>
                </c:pt>
                <c:pt idx="650">
                  <c:v>0.95</c:v>
                </c:pt>
                <c:pt idx="651">
                  <c:v>0.95</c:v>
                </c:pt>
                <c:pt idx="652">
                  <c:v>0.95</c:v>
                </c:pt>
                <c:pt idx="653">
                  <c:v>0.95</c:v>
                </c:pt>
                <c:pt idx="654">
                  <c:v>0.95</c:v>
                </c:pt>
                <c:pt idx="655">
                  <c:v>0.95</c:v>
                </c:pt>
                <c:pt idx="656">
                  <c:v>0.95</c:v>
                </c:pt>
                <c:pt idx="657">
                  <c:v>0.95</c:v>
                </c:pt>
                <c:pt idx="658">
                  <c:v>0.95</c:v>
                </c:pt>
                <c:pt idx="659">
                  <c:v>0.95</c:v>
                </c:pt>
                <c:pt idx="660">
                  <c:v>0.95</c:v>
                </c:pt>
                <c:pt idx="661">
                  <c:v>0.95</c:v>
                </c:pt>
                <c:pt idx="662">
                  <c:v>0.95</c:v>
                </c:pt>
                <c:pt idx="663">
                  <c:v>0.95</c:v>
                </c:pt>
                <c:pt idx="664">
                  <c:v>0.95</c:v>
                </c:pt>
                <c:pt idx="665">
                  <c:v>0.95</c:v>
                </c:pt>
                <c:pt idx="666">
                  <c:v>0.95</c:v>
                </c:pt>
                <c:pt idx="667">
                  <c:v>0.95</c:v>
                </c:pt>
                <c:pt idx="668">
                  <c:v>0.95</c:v>
                </c:pt>
                <c:pt idx="669">
                  <c:v>0.95</c:v>
                </c:pt>
                <c:pt idx="670">
                  <c:v>0.95</c:v>
                </c:pt>
                <c:pt idx="671">
                  <c:v>0.95</c:v>
                </c:pt>
                <c:pt idx="672">
                  <c:v>0.95</c:v>
                </c:pt>
                <c:pt idx="673">
                  <c:v>0.95</c:v>
                </c:pt>
                <c:pt idx="674">
                  <c:v>0.95</c:v>
                </c:pt>
                <c:pt idx="675">
                  <c:v>0.95</c:v>
                </c:pt>
                <c:pt idx="676">
                  <c:v>0.95</c:v>
                </c:pt>
                <c:pt idx="677">
                  <c:v>0.95</c:v>
                </c:pt>
                <c:pt idx="678">
                  <c:v>0.95</c:v>
                </c:pt>
                <c:pt idx="679">
                  <c:v>0.95</c:v>
                </c:pt>
                <c:pt idx="680">
                  <c:v>0.95</c:v>
                </c:pt>
                <c:pt idx="681">
                  <c:v>0.95</c:v>
                </c:pt>
                <c:pt idx="682">
                  <c:v>0.95</c:v>
                </c:pt>
                <c:pt idx="683">
                  <c:v>0.95</c:v>
                </c:pt>
                <c:pt idx="684">
                  <c:v>0.95</c:v>
                </c:pt>
                <c:pt idx="685">
                  <c:v>0.95</c:v>
                </c:pt>
                <c:pt idx="686">
                  <c:v>0.95</c:v>
                </c:pt>
                <c:pt idx="687">
                  <c:v>0.95</c:v>
                </c:pt>
                <c:pt idx="688">
                  <c:v>0.95</c:v>
                </c:pt>
                <c:pt idx="689">
                  <c:v>0.95</c:v>
                </c:pt>
                <c:pt idx="690">
                  <c:v>0.95</c:v>
                </c:pt>
                <c:pt idx="691">
                  <c:v>0.95</c:v>
                </c:pt>
                <c:pt idx="692">
                  <c:v>0.95</c:v>
                </c:pt>
                <c:pt idx="693">
                  <c:v>0.95</c:v>
                </c:pt>
                <c:pt idx="694">
                  <c:v>0.95</c:v>
                </c:pt>
                <c:pt idx="695">
                  <c:v>0.95</c:v>
                </c:pt>
                <c:pt idx="696">
                  <c:v>0.95</c:v>
                </c:pt>
                <c:pt idx="697">
                  <c:v>0.95</c:v>
                </c:pt>
                <c:pt idx="698">
                  <c:v>0.95</c:v>
                </c:pt>
                <c:pt idx="699">
                  <c:v>0.95</c:v>
                </c:pt>
                <c:pt idx="700">
                  <c:v>0.95</c:v>
                </c:pt>
                <c:pt idx="701">
                  <c:v>0.95</c:v>
                </c:pt>
                <c:pt idx="702">
                  <c:v>0.95</c:v>
                </c:pt>
                <c:pt idx="703">
                  <c:v>0.95</c:v>
                </c:pt>
                <c:pt idx="704">
                  <c:v>0.95</c:v>
                </c:pt>
                <c:pt idx="705">
                  <c:v>0.95</c:v>
                </c:pt>
                <c:pt idx="706">
                  <c:v>0.95</c:v>
                </c:pt>
                <c:pt idx="707">
                  <c:v>0.95</c:v>
                </c:pt>
                <c:pt idx="708">
                  <c:v>0.95</c:v>
                </c:pt>
                <c:pt idx="709">
                  <c:v>0.95</c:v>
                </c:pt>
                <c:pt idx="710">
                  <c:v>0.95</c:v>
                </c:pt>
                <c:pt idx="711">
                  <c:v>0.95</c:v>
                </c:pt>
                <c:pt idx="712">
                  <c:v>0.95</c:v>
                </c:pt>
                <c:pt idx="713">
                  <c:v>0.95</c:v>
                </c:pt>
                <c:pt idx="714">
                  <c:v>0.95</c:v>
                </c:pt>
                <c:pt idx="715">
                  <c:v>0.95</c:v>
                </c:pt>
                <c:pt idx="716">
                  <c:v>0.95</c:v>
                </c:pt>
                <c:pt idx="717">
                  <c:v>0.95</c:v>
                </c:pt>
                <c:pt idx="718">
                  <c:v>0.95</c:v>
                </c:pt>
                <c:pt idx="719">
                  <c:v>0.95</c:v>
                </c:pt>
                <c:pt idx="720">
                  <c:v>0.95</c:v>
                </c:pt>
                <c:pt idx="721">
                  <c:v>0.95</c:v>
                </c:pt>
                <c:pt idx="722">
                  <c:v>0.95</c:v>
                </c:pt>
                <c:pt idx="723">
                  <c:v>0.95</c:v>
                </c:pt>
                <c:pt idx="724">
                  <c:v>0.95</c:v>
                </c:pt>
                <c:pt idx="725">
                  <c:v>0.95</c:v>
                </c:pt>
                <c:pt idx="726">
                  <c:v>0.95</c:v>
                </c:pt>
                <c:pt idx="727">
                  <c:v>0.95</c:v>
                </c:pt>
                <c:pt idx="728">
                  <c:v>0.95</c:v>
                </c:pt>
                <c:pt idx="729">
                  <c:v>0.95</c:v>
                </c:pt>
                <c:pt idx="730">
                  <c:v>0.95</c:v>
                </c:pt>
                <c:pt idx="731">
                  <c:v>0.95</c:v>
                </c:pt>
                <c:pt idx="732">
                  <c:v>0.95</c:v>
                </c:pt>
                <c:pt idx="733">
                  <c:v>0.95</c:v>
                </c:pt>
                <c:pt idx="734">
                  <c:v>0.95</c:v>
                </c:pt>
                <c:pt idx="735">
                  <c:v>0.95</c:v>
                </c:pt>
                <c:pt idx="736">
                  <c:v>0.95</c:v>
                </c:pt>
                <c:pt idx="737">
                  <c:v>0.95</c:v>
                </c:pt>
                <c:pt idx="738">
                  <c:v>0.95</c:v>
                </c:pt>
                <c:pt idx="739">
                  <c:v>0.95</c:v>
                </c:pt>
                <c:pt idx="740">
                  <c:v>0.95</c:v>
                </c:pt>
                <c:pt idx="741">
                  <c:v>0.95</c:v>
                </c:pt>
                <c:pt idx="742">
                  <c:v>0.95</c:v>
                </c:pt>
                <c:pt idx="743">
                  <c:v>0.95</c:v>
                </c:pt>
                <c:pt idx="744">
                  <c:v>0.95</c:v>
                </c:pt>
                <c:pt idx="745">
                  <c:v>0.95</c:v>
                </c:pt>
                <c:pt idx="746">
                  <c:v>0.95</c:v>
                </c:pt>
                <c:pt idx="747">
                  <c:v>0.95</c:v>
                </c:pt>
                <c:pt idx="748">
                  <c:v>0.95</c:v>
                </c:pt>
                <c:pt idx="749">
                  <c:v>0.95</c:v>
                </c:pt>
                <c:pt idx="750">
                  <c:v>0.95</c:v>
                </c:pt>
                <c:pt idx="751">
                  <c:v>0.95</c:v>
                </c:pt>
                <c:pt idx="752">
                  <c:v>0.95</c:v>
                </c:pt>
                <c:pt idx="753">
                  <c:v>0.95</c:v>
                </c:pt>
                <c:pt idx="754">
                  <c:v>0.95</c:v>
                </c:pt>
                <c:pt idx="755">
                  <c:v>0.95</c:v>
                </c:pt>
                <c:pt idx="756">
                  <c:v>0.95</c:v>
                </c:pt>
                <c:pt idx="757">
                  <c:v>0.95</c:v>
                </c:pt>
                <c:pt idx="758">
                  <c:v>0.95</c:v>
                </c:pt>
                <c:pt idx="759">
                  <c:v>0.95</c:v>
                </c:pt>
                <c:pt idx="760">
                  <c:v>0.95</c:v>
                </c:pt>
                <c:pt idx="761">
                  <c:v>0.95</c:v>
                </c:pt>
                <c:pt idx="762">
                  <c:v>0.95</c:v>
                </c:pt>
                <c:pt idx="763">
                  <c:v>0.95</c:v>
                </c:pt>
                <c:pt idx="764">
                  <c:v>0.95</c:v>
                </c:pt>
                <c:pt idx="765">
                  <c:v>0.95</c:v>
                </c:pt>
                <c:pt idx="766">
                  <c:v>0.95</c:v>
                </c:pt>
                <c:pt idx="767">
                  <c:v>0.95</c:v>
                </c:pt>
                <c:pt idx="768">
                  <c:v>0.95</c:v>
                </c:pt>
                <c:pt idx="769">
                  <c:v>0.95</c:v>
                </c:pt>
                <c:pt idx="770">
                  <c:v>0.95</c:v>
                </c:pt>
                <c:pt idx="771">
                  <c:v>0.95</c:v>
                </c:pt>
                <c:pt idx="772">
                  <c:v>0.95</c:v>
                </c:pt>
                <c:pt idx="773">
                  <c:v>0.95</c:v>
                </c:pt>
                <c:pt idx="774">
                  <c:v>0.95</c:v>
                </c:pt>
                <c:pt idx="775">
                  <c:v>0.95</c:v>
                </c:pt>
                <c:pt idx="776">
                  <c:v>0.95</c:v>
                </c:pt>
                <c:pt idx="777">
                  <c:v>0.95</c:v>
                </c:pt>
                <c:pt idx="778">
                  <c:v>0.95</c:v>
                </c:pt>
                <c:pt idx="779">
                  <c:v>0.95</c:v>
                </c:pt>
                <c:pt idx="780">
                  <c:v>0.95</c:v>
                </c:pt>
                <c:pt idx="781">
                  <c:v>0.95</c:v>
                </c:pt>
                <c:pt idx="782">
                  <c:v>0.95</c:v>
                </c:pt>
                <c:pt idx="783">
                  <c:v>0.95</c:v>
                </c:pt>
                <c:pt idx="784">
                  <c:v>0.95</c:v>
                </c:pt>
                <c:pt idx="785">
                  <c:v>0.95</c:v>
                </c:pt>
                <c:pt idx="786">
                  <c:v>0.95</c:v>
                </c:pt>
                <c:pt idx="787">
                  <c:v>0.95</c:v>
                </c:pt>
                <c:pt idx="788">
                  <c:v>0.95</c:v>
                </c:pt>
                <c:pt idx="789">
                  <c:v>0.95</c:v>
                </c:pt>
                <c:pt idx="790">
                  <c:v>0.95</c:v>
                </c:pt>
                <c:pt idx="791">
                  <c:v>0.95</c:v>
                </c:pt>
                <c:pt idx="792">
                  <c:v>0.95</c:v>
                </c:pt>
                <c:pt idx="793">
                  <c:v>0.95</c:v>
                </c:pt>
                <c:pt idx="794">
                  <c:v>0.95</c:v>
                </c:pt>
                <c:pt idx="795">
                  <c:v>0.95</c:v>
                </c:pt>
                <c:pt idx="796">
                  <c:v>0.95</c:v>
                </c:pt>
                <c:pt idx="797">
                  <c:v>0.95</c:v>
                </c:pt>
                <c:pt idx="798">
                  <c:v>0.95</c:v>
                </c:pt>
                <c:pt idx="799">
                  <c:v>0.95</c:v>
                </c:pt>
                <c:pt idx="800">
                  <c:v>0.95</c:v>
                </c:pt>
                <c:pt idx="801">
                  <c:v>0.95</c:v>
                </c:pt>
                <c:pt idx="802">
                  <c:v>0.95</c:v>
                </c:pt>
                <c:pt idx="803">
                  <c:v>0.95</c:v>
                </c:pt>
                <c:pt idx="804">
                  <c:v>0.95</c:v>
                </c:pt>
                <c:pt idx="805">
                  <c:v>0.95</c:v>
                </c:pt>
                <c:pt idx="806">
                  <c:v>0.95</c:v>
                </c:pt>
                <c:pt idx="807">
                  <c:v>0.95</c:v>
                </c:pt>
                <c:pt idx="808">
                  <c:v>0.95</c:v>
                </c:pt>
                <c:pt idx="809">
                  <c:v>0.95</c:v>
                </c:pt>
                <c:pt idx="810">
                  <c:v>0.95</c:v>
                </c:pt>
                <c:pt idx="811">
                  <c:v>0.95</c:v>
                </c:pt>
                <c:pt idx="812">
                  <c:v>0.95</c:v>
                </c:pt>
                <c:pt idx="813">
                  <c:v>0.95</c:v>
                </c:pt>
                <c:pt idx="814">
                  <c:v>0.95</c:v>
                </c:pt>
                <c:pt idx="815">
                  <c:v>0.95</c:v>
                </c:pt>
                <c:pt idx="816">
                  <c:v>0.95</c:v>
                </c:pt>
                <c:pt idx="817">
                  <c:v>0.95</c:v>
                </c:pt>
                <c:pt idx="818">
                  <c:v>0.95</c:v>
                </c:pt>
                <c:pt idx="819">
                  <c:v>0.95</c:v>
                </c:pt>
                <c:pt idx="820">
                  <c:v>0.95</c:v>
                </c:pt>
                <c:pt idx="821">
                  <c:v>0.95</c:v>
                </c:pt>
                <c:pt idx="822">
                  <c:v>0.95</c:v>
                </c:pt>
                <c:pt idx="823">
                  <c:v>0.95</c:v>
                </c:pt>
                <c:pt idx="824">
                  <c:v>0.95</c:v>
                </c:pt>
                <c:pt idx="825">
                  <c:v>0.95</c:v>
                </c:pt>
                <c:pt idx="826">
                  <c:v>0.95</c:v>
                </c:pt>
                <c:pt idx="827">
                  <c:v>0.95</c:v>
                </c:pt>
                <c:pt idx="828">
                  <c:v>0.95</c:v>
                </c:pt>
                <c:pt idx="829">
                  <c:v>0.95</c:v>
                </c:pt>
                <c:pt idx="830">
                  <c:v>0.95</c:v>
                </c:pt>
                <c:pt idx="831">
                  <c:v>0.95</c:v>
                </c:pt>
                <c:pt idx="832">
                  <c:v>0.95</c:v>
                </c:pt>
                <c:pt idx="833">
                  <c:v>0.95</c:v>
                </c:pt>
                <c:pt idx="834">
                  <c:v>0.95</c:v>
                </c:pt>
                <c:pt idx="835">
                  <c:v>0.95</c:v>
                </c:pt>
                <c:pt idx="836">
                  <c:v>0.95</c:v>
                </c:pt>
                <c:pt idx="837">
                  <c:v>0.95</c:v>
                </c:pt>
                <c:pt idx="838">
                  <c:v>0.95</c:v>
                </c:pt>
                <c:pt idx="839">
                  <c:v>0.95</c:v>
                </c:pt>
                <c:pt idx="840">
                  <c:v>0.95</c:v>
                </c:pt>
                <c:pt idx="841">
                  <c:v>0.95</c:v>
                </c:pt>
                <c:pt idx="842">
                  <c:v>0.95</c:v>
                </c:pt>
                <c:pt idx="843">
                  <c:v>0.95</c:v>
                </c:pt>
                <c:pt idx="844">
                  <c:v>0.95</c:v>
                </c:pt>
                <c:pt idx="845">
                  <c:v>0.95</c:v>
                </c:pt>
                <c:pt idx="846">
                  <c:v>0.95</c:v>
                </c:pt>
                <c:pt idx="847">
                  <c:v>0.95</c:v>
                </c:pt>
                <c:pt idx="848">
                  <c:v>0.95</c:v>
                </c:pt>
                <c:pt idx="849">
                  <c:v>0.95</c:v>
                </c:pt>
                <c:pt idx="850">
                  <c:v>0.95</c:v>
                </c:pt>
                <c:pt idx="851">
                  <c:v>0.95</c:v>
                </c:pt>
                <c:pt idx="852">
                  <c:v>0.95</c:v>
                </c:pt>
                <c:pt idx="853">
                  <c:v>0.95</c:v>
                </c:pt>
                <c:pt idx="854">
                  <c:v>0.95</c:v>
                </c:pt>
                <c:pt idx="855">
                  <c:v>0.95</c:v>
                </c:pt>
                <c:pt idx="856">
                  <c:v>0.95</c:v>
                </c:pt>
                <c:pt idx="857">
                  <c:v>0.95</c:v>
                </c:pt>
                <c:pt idx="858">
                  <c:v>0.95</c:v>
                </c:pt>
                <c:pt idx="859">
                  <c:v>0.95</c:v>
                </c:pt>
                <c:pt idx="860">
                  <c:v>0.95</c:v>
                </c:pt>
                <c:pt idx="861">
                  <c:v>0.95</c:v>
                </c:pt>
                <c:pt idx="862">
                  <c:v>0.95</c:v>
                </c:pt>
                <c:pt idx="863">
                  <c:v>0.95</c:v>
                </c:pt>
                <c:pt idx="864">
                  <c:v>0.95</c:v>
                </c:pt>
                <c:pt idx="865">
                  <c:v>0.95</c:v>
                </c:pt>
                <c:pt idx="866">
                  <c:v>0.95</c:v>
                </c:pt>
                <c:pt idx="867">
                  <c:v>0.95</c:v>
                </c:pt>
                <c:pt idx="868">
                  <c:v>0.95</c:v>
                </c:pt>
                <c:pt idx="869">
                  <c:v>0.95</c:v>
                </c:pt>
                <c:pt idx="870">
                  <c:v>0.95</c:v>
                </c:pt>
                <c:pt idx="871">
                  <c:v>0.95</c:v>
                </c:pt>
                <c:pt idx="872">
                  <c:v>0.95</c:v>
                </c:pt>
                <c:pt idx="873">
                  <c:v>0.95</c:v>
                </c:pt>
                <c:pt idx="874">
                  <c:v>0.95</c:v>
                </c:pt>
                <c:pt idx="875">
                  <c:v>0.95</c:v>
                </c:pt>
                <c:pt idx="876">
                  <c:v>0.95</c:v>
                </c:pt>
                <c:pt idx="877">
                  <c:v>0.95</c:v>
                </c:pt>
                <c:pt idx="878">
                  <c:v>0.95</c:v>
                </c:pt>
                <c:pt idx="879">
                  <c:v>0.95</c:v>
                </c:pt>
                <c:pt idx="880">
                  <c:v>0.95</c:v>
                </c:pt>
                <c:pt idx="881">
                  <c:v>0.95</c:v>
                </c:pt>
                <c:pt idx="882">
                  <c:v>0.95</c:v>
                </c:pt>
                <c:pt idx="883">
                  <c:v>0.95</c:v>
                </c:pt>
                <c:pt idx="884">
                  <c:v>0.95</c:v>
                </c:pt>
                <c:pt idx="885">
                  <c:v>0.95</c:v>
                </c:pt>
                <c:pt idx="886">
                  <c:v>0.95</c:v>
                </c:pt>
                <c:pt idx="887">
                  <c:v>0.95</c:v>
                </c:pt>
                <c:pt idx="888">
                  <c:v>0.95</c:v>
                </c:pt>
                <c:pt idx="889">
                  <c:v>0.95</c:v>
                </c:pt>
                <c:pt idx="890">
                  <c:v>0.95</c:v>
                </c:pt>
                <c:pt idx="891">
                  <c:v>0.95</c:v>
                </c:pt>
                <c:pt idx="892">
                  <c:v>0.95</c:v>
                </c:pt>
                <c:pt idx="893">
                  <c:v>0.95</c:v>
                </c:pt>
                <c:pt idx="894">
                  <c:v>0.95</c:v>
                </c:pt>
                <c:pt idx="895">
                  <c:v>0.95</c:v>
                </c:pt>
                <c:pt idx="896">
                  <c:v>0.95</c:v>
                </c:pt>
                <c:pt idx="897">
                  <c:v>0.95</c:v>
                </c:pt>
                <c:pt idx="898">
                  <c:v>0.95</c:v>
                </c:pt>
                <c:pt idx="899">
                  <c:v>0.95</c:v>
                </c:pt>
                <c:pt idx="900">
                  <c:v>0.95</c:v>
                </c:pt>
                <c:pt idx="901">
                  <c:v>0.95</c:v>
                </c:pt>
                <c:pt idx="902">
                  <c:v>0.95</c:v>
                </c:pt>
                <c:pt idx="903">
                  <c:v>0.95</c:v>
                </c:pt>
                <c:pt idx="904">
                  <c:v>0.95</c:v>
                </c:pt>
                <c:pt idx="905">
                  <c:v>0.95</c:v>
                </c:pt>
                <c:pt idx="906">
                  <c:v>0.95</c:v>
                </c:pt>
                <c:pt idx="907">
                  <c:v>0.95</c:v>
                </c:pt>
                <c:pt idx="908">
                  <c:v>0.95</c:v>
                </c:pt>
                <c:pt idx="909">
                  <c:v>0.95</c:v>
                </c:pt>
                <c:pt idx="910">
                  <c:v>0.95</c:v>
                </c:pt>
                <c:pt idx="911">
                  <c:v>0.95</c:v>
                </c:pt>
                <c:pt idx="912">
                  <c:v>0.95</c:v>
                </c:pt>
                <c:pt idx="913">
                  <c:v>0.95</c:v>
                </c:pt>
                <c:pt idx="914">
                  <c:v>0.95</c:v>
                </c:pt>
                <c:pt idx="915">
                  <c:v>0.95</c:v>
                </c:pt>
                <c:pt idx="916">
                  <c:v>0.95</c:v>
                </c:pt>
                <c:pt idx="917">
                  <c:v>0.95</c:v>
                </c:pt>
                <c:pt idx="918">
                  <c:v>0.95</c:v>
                </c:pt>
                <c:pt idx="919">
                  <c:v>0.95</c:v>
                </c:pt>
                <c:pt idx="920">
                  <c:v>0.95</c:v>
                </c:pt>
                <c:pt idx="921">
                  <c:v>0.95</c:v>
                </c:pt>
                <c:pt idx="922">
                  <c:v>0.95</c:v>
                </c:pt>
                <c:pt idx="923">
                  <c:v>0.95</c:v>
                </c:pt>
                <c:pt idx="924">
                  <c:v>0.95</c:v>
                </c:pt>
                <c:pt idx="925">
                  <c:v>0.95</c:v>
                </c:pt>
                <c:pt idx="926">
                  <c:v>0.95</c:v>
                </c:pt>
                <c:pt idx="927">
                  <c:v>0.95</c:v>
                </c:pt>
                <c:pt idx="928">
                  <c:v>0.95</c:v>
                </c:pt>
                <c:pt idx="929">
                  <c:v>0.95</c:v>
                </c:pt>
                <c:pt idx="930">
                  <c:v>0.95</c:v>
                </c:pt>
                <c:pt idx="931">
                  <c:v>0.95</c:v>
                </c:pt>
                <c:pt idx="932">
                  <c:v>0.95</c:v>
                </c:pt>
                <c:pt idx="933">
                  <c:v>0.95</c:v>
                </c:pt>
                <c:pt idx="934">
                  <c:v>0.95</c:v>
                </c:pt>
                <c:pt idx="935">
                  <c:v>0.95</c:v>
                </c:pt>
                <c:pt idx="936">
                  <c:v>0.95</c:v>
                </c:pt>
                <c:pt idx="937">
                  <c:v>0.95</c:v>
                </c:pt>
                <c:pt idx="938">
                  <c:v>0.95</c:v>
                </c:pt>
                <c:pt idx="939">
                  <c:v>0.95</c:v>
                </c:pt>
                <c:pt idx="940">
                  <c:v>0.95</c:v>
                </c:pt>
                <c:pt idx="941">
                  <c:v>0.95</c:v>
                </c:pt>
                <c:pt idx="942">
                  <c:v>0.95</c:v>
                </c:pt>
                <c:pt idx="943">
                  <c:v>0.95</c:v>
                </c:pt>
                <c:pt idx="944">
                  <c:v>0.95</c:v>
                </c:pt>
                <c:pt idx="945">
                  <c:v>0.95</c:v>
                </c:pt>
                <c:pt idx="946">
                  <c:v>0.95</c:v>
                </c:pt>
                <c:pt idx="947">
                  <c:v>0.95</c:v>
                </c:pt>
                <c:pt idx="948">
                  <c:v>0.95</c:v>
                </c:pt>
                <c:pt idx="949">
                  <c:v>0.95</c:v>
                </c:pt>
                <c:pt idx="950">
                  <c:v>0.95</c:v>
                </c:pt>
                <c:pt idx="951">
                  <c:v>0.95</c:v>
                </c:pt>
                <c:pt idx="952">
                  <c:v>0.95</c:v>
                </c:pt>
                <c:pt idx="953">
                  <c:v>0.95</c:v>
                </c:pt>
                <c:pt idx="954">
                  <c:v>0.95</c:v>
                </c:pt>
                <c:pt idx="955">
                  <c:v>0.95</c:v>
                </c:pt>
                <c:pt idx="956">
                  <c:v>0.95</c:v>
                </c:pt>
                <c:pt idx="957">
                  <c:v>0.95</c:v>
                </c:pt>
                <c:pt idx="958">
                  <c:v>0.95</c:v>
                </c:pt>
                <c:pt idx="959">
                  <c:v>0.95</c:v>
                </c:pt>
                <c:pt idx="960">
                  <c:v>0.95</c:v>
                </c:pt>
                <c:pt idx="961">
                  <c:v>0.95</c:v>
                </c:pt>
                <c:pt idx="962">
                  <c:v>0.95</c:v>
                </c:pt>
                <c:pt idx="963">
                  <c:v>0.95</c:v>
                </c:pt>
                <c:pt idx="964">
                  <c:v>0.95</c:v>
                </c:pt>
                <c:pt idx="965">
                  <c:v>0.95</c:v>
                </c:pt>
                <c:pt idx="966">
                  <c:v>0.95</c:v>
                </c:pt>
                <c:pt idx="967">
                  <c:v>0.95</c:v>
                </c:pt>
                <c:pt idx="968">
                  <c:v>0.95</c:v>
                </c:pt>
                <c:pt idx="969">
                  <c:v>0.95</c:v>
                </c:pt>
                <c:pt idx="970">
                  <c:v>0.95</c:v>
                </c:pt>
                <c:pt idx="971">
                  <c:v>0.95</c:v>
                </c:pt>
                <c:pt idx="972">
                  <c:v>0.95</c:v>
                </c:pt>
                <c:pt idx="973">
                  <c:v>0.95</c:v>
                </c:pt>
                <c:pt idx="974">
                  <c:v>0.95</c:v>
                </c:pt>
                <c:pt idx="975">
                  <c:v>0.95</c:v>
                </c:pt>
                <c:pt idx="976">
                  <c:v>0.95</c:v>
                </c:pt>
                <c:pt idx="977">
                  <c:v>0.95</c:v>
                </c:pt>
                <c:pt idx="978">
                  <c:v>0.95</c:v>
                </c:pt>
                <c:pt idx="979">
                  <c:v>0.95</c:v>
                </c:pt>
                <c:pt idx="980">
                  <c:v>0.95</c:v>
                </c:pt>
                <c:pt idx="981">
                  <c:v>0.95</c:v>
                </c:pt>
                <c:pt idx="982">
                  <c:v>0.95</c:v>
                </c:pt>
                <c:pt idx="983">
                  <c:v>0.95</c:v>
                </c:pt>
                <c:pt idx="984">
                  <c:v>0.95</c:v>
                </c:pt>
                <c:pt idx="985">
                  <c:v>0.95</c:v>
                </c:pt>
                <c:pt idx="986">
                  <c:v>0.95</c:v>
                </c:pt>
                <c:pt idx="987">
                  <c:v>0.95</c:v>
                </c:pt>
                <c:pt idx="988">
                  <c:v>0.95</c:v>
                </c:pt>
                <c:pt idx="989">
                  <c:v>0.95</c:v>
                </c:pt>
                <c:pt idx="990">
                  <c:v>0.95</c:v>
                </c:pt>
                <c:pt idx="991">
                  <c:v>0.95</c:v>
                </c:pt>
                <c:pt idx="992">
                  <c:v>0.95</c:v>
                </c:pt>
                <c:pt idx="993">
                  <c:v>0.95</c:v>
                </c:pt>
                <c:pt idx="994">
                  <c:v>0.95</c:v>
                </c:pt>
                <c:pt idx="995">
                  <c:v>0.95</c:v>
                </c:pt>
                <c:pt idx="996">
                  <c:v>0.95</c:v>
                </c:pt>
                <c:pt idx="997">
                  <c:v>0.95</c:v>
                </c:pt>
                <c:pt idx="998">
                  <c:v>0.95</c:v>
                </c:pt>
                <c:pt idx="999">
                  <c:v>0.95</c:v>
                </c:pt>
                <c:pt idx="1000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78-4FD2-BB48-FA8CA7329F8B}"/>
            </c:ext>
          </c:extLst>
        </c:ser>
        <c:ser>
          <c:idx val="4"/>
          <c:order val="4"/>
          <c:tx>
            <c:strRef>
              <c:f>Лист4!$Q$1</c:f>
              <c:strCache>
                <c:ptCount val="1"/>
                <c:pt idx="0">
                  <c:v>f(t)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Лист4!$Q$2:$Q$1002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78-4FD2-BB48-FA8CA732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901887"/>
        <c:axId val="1564903967"/>
      </c:lineChart>
      <c:catAx>
        <c:axId val="156490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3967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156490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>
            <a:solidFill>
              <a:schemeClr val="tx1"/>
            </a:solidFill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Лист4!$N$1</c:f>
              <c:strCache>
                <c:ptCount val="1"/>
                <c:pt idx="0">
                  <c:v>e(nT0)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Лист4!$N$2:$N$1002</c:f>
              <c:numCache>
                <c:formatCode>0.000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0.99084458686198218</c:v>
                </c:pt>
                <c:pt idx="64">
                  <c:v>0.96490424963759824</c:v>
                </c:pt>
                <c:pt idx="65">
                  <c:v>0.92370489051651794</c:v>
                </c:pt>
                <c:pt idx="66">
                  <c:v>0.87640192263675898</c:v>
                </c:pt>
                <c:pt idx="67">
                  <c:v>0.83215075913633929</c:v>
                </c:pt>
                <c:pt idx="68">
                  <c:v>0.78942549782558935</c:v>
                </c:pt>
                <c:pt idx="69">
                  <c:v>0.74822613870450905</c:v>
                </c:pt>
                <c:pt idx="70">
                  <c:v>0.70855268177309827</c:v>
                </c:pt>
                <c:pt idx="71">
                  <c:v>0.67040512703135735</c:v>
                </c:pt>
                <c:pt idx="72">
                  <c:v>0.63530937666895548</c:v>
                </c:pt>
                <c:pt idx="73">
                  <c:v>0.60021362630655384</c:v>
                </c:pt>
                <c:pt idx="74">
                  <c:v>0.56511787594415197</c:v>
                </c:pt>
                <c:pt idx="75">
                  <c:v>0.53307392996108949</c:v>
                </c:pt>
                <c:pt idx="76">
                  <c:v>0.501029983978027</c:v>
                </c:pt>
                <c:pt idx="77">
                  <c:v>0.46898603799496452</c:v>
                </c:pt>
                <c:pt idx="78">
                  <c:v>0.43846799420157168</c:v>
                </c:pt>
                <c:pt idx="79">
                  <c:v>0.40947585259784847</c:v>
                </c:pt>
                <c:pt idx="80">
                  <c:v>0.38048371099412526</c:v>
                </c:pt>
                <c:pt idx="81">
                  <c:v>0.35149156939040205</c:v>
                </c:pt>
                <c:pt idx="82">
                  <c:v>0.32402532997634848</c:v>
                </c:pt>
                <c:pt idx="83">
                  <c:v>0.2965590905622949</c:v>
                </c:pt>
                <c:pt idx="84">
                  <c:v>0.26909285114824144</c:v>
                </c:pt>
                <c:pt idx="85">
                  <c:v>0.24162661173418787</c:v>
                </c:pt>
                <c:pt idx="86">
                  <c:v>0.21568627450980393</c:v>
                </c:pt>
                <c:pt idx="87">
                  <c:v>0.19127183947508952</c:v>
                </c:pt>
                <c:pt idx="88">
                  <c:v>0.16838330663004497</c:v>
                </c:pt>
                <c:pt idx="89">
                  <c:v>0.14854657816433969</c:v>
                </c:pt>
                <c:pt idx="90">
                  <c:v>0.13023575188830394</c:v>
                </c:pt>
                <c:pt idx="91">
                  <c:v>0.11345082780193794</c:v>
                </c:pt>
                <c:pt idx="92">
                  <c:v>9.8191805905241569E-2</c:v>
                </c:pt>
                <c:pt idx="93">
                  <c:v>8.5984588387884253E-2</c:v>
                </c:pt>
                <c:pt idx="94">
                  <c:v>7.3777370870527159E-2</c:v>
                </c:pt>
                <c:pt idx="95">
                  <c:v>6.4621957732509339E-2</c:v>
                </c:pt>
                <c:pt idx="96">
                  <c:v>5.5466544594491518E-2</c:v>
                </c:pt>
                <c:pt idx="97">
                  <c:v>4.7837033646143223E-2</c:v>
                </c:pt>
                <c:pt idx="98">
                  <c:v>4.1733424887464676E-2</c:v>
                </c:pt>
                <c:pt idx="99">
                  <c:v>3.5629816128786129E-2</c:v>
                </c:pt>
                <c:pt idx="100">
                  <c:v>3.1052109559777219E-2</c:v>
                </c:pt>
                <c:pt idx="101">
                  <c:v>2.6474402990768309E-2</c:v>
                </c:pt>
                <c:pt idx="102">
                  <c:v>2.3422598611429035E-2</c:v>
                </c:pt>
                <c:pt idx="103">
                  <c:v>2.1896696421759398E-2</c:v>
                </c:pt>
                <c:pt idx="104">
                  <c:v>2.0370794232089762E-2</c:v>
                </c:pt>
                <c:pt idx="105">
                  <c:v>1.8844892042420125E-2</c:v>
                </c:pt>
                <c:pt idx="106">
                  <c:v>1.8844892042420125E-2</c:v>
                </c:pt>
                <c:pt idx="107">
                  <c:v>1.8844892042420125E-2</c:v>
                </c:pt>
                <c:pt idx="108">
                  <c:v>2.0370794232089762E-2</c:v>
                </c:pt>
                <c:pt idx="109">
                  <c:v>2.1896696421759398E-2</c:v>
                </c:pt>
                <c:pt idx="110">
                  <c:v>2.3422598611429035E-2</c:v>
                </c:pt>
                <c:pt idx="111">
                  <c:v>2.6474402990768309E-2</c:v>
                </c:pt>
                <c:pt idx="112">
                  <c:v>2.9526207370107582E-2</c:v>
                </c:pt>
                <c:pt idx="113">
                  <c:v>3.2578011749446856E-2</c:v>
                </c:pt>
                <c:pt idx="114">
                  <c:v>3.5629816128786129E-2</c:v>
                </c:pt>
                <c:pt idx="115">
                  <c:v>3.8681620508125403E-2</c:v>
                </c:pt>
                <c:pt idx="116">
                  <c:v>4.1733424887464676E-2</c:v>
                </c:pt>
                <c:pt idx="117">
                  <c:v>4.6311131456473587E-2</c:v>
                </c:pt>
                <c:pt idx="118">
                  <c:v>4.9362935835812971E-2</c:v>
                </c:pt>
                <c:pt idx="119">
                  <c:v>5.2414740215152245E-2</c:v>
                </c:pt>
                <c:pt idx="120">
                  <c:v>5.5466544594491518E-2</c:v>
                </c:pt>
                <c:pt idx="121">
                  <c:v>5.8518348973830792E-2</c:v>
                </c:pt>
                <c:pt idx="122">
                  <c:v>6.1570153353170065E-2</c:v>
                </c:pt>
                <c:pt idx="123">
                  <c:v>6.3096055542839702E-2</c:v>
                </c:pt>
                <c:pt idx="124">
                  <c:v>6.6147859922178975E-2</c:v>
                </c:pt>
                <c:pt idx="125">
                  <c:v>6.7673762111848612E-2</c:v>
                </c:pt>
                <c:pt idx="126">
                  <c:v>7.0725566491187886E-2</c:v>
                </c:pt>
                <c:pt idx="127">
                  <c:v>7.2251468680857522E-2</c:v>
                </c:pt>
                <c:pt idx="128">
                  <c:v>7.3777370870527159E-2</c:v>
                </c:pt>
                <c:pt idx="129">
                  <c:v>7.3777370870527159E-2</c:v>
                </c:pt>
                <c:pt idx="130">
                  <c:v>7.5303273060196796E-2</c:v>
                </c:pt>
                <c:pt idx="131">
                  <c:v>7.5303273060196796E-2</c:v>
                </c:pt>
                <c:pt idx="132">
                  <c:v>7.6829175249866433E-2</c:v>
                </c:pt>
                <c:pt idx="133">
                  <c:v>7.6829175249866433E-2</c:v>
                </c:pt>
                <c:pt idx="134">
                  <c:v>7.6829175249866433E-2</c:v>
                </c:pt>
                <c:pt idx="135">
                  <c:v>7.5303273060196796E-2</c:v>
                </c:pt>
                <c:pt idx="136">
                  <c:v>7.5303273060196796E-2</c:v>
                </c:pt>
                <c:pt idx="137">
                  <c:v>7.3777370870527159E-2</c:v>
                </c:pt>
                <c:pt idx="138">
                  <c:v>7.2251468680857522E-2</c:v>
                </c:pt>
                <c:pt idx="139">
                  <c:v>7.2251468680857522E-2</c:v>
                </c:pt>
                <c:pt idx="140">
                  <c:v>6.9199664301518249E-2</c:v>
                </c:pt>
                <c:pt idx="141">
                  <c:v>6.7673762111848612E-2</c:v>
                </c:pt>
                <c:pt idx="142">
                  <c:v>6.6147859922178975E-2</c:v>
                </c:pt>
                <c:pt idx="143">
                  <c:v>6.4621957732509339E-2</c:v>
                </c:pt>
                <c:pt idx="144">
                  <c:v>6.1570153353170065E-2</c:v>
                </c:pt>
                <c:pt idx="145">
                  <c:v>6.0044251163500428E-2</c:v>
                </c:pt>
                <c:pt idx="146">
                  <c:v>5.6992446784161155E-2</c:v>
                </c:pt>
                <c:pt idx="147">
                  <c:v>5.3940642404821881E-2</c:v>
                </c:pt>
                <c:pt idx="148">
                  <c:v>5.2414740215152245E-2</c:v>
                </c:pt>
                <c:pt idx="149">
                  <c:v>4.9362935835812971E-2</c:v>
                </c:pt>
                <c:pt idx="150">
                  <c:v>4.6311131456473587E-2</c:v>
                </c:pt>
                <c:pt idx="151">
                  <c:v>4.3259327077134313E-2</c:v>
                </c:pt>
                <c:pt idx="152">
                  <c:v>4.1733424887464676E-2</c:v>
                </c:pt>
                <c:pt idx="153">
                  <c:v>3.8681620508125403E-2</c:v>
                </c:pt>
                <c:pt idx="154">
                  <c:v>3.5629816128786129E-2</c:v>
                </c:pt>
                <c:pt idx="155">
                  <c:v>3.2578011749446856E-2</c:v>
                </c:pt>
                <c:pt idx="156">
                  <c:v>3.1052109559777219E-2</c:v>
                </c:pt>
                <c:pt idx="157">
                  <c:v>2.8000305180437945E-2</c:v>
                </c:pt>
                <c:pt idx="158">
                  <c:v>2.4948500801098672E-2</c:v>
                </c:pt>
                <c:pt idx="159">
                  <c:v>2.3422598611429035E-2</c:v>
                </c:pt>
                <c:pt idx="160">
                  <c:v>2.0370794232089762E-2</c:v>
                </c:pt>
                <c:pt idx="161">
                  <c:v>1.7318989852750488E-2</c:v>
                </c:pt>
                <c:pt idx="162">
                  <c:v>1.5793087663080851E-2</c:v>
                </c:pt>
                <c:pt idx="163">
                  <c:v>1.4267185473411215E-2</c:v>
                </c:pt>
                <c:pt idx="164">
                  <c:v>1.1215381094071941E-2</c:v>
                </c:pt>
                <c:pt idx="165">
                  <c:v>9.6894789044023044E-3</c:v>
                </c:pt>
                <c:pt idx="166">
                  <c:v>8.1635767147326677E-3</c:v>
                </c:pt>
                <c:pt idx="167">
                  <c:v>6.6376745250630309E-3</c:v>
                </c:pt>
                <c:pt idx="168">
                  <c:v>5.1117723353933942E-3</c:v>
                </c:pt>
                <c:pt idx="169">
                  <c:v>3.5858701457237574E-3</c:v>
                </c:pt>
                <c:pt idx="170">
                  <c:v>2.0599679560541206E-3</c:v>
                </c:pt>
                <c:pt idx="171">
                  <c:v>5.3406576638448389E-4</c:v>
                </c:pt>
                <c:pt idx="172">
                  <c:v>-9.9183642328526389E-4</c:v>
                </c:pt>
                <c:pt idx="173">
                  <c:v>-2.5177386129549006E-3</c:v>
                </c:pt>
                <c:pt idx="174">
                  <c:v>-2.5177386129549006E-3</c:v>
                </c:pt>
                <c:pt idx="175">
                  <c:v>-4.0436408026245374E-3</c:v>
                </c:pt>
                <c:pt idx="176">
                  <c:v>-4.0436408026245374E-3</c:v>
                </c:pt>
                <c:pt idx="177">
                  <c:v>-5.5695429922941742E-3</c:v>
                </c:pt>
                <c:pt idx="178">
                  <c:v>-5.5695429922941742E-3</c:v>
                </c:pt>
                <c:pt idx="179">
                  <c:v>-5.5695429922941742E-3</c:v>
                </c:pt>
                <c:pt idx="180">
                  <c:v>-7.0954451819638109E-3</c:v>
                </c:pt>
                <c:pt idx="181">
                  <c:v>-7.0954451819638109E-3</c:v>
                </c:pt>
                <c:pt idx="182">
                  <c:v>-7.0954451819638109E-3</c:v>
                </c:pt>
                <c:pt idx="183">
                  <c:v>-7.0954451819638109E-3</c:v>
                </c:pt>
                <c:pt idx="184">
                  <c:v>-7.0954451819638109E-3</c:v>
                </c:pt>
                <c:pt idx="185">
                  <c:v>-7.0954451819638109E-3</c:v>
                </c:pt>
                <c:pt idx="186">
                  <c:v>-7.0954451819638109E-3</c:v>
                </c:pt>
                <c:pt idx="187">
                  <c:v>-7.0954451819638109E-3</c:v>
                </c:pt>
                <c:pt idx="188">
                  <c:v>-7.0954451819638109E-3</c:v>
                </c:pt>
                <c:pt idx="189">
                  <c:v>-7.0954451819638109E-3</c:v>
                </c:pt>
                <c:pt idx="190">
                  <c:v>-7.0954451819638109E-3</c:v>
                </c:pt>
                <c:pt idx="191">
                  <c:v>-7.0954451819638109E-3</c:v>
                </c:pt>
                <c:pt idx="192">
                  <c:v>-5.5695429922941742E-3</c:v>
                </c:pt>
                <c:pt idx="193">
                  <c:v>-5.5695429922941742E-3</c:v>
                </c:pt>
                <c:pt idx="194">
                  <c:v>-5.5695429922941742E-3</c:v>
                </c:pt>
                <c:pt idx="195">
                  <c:v>-5.5695429922941742E-3</c:v>
                </c:pt>
                <c:pt idx="196">
                  <c:v>-4.0436408026245374E-3</c:v>
                </c:pt>
                <c:pt idx="197">
                  <c:v>-4.0436408026245374E-3</c:v>
                </c:pt>
                <c:pt idx="198">
                  <c:v>-4.0436408026245374E-3</c:v>
                </c:pt>
                <c:pt idx="199">
                  <c:v>-4.0436408026245374E-3</c:v>
                </c:pt>
                <c:pt idx="200">
                  <c:v>-2.5177386129549006E-3</c:v>
                </c:pt>
                <c:pt idx="201">
                  <c:v>-2.5177386129549006E-3</c:v>
                </c:pt>
                <c:pt idx="202">
                  <c:v>-2.5177386129549006E-3</c:v>
                </c:pt>
                <c:pt idx="203">
                  <c:v>-2.5177386129549006E-3</c:v>
                </c:pt>
                <c:pt idx="204">
                  <c:v>-9.9183642328526389E-4</c:v>
                </c:pt>
                <c:pt idx="205">
                  <c:v>-9.9183642328526389E-4</c:v>
                </c:pt>
                <c:pt idx="206">
                  <c:v>-9.9183642328526389E-4</c:v>
                </c:pt>
                <c:pt idx="207">
                  <c:v>-9.9183642328526389E-4</c:v>
                </c:pt>
                <c:pt idx="208">
                  <c:v>-9.9183642328526389E-4</c:v>
                </c:pt>
                <c:pt idx="209">
                  <c:v>-9.9183642328526389E-4</c:v>
                </c:pt>
                <c:pt idx="210">
                  <c:v>-9.9183642328526389E-4</c:v>
                </c:pt>
                <c:pt idx="211">
                  <c:v>5.3406576638448389E-4</c:v>
                </c:pt>
                <c:pt idx="212">
                  <c:v>5.3406576638448389E-4</c:v>
                </c:pt>
                <c:pt idx="213">
                  <c:v>5.3406576638448389E-4</c:v>
                </c:pt>
                <c:pt idx="214">
                  <c:v>5.3406576638448389E-4</c:v>
                </c:pt>
                <c:pt idx="215">
                  <c:v>5.3406576638448389E-4</c:v>
                </c:pt>
                <c:pt idx="216">
                  <c:v>5.3406576638448389E-4</c:v>
                </c:pt>
                <c:pt idx="217">
                  <c:v>5.3406576638448389E-4</c:v>
                </c:pt>
                <c:pt idx="218">
                  <c:v>5.3406576638448389E-4</c:v>
                </c:pt>
                <c:pt idx="219">
                  <c:v>5.3406576638448389E-4</c:v>
                </c:pt>
                <c:pt idx="220">
                  <c:v>5.3406576638448389E-4</c:v>
                </c:pt>
                <c:pt idx="221">
                  <c:v>5.3406576638448389E-4</c:v>
                </c:pt>
                <c:pt idx="222">
                  <c:v>5.3406576638448389E-4</c:v>
                </c:pt>
                <c:pt idx="223">
                  <c:v>5.3406576638448389E-4</c:v>
                </c:pt>
                <c:pt idx="224">
                  <c:v>5.3406576638448389E-4</c:v>
                </c:pt>
                <c:pt idx="225">
                  <c:v>5.3406576638448389E-4</c:v>
                </c:pt>
                <c:pt idx="226">
                  <c:v>5.3406576638448389E-4</c:v>
                </c:pt>
                <c:pt idx="227">
                  <c:v>5.3406576638448389E-4</c:v>
                </c:pt>
                <c:pt idx="228">
                  <c:v>5.3406576638448389E-4</c:v>
                </c:pt>
                <c:pt idx="229">
                  <c:v>5.3406576638448389E-4</c:v>
                </c:pt>
                <c:pt idx="230">
                  <c:v>5.3406576638448389E-4</c:v>
                </c:pt>
                <c:pt idx="231">
                  <c:v>5.3406576638448389E-4</c:v>
                </c:pt>
                <c:pt idx="232">
                  <c:v>-9.9183642328526389E-4</c:v>
                </c:pt>
                <c:pt idx="233">
                  <c:v>-9.9183642328526389E-4</c:v>
                </c:pt>
                <c:pt idx="234">
                  <c:v>-9.9183642328526389E-4</c:v>
                </c:pt>
                <c:pt idx="235">
                  <c:v>-9.9183642328526389E-4</c:v>
                </c:pt>
                <c:pt idx="236">
                  <c:v>-9.9183642328526389E-4</c:v>
                </c:pt>
                <c:pt idx="237">
                  <c:v>-9.9183642328526389E-4</c:v>
                </c:pt>
                <c:pt idx="238">
                  <c:v>-9.9183642328526389E-4</c:v>
                </c:pt>
                <c:pt idx="239">
                  <c:v>-9.9183642328526389E-4</c:v>
                </c:pt>
                <c:pt idx="240">
                  <c:v>-9.9183642328526389E-4</c:v>
                </c:pt>
                <c:pt idx="241">
                  <c:v>-9.9183642328526389E-4</c:v>
                </c:pt>
                <c:pt idx="242">
                  <c:v>-9.9183642328526389E-4</c:v>
                </c:pt>
                <c:pt idx="243">
                  <c:v>-9.9183642328526389E-4</c:v>
                </c:pt>
                <c:pt idx="244">
                  <c:v>-9.9183642328526389E-4</c:v>
                </c:pt>
                <c:pt idx="245">
                  <c:v>-9.9183642328526389E-4</c:v>
                </c:pt>
                <c:pt idx="246">
                  <c:v>-9.9183642328526389E-4</c:v>
                </c:pt>
                <c:pt idx="247">
                  <c:v>-9.9183642328526389E-4</c:v>
                </c:pt>
                <c:pt idx="248">
                  <c:v>-9.9183642328526389E-4</c:v>
                </c:pt>
                <c:pt idx="249">
                  <c:v>-9.9183642328526389E-4</c:v>
                </c:pt>
                <c:pt idx="250">
                  <c:v>-9.9183642328526389E-4</c:v>
                </c:pt>
                <c:pt idx="251">
                  <c:v>-9.9183642328526389E-4</c:v>
                </c:pt>
                <c:pt idx="252">
                  <c:v>-9.9183642328526389E-4</c:v>
                </c:pt>
                <c:pt idx="253">
                  <c:v>-9.9183642328526389E-4</c:v>
                </c:pt>
                <c:pt idx="254">
                  <c:v>-9.9183642328526389E-4</c:v>
                </c:pt>
                <c:pt idx="255">
                  <c:v>-9.9183642328526389E-4</c:v>
                </c:pt>
                <c:pt idx="256">
                  <c:v>-9.9183642328526389E-4</c:v>
                </c:pt>
                <c:pt idx="257">
                  <c:v>-9.9183642328526389E-4</c:v>
                </c:pt>
                <c:pt idx="258">
                  <c:v>-9.9183642328526389E-4</c:v>
                </c:pt>
                <c:pt idx="259">
                  <c:v>-9.9183642328526389E-4</c:v>
                </c:pt>
                <c:pt idx="260">
                  <c:v>-9.9183642328526389E-4</c:v>
                </c:pt>
                <c:pt idx="261">
                  <c:v>-9.9183642328526389E-4</c:v>
                </c:pt>
                <c:pt idx="262">
                  <c:v>-9.9183642328526389E-4</c:v>
                </c:pt>
                <c:pt idx="263">
                  <c:v>-9.9183642328526389E-4</c:v>
                </c:pt>
                <c:pt idx="264">
                  <c:v>-9.9183642328526389E-4</c:v>
                </c:pt>
                <c:pt idx="265">
                  <c:v>-9.9183642328526389E-4</c:v>
                </c:pt>
                <c:pt idx="266">
                  <c:v>-9.9183642328526389E-4</c:v>
                </c:pt>
                <c:pt idx="267">
                  <c:v>-9.9183642328526389E-4</c:v>
                </c:pt>
                <c:pt idx="268">
                  <c:v>-9.9183642328526389E-4</c:v>
                </c:pt>
                <c:pt idx="269">
                  <c:v>-9.9183642328526389E-4</c:v>
                </c:pt>
                <c:pt idx="270">
                  <c:v>-9.9183642328526389E-4</c:v>
                </c:pt>
                <c:pt idx="271">
                  <c:v>-9.9183642328526389E-4</c:v>
                </c:pt>
                <c:pt idx="272">
                  <c:v>-9.9183642328526389E-4</c:v>
                </c:pt>
                <c:pt idx="273">
                  <c:v>-9.9183642328526389E-4</c:v>
                </c:pt>
                <c:pt idx="274">
                  <c:v>5.3406576638448389E-4</c:v>
                </c:pt>
                <c:pt idx="275">
                  <c:v>5.3406576638448389E-4</c:v>
                </c:pt>
                <c:pt idx="276">
                  <c:v>5.3406576638448389E-4</c:v>
                </c:pt>
                <c:pt idx="277">
                  <c:v>5.3406576638448389E-4</c:v>
                </c:pt>
                <c:pt idx="278">
                  <c:v>5.3406576638448389E-4</c:v>
                </c:pt>
                <c:pt idx="279">
                  <c:v>5.3406576638448389E-4</c:v>
                </c:pt>
                <c:pt idx="280">
                  <c:v>5.3406576638448389E-4</c:v>
                </c:pt>
                <c:pt idx="281">
                  <c:v>5.3406576638448389E-4</c:v>
                </c:pt>
                <c:pt idx="282">
                  <c:v>5.3406576638448389E-4</c:v>
                </c:pt>
                <c:pt idx="283">
                  <c:v>5.3406576638448389E-4</c:v>
                </c:pt>
                <c:pt idx="284">
                  <c:v>5.3406576638448389E-4</c:v>
                </c:pt>
                <c:pt idx="285">
                  <c:v>5.3406576638448389E-4</c:v>
                </c:pt>
                <c:pt idx="286">
                  <c:v>5.3406576638448389E-4</c:v>
                </c:pt>
                <c:pt idx="287">
                  <c:v>5.3406576638448389E-4</c:v>
                </c:pt>
                <c:pt idx="288">
                  <c:v>5.3406576638448389E-4</c:v>
                </c:pt>
                <c:pt idx="289">
                  <c:v>5.3406576638448389E-4</c:v>
                </c:pt>
                <c:pt idx="290">
                  <c:v>5.3406576638448389E-4</c:v>
                </c:pt>
                <c:pt idx="291">
                  <c:v>5.3406576638448389E-4</c:v>
                </c:pt>
                <c:pt idx="292">
                  <c:v>5.3406576638448389E-4</c:v>
                </c:pt>
                <c:pt idx="293">
                  <c:v>5.3406576638448389E-4</c:v>
                </c:pt>
                <c:pt idx="294">
                  <c:v>5.3406576638448389E-4</c:v>
                </c:pt>
                <c:pt idx="295">
                  <c:v>5.3406576638448389E-4</c:v>
                </c:pt>
                <c:pt idx="296">
                  <c:v>5.3406576638448389E-4</c:v>
                </c:pt>
                <c:pt idx="297">
                  <c:v>5.3406576638448389E-4</c:v>
                </c:pt>
                <c:pt idx="298">
                  <c:v>5.3406576638448389E-4</c:v>
                </c:pt>
                <c:pt idx="299">
                  <c:v>-9.9183642328526389E-4</c:v>
                </c:pt>
                <c:pt idx="300">
                  <c:v>-9.9183642328526389E-4</c:v>
                </c:pt>
                <c:pt idx="301">
                  <c:v>-9.9183642328526389E-4</c:v>
                </c:pt>
                <c:pt idx="302">
                  <c:v>-9.9183642328526389E-4</c:v>
                </c:pt>
                <c:pt idx="303">
                  <c:v>-9.9183642328526389E-4</c:v>
                </c:pt>
                <c:pt idx="304">
                  <c:v>-9.9183642328526389E-4</c:v>
                </c:pt>
                <c:pt idx="305">
                  <c:v>-9.9183642328526389E-4</c:v>
                </c:pt>
                <c:pt idx="306">
                  <c:v>-9.9183642328526389E-4</c:v>
                </c:pt>
                <c:pt idx="307">
                  <c:v>-9.9183642328526389E-4</c:v>
                </c:pt>
                <c:pt idx="308">
                  <c:v>-9.9183642328526389E-4</c:v>
                </c:pt>
                <c:pt idx="309">
                  <c:v>-9.9183642328526389E-4</c:v>
                </c:pt>
                <c:pt idx="310">
                  <c:v>-9.9183642328526389E-4</c:v>
                </c:pt>
                <c:pt idx="311">
                  <c:v>-9.9183642328526389E-4</c:v>
                </c:pt>
                <c:pt idx="312">
                  <c:v>-9.9183642328526389E-4</c:v>
                </c:pt>
                <c:pt idx="313">
                  <c:v>-9.9183642328526389E-4</c:v>
                </c:pt>
                <c:pt idx="314">
                  <c:v>-9.9183642328526389E-4</c:v>
                </c:pt>
                <c:pt idx="315">
                  <c:v>-9.9183642328526389E-4</c:v>
                </c:pt>
                <c:pt idx="316">
                  <c:v>-9.9183642328526389E-4</c:v>
                </c:pt>
                <c:pt idx="317">
                  <c:v>-9.9183642328526389E-4</c:v>
                </c:pt>
                <c:pt idx="318">
                  <c:v>-9.9183642328526389E-4</c:v>
                </c:pt>
                <c:pt idx="319">
                  <c:v>-9.9183642328526389E-4</c:v>
                </c:pt>
                <c:pt idx="320">
                  <c:v>-9.9183642328526389E-4</c:v>
                </c:pt>
                <c:pt idx="321">
                  <c:v>-9.9183642328526389E-4</c:v>
                </c:pt>
                <c:pt idx="322">
                  <c:v>-9.9183642328526389E-4</c:v>
                </c:pt>
                <c:pt idx="323">
                  <c:v>-9.9183642328526389E-4</c:v>
                </c:pt>
                <c:pt idx="324">
                  <c:v>-9.9183642328526389E-4</c:v>
                </c:pt>
                <c:pt idx="325">
                  <c:v>-9.9183642328526389E-4</c:v>
                </c:pt>
                <c:pt idx="326">
                  <c:v>-9.9183642328526389E-4</c:v>
                </c:pt>
                <c:pt idx="327">
                  <c:v>-9.9183642328526389E-4</c:v>
                </c:pt>
                <c:pt idx="328">
                  <c:v>5.3406576638448389E-4</c:v>
                </c:pt>
                <c:pt idx="329">
                  <c:v>5.3406576638448389E-4</c:v>
                </c:pt>
                <c:pt idx="330">
                  <c:v>5.3406576638448389E-4</c:v>
                </c:pt>
                <c:pt idx="331">
                  <c:v>5.3406576638448389E-4</c:v>
                </c:pt>
                <c:pt idx="332">
                  <c:v>5.3406576638448389E-4</c:v>
                </c:pt>
                <c:pt idx="333">
                  <c:v>5.3406576638448389E-4</c:v>
                </c:pt>
                <c:pt idx="334">
                  <c:v>5.3406576638448389E-4</c:v>
                </c:pt>
                <c:pt idx="335">
                  <c:v>5.3406576638448389E-4</c:v>
                </c:pt>
                <c:pt idx="336">
                  <c:v>5.3406576638448389E-4</c:v>
                </c:pt>
                <c:pt idx="337">
                  <c:v>5.3406576638448389E-4</c:v>
                </c:pt>
                <c:pt idx="338">
                  <c:v>5.3406576638448389E-4</c:v>
                </c:pt>
                <c:pt idx="339">
                  <c:v>5.3406576638448389E-4</c:v>
                </c:pt>
                <c:pt idx="340">
                  <c:v>5.3406576638448389E-4</c:v>
                </c:pt>
                <c:pt idx="341">
                  <c:v>5.3406576638448389E-4</c:v>
                </c:pt>
                <c:pt idx="342">
                  <c:v>5.3406576638448389E-4</c:v>
                </c:pt>
                <c:pt idx="343">
                  <c:v>5.3406576638448389E-4</c:v>
                </c:pt>
                <c:pt idx="344">
                  <c:v>5.3406576638448389E-4</c:v>
                </c:pt>
                <c:pt idx="345">
                  <c:v>5.3406576638448389E-4</c:v>
                </c:pt>
                <c:pt idx="346">
                  <c:v>5.3406576638448389E-4</c:v>
                </c:pt>
                <c:pt idx="347">
                  <c:v>5.3406576638448389E-4</c:v>
                </c:pt>
                <c:pt idx="348">
                  <c:v>5.3406576638448389E-4</c:v>
                </c:pt>
                <c:pt idx="349">
                  <c:v>5.3406576638448389E-4</c:v>
                </c:pt>
                <c:pt idx="350">
                  <c:v>5.3406576638448389E-4</c:v>
                </c:pt>
                <c:pt idx="351">
                  <c:v>5.3406576638448389E-4</c:v>
                </c:pt>
                <c:pt idx="352">
                  <c:v>5.3406576638448389E-4</c:v>
                </c:pt>
                <c:pt idx="353">
                  <c:v>5.3406576638448389E-4</c:v>
                </c:pt>
                <c:pt idx="354">
                  <c:v>5.3406576638448389E-4</c:v>
                </c:pt>
                <c:pt idx="355">
                  <c:v>-9.9183642328526389E-4</c:v>
                </c:pt>
                <c:pt idx="356">
                  <c:v>-9.9183642328526389E-4</c:v>
                </c:pt>
                <c:pt idx="357">
                  <c:v>-9.9183642328526389E-4</c:v>
                </c:pt>
                <c:pt idx="358">
                  <c:v>-9.9183642328526389E-4</c:v>
                </c:pt>
                <c:pt idx="359">
                  <c:v>-9.9183642328526389E-4</c:v>
                </c:pt>
                <c:pt idx="360">
                  <c:v>-9.9183642328526389E-4</c:v>
                </c:pt>
                <c:pt idx="361">
                  <c:v>-9.9183642328526389E-4</c:v>
                </c:pt>
                <c:pt idx="362">
                  <c:v>-9.9183642328526389E-4</c:v>
                </c:pt>
                <c:pt idx="363">
                  <c:v>-9.9183642328526389E-4</c:v>
                </c:pt>
                <c:pt idx="364">
                  <c:v>-9.9183642328526389E-4</c:v>
                </c:pt>
                <c:pt idx="365">
                  <c:v>-9.9183642328526389E-4</c:v>
                </c:pt>
                <c:pt idx="366">
                  <c:v>-9.9183642328526389E-4</c:v>
                </c:pt>
                <c:pt idx="367">
                  <c:v>-9.9183642328526389E-4</c:v>
                </c:pt>
                <c:pt idx="368">
                  <c:v>-9.9183642328526389E-4</c:v>
                </c:pt>
                <c:pt idx="369">
                  <c:v>-9.9183642328526389E-4</c:v>
                </c:pt>
                <c:pt idx="370">
                  <c:v>-9.9183642328526389E-4</c:v>
                </c:pt>
                <c:pt idx="371">
                  <c:v>-9.9183642328526389E-4</c:v>
                </c:pt>
                <c:pt idx="372">
                  <c:v>-9.9183642328526389E-4</c:v>
                </c:pt>
                <c:pt idx="373">
                  <c:v>-9.9183642328526389E-4</c:v>
                </c:pt>
                <c:pt idx="374">
                  <c:v>-9.9183642328526389E-4</c:v>
                </c:pt>
                <c:pt idx="375">
                  <c:v>-9.9183642328526389E-4</c:v>
                </c:pt>
                <c:pt idx="376">
                  <c:v>-9.9183642328526389E-4</c:v>
                </c:pt>
                <c:pt idx="377">
                  <c:v>-9.9183642328526389E-4</c:v>
                </c:pt>
                <c:pt idx="378">
                  <c:v>-9.9183642328526389E-4</c:v>
                </c:pt>
                <c:pt idx="379">
                  <c:v>-9.9183642328526389E-4</c:v>
                </c:pt>
                <c:pt idx="380">
                  <c:v>-9.9183642328526389E-4</c:v>
                </c:pt>
                <c:pt idx="381">
                  <c:v>-9.9183642328526389E-4</c:v>
                </c:pt>
                <c:pt idx="382">
                  <c:v>-9.9183642328526389E-4</c:v>
                </c:pt>
                <c:pt idx="383">
                  <c:v>5.3406576638448389E-4</c:v>
                </c:pt>
                <c:pt idx="384">
                  <c:v>5.3406576638448389E-4</c:v>
                </c:pt>
                <c:pt idx="385">
                  <c:v>5.3406576638448389E-4</c:v>
                </c:pt>
                <c:pt idx="386">
                  <c:v>5.3406576638448389E-4</c:v>
                </c:pt>
                <c:pt idx="387">
                  <c:v>5.3406576638448389E-4</c:v>
                </c:pt>
                <c:pt idx="388">
                  <c:v>5.3406576638448389E-4</c:v>
                </c:pt>
                <c:pt idx="389">
                  <c:v>5.3406576638448389E-4</c:v>
                </c:pt>
                <c:pt idx="390">
                  <c:v>5.3406576638448389E-4</c:v>
                </c:pt>
                <c:pt idx="391">
                  <c:v>5.3406576638448389E-4</c:v>
                </c:pt>
                <c:pt idx="392">
                  <c:v>5.3406576638448389E-4</c:v>
                </c:pt>
                <c:pt idx="393">
                  <c:v>5.3406576638448389E-4</c:v>
                </c:pt>
                <c:pt idx="394">
                  <c:v>5.3406576638448389E-4</c:v>
                </c:pt>
                <c:pt idx="395">
                  <c:v>5.3406576638448389E-4</c:v>
                </c:pt>
                <c:pt idx="396">
                  <c:v>5.3406576638448389E-4</c:v>
                </c:pt>
                <c:pt idx="397">
                  <c:v>5.3406576638448389E-4</c:v>
                </c:pt>
                <c:pt idx="398">
                  <c:v>5.3406576638448389E-4</c:v>
                </c:pt>
                <c:pt idx="399">
                  <c:v>5.3406576638448389E-4</c:v>
                </c:pt>
                <c:pt idx="400">
                  <c:v>5.3406576638448389E-4</c:v>
                </c:pt>
                <c:pt idx="401">
                  <c:v>5.3406576638448389E-4</c:v>
                </c:pt>
                <c:pt idx="402">
                  <c:v>5.3406576638448389E-4</c:v>
                </c:pt>
                <c:pt idx="403">
                  <c:v>5.3406576638448389E-4</c:v>
                </c:pt>
                <c:pt idx="404">
                  <c:v>5.3406576638448389E-4</c:v>
                </c:pt>
                <c:pt idx="405">
                  <c:v>5.3406576638448389E-4</c:v>
                </c:pt>
                <c:pt idx="406">
                  <c:v>5.3406576638448389E-4</c:v>
                </c:pt>
                <c:pt idx="407">
                  <c:v>5.3406576638448389E-4</c:v>
                </c:pt>
                <c:pt idx="408">
                  <c:v>5.3406576638448389E-4</c:v>
                </c:pt>
                <c:pt idx="409">
                  <c:v>5.3406576638448389E-4</c:v>
                </c:pt>
                <c:pt idx="410">
                  <c:v>-9.9183642328526389E-4</c:v>
                </c:pt>
                <c:pt idx="411">
                  <c:v>-9.9183642328526389E-4</c:v>
                </c:pt>
                <c:pt idx="412">
                  <c:v>-9.9183642328526389E-4</c:v>
                </c:pt>
                <c:pt idx="413">
                  <c:v>-9.9183642328526389E-4</c:v>
                </c:pt>
                <c:pt idx="414">
                  <c:v>-9.9183642328526389E-4</c:v>
                </c:pt>
                <c:pt idx="415">
                  <c:v>-9.9183642328526389E-4</c:v>
                </c:pt>
                <c:pt idx="416">
                  <c:v>-9.9183642328526389E-4</c:v>
                </c:pt>
                <c:pt idx="417">
                  <c:v>-9.9183642328526389E-4</c:v>
                </c:pt>
                <c:pt idx="418">
                  <c:v>-9.9183642328526389E-4</c:v>
                </c:pt>
                <c:pt idx="419">
                  <c:v>-9.9183642328526389E-4</c:v>
                </c:pt>
                <c:pt idx="420">
                  <c:v>-9.9183642328526389E-4</c:v>
                </c:pt>
                <c:pt idx="421">
                  <c:v>-9.9183642328526389E-4</c:v>
                </c:pt>
                <c:pt idx="422">
                  <c:v>-9.9183642328526389E-4</c:v>
                </c:pt>
                <c:pt idx="423">
                  <c:v>-9.9183642328526389E-4</c:v>
                </c:pt>
                <c:pt idx="424">
                  <c:v>-9.9183642328526389E-4</c:v>
                </c:pt>
                <c:pt idx="425">
                  <c:v>-9.9183642328526389E-4</c:v>
                </c:pt>
                <c:pt idx="426">
                  <c:v>-9.9183642328526389E-4</c:v>
                </c:pt>
                <c:pt idx="427">
                  <c:v>-9.9183642328526389E-4</c:v>
                </c:pt>
                <c:pt idx="428">
                  <c:v>-9.9183642328526389E-4</c:v>
                </c:pt>
                <c:pt idx="429">
                  <c:v>-9.9183642328526389E-4</c:v>
                </c:pt>
                <c:pt idx="430">
                  <c:v>-9.9183642328526389E-4</c:v>
                </c:pt>
                <c:pt idx="431">
                  <c:v>-9.9183642328526389E-4</c:v>
                </c:pt>
                <c:pt idx="432">
                  <c:v>-9.9183642328526389E-4</c:v>
                </c:pt>
                <c:pt idx="433">
                  <c:v>-9.9183642328526389E-4</c:v>
                </c:pt>
                <c:pt idx="434">
                  <c:v>-9.9183642328526389E-4</c:v>
                </c:pt>
                <c:pt idx="435">
                  <c:v>-9.9183642328526389E-4</c:v>
                </c:pt>
                <c:pt idx="436">
                  <c:v>-9.9183642328526389E-4</c:v>
                </c:pt>
                <c:pt idx="437">
                  <c:v>5.3406576638448389E-4</c:v>
                </c:pt>
                <c:pt idx="438">
                  <c:v>5.3406576638448389E-4</c:v>
                </c:pt>
                <c:pt idx="439">
                  <c:v>5.3406576638448389E-4</c:v>
                </c:pt>
                <c:pt idx="440">
                  <c:v>5.3406576638448389E-4</c:v>
                </c:pt>
                <c:pt idx="441">
                  <c:v>5.3406576638448389E-4</c:v>
                </c:pt>
                <c:pt idx="442">
                  <c:v>5.3406576638448389E-4</c:v>
                </c:pt>
                <c:pt idx="443">
                  <c:v>5.3406576638448389E-4</c:v>
                </c:pt>
                <c:pt idx="444">
                  <c:v>5.3406576638448389E-4</c:v>
                </c:pt>
                <c:pt idx="445">
                  <c:v>5.3406576638448389E-4</c:v>
                </c:pt>
                <c:pt idx="446">
                  <c:v>5.3406576638448389E-4</c:v>
                </c:pt>
                <c:pt idx="447">
                  <c:v>5.3406576638448389E-4</c:v>
                </c:pt>
                <c:pt idx="448">
                  <c:v>5.3406576638448389E-4</c:v>
                </c:pt>
                <c:pt idx="449">
                  <c:v>5.3406576638448389E-4</c:v>
                </c:pt>
                <c:pt idx="450">
                  <c:v>5.3406576638448389E-4</c:v>
                </c:pt>
                <c:pt idx="451">
                  <c:v>5.3406576638448389E-4</c:v>
                </c:pt>
                <c:pt idx="452">
                  <c:v>5.3406576638448389E-4</c:v>
                </c:pt>
                <c:pt idx="453">
                  <c:v>5.3406576638448389E-4</c:v>
                </c:pt>
                <c:pt idx="454">
                  <c:v>5.3406576638448389E-4</c:v>
                </c:pt>
                <c:pt idx="455">
                  <c:v>5.3406576638448389E-4</c:v>
                </c:pt>
                <c:pt idx="456">
                  <c:v>5.3406576638448389E-4</c:v>
                </c:pt>
                <c:pt idx="457">
                  <c:v>5.3406576638448389E-4</c:v>
                </c:pt>
                <c:pt idx="458">
                  <c:v>5.3406576638448389E-4</c:v>
                </c:pt>
                <c:pt idx="459">
                  <c:v>5.3406576638448389E-4</c:v>
                </c:pt>
                <c:pt idx="460">
                  <c:v>5.3406576638448389E-4</c:v>
                </c:pt>
                <c:pt idx="461">
                  <c:v>5.3406576638448389E-4</c:v>
                </c:pt>
                <c:pt idx="462">
                  <c:v>5.3406576638448389E-4</c:v>
                </c:pt>
                <c:pt idx="463">
                  <c:v>5.3406576638448389E-4</c:v>
                </c:pt>
                <c:pt idx="464">
                  <c:v>-9.9183642328526389E-4</c:v>
                </c:pt>
                <c:pt idx="465">
                  <c:v>-9.9183642328526389E-4</c:v>
                </c:pt>
                <c:pt idx="466">
                  <c:v>-9.9183642328526389E-4</c:v>
                </c:pt>
                <c:pt idx="467">
                  <c:v>-9.9183642328526389E-4</c:v>
                </c:pt>
                <c:pt idx="468">
                  <c:v>-9.9183642328526389E-4</c:v>
                </c:pt>
                <c:pt idx="469">
                  <c:v>-9.9183642328526389E-4</c:v>
                </c:pt>
                <c:pt idx="470">
                  <c:v>-9.9183642328526389E-4</c:v>
                </c:pt>
                <c:pt idx="471">
                  <c:v>-9.9183642328526389E-4</c:v>
                </c:pt>
                <c:pt idx="472">
                  <c:v>-9.9183642328526389E-4</c:v>
                </c:pt>
                <c:pt idx="473">
                  <c:v>-9.9183642328526389E-4</c:v>
                </c:pt>
                <c:pt idx="474">
                  <c:v>-9.9183642328526389E-4</c:v>
                </c:pt>
                <c:pt idx="475">
                  <c:v>-9.9183642328526389E-4</c:v>
                </c:pt>
                <c:pt idx="476">
                  <c:v>-9.9183642328526389E-4</c:v>
                </c:pt>
                <c:pt idx="477">
                  <c:v>-9.9183642328526389E-4</c:v>
                </c:pt>
                <c:pt idx="478">
                  <c:v>-9.9183642328526389E-4</c:v>
                </c:pt>
                <c:pt idx="479">
                  <c:v>-9.9183642328526389E-4</c:v>
                </c:pt>
                <c:pt idx="480">
                  <c:v>-9.9183642328526389E-4</c:v>
                </c:pt>
                <c:pt idx="481">
                  <c:v>-9.9183642328526389E-4</c:v>
                </c:pt>
                <c:pt idx="482">
                  <c:v>-9.9183642328526389E-4</c:v>
                </c:pt>
                <c:pt idx="483">
                  <c:v>-9.9183642328526389E-4</c:v>
                </c:pt>
                <c:pt idx="484">
                  <c:v>-9.9183642328526389E-4</c:v>
                </c:pt>
                <c:pt idx="485">
                  <c:v>-9.9183642328526389E-4</c:v>
                </c:pt>
                <c:pt idx="486">
                  <c:v>-9.9183642328526389E-4</c:v>
                </c:pt>
                <c:pt idx="487">
                  <c:v>-9.9183642328526389E-4</c:v>
                </c:pt>
                <c:pt idx="488">
                  <c:v>-9.9183642328526389E-4</c:v>
                </c:pt>
                <c:pt idx="489">
                  <c:v>-9.9183642328526389E-4</c:v>
                </c:pt>
                <c:pt idx="490">
                  <c:v>-9.9183642328526389E-4</c:v>
                </c:pt>
                <c:pt idx="491">
                  <c:v>5.3406576638448389E-4</c:v>
                </c:pt>
                <c:pt idx="492">
                  <c:v>5.3406576638448389E-4</c:v>
                </c:pt>
                <c:pt idx="493">
                  <c:v>5.3406576638448389E-4</c:v>
                </c:pt>
                <c:pt idx="494">
                  <c:v>5.3406576638448389E-4</c:v>
                </c:pt>
                <c:pt idx="495">
                  <c:v>5.3406576638448389E-4</c:v>
                </c:pt>
                <c:pt idx="496">
                  <c:v>5.3406576638448389E-4</c:v>
                </c:pt>
                <c:pt idx="497">
                  <c:v>5.3406576638448389E-4</c:v>
                </c:pt>
                <c:pt idx="498">
                  <c:v>5.3406576638448389E-4</c:v>
                </c:pt>
                <c:pt idx="499">
                  <c:v>5.3406576638448389E-4</c:v>
                </c:pt>
                <c:pt idx="500">
                  <c:v>5.3406576638448389E-4</c:v>
                </c:pt>
                <c:pt idx="501">
                  <c:v>5.3406576638448389E-4</c:v>
                </c:pt>
                <c:pt idx="502">
                  <c:v>5.3406576638448389E-4</c:v>
                </c:pt>
                <c:pt idx="503">
                  <c:v>5.3406576638448389E-4</c:v>
                </c:pt>
                <c:pt idx="504">
                  <c:v>5.3406576638448389E-4</c:v>
                </c:pt>
                <c:pt idx="505">
                  <c:v>5.3406576638448389E-4</c:v>
                </c:pt>
                <c:pt idx="506">
                  <c:v>5.3406576638448389E-4</c:v>
                </c:pt>
                <c:pt idx="507">
                  <c:v>5.3406576638448389E-4</c:v>
                </c:pt>
                <c:pt idx="508">
                  <c:v>5.3406576638448389E-4</c:v>
                </c:pt>
                <c:pt idx="509">
                  <c:v>5.3406576638448389E-4</c:v>
                </c:pt>
                <c:pt idx="510">
                  <c:v>5.3406576638448389E-4</c:v>
                </c:pt>
                <c:pt idx="511">
                  <c:v>5.3406576638448389E-4</c:v>
                </c:pt>
                <c:pt idx="512">
                  <c:v>5.3406576638448389E-4</c:v>
                </c:pt>
                <c:pt idx="513">
                  <c:v>5.3406576638448389E-4</c:v>
                </c:pt>
                <c:pt idx="514">
                  <c:v>5.3406576638448389E-4</c:v>
                </c:pt>
                <c:pt idx="515">
                  <c:v>5.3406576638448389E-4</c:v>
                </c:pt>
                <c:pt idx="516">
                  <c:v>5.3406576638448389E-4</c:v>
                </c:pt>
                <c:pt idx="517">
                  <c:v>5.3406576638448389E-4</c:v>
                </c:pt>
                <c:pt idx="518">
                  <c:v>-9.9183642328526389E-4</c:v>
                </c:pt>
                <c:pt idx="519">
                  <c:v>-9.9183642328526389E-4</c:v>
                </c:pt>
                <c:pt idx="520">
                  <c:v>-9.9183642328526389E-4</c:v>
                </c:pt>
                <c:pt idx="521">
                  <c:v>-9.9183642328526389E-4</c:v>
                </c:pt>
                <c:pt idx="522">
                  <c:v>-9.9183642328526389E-4</c:v>
                </c:pt>
                <c:pt idx="523">
                  <c:v>-9.9183642328526389E-4</c:v>
                </c:pt>
                <c:pt idx="524">
                  <c:v>-9.9183642328526389E-4</c:v>
                </c:pt>
                <c:pt idx="525">
                  <c:v>-9.9183642328526389E-4</c:v>
                </c:pt>
                <c:pt idx="526">
                  <c:v>-9.9183642328526389E-4</c:v>
                </c:pt>
                <c:pt idx="527">
                  <c:v>-9.9183642328526389E-4</c:v>
                </c:pt>
                <c:pt idx="528">
                  <c:v>-9.9183642328526389E-4</c:v>
                </c:pt>
                <c:pt idx="529">
                  <c:v>-9.9183642328526389E-4</c:v>
                </c:pt>
                <c:pt idx="530">
                  <c:v>-9.9183642328526389E-4</c:v>
                </c:pt>
                <c:pt idx="531">
                  <c:v>-9.9183642328526389E-4</c:v>
                </c:pt>
                <c:pt idx="532">
                  <c:v>-9.9183642328526389E-4</c:v>
                </c:pt>
                <c:pt idx="533">
                  <c:v>-9.9183642328526389E-4</c:v>
                </c:pt>
                <c:pt idx="534">
                  <c:v>-9.9183642328526389E-4</c:v>
                </c:pt>
                <c:pt idx="535">
                  <c:v>-9.9183642328526389E-4</c:v>
                </c:pt>
                <c:pt idx="536">
                  <c:v>-9.9183642328526389E-4</c:v>
                </c:pt>
                <c:pt idx="537">
                  <c:v>-9.9183642328526389E-4</c:v>
                </c:pt>
                <c:pt idx="538">
                  <c:v>-9.9183642328526389E-4</c:v>
                </c:pt>
                <c:pt idx="539">
                  <c:v>-9.9183642328526389E-4</c:v>
                </c:pt>
                <c:pt idx="540">
                  <c:v>-9.9183642328526389E-4</c:v>
                </c:pt>
                <c:pt idx="541">
                  <c:v>-9.9183642328526389E-4</c:v>
                </c:pt>
                <c:pt idx="542">
                  <c:v>-9.9183642328526389E-4</c:v>
                </c:pt>
                <c:pt idx="543">
                  <c:v>-9.9183642328526389E-4</c:v>
                </c:pt>
                <c:pt idx="544">
                  <c:v>-9.9183642328526389E-4</c:v>
                </c:pt>
                <c:pt idx="545">
                  <c:v>5.3406576638448389E-4</c:v>
                </c:pt>
                <c:pt idx="546">
                  <c:v>5.3406576638448389E-4</c:v>
                </c:pt>
                <c:pt idx="547">
                  <c:v>5.3406576638448389E-4</c:v>
                </c:pt>
                <c:pt idx="548">
                  <c:v>5.3406576638448389E-4</c:v>
                </c:pt>
                <c:pt idx="549">
                  <c:v>5.3406576638448389E-4</c:v>
                </c:pt>
                <c:pt idx="550">
                  <c:v>5.3406576638448389E-4</c:v>
                </c:pt>
                <c:pt idx="551">
                  <c:v>5.3406576638448389E-4</c:v>
                </c:pt>
                <c:pt idx="552">
                  <c:v>5.3406576638448389E-4</c:v>
                </c:pt>
                <c:pt idx="553">
                  <c:v>5.3406576638448389E-4</c:v>
                </c:pt>
                <c:pt idx="554">
                  <c:v>5.3406576638448389E-4</c:v>
                </c:pt>
                <c:pt idx="555">
                  <c:v>5.3406576638448389E-4</c:v>
                </c:pt>
                <c:pt idx="556">
                  <c:v>5.3406576638448389E-4</c:v>
                </c:pt>
                <c:pt idx="557">
                  <c:v>5.3406576638448389E-4</c:v>
                </c:pt>
                <c:pt idx="558">
                  <c:v>5.3406576638448389E-4</c:v>
                </c:pt>
                <c:pt idx="559">
                  <c:v>5.3406576638448389E-4</c:v>
                </c:pt>
                <c:pt idx="560">
                  <c:v>5.3406576638448389E-4</c:v>
                </c:pt>
                <c:pt idx="561">
                  <c:v>5.3406576638448389E-4</c:v>
                </c:pt>
                <c:pt idx="562">
                  <c:v>5.3406576638448389E-4</c:v>
                </c:pt>
                <c:pt idx="563">
                  <c:v>5.3406576638448389E-4</c:v>
                </c:pt>
                <c:pt idx="564">
                  <c:v>5.3406576638448389E-4</c:v>
                </c:pt>
                <c:pt idx="565">
                  <c:v>5.3406576638448389E-4</c:v>
                </c:pt>
                <c:pt idx="566">
                  <c:v>5.3406576638448389E-4</c:v>
                </c:pt>
                <c:pt idx="567">
                  <c:v>5.3406576638448389E-4</c:v>
                </c:pt>
                <c:pt idx="568">
                  <c:v>5.3406576638448389E-4</c:v>
                </c:pt>
                <c:pt idx="569">
                  <c:v>5.3406576638448389E-4</c:v>
                </c:pt>
                <c:pt idx="570">
                  <c:v>5.3406576638448389E-4</c:v>
                </c:pt>
                <c:pt idx="571">
                  <c:v>5.3406576638448389E-4</c:v>
                </c:pt>
                <c:pt idx="572">
                  <c:v>-9.9183642328526389E-4</c:v>
                </c:pt>
                <c:pt idx="573">
                  <c:v>-9.9183642328526389E-4</c:v>
                </c:pt>
                <c:pt idx="574">
                  <c:v>-9.9183642328526389E-4</c:v>
                </c:pt>
                <c:pt idx="575">
                  <c:v>-9.9183642328526389E-4</c:v>
                </c:pt>
                <c:pt idx="576">
                  <c:v>-9.9183642328526389E-4</c:v>
                </c:pt>
                <c:pt idx="577">
                  <c:v>-9.9183642328526389E-4</c:v>
                </c:pt>
                <c:pt idx="578">
                  <c:v>-9.9183642328526389E-4</c:v>
                </c:pt>
                <c:pt idx="579">
                  <c:v>-9.9183642328526389E-4</c:v>
                </c:pt>
                <c:pt idx="580">
                  <c:v>-9.9183642328526389E-4</c:v>
                </c:pt>
                <c:pt idx="581">
                  <c:v>-9.9183642328526389E-4</c:v>
                </c:pt>
                <c:pt idx="582">
                  <c:v>-9.9183642328526389E-4</c:v>
                </c:pt>
                <c:pt idx="583">
                  <c:v>-9.9183642328526389E-4</c:v>
                </c:pt>
                <c:pt idx="584">
                  <c:v>-9.9183642328526389E-4</c:v>
                </c:pt>
                <c:pt idx="585">
                  <c:v>-9.9183642328526389E-4</c:v>
                </c:pt>
                <c:pt idx="586">
                  <c:v>-9.9183642328526389E-4</c:v>
                </c:pt>
                <c:pt idx="587">
                  <c:v>-9.9183642328526389E-4</c:v>
                </c:pt>
                <c:pt idx="588">
                  <c:v>-9.9183642328526389E-4</c:v>
                </c:pt>
                <c:pt idx="589">
                  <c:v>-9.9183642328526389E-4</c:v>
                </c:pt>
                <c:pt idx="590">
                  <c:v>-9.9183642328526389E-4</c:v>
                </c:pt>
                <c:pt idx="591">
                  <c:v>-9.9183642328526389E-4</c:v>
                </c:pt>
                <c:pt idx="592">
                  <c:v>-9.9183642328526389E-4</c:v>
                </c:pt>
                <c:pt idx="593">
                  <c:v>-9.9183642328526389E-4</c:v>
                </c:pt>
                <c:pt idx="594">
                  <c:v>-9.9183642328526389E-4</c:v>
                </c:pt>
                <c:pt idx="595">
                  <c:v>-9.9183642328526389E-4</c:v>
                </c:pt>
                <c:pt idx="596">
                  <c:v>-9.9183642328526389E-4</c:v>
                </c:pt>
                <c:pt idx="597">
                  <c:v>-9.9183642328526389E-4</c:v>
                </c:pt>
                <c:pt idx="598">
                  <c:v>-9.9183642328526389E-4</c:v>
                </c:pt>
                <c:pt idx="599">
                  <c:v>5.3406576638448389E-4</c:v>
                </c:pt>
                <c:pt idx="600">
                  <c:v>5.3406576638448389E-4</c:v>
                </c:pt>
                <c:pt idx="601">
                  <c:v>5.3406576638448389E-4</c:v>
                </c:pt>
                <c:pt idx="602">
                  <c:v>5.3406576638448389E-4</c:v>
                </c:pt>
                <c:pt idx="603">
                  <c:v>5.3406576638448389E-4</c:v>
                </c:pt>
                <c:pt idx="604">
                  <c:v>5.3406576638448389E-4</c:v>
                </c:pt>
                <c:pt idx="605">
                  <c:v>5.3406576638448389E-4</c:v>
                </c:pt>
                <c:pt idx="606">
                  <c:v>5.3406576638448389E-4</c:v>
                </c:pt>
                <c:pt idx="607">
                  <c:v>5.3406576638448389E-4</c:v>
                </c:pt>
                <c:pt idx="608">
                  <c:v>5.3406576638448389E-4</c:v>
                </c:pt>
                <c:pt idx="609">
                  <c:v>5.3406576638448389E-4</c:v>
                </c:pt>
                <c:pt idx="610">
                  <c:v>5.3406576638448389E-4</c:v>
                </c:pt>
                <c:pt idx="611">
                  <c:v>5.3406576638448389E-4</c:v>
                </c:pt>
                <c:pt idx="612">
                  <c:v>5.3406576638448389E-4</c:v>
                </c:pt>
                <c:pt idx="613">
                  <c:v>5.3406576638448389E-4</c:v>
                </c:pt>
                <c:pt idx="614">
                  <c:v>5.3406576638448389E-4</c:v>
                </c:pt>
                <c:pt idx="615">
                  <c:v>5.3406576638448389E-4</c:v>
                </c:pt>
                <c:pt idx="616">
                  <c:v>5.3406576638448389E-4</c:v>
                </c:pt>
                <c:pt idx="617">
                  <c:v>5.3406576638448389E-4</c:v>
                </c:pt>
                <c:pt idx="618">
                  <c:v>5.3406576638448389E-4</c:v>
                </c:pt>
                <c:pt idx="619">
                  <c:v>5.3406576638448389E-4</c:v>
                </c:pt>
                <c:pt idx="620">
                  <c:v>5.3406576638448389E-4</c:v>
                </c:pt>
                <c:pt idx="621">
                  <c:v>5.3406576638448389E-4</c:v>
                </c:pt>
                <c:pt idx="622">
                  <c:v>5.3406576638448389E-4</c:v>
                </c:pt>
                <c:pt idx="623">
                  <c:v>5.3406576638448389E-4</c:v>
                </c:pt>
                <c:pt idx="624">
                  <c:v>5.3406576638448389E-4</c:v>
                </c:pt>
                <c:pt idx="625">
                  <c:v>5.3406576638448389E-4</c:v>
                </c:pt>
                <c:pt idx="626">
                  <c:v>-9.9183642328526389E-4</c:v>
                </c:pt>
                <c:pt idx="627">
                  <c:v>-9.9183642328526389E-4</c:v>
                </c:pt>
                <c:pt idx="628">
                  <c:v>-9.9183642328526389E-4</c:v>
                </c:pt>
                <c:pt idx="629">
                  <c:v>-9.9183642328526389E-4</c:v>
                </c:pt>
                <c:pt idx="630">
                  <c:v>-9.9183642328526389E-4</c:v>
                </c:pt>
                <c:pt idx="631">
                  <c:v>-9.9183642328526389E-4</c:v>
                </c:pt>
                <c:pt idx="632">
                  <c:v>-9.9183642328526389E-4</c:v>
                </c:pt>
                <c:pt idx="633">
                  <c:v>-9.9183642328526389E-4</c:v>
                </c:pt>
                <c:pt idx="634">
                  <c:v>-9.9183642328526389E-4</c:v>
                </c:pt>
                <c:pt idx="635">
                  <c:v>-9.9183642328526389E-4</c:v>
                </c:pt>
                <c:pt idx="636">
                  <c:v>-9.9183642328526389E-4</c:v>
                </c:pt>
                <c:pt idx="637">
                  <c:v>-9.9183642328526389E-4</c:v>
                </c:pt>
                <c:pt idx="638">
                  <c:v>-9.9183642328526389E-4</c:v>
                </c:pt>
                <c:pt idx="639">
                  <c:v>-9.9183642328526389E-4</c:v>
                </c:pt>
                <c:pt idx="640">
                  <c:v>-9.9183642328526389E-4</c:v>
                </c:pt>
                <c:pt idx="641">
                  <c:v>-9.9183642328526389E-4</c:v>
                </c:pt>
                <c:pt idx="642">
                  <c:v>-9.9183642328526389E-4</c:v>
                </c:pt>
                <c:pt idx="643">
                  <c:v>-9.9183642328526389E-4</c:v>
                </c:pt>
                <c:pt idx="644">
                  <c:v>-9.9183642328526389E-4</c:v>
                </c:pt>
                <c:pt idx="645">
                  <c:v>-9.9183642328526389E-4</c:v>
                </c:pt>
                <c:pt idx="646">
                  <c:v>-9.9183642328526389E-4</c:v>
                </c:pt>
                <c:pt idx="647">
                  <c:v>-9.9183642328526389E-4</c:v>
                </c:pt>
                <c:pt idx="648">
                  <c:v>-9.9183642328526389E-4</c:v>
                </c:pt>
                <c:pt idx="649">
                  <c:v>-9.9183642328526389E-4</c:v>
                </c:pt>
                <c:pt idx="650">
                  <c:v>-9.9183642328526389E-4</c:v>
                </c:pt>
                <c:pt idx="651">
                  <c:v>-9.9183642328526389E-4</c:v>
                </c:pt>
                <c:pt idx="652">
                  <c:v>-9.9183642328526389E-4</c:v>
                </c:pt>
                <c:pt idx="653">
                  <c:v>5.3406576638448389E-4</c:v>
                </c:pt>
                <c:pt idx="654">
                  <c:v>5.3406576638448389E-4</c:v>
                </c:pt>
                <c:pt idx="655">
                  <c:v>5.3406576638448389E-4</c:v>
                </c:pt>
                <c:pt idx="656">
                  <c:v>5.3406576638448389E-4</c:v>
                </c:pt>
                <c:pt idx="657">
                  <c:v>5.3406576638448389E-4</c:v>
                </c:pt>
                <c:pt idx="658">
                  <c:v>5.3406576638448389E-4</c:v>
                </c:pt>
                <c:pt idx="659">
                  <c:v>5.3406576638448389E-4</c:v>
                </c:pt>
                <c:pt idx="660">
                  <c:v>5.3406576638448389E-4</c:v>
                </c:pt>
                <c:pt idx="661">
                  <c:v>5.3406576638448389E-4</c:v>
                </c:pt>
                <c:pt idx="662">
                  <c:v>5.3406576638448389E-4</c:v>
                </c:pt>
                <c:pt idx="663">
                  <c:v>5.3406576638448389E-4</c:v>
                </c:pt>
                <c:pt idx="664">
                  <c:v>5.3406576638448389E-4</c:v>
                </c:pt>
                <c:pt idx="665">
                  <c:v>5.3406576638448389E-4</c:v>
                </c:pt>
                <c:pt idx="666">
                  <c:v>5.3406576638448389E-4</c:v>
                </c:pt>
                <c:pt idx="667">
                  <c:v>5.3406576638448389E-4</c:v>
                </c:pt>
                <c:pt idx="668">
                  <c:v>5.3406576638448389E-4</c:v>
                </c:pt>
                <c:pt idx="669">
                  <c:v>5.3406576638448389E-4</c:v>
                </c:pt>
                <c:pt idx="670">
                  <c:v>5.3406576638448389E-4</c:v>
                </c:pt>
                <c:pt idx="671">
                  <c:v>5.3406576638448389E-4</c:v>
                </c:pt>
                <c:pt idx="672">
                  <c:v>5.3406576638448389E-4</c:v>
                </c:pt>
                <c:pt idx="673">
                  <c:v>5.3406576638448389E-4</c:v>
                </c:pt>
                <c:pt idx="674">
                  <c:v>5.3406576638448389E-4</c:v>
                </c:pt>
                <c:pt idx="675">
                  <c:v>5.3406576638448389E-4</c:v>
                </c:pt>
                <c:pt idx="676">
                  <c:v>5.3406576638448389E-4</c:v>
                </c:pt>
                <c:pt idx="677">
                  <c:v>5.3406576638448389E-4</c:v>
                </c:pt>
                <c:pt idx="678">
                  <c:v>5.3406576638448389E-4</c:v>
                </c:pt>
                <c:pt idx="679">
                  <c:v>5.3406576638448389E-4</c:v>
                </c:pt>
                <c:pt idx="680">
                  <c:v>-9.9183642328526389E-4</c:v>
                </c:pt>
                <c:pt idx="681">
                  <c:v>-9.9183642328526389E-4</c:v>
                </c:pt>
                <c:pt idx="682">
                  <c:v>-9.9183642328526389E-4</c:v>
                </c:pt>
                <c:pt idx="683">
                  <c:v>-9.9183642328526389E-4</c:v>
                </c:pt>
                <c:pt idx="684">
                  <c:v>-9.9183642328526389E-4</c:v>
                </c:pt>
                <c:pt idx="685">
                  <c:v>-9.9183642328526389E-4</c:v>
                </c:pt>
                <c:pt idx="686">
                  <c:v>-9.9183642328526389E-4</c:v>
                </c:pt>
                <c:pt idx="687">
                  <c:v>-9.9183642328526389E-4</c:v>
                </c:pt>
                <c:pt idx="688">
                  <c:v>-9.9183642328526389E-4</c:v>
                </c:pt>
                <c:pt idx="689">
                  <c:v>-9.9183642328526389E-4</c:v>
                </c:pt>
                <c:pt idx="690">
                  <c:v>-9.9183642328526389E-4</c:v>
                </c:pt>
                <c:pt idx="691">
                  <c:v>-9.9183642328526389E-4</c:v>
                </c:pt>
                <c:pt idx="692">
                  <c:v>-9.9183642328526389E-4</c:v>
                </c:pt>
                <c:pt idx="693">
                  <c:v>-9.9183642328526389E-4</c:v>
                </c:pt>
                <c:pt idx="694">
                  <c:v>-9.9183642328526389E-4</c:v>
                </c:pt>
                <c:pt idx="695">
                  <c:v>-9.9183642328526389E-4</c:v>
                </c:pt>
                <c:pt idx="696">
                  <c:v>-9.9183642328526389E-4</c:v>
                </c:pt>
                <c:pt idx="697">
                  <c:v>-9.9183642328526389E-4</c:v>
                </c:pt>
                <c:pt idx="698">
                  <c:v>-9.9183642328526389E-4</c:v>
                </c:pt>
                <c:pt idx="699">
                  <c:v>-9.9183642328526389E-4</c:v>
                </c:pt>
                <c:pt idx="700">
                  <c:v>-9.9183642328526389E-4</c:v>
                </c:pt>
                <c:pt idx="701">
                  <c:v>-9.9183642328526389E-4</c:v>
                </c:pt>
                <c:pt idx="702">
                  <c:v>-9.9183642328526389E-4</c:v>
                </c:pt>
                <c:pt idx="703">
                  <c:v>-9.9183642328526389E-4</c:v>
                </c:pt>
                <c:pt idx="704">
                  <c:v>-9.9183642328526389E-4</c:v>
                </c:pt>
                <c:pt idx="705">
                  <c:v>-9.9183642328526389E-4</c:v>
                </c:pt>
                <c:pt idx="706">
                  <c:v>-9.9183642328526389E-4</c:v>
                </c:pt>
                <c:pt idx="707">
                  <c:v>5.3406576638448389E-4</c:v>
                </c:pt>
                <c:pt idx="708">
                  <c:v>5.3406576638448389E-4</c:v>
                </c:pt>
                <c:pt idx="709">
                  <c:v>5.3406576638448389E-4</c:v>
                </c:pt>
                <c:pt idx="710">
                  <c:v>5.3406576638448389E-4</c:v>
                </c:pt>
                <c:pt idx="711">
                  <c:v>5.3406576638448389E-4</c:v>
                </c:pt>
                <c:pt idx="712">
                  <c:v>5.3406576638448389E-4</c:v>
                </c:pt>
                <c:pt idx="713">
                  <c:v>5.3406576638448389E-4</c:v>
                </c:pt>
                <c:pt idx="714">
                  <c:v>5.3406576638448389E-4</c:v>
                </c:pt>
                <c:pt idx="715">
                  <c:v>5.3406576638448389E-4</c:v>
                </c:pt>
                <c:pt idx="716">
                  <c:v>5.3406576638448389E-4</c:v>
                </c:pt>
                <c:pt idx="717">
                  <c:v>5.3406576638448389E-4</c:v>
                </c:pt>
                <c:pt idx="718">
                  <c:v>5.3406576638448389E-4</c:v>
                </c:pt>
                <c:pt idx="719">
                  <c:v>5.3406576638448389E-4</c:v>
                </c:pt>
                <c:pt idx="720">
                  <c:v>5.3406576638448389E-4</c:v>
                </c:pt>
                <c:pt idx="721">
                  <c:v>5.3406576638448389E-4</c:v>
                </c:pt>
                <c:pt idx="722">
                  <c:v>5.3406576638448389E-4</c:v>
                </c:pt>
                <c:pt idx="723">
                  <c:v>5.3406576638448389E-4</c:v>
                </c:pt>
                <c:pt idx="724">
                  <c:v>5.3406576638448389E-4</c:v>
                </c:pt>
                <c:pt idx="725">
                  <c:v>5.3406576638448389E-4</c:v>
                </c:pt>
                <c:pt idx="726">
                  <c:v>5.3406576638448389E-4</c:v>
                </c:pt>
                <c:pt idx="727">
                  <c:v>5.3406576638448389E-4</c:v>
                </c:pt>
                <c:pt idx="728">
                  <c:v>5.3406576638448389E-4</c:v>
                </c:pt>
                <c:pt idx="729">
                  <c:v>5.3406576638448389E-4</c:v>
                </c:pt>
                <c:pt idx="730">
                  <c:v>5.3406576638448389E-4</c:v>
                </c:pt>
                <c:pt idx="731">
                  <c:v>5.3406576638448389E-4</c:v>
                </c:pt>
                <c:pt idx="732">
                  <c:v>5.3406576638448389E-4</c:v>
                </c:pt>
                <c:pt idx="733">
                  <c:v>5.3406576638448389E-4</c:v>
                </c:pt>
                <c:pt idx="734">
                  <c:v>-9.9183642328526389E-4</c:v>
                </c:pt>
                <c:pt idx="735">
                  <c:v>-9.9183642328526389E-4</c:v>
                </c:pt>
                <c:pt idx="736">
                  <c:v>-9.9183642328526389E-4</c:v>
                </c:pt>
                <c:pt idx="737">
                  <c:v>-9.9183642328526389E-4</c:v>
                </c:pt>
                <c:pt idx="738">
                  <c:v>-9.9183642328526389E-4</c:v>
                </c:pt>
                <c:pt idx="739">
                  <c:v>-9.9183642328526389E-4</c:v>
                </c:pt>
                <c:pt idx="740">
                  <c:v>-9.9183642328526389E-4</c:v>
                </c:pt>
                <c:pt idx="741">
                  <c:v>-9.9183642328526389E-4</c:v>
                </c:pt>
                <c:pt idx="742">
                  <c:v>-9.9183642328526389E-4</c:v>
                </c:pt>
                <c:pt idx="743">
                  <c:v>-9.9183642328526389E-4</c:v>
                </c:pt>
                <c:pt idx="744">
                  <c:v>-9.9183642328526389E-4</c:v>
                </c:pt>
                <c:pt idx="745">
                  <c:v>-9.9183642328526389E-4</c:v>
                </c:pt>
                <c:pt idx="746">
                  <c:v>-9.9183642328526389E-4</c:v>
                </c:pt>
                <c:pt idx="747">
                  <c:v>-9.9183642328526389E-4</c:v>
                </c:pt>
                <c:pt idx="748">
                  <c:v>-9.9183642328526389E-4</c:v>
                </c:pt>
                <c:pt idx="749">
                  <c:v>-9.9183642328526389E-4</c:v>
                </c:pt>
                <c:pt idx="750">
                  <c:v>-9.9183642328526389E-4</c:v>
                </c:pt>
                <c:pt idx="751">
                  <c:v>-9.9183642328526389E-4</c:v>
                </c:pt>
                <c:pt idx="752">
                  <c:v>-9.9183642328526389E-4</c:v>
                </c:pt>
                <c:pt idx="753">
                  <c:v>-9.9183642328526389E-4</c:v>
                </c:pt>
                <c:pt idx="754">
                  <c:v>-9.9183642328526389E-4</c:v>
                </c:pt>
                <c:pt idx="755">
                  <c:v>-9.9183642328526389E-4</c:v>
                </c:pt>
                <c:pt idx="756">
                  <c:v>-9.9183642328526389E-4</c:v>
                </c:pt>
                <c:pt idx="757">
                  <c:v>-9.9183642328526389E-4</c:v>
                </c:pt>
                <c:pt idx="758">
                  <c:v>-9.9183642328526389E-4</c:v>
                </c:pt>
                <c:pt idx="759">
                  <c:v>-9.9183642328526389E-4</c:v>
                </c:pt>
                <c:pt idx="760">
                  <c:v>-9.9183642328526389E-4</c:v>
                </c:pt>
                <c:pt idx="761">
                  <c:v>5.3406576638448389E-4</c:v>
                </c:pt>
                <c:pt idx="762">
                  <c:v>5.3406576638448389E-4</c:v>
                </c:pt>
                <c:pt idx="763">
                  <c:v>5.3406576638448389E-4</c:v>
                </c:pt>
                <c:pt idx="764">
                  <c:v>5.3406576638448389E-4</c:v>
                </c:pt>
                <c:pt idx="765">
                  <c:v>5.3406576638448389E-4</c:v>
                </c:pt>
                <c:pt idx="766">
                  <c:v>5.3406576638448389E-4</c:v>
                </c:pt>
                <c:pt idx="767">
                  <c:v>5.3406576638448389E-4</c:v>
                </c:pt>
                <c:pt idx="768">
                  <c:v>5.3406576638448389E-4</c:v>
                </c:pt>
                <c:pt idx="769">
                  <c:v>5.3406576638448389E-4</c:v>
                </c:pt>
                <c:pt idx="770">
                  <c:v>5.3406576638448389E-4</c:v>
                </c:pt>
                <c:pt idx="771">
                  <c:v>5.3406576638448389E-4</c:v>
                </c:pt>
                <c:pt idx="772">
                  <c:v>5.3406576638448389E-4</c:v>
                </c:pt>
                <c:pt idx="773">
                  <c:v>5.3406576638448389E-4</c:v>
                </c:pt>
                <c:pt idx="774">
                  <c:v>5.3406576638448389E-4</c:v>
                </c:pt>
                <c:pt idx="775">
                  <c:v>5.3406576638448389E-4</c:v>
                </c:pt>
                <c:pt idx="776">
                  <c:v>5.3406576638448389E-4</c:v>
                </c:pt>
                <c:pt idx="777">
                  <c:v>5.3406576638448389E-4</c:v>
                </c:pt>
                <c:pt idx="778">
                  <c:v>5.3406576638448389E-4</c:v>
                </c:pt>
                <c:pt idx="779">
                  <c:v>5.3406576638448389E-4</c:v>
                </c:pt>
                <c:pt idx="780">
                  <c:v>5.3406576638448389E-4</c:v>
                </c:pt>
                <c:pt idx="781">
                  <c:v>5.3406576638448389E-4</c:v>
                </c:pt>
                <c:pt idx="782">
                  <c:v>5.3406576638448389E-4</c:v>
                </c:pt>
                <c:pt idx="783">
                  <c:v>5.3406576638448389E-4</c:v>
                </c:pt>
                <c:pt idx="784">
                  <c:v>5.3406576638448389E-4</c:v>
                </c:pt>
                <c:pt idx="785">
                  <c:v>5.3406576638448389E-4</c:v>
                </c:pt>
                <c:pt idx="786">
                  <c:v>5.3406576638448389E-4</c:v>
                </c:pt>
                <c:pt idx="787">
                  <c:v>5.3406576638448389E-4</c:v>
                </c:pt>
                <c:pt idx="788">
                  <c:v>5.3406576638448389E-4</c:v>
                </c:pt>
                <c:pt idx="789">
                  <c:v>5.3406576638448389E-4</c:v>
                </c:pt>
                <c:pt idx="790">
                  <c:v>5.3406576638448389E-4</c:v>
                </c:pt>
                <c:pt idx="791">
                  <c:v>5.3406576638448389E-4</c:v>
                </c:pt>
                <c:pt idx="792">
                  <c:v>5.3406576638448389E-4</c:v>
                </c:pt>
                <c:pt idx="793">
                  <c:v>5.3406576638448389E-4</c:v>
                </c:pt>
                <c:pt idx="794">
                  <c:v>5.3406576638448389E-4</c:v>
                </c:pt>
                <c:pt idx="795">
                  <c:v>5.3406576638448389E-4</c:v>
                </c:pt>
                <c:pt idx="796">
                  <c:v>5.3406576638448389E-4</c:v>
                </c:pt>
                <c:pt idx="797">
                  <c:v>5.3406576638448389E-4</c:v>
                </c:pt>
                <c:pt idx="798">
                  <c:v>5.3406576638448389E-4</c:v>
                </c:pt>
                <c:pt idx="799">
                  <c:v>5.3406576638448389E-4</c:v>
                </c:pt>
                <c:pt idx="800">
                  <c:v>5.3406576638448389E-4</c:v>
                </c:pt>
                <c:pt idx="801">
                  <c:v>5.3406576638448389E-4</c:v>
                </c:pt>
                <c:pt idx="802">
                  <c:v>5.3406576638448389E-4</c:v>
                </c:pt>
                <c:pt idx="803">
                  <c:v>5.3406576638448389E-4</c:v>
                </c:pt>
                <c:pt idx="804">
                  <c:v>5.3406576638448389E-4</c:v>
                </c:pt>
                <c:pt idx="805">
                  <c:v>5.3406576638448389E-4</c:v>
                </c:pt>
                <c:pt idx="806">
                  <c:v>5.3406576638448389E-4</c:v>
                </c:pt>
                <c:pt idx="807">
                  <c:v>5.3406576638448389E-4</c:v>
                </c:pt>
                <c:pt idx="808">
                  <c:v>5.3406576638448389E-4</c:v>
                </c:pt>
                <c:pt idx="809">
                  <c:v>5.3406576638448389E-4</c:v>
                </c:pt>
                <c:pt idx="810">
                  <c:v>5.3406576638448389E-4</c:v>
                </c:pt>
                <c:pt idx="811">
                  <c:v>5.3406576638448389E-4</c:v>
                </c:pt>
                <c:pt idx="812">
                  <c:v>5.3406576638448389E-4</c:v>
                </c:pt>
                <c:pt idx="813">
                  <c:v>5.3406576638448389E-4</c:v>
                </c:pt>
                <c:pt idx="814">
                  <c:v>5.3406576638448389E-4</c:v>
                </c:pt>
                <c:pt idx="815">
                  <c:v>5.3406576638448389E-4</c:v>
                </c:pt>
                <c:pt idx="816">
                  <c:v>5.3406576638448389E-4</c:v>
                </c:pt>
                <c:pt idx="817">
                  <c:v>5.3406576638448389E-4</c:v>
                </c:pt>
                <c:pt idx="818">
                  <c:v>5.3406576638448389E-4</c:v>
                </c:pt>
                <c:pt idx="819">
                  <c:v>5.3406576638448389E-4</c:v>
                </c:pt>
                <c:pt idx="820">
                  <c:v>5.3406576638448389E-4</c:v>
                </c:pt>
                <c:pt idx="821">
                  <c:v>5.3406576638448389E-4</c:v>
                </c:pt>
                <c:pt idx="822">
                  <c:v>5.3406576638448389E-4</c:v>
                </c:pt>
                <c:pt idx="823">
                  <c:v>5.3406576638448389E-4</c:v>
                </c:pt>
                <c:pt idx="824">
                  <c:v>5.3406576638448389E-4</c:v>
                </c:pt>
                <c:pt idx="825">
                  <c:v>5.3406576638448389E-4</c:v>
                </c:pt>
                <c:pt idx="826">
                  <c:v>5.3406576638448389E-4</c:v>
                </c:pt>
                <c:pt idx="827">
                  <c:v>5.3406576638448389E-4</c:v>
                </c:pt>
                <c:pt idx="828">
                  <c:v>5.3406576638448389E-4</c:v>
                </c:pt>
                <c:pt idx="829">
                  <c:v>5.3406576638448389E-4</c:v>
                </c:pt>
                <c:pt idx="830">
                  <c:v>5.3406576638448389E-4</c:v>
                </c:pt>
                <c:pt idx="831">
                  <c:v>5.3406576638448389E-4</c:v>
                </c:pt>
                <c:pt idx="832">
                  <c:v>5.3406576638448389E-4</c:v>
                </c:pt>
                <c:pt idx="833">
                  <c:v>5.3406576638448389E-4</c:v>
                </c:pt>
                <c:pt idx="834">
                  <c:v>5.3406576638448389E-4</c:v>
                </c:pt>
                <c:pt idx="835">
                  <c:v>5.3406576638448389E-4</c:v>
                </c:pt>
                <c:pt idx="836">
                  <c:v>5.3406576638448389E-4</c:v>
                </c:pt>
                <c:pt idx="837">
                  <c:v>5.3406576638448389E-4</c:v>
                </c:pt>
                <c:pt idx="838">
                  <c:v>5.3406576638448389E-4</c:v>
                </c:pt>
                <c:pt idx="839">
                  <c:v>5.3406576638448389E-4</c:v>
                </c:pt>
                <c:pt idx="840">
                  <c:v>5.3406576638448389E-4</c:v>
                </c:pt>
                <c:pt idx="841">
                  <c:v>5.3406576638448389E-4</c:v>
                </c:pt>
                <c:pt idx="842">
                  <c:v>5.3406576638448389E-4</c:v>
                </c:pt>
                <c:pt idx="843">
                  <c:v>5.3406576638448389E-4</c:v>
                </c:pt>
                <c:pt idx="844">
                  <c:v>5.3406576638448389E-4</c:v>
                </c:pt>
                <c:pt idx="845">
                  <c:v>5.3406576638448389E-4</c:v>
                </c:pt>
                <c:pt idx="846">
                  <c:v>5.3406576638448389E-4</c:v>
                </c:pt>
                <c:pt idx="847">
                  <c:v>5.3406576638448389E-4</c:v>
                </c:pt>
                <c:pt idx="848">
                  <c:v>5.3406576638448389E-4</c:v>
                </c:pt>
                <c:pt idx="849">
                  <c:v>5.3406576638448389E-4</c:v>
                </c:pt>
                <c:pt idx="850">
                  <c:v>5.3406576638448389E-4</c:v>
                </c:pt>
                <c:pt idx="851">
                  <c:v>5.3406576638448389E-4</c:v>
                </c:pt>
                <c:pt idx="852">
                  <c:v>5.3406576638448389E-4</c:v>
                </c:pt>
                <c:pt idx="853">
                  <c:v>5.3406576638448389E-4</c:v>
                </c:pt>
                <c:pt idx="854">
                  <c:v>5.3406576638448389E-4</c:v>
                </c:pt>
                <c:pt idx="855">
                  <c:v>5.3406576638448389E-4</c:v>
                </c:pt>
                <c:pt idx="856">
                  <c:v>5.3406576638448389E-4</c:v>
                </c:pt>
                <c:pt idx="857">
                  <c:v>5.3406576638448389E-4</c:v>
                </c:pt>
                <c:pt idx="858">
                  <c:v>5.3406576638448389E-4</c:v>
                </c:pt>
                <c:pt idx="859">
                  <c:v>5.3406576638448389E-4</c:v>
                </c:pt>
                <c:pt idx="860">
                  <c:v>5.3406576638448389E-4</c:v>
                </c:pt>
                <c:pt idx="861">
                  <c:v>5.3406576638448389E-4</c:v>
                </c:pt>
                <c:pt idx="862">
                  <c:v>5.3406576638448389E-4</c:v>
                </c:pt>
                <c:pt idx="863">
                  <c:v>5.3406576638448389E-4</c:v>
                </c:pt>
                <c:pt idx="864">
                  <c:v>5.3406576638448389E-4</c:v>
                </c:pt>
                <c:pt idx="865">
                  <c:v>5.3406576638448389E-4</c:v>
                </c:pt>
                <c:pt idx="866">
                  <c:v>5.3406576638448389E-4</c:v>
                </c:pt>
                <c:pt idx="867">
                  <c:v>5.3406576638448389E-4</c:v>
                </c:pt>
                <c:pt idx="868">
                  <c:v>5.3406576638448389E-4</c:v>
                </c:pt>
                <c:pt idx="869">
                  <c:v>5.3406576638448389E-4</c:v>
                </c:pt>
                <c:pt idx="870">
                  <c:v>5.3406576638448389E-4</c:v>
                </c:pt>
                <c:pt idx="871">
                  <c:v>5.3406576638448389E-4</c:v>
                </c:pt>
                <c:pt idx="872">
                  <c:v>5.3406576638448389E-4</c:v>
                </c:pt>
                <c:pt idx="873">
                  <c:v>5.3406576638448389E-4</c:v>
                </c:pt>
                <c:pt idx="874">
                  <c:v>5.3406576638448389E-4</c:v>
                </c:pt>
                <c:pt idx="875">
                  <c:v>5.3406576638448389E-4</c:v>
                </c:pt>
                <c:pt idx="876">
                  <c:v>5.3406576638448389E-4</c:v>
                </c:pt>
                <c:pt idx="877">
                  <c:v>5.3406576638448389E-4</c:v>
                </c:pt>
                <c:pt idx="878">
                  <c:v>5.3406576638448389E-4</c:v>
                </c:pt>
                <c:pt idx="879">
                  <c:v>5.3406576638448389E-4</c:v>
                </c:pt>
                <c:pt idx="880">
                  <c:v>5.3406576638448389E-4</c:v>
                </c:pt>
                <c:pt idx="881">
                  <c:v>5.3406576638448389E-4</c:v>
                </c:pt>
                <c:pt idx="882">
                  <c:v>5.3406576638448389E-4</c:v>
                </c:pt>
                <c:pt idx="883">
                  <c:v>5.3406576638448389E-4</c:v>
                </c:pt>
                <c:pt idx="884">
                  <c:v>5.3406576638448389E-4</c:v>
                </c:pt>
                <c:pt idx="885">
                  <c:v>5.3406576638448389E-4</c:v>
                </c:pt>
                <c:pt idx="886">
                  <c:v>5.3406576638448389E-4</c:v>
                </c:pt>
                <c:pt idx="887">
                  <c:v>5.3406576638448389E-4</c:v>
                </c:pt>
                <c:pt idx="888">
                  <c:v>5.3406576638448389E-4</c:v>
                </c:pt>
                <c:pt idx="889">
                  <c:v>5.3406576638448389E-4</c:v>
                </c:pt>
                <c:pt idx="890">
                  <c:v>5.3406576638448389E-4</c:v>
                </c:pt>
                <c:pt idx="891">
                  <c:v>5.3406576638448389E-4</c:v>
                </c:pt>
                <c:pt idx="892">
                  <c:v>5.3406576638448389E-4</c:v>
                </c:pt>
                <c:pt idx="893">
                  <c:v>5.3406576638448389E-4</c:v>
                </c:pt>
                <c:pt idx="894">
                  <c:v>5.3406576638448389E-4</c:v>
                </c:pt>
                <c:pt idx="895">
                  <c:v>5.3406576638448389E-4</c:v>
                </c:pt>
                <c:pt idx="896">
                  <c:v>5.3406576638448389E-4</c:v>
                </c:pt>
                <c:pt idx="897">
                  <c:v>5.3406576638448389E-4</c:v>
                </c:pt>
                <c:pt idx="898">
                  <c:v>5.3406576638448389E-4</c:v>
                </c:pt>
                <c:pt idx="899">
                  <c:v>5.3406576638448389E-4</c:v>
                </c:pt>
                <c:pt idx="900">
                  <c:v>5.3406576638448389E-4</c:v>
                </c:pt>
                <c:pt idx="901">
                  <c:v>5.3406576638448389E-4</c:v>
                </c:pt>
                <c:pt idx="902">
                  <c:v>5.3406576638448389E-4</c:v>
                </c:pt>
                <c:pt idx="903">
                  <c:v>5.3406576638448389E-4</c:v>
                </c:pt>
                <c:pt idx="904">
                  <c:v>5.3406576638448389E-4</c:v>
                </c:pt>
                <c:pt idx="905">
                  <c:v>5.3406576638448389E-4</c:v>
                </c:pt>
                <c:pt idx="906">
                  <c:v>5.3406576638448389E-4</c:v>
                </c:pt>
                <c:pt idx="907">
                  <c:v>5.3406576638448389E-4</c:v>
                </c:pt>
                <c:pt idx="908">
                  <c:v>5.3406576638448389E-4</c:v>
                </c:pt>
                <c:pt idx="909">
                  <c:v>5.3406576638448389E-4</c:v>
                </c:pt>
                <c:pt idx="910">
                  <c:v>5.3406576638448389E-4</c:v>
                </c:pt>
                <c:pt idx="911">
                  <c:v>5.3406576638448389E-4</c:v>
                </c:pt>
                <c:pt idx="912">
                  <c:v>5.3406576638448389E-4</c:v>
                </c:pt>
                <c:pt idx="913">
                  <c:v>5.3406576638448389E-4</c:v>
                </c:pt>
                <c:pt idx="914">
                  <c:v>5.3406576638448389E-4</c:v>
                </c:pt>
                <c:pt idx="915">
                  <c:v>5.3406576638448389E-4</c:v>
                </c:pt>
                <c:pt idx="916">
                  <c:v>5.3406576638448389E-4</c:v>
                </c:pt>
                <c:pt idx="917">
                  <c:v>5.3406576638448389E-4</c:v>
                </c:pt>
                <c:pt idx="918">
                  <c:v>5.3406576638448389E-4</c:v>
                </c:pt>
                <c:pt idx="919">
                  <c:v>5.3406576638448389E-4</c:v>
                </c:pt>
                <c:pt idx="920">
                  <c:v>5.3406576638448389E-4</c:v>
                </c:pt>
                <c:pt idx="921">
                  <c:v>5.3406576638448389E-4</c:v>
                </c:pt>
                <c:pt idx="922">
                  <c:v>5.3406576638448389E-4</c:v>
                </c:pt>
                <c:pt idx="923">
                  <c:v>5.3406576638448389E-4</c:v>
                </c:pt>
                <c:pt idx="924">
                  <c:v>5.3406576638448389E-4</c:v>
                </c:pt>
                <c:pt idx="925">
                  <c:v>5.3406576638448389E-4</c:v>
                </c:pt>
                <c:pt idx="926">
                  <c:v>5.3406576638448389E-4</c:v>
                </c:pt>
                <c:pt idx="927">
                  <c:v>5.3406576638448389E-4</c:v>
                </c:pt>
                <c:pt idx="928">
                  <c:v>5.3406576638448389E-4</c:v>
                </c:pt>
                <c:pt idx="929">
                  <c:v>5.3406576638448389E-4</c:v>
                </c:pt>
                <c:pt idx="930">
                  <c:v>5.3406576638448389E-4</c:v>
                </c:pt>
                <c:pt idx="931">
                  <c:v>5.3406576638448389E-4</c:v>
                </c:pt>
                <c:pt idx="932">
                  <c:v>5.3406576638448389E-4</c:v>
                </c:pt>
                <c:pt idx="933">
                  <c:v>5.3406576638448389E-4</c:v>
                </c:pt>
                <c:pt idx="934">
                  <c:v>5.3406576638448389E-4</c:v>
                </c:pt>
                <c:pt idx="935">
                  <c:v>5.3406576638448389E-4</c:v>
                </c:pt>
                <c:pt idx="936">
                  <c:v>5.3406576638448389E-4</c:v>
                </c:pt>
                <c:pt idx="937">
                  <c:v>5.3406576638448389E-4</c:v>
                </c:pt>
                <c:pt idx="938">
                  <c:v>5.3406576638448389E-4</c:v>
                </c:pt>
                <c:pt idx="939">
                  <c:v>5.3406576638448389E-4</c:v>
                </c:pt>
                <c:pt idx="940">
                  <c:v>5.3406576638448389E-4</c:v>
                </c:pt>
                <c:pt idx="941">
                  <c:v>5.3406576638448389E-4</c:v>
                </c:pt>
                <c:pt idx="942">
                  <c:v>5.3406576638448389E-4</c:v>
                </c:pt>
                <c:pt idx="943">
                  <c:v>5.3406576638448389E-4</c:v>
                </c:pt>
                <c:pt idx="944">
                  <c:v>5.3406576638448389E-4</c:v>
                </c:pt>
                <c:pt idx="945">
                  <c:v>5.3406576638448389E-4</c:v>
                </c:pt>
                <c:pt idx="946">
                  <c:v>5.3406576638448389E-4</c:v>
                </c:pt>
                <c:pt idx="947">
                  <c:v>5.3406576638448389E-4</c:v>
                </c:pt>
                <c:pt idx="948">
                  <c:v>5.3406576638448389E-4</c:v>
                </c:pt>
                <c:pt idx="949">
                  <c:v>5.3406576638448389E-4</c:v>
                </c:pt>
                <c:pt idx="950">
                  <c:v>5.3406576638448389E-4</c:v>
                </c:pt>
                <c:pt idx="951">
                  <c:v>5.3406576638448389E-4</c:v>
                </c:pt>
                <c:pt idx="952">
                  <c:v>5.3406576638448389E-4</c:v>
                </c:pt>
                <c:pt idx="953">
                  <c:v>5.3406576638448389E-4</c:v>
                </c:pt>
                <c:pt idx="954">
                  <c:v>5.3406576638448389E-4</c:v>
                </c:pt>
                <c:pt idx="955">
                  <c:v>5.3406576638448389E-4</c:v>
                </c:pt>
                <c:pt idx="956">
                  <c:v>5.3406576638448389E-4</c:v>
                </c:pt>
                <c:pt idx="957">
                  <c:v>5.3406576638448389E-4</c:v>
                </c:pt>
                <c:pt idx="958">
                  <c:v>5.3406576638448389E-4</c:v>
                </c:pt>
                <c:pt idx="959">
                  <c:v>5.3406576638448389E-4</c:v>
                </c:pt>
                <c:pt idx="960">
                  <c:v>5.3406576638448389E-4</c:v>
                </c:pt>
                <c:pt idx="961">
                  <c:v>5.3406576638448389E-4</c:v>
                </c:pt>
                <c:pt idx="962">
                  <c:v>5.3406576638448389E-4</c:v>
                </c:pt>
                <c:pt idx="963">
                  <c:v>5.3406576638448389E-4</c:v>
                </c:pt>
                <c:pt idx="964">
                  <c:v>5.3406576638448389E-4</c:v>
                </c:pt>
                <c:pt idx="965">
                  <c:v>5.3406576638448389E-4</c:v>
                </c:pt>
                <c:pt idx="966">
                  <c:v>5.3406576638448389E-4</c:v>
                </c:pt>
                <c:pt idx="967">
                  <c:v>5.3406576638448389E-4</c:v>
                </c:pt>
                <c:pt idx="968">
                  <c:v>5.3406576638448389E-4</c:v>
                </c:pt>
                <c:pt idx="969">
                  <c:v>5.3406576638448389E-4</c:v>
                </c:pt>
                <c:pt idx="970">
                  <c:v>5.3406576638448389E-4</c:v>
                </c:pt>
                <c:pt idx="971">
                  <c:v>5.3406576638448389E-4</c:v>
                </c:pt>
                <c:pt idx="972">
                  <c:v>5.3406576638448389E-4</c:v>
                </c:pt>
                <c:pt idx="973">
                  <c:v>5.3406576638448389E-4</c:v>
                </c:pt>
                <c:pt idx="974">
                  <c:v>5.3406576638448389E-4</c:v>
                </c:pt>
                <c:pt idx="975">
                  <c:v>5.3406576638448389E-4</c:v>
                </c:pt>
                <c:pt idx="976">
                  <c:v>5.3406576638448389E-4</c:v>
                </c:pt>
                <c:pt idx="977">
                  <c:v>5.3406576638448389E-4</c:v>
                </c:pt>
                <c:pt idx="978">
                  <c:v>5.3406576638448389E-4</c:v>
                </c:pt>
                <c:pt idx="979">
                  <c:v>5.3406576638448389E-4</c:v>
                </c:pt>
                <c:pt idx="980">
                  <c:v>5.3406576638448389E-4</c:v>
                </c:pt>
                <c:pt idx="981">
                  <c:v>5.3406576638448389E-4</c:v>
                </c:pt>
                <c:pt idx="982">
                  <c:v>5.3406576638448389E-4</c:v>
                </c:pt>
                <c:pt idx="983">
                  <c:v>5.3406576638448389E-4</c:v>
                </c:pt>
                <c:pt idx="984">
                  <c:v>5.3406576638448389E-4</c:v>
                </c:pt>
                <c:pt idx="985">
                  <c:v>5.3406576638448389E-4</c:v>
                </c:pt>
                <c:pt idx="986">
                  <c:v>5.3406576638448389E-4</c:v>
                </c:pt>
                <c:pt idx="987">
                  <c:v>5.3406576638448389E-4</c:v>
                </c:pt>
                <c:pt idx="988">
                  <c:v>5.3406576638448389E-4</c:v>
                </c:pt>
                <c:pt idx="989">
                  <c:v>5.3406576638448389E-4</c:v>
                </c:pt>
                <c:pt idx="990">
                  <c:v>5.3406576638448389E-4</c:v>
                </c:pt>
                <c:pt idx="991">
                  <c:v>5.3406576638448389E-4</c:v>
                </c:pt>
                <c:pt idx="992">
                  <c:v>5.3406576638448389E-4</c:v>
                </c:pt>
                <c:pt idx="993">
                  <c:v>5.3406576638448389E-4</c:v>
                </c:pt>
                <c:pt idx="994">
                  <c:v>5.3406576638448389E-4</c:v>
                </c:pt>
                <c:pt idx="995">
                  <c:v>5.3406576638448389E-4</c:v>
                </c:pt>
                <c:pt idx="996">
                  <c:v>5.3406576638448389E-4</c:v>
                </c:pt>
                <c:pt idx="997">
                  <c:v>5.3406576638448389E-4</c:v>
                </c:pt>
                <c:pt idx="998">
                  <c:v>5.3406576638448389E-4</c:v>
                </c:pt>
                <c:pt idx="999">
                  <c:v>5.3406576638448389E-4</c:v>
                </c:pt>
                <c:pt idx="1000">
                  <c:v>5.3406576638448389E-4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426-40BA-BDFC-2E5C66CC0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901887"/>
        <c:axId val="1564903967"/>
      </c:lineChart>
      <c:catAx>
        <c:axId val="156490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3967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156490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15875">
            <a:solidFill>
              <a:schemeClr val="tx1"/>
            </a:solidFill>
            <a:tailEnd type="triangle" w="lg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4901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579452</xdr:colOff>
      <xdr:row>6</xdr:row>
      <xdr:rowOff>79513</xdr:rowOff>
    </xdr:from>
    <xdr:to>
      <xdr:col>9</xdr:col>
      <xdr:colOff>274652</xdr:colOff>
      <xdr:row>21</xdr:row>
      <xdr:rowOff>79513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0B988FC-94EB-7BD4-E95F-96CB730F4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114300</xdr:colOff>
      <xdr:row>71</xdr:row>
      <xdr:rowOff>121920</xdr:rowOff>
    </xdr:from>
    <xdr:to>
      <xdr:col>25</xdr:col>
      <xdr:colOff>419100</xdr:colOff>
      <xdr:row>86</xdr:row>
      <xdr:rowOff>121920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68FDD22-4016-0881-0DF4-AE19C0B0B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76200</xdr:colOff>
      <xdr:row>3</xdr:row>
      <xdr:rowOff>60960</xdr:rowOff>
    </xdr:from>
    <xdr:to>
      <xdr:col>27</xdr:col>
      <xdr:colOff>381000</xdr:colOff>
      <xdr:row>18</xdr:row>
      <xdr:rowOff>60960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61E9935-F989-D1B4-37B7-2BB8528F9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525780</xdr:colOff>
      <xdr:row>20</xdr:row>
      <xdr:rowOff>60960</xdr:rowOff>
    </xdr:from>
    <xdr:to>
      <xdr:col>27</xdr:col>
      <xdr:colOff>220980</xdr:colOff>
      <xdr:row>35</xdr:row>
      <xdr:rowOff>60960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3B25711C-A406-1B20-9806-11AD937138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407670</xdr:colOff>
      <xdr:row>37</xdr:row>
      <xdr:rowOff>181927</xdr:rowOff>
    </xdr:from>
    <xdr:to>
      <xdr:col>7</xdr:col>
      <xdr:colOff>125730</xdr:colOff>
      <xdr:row>52</xdr:row>
      <xdr:rowOff>69532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38BEAD4-1638-4E0A-98EF-28897A714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457200</xdr:colOff>
      <xdr:row>20</xdr:row>
      <xdr:rowOff>4761</xdr:rowOff>
    </xdr:from>
    <xdr:to>
      <xdr:col>10</xdr:col>
      <xdr:colOff>177166</xdr:colOff>
      <xdr:row>36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713FFD1-9EE9-4046-8B25-3B296B4EBB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622128</xdr:colOff>
      <xdr:row>2</xdr:row>
      <xdr:rowOff>162102</xdr:rowOff>
    </xdr:from>
    <xdr:to>
      <xdr:col>58</xdr:col>
      <xdr:colOff>535690</xdr:colOff>
      <xdr:row>69</xdr:row>
      <xdr:rowOff>10084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0B643AA-08BA-432E-B5F8-63F6FED5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62</xdr:row>
      <xdr:rowOff>35242</xdr:rowOff>
    </xdr:from>
    <xdr:to>
      <xdr:col>9</xdr:col>
      <xdr:colOff>405766</xdr:colOff>
      <xdr:row>78</xdr:row>
      <xdr:rowOff>30480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C977C78-FB99-4E70-B3B2-5811AC361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666653</xdr:colOff>
      <xdr:row>4</xdr:row>
      <xdr:rowOff>54428</xdr:rowOff>
    </xdr:from>
    <xdr:to>
      <xdr:col>57</xdr:col>
      <xdr:colOff>214179</xdr:colOff>
      <xdr:row>50</xdr:row>
      <xdr:rowOff>43541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ABDFB52-7259-4663-845E-4ACFAF1D1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97972</xdr:colOff>
      <xdr:row>45</xdr:row>
      <xdr:rowOff>10885</xdr:rowOff>
    </xdr:from>
    <xdr:to>
      <xdr:col>9</xdr:col>
      <xdr:colOff>442778</xdr:colOff>
      <xdr:row>61</xdr:row>
      <xdr:rowOff>6124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1DCBF27-5EDB-4D42-B930-E480A57BC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688D-0720-483A-B3A0-58C054756044}">
  <dimension ref="A1:W402"/>
  <sheetViews>
    <sheetView zoomScale="115" zoomScaleNormal="115" workbookViewId="0">
      <selection activeCell="H2" sqref="H2"/>
    </sheetView>
  </sheetViews>
  <sheetFormatPr defaultRowHeight="14.4" x14ac:dyDescent="0.3"/>
  <cols>
    <col min="2" max="2" width="15.88671875" customWidth="1"/>
  </cols>
  <sheetData>
    <row r="1" spans="1:23" x14ac:dyDescent="0.3">
      <c r="A1" s="41" t="s">
        <v>4</v>
      </c>
      <c r="B1" s="41"/>
      <c r="C1" s="5" t="s">
        <v>5</v>
      </c>
      <c r="D1" s="6">
        <v>1</v>
      </c>
      <c r="E1" s="6">
        <v>10</v>
      </c>
      <c r="F1" s="7">
        <v>20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Q1" t="s">
        <v>16</v>
      </c>
      <c r="R1" t="s">
        <v>17</v>
      </c>
      <c r="S1" t="s">
        <v>18</v>
      </c>
      <c r="U1" t="s">
        <v>19</v>
      </c>
      <c r="V1" t="s">
        <v>20</v>
      </c>
      <c r="W1" t="s">
        <v>21</v>
      </c>
    </row>
    <row r="2" spans="1:23" x14ac:dyDescent="0.3">
      <c r="A2" s="2" t="s">
        <v>6</v>
      </c>
      <c r="B2" s="1">
        <v>4</v>
      </c>
      <c r="C2" s="2" t="s">
        <v>0</v>
      </c>
      <c r="D2" s="3">
        <f>EXP(-D1/$B$4)+EXP(-D1/$B$5)</f>
        <v>1.868834222497191</v>
      </c>
      <c r="E2" s="3">
        <f>EXP(-E1/$B$4)+EXP(-E1/$B$5)</f>
        <v>1.0186757422331258</v>
      </c>
      <c r="F2" s="4">
        <f>EXP(-F1/$B$4)+EXP(-F1/$B$5)</f>
        <v>0.52307634023827865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Q2">
        <f>L2-M2</f>
        <v>0</v>
      </c>
      <c r="R2">
        <f>L2-N2</f>
        <v>0</v>
      </c>
      <c r="S2">
        <f>L2-O2</f>
        <v>0</v>
      </c>
      <c r="U2">
        <f>MAX(Q2:Q402)</f>
        <v>0</v>
      </c>
      <c r="V2">
        <f>MAX(R2:R402)</f>
        <v>0.96544392722806105</v>
      </c>
      <c r="W2">
        <f>MAX(S2:S402)</f>
        <v>1.4546073502569223</v>
      </c>
    </row>
    <row r="3" spans="1:23" x14ac:dyDescent="0.3">
      <c r="A3" s="8" t="s">
        <v>7</v>
      </c>
      <c r="B3" s="1">
        <v>40</v>
      </c>
      <c r="C3" s="2" t="s">
        <v>1</v>
      </c>
      <c r="D3" s="3">
        <f>EXP(-D1/$B$4)*EXP(-D1/$B$5)</f>
        <v>0.87306383330673165</v>
      </c>
      <c r="E3" s="3">
        <f>EXP(-E1/$B$4)*EXP(-E1/$B$5)</f>
        <v>0.25731196378796556</v>
      </c>
      <c r="F3" s="4">
        <f>EXP(-F1/$B$4)*EXP(-F1/$B$5)</f>
        <v>6.6209446708419301E-2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Q3">
        <f t="shared" ref="Q3:Q66" si="0">L3-M3</f>
        <v>0</v>
      </c>
      <c r="R3">
        <f t="shared" ref="R3:R66" si="1">L3-N3</f>
        <v>0</v>
      </c>
      <c r="S3">
        <f t="shared" ref="S3:S66" si="2">L3-O3</f>
        <v>0</v>
      </c>
    </row>
    <row r="4" spans="1:23" x14ac:dyDescent="0.3">
      <c r="A4" s="2" t="s">
        <v>8</v>
      </c>
      <c r="B4" s="1">
        <v>17</v>
      </c>
      <c r="C4" s="2" t="s">
        <v>2</v>
      </c>
      <c r="D4" s="3">
        <f>$B$2*(1+$B$4/($B$5-$B$4)*EXP(-D$1/$B$4)-$B$5/($B$5-$B$4)*EXP(-D$1/$B$5))</f>
        <v>8.6505768172333575E-3</v>
      </c>
      <c r="E4" s="3">
        <f>$B$2*(1+$B$4/($B$5-$B$4)*EXP(-E$1/$B$4)-$B$5/($B$5-$B$4)*EXP(-E$1/$B$5))</f>
        <v>0.58359345897211945</v>
      </c>
      <c r="F4" s="4">
        <f>$B$2*(1+$B$4/($B$5-$B$4)*EXP(-F$1/$B$4)-$B$5/($B$5-$B$4)*EXP(-F$1/$B$5))</f>
        <v>1.5490373862001805</v>
      </c>
      <c r="J4">
        <v>2</v>
      </c>
      <c r="K4">
        <v>0</v>
      </c>
      <c r="L4">
        <v>0</v>
      </c>
      <c r="M4">
        <v>0</v>
      </c>
      <c r="N4">
        <v>0</v>
      </c>
      <c r="O4">
        <v>0</v>
      </c>
      <c r="Q4">
        <f t="shared" si="0"/>
        <v>0</v>
      </c>
      <c r="R4">
        <f t="shared" si="1"/>
        <v>0</v>
      </c>
      <c r="S4">
        <f t="shared" si="2"/>
        <v>0</v>
      </c>
    </row>
    <row r="5" spans="1:23" x14ac:dyDescent="0.3">
      <c r="A5" s="2" t="s">
        <v>9</v>
      </c>
      <c r="B5" s="1">
        <v>13</v>
      </c>
      <c r="C5" s="2" t="s">
        <v>3</v>
      </c>
      <c r="D5" s="3">
        <f>$B$2*(EXP(-D1/$B$4)*EXP(-D1/$B$5)+$B$4/($B$5-$B$4)*EXP(-D1/$B$5)-$B$5/($B$5-$B$4)*EXP(-D1/$B$4))</f>
        <v>8.2678664209279162E-3</v>
      </c>
      <c r="E5" s="3">
        <f>$B$2*(EXP(-E1/$B$4)*EXP(-E1/$B$5)+$B$4/($B$5-$B$4)*EXP(-E1/$B$5)-$B$5/($B$5-$B$4)*EXP(-E1/$B$4))</f>
        <v>0.37095142724723917</v>
      </c>
      <c r="F5" s="4">
        <f>$B$2*(EXP(-F1/$B$4)*EXP(-F1/$B$5)+$B$4/($B$5-$B$4)*EXP(-F1/$B$5)-$B$5/($B$5-$B$4)*EXP(-F1/$B$4))</f>
        <v>0.62349503968038267</v>
      </c>
      <c r="J5">
        <v>3</v>
      </c>
      <c r="K5">
        <v>0</v>
      </c>
      <c r="L5">
        <v>0</v>
      </c>
      <c r="M5">
        <v>0</v>
      </c>
      <c r="N5">
        <v>0</v>
      </c>
      <c r="O5">
        <v>0</v>
      </c>
      <c r="Q5">
        <f t="shared" si="0"/>
        <v>0</v>
      </c>
      <c r="R5">
        <f t="shared" si="1"/>
        <v>0</v>
      </c>
      <c r="S5">
        <f t="shared" si="2"/>
        <v>0</v>
      </c>
    </row>
    <row r="6" spans="1:23" x14ac:dyDescent="0.3">
      <c r="J6">
        <v>4</v>
      </c>
      <c r="K6">
        <v>0</v>
      </c>
      <c r="L6">
        <v>0</v>
      </c>
      <c r="M6">
        <v>0</v>
      </c>
      <c r="N6">
        <v>0</v>
      </c>
      <c r="O6">
        <v>0</v>
      </c>
      <c r="Q6">
        <f t="shared" si="0"/>
        <v>0</v>
      </c>
      <c r="R6">
        <f t="shared" si="1"/>
        <v>0</v>
      </c>
      <c r="S6">
        <f t="shared" si="2"/>
        <v>0</v>
      </c>
    </row>
    <row r="7" spans="1:23" x14ac:dyDescent="0.3">
      <c r="J7">
        <v>5</v>
      </c>
      <c r="K7">
        <v>0</v>
      </c>
      <c r="L7">
        <v>0</v>
      </c>
      <c r="M7">
        <v>0</v>
      </c>
      <c r="N7">
        <v>0</v>
      </c>
      <c r="O7">
        <v>0</v>
      </c>
      <c r="Q7">
        <f t="shared" si="0"/>
        <v>0</v>
      </c>
      <c r="R7">
        <f t="shared" si="1"/>
        <v>0</v>
      </c>
      <c r="S7">
        <f t="shared" si="2"/>
        <v>0</v>
      </c>
    </row>
    <row r="8" spans="1:23" x14ac:dyDescent="0.3">
      <c r="J8">
        <v>6</v>
      </c>
      <c r="K8">
        <v>0</v>
      </c>
      <c r="L8">
        <v>0</v>
      </c>
      <c r="M8">
        <v>0</v>
      </c>
      <c r="N8">
        <v>0</v>
      </c>
      <c r="O8">
        <v>0</v>
      </c>
      <c r="Q8">
        <f t="shared" si="0"/>
        <v>0</v>
      </c>
      <c r="R8">
        <f t="shared" si="1"/>
        <v>0</v>
      </c>
      <c r="S8">
        <f t="shared" si="2"/>
        <v>0</v>
      </c>
    </row>
    <row r="9" spans="1:23" x14ac:dyDescent="0.3">
      <c r="J9">
        <v>7</v>
      </c>
      <c r="K9">
        <v>0</v>
      </c>
      <c r="L9">
        <v>0</v>
      </c>
      <c r="M9">
        <v>0</v>
      </c>
      <c r="N9">
        <v>0</v>
      </c>
      <c r="O9">
        <v>0</v>
      </c>
      <c r="Q9">
        <f t="shared" si="0"/>
        <v>0</v>
      </c>
      <c r="R9">
        <f t="shared" si="1"/>
        <v>0</v>
      </c>
      <c r="S9">
        <f t="shared" si="2"/>
        <v>0</v>
      </c>
    </row>
    <row r="10" spans="1:23" x14ac:dyDescent="0.3">
      <c r="J10">
        <v>8</v>
      </c>
      <c r="K10">
        <v>0</v>
      </c>
      <c r="L10">
        <v>0</v>
      </c>
      <c r="M10">
        <v>0</v>
      </c>
      <c r="N10">
        <v>0</v>
      </c>
      <c r="O10">
        <v>0</v>
      </c>
      <c r="Q10">
        <f t="shared" si="0"/>
        <v>0</v>
      </c>
      <c r="R10">
        <f t="shared" si="1"/>
        <v>0</v>
      </c>
      <c r="S10">
        <f t="shared" si="2"/>
        <v>0</v>
      </c>
    </row>
    <row r="11" spans="1:23" x14ac:dyDescent="0.3">
      <c r="J11">
        <v>9</v>
      </c>
      <c r="K11">
        <v>0</v>
      </c>
      <c r="L11">
        <v>0</v>
      </c>
      <c r="M11">
        <v>0</v>
      </c>
      <c r="N11">
        <v>0</v>
      </c>
      <c r="O11">
        <v>0</v>
      </c>
      <c r="Q11">
        <f t="shared" si="0"/>
        <v>0</v>
      </c>
      <c r="R11">
        <f t="shared" si="1"/>
        <v>0</v>
      </c>
      <c r="S11">
        <f t="shared" si="2"/>
        <v>0</v>
      </c>
    </row>
    <row r="12" spans="1:23" x14ac:dyDescent="0.3">
      <c r="J12">
        <v>10</v>
      </c>
      <c r="K12">
        <v>0</v>
      </c>
      <c r="L12">
        <v>0</v>
      </c>
      <c r="M12">
        <v>0</v>
      </c>
      <c r="N12">
        <v>0</v>
      </c>
      <c r="O12">
        <v>0</v>
      </c>
      <c r="Q12">
        <f t="shared" si="0"/>
        <v>0</v>
      </c>
      <c r="R12">
        <f t="shared" si="1"/>
        <v>0</v>
      </c>
      <c r="S12">
        <f t="shared" si="2"/>
        <v>0</v>
      </c>
    </row>
    <row r="13" spans="1:23" x14ac:dyDescent="0.3">
      <c r="J13">
        <v>11</v>
      </c>
      <c r="K13">
        <v>0</v>
      </c>
      <c r="L13">
        <v>0</v>
      </c>
      <c r="M13">
        <v>0</v>
      </c>
      <c r="N13">
        <v>0</v>
      </c>
      <c r="O13">
        <v>0</v>
      </c>
      <c r="Q13">
        <f t="shared" si="0"/>
        <v>0</v>
      </c>
      <c r="R13">
        <f t="shared" si="1"/>
        <v>0</v>
      </c>
      <c r="S13">
        <f t="shared" si="2"/>
        <v>0</v>
      </c>
    </row>
    <row r="14" spans="1:23" x14ac:dyDescent="0.3">
      <c r="J14">
        <v>12</v>
      </c>
      <c r="K14">
        <v>0</v>
      </c>
      <c r="L14">
        <v>0</v>
      </c>
      <c r="M14">
        <v>0</v>
      </c>
      <c r="N14">
        <v>0</v>
      </c>
      <c r="O14">
        <v>0</v>
      </c>
      <c r="Q14">
        <f t="shared" si="0"/>
        <v>0</v>
      </c>
      <c r="R14">
        <f t="shared" si="1"/>
        <v>0</v>
      </c>
      <c r="S14">
        <f t="shared" si="2"/>
        <v>0</v>
      </c>
    </row>
    <row r="15" spans="1:23" x14ac:dyDescent="0.3">
      <c r="J15">
        <v>13</v>
      </c>
      <c r="K15">
        <v>0</v>
      </c>
      <c r="L15">
        <v>0</v>
      </c>
      <c r="M15">
        <v>0</v>
      </c>
      <c r="N15">
        <v>0</v>
      </c>
      <c r="O15">
        <v>0</v>
      </c>
      <c r="Q15">
        <f t="shared" si="0"/>
        <v>0</v>
      </c>
      <c r="R15">
        <f t="shared" si="1"/>
        <v>0</v>
      </c>
      <c r="S15">
        <f t="shared" si="2"/>
        <v>0</v>
      </c>
    </row>
    <row r="16" spans="1:23" x14ac:dyDescent="0.3">
      <c r="J16">
        <v>14</v>
      </c>
      <c r="K16">
        <v>0</v>
      </c>
      <c r="L16">
        <v>0</v>
      </c>
      <c r="M16">
        <v>0</v>
      </c>
      <c r="N16">
        <v>0</v>
      </c>
      <c r="O16">
        <v>0</v>
      </c>
      <c r="Q16">
        <f t="shared" si="0"/>
        <v>0</v>
      </c>
      <c r="R16">
        <f t="shared" si="1"/>
        <v>0</v>
      </c>
      <c r="S16">
        <f t="shared" si="2"/>
        <v>0</v>
      </c>
    </row>
    <row r="17" spans="10:19" x14ac:dyDescent="0.3">
      <c r="J17">
        <v>15</v>
      </c>
      <c r="K17">
        <v>0</v>
      </c>
      <c r="L17">
        <v>0</v>
      </c>
      <c r="M17">
        <v>0</v>
      </c>
      <c r="N17">
        <v>0</v>
      </c>
      <c r="O17">
        <v>0</v>
      </c>
      <c r="Q17">
        <f t="shared" si="0"/>
        <v>0</v>
      </c>
      <c r="R17">
        <f t="shared" si="1"/>
        <v>0</v>
      </c>
      <c r="S17">
        <f t="shared" si="2"/>
        <v>0</v>
      </c>
    </row>
    <row r="18" spans="10:19" x14ac:dyDescent="0.3">
      <c r="J18">
        <v>16</v>
      </c>
      <c r="K18">
        <v>0</v>
      </c>
      <c r="L18">
        <v>0</v>
      </c>
      <c r="M18">
        <v>0</v>
      </c>
      <c r="N18">
        <v>0</v>
      </c>
      <c r="O18">
        <v>0</v>
      </c>
      <c r="Q18">
        <f t="shared" si="0"/>
        <v>0</v>
      </c>
      <c r="R18">
        <f t="shared" si="1"/>
        <v>0</v>
      </c>
      <c r="S18">
        <f t="shared" si="2"/>
        <v>0</v>
      </c>
    </row>
    <row r="19" spans="10:19" x14ac:dyDescent="0.3">
      <c r="J19">
        <v>17</v>
      </c>
      <c r="K19">
        <v>0</v>
      </c>
      <c r="L19">
        <v>0</v>
      </c>
      <c r="M19">
        <v>0</v>
      </c>
      <c r="N19">
        <v>0</v>
      </c>
      <c r="O19">
        <v>0</v>
      </c>
      <c r="Q19">
        <f t="shared" si="0"/>
        <v>0</v>
      </c>
      <c r="R19">
        <f t="shared" si="1"/>
        <v>0</v>
      </c>
      <c r="S19">
        <f t="shared" si="2"/>
        <v>0</v>
      </c>
    </row>
    <row r="20" spans="10:19" x14ac:dyDescent="0.3">
      <c r="J20">
        <v>18</v>
      </c>
      <c r="K20">
        <v>0</v>
      </c>
      <c r="L20">
        <v>0</v>
      </c>
      <c r="M20">
        <v>0</v>
      </c>
      <c r="N20">
        <v>0</v>
      </c>
      <c r="O20">
        <v>0</v>
      </c>
      <c r="Q20">
        <f t="shared" si="0"/>
        <v>0</v>
      </c>
      <c r="R20">
        <f t="shared" si="1"/>
        <v>0</v>
      </c>
      <c r="S20">
        <f t="shared" si="2"/>
        <v>0</v>
      </c>
    </row>
    <row r="21" spans="10:19" x14ac:dyDescent="0.3">
      <c r="J21">
        <v>19</v>
      </c>
      <c r="K21">
        <v>0</v>
      </c>
      <c r="L21">
        <v>0</v>
      </c>
      <c r="M21">
        <v>0</v>
      </c>
      <c r="N21">
        <v>0</v>
      </c>
      <c r="O21">
        <v>0</v>
      </c>
      <c r="Q21">
        <f t="shared" si="0"/>
        <v>0</v>
      </c>
      <c r="R21">
        <f t="shared" si="1"/>
        <v>0</v>
      </c>
      <c r="S21">
        <f t="shared" si="2"/>
        <v>0</v>
      </c>
    </row>
    <row r="22" spans="10:19" x14ac:dyDescent="0.3">
      <c r="J22">
        <v>20</v>
      </c>
      <c r="K22">
        <v>0</v>
      </c>
      <c r="L22">
        <v>0</v>
      </c>
      <c r="M22">
        <v>0</v>
      </c>
      <c r="N22">
        <v>0</v>
      </c>
      <c r="O22">
        <v>0</v>
      </c>
      <c r="Q22">
        <f t="shared" si="0"/>
        <v>0</v>
      </c>
      <c r="R22">
        <f t="shared" si="1"/>
        <v>0</v>
      </c>
      <c r="S22">
        <f t="shared" si="2"/>
        <v>0</v>
      </c>
    </row>
    <row r="23" spans="10:19" x14ac:dyDescent="0.3">
      <c r="J23">
        <v>21</v>
      </c>
      <c r="K23">
        <v>0</v>
      </c>
      <c r="L23">
        <v>0</v>
      </c>
      <c r="M23">
        <v>0</v>
      </c>
      <c r="N23">
        <v>0</v>
      </c>
      <c r="O23">
        <v>0</v>
      </c>
      <c r="Q23">
        <f t="shared" si="0"/>
        <v>0</v>
      </c>
      <c r="R23">
        <f t="shared" si="1"/>
        <v>0</v>
      </c>
      <c r="S23">
        <f t="shared" si="2"/>
        <v>0</v>
      </c>
    </row>
    <row r="24" spans="10:19" x14ac:dyDescent="0.3">
      <c r="J24">
        <v>22</v>
      </c>
      <c r="K24">
        <v>0</v>
      </c>
      <c r="L24">
        <v>0</v>
      </c>
      <c r="M24">
        <v>0</v>
      </c>
      <c r="N24">
        <v>0</v>
      </c>
      <c r="O24">
        <v>0</v>
      </c>
      <c r="Q24">
        <f t="shared" si="0"/>
        <v>0</v>
      </c>
      <c r="R24">
        <f t="shared" si="1"/>
        <v>0</v>
      </c>
      <c r="S24">
        <f t="shared" si="2"/>
        <v>0</v>
      </c>
    </row>
    <row r="25" spans="10:19" x14ac:dyDescent="0.3">
      <c r="J25">
        <v>23</v>
      </c>
      <c r="K25">
        <v>0</v>
      </c>
      <c r="L25">
        <v>0</v>
      </c>
      <c r="M25">
        <v>0</v>
      </c>
      <c r="N25">
        <v>0</v>
      </c>
      <c r="O25">
        <v>0</v>
      </c>
      <c r="Q25">
        <f t="shared" si="0"/>
        <v>0</v>
      </c>
      <c r="R25">
        <f t="shared" si="1"/>
        <v>0</v>
      </c>
      <c r="S25">
        <f t="shared" si="2"/>
        <v>0</v>
      </c>
    </row>
    <row r="26" spans="10:19" x14ac:dyDescent="0.3">
      <c r="J26">
        <v>24</v>
      </c>
      <c r="K26">
        <v>0</v>
      </c>
      <c r="L26">
        <v>0</v>
      </c>
      <c r="M26">
        <v>0</v>
      </c>
      <c r="N26">
        <v>0</v>
      </c>
      <c r="O26">
        <v>0</v>
      </c>
      <c r="Q26">
        <f t="shared" si="0"/>
        <v>0</v>
      </c>
      <c r="R26">
        <f t="shared" si="1"/>
        <v>0</v>
      </c>
      <c r="S26">
        <f t="shared" si="2"/>
        <v>0</v>
      </c>
    </row>
    <row r="27" spans="10:19" x14ac:dyDescent="0.3">
      <c r="J27">
        <v>25</v>
      </c>
      <c r="K27">
        <v>0</v>
      </c>
      <c r="L27">
        <v>0</v>
      </c>
      <c r="M27">
        <v>0</v>
      </c>
      <c r="N27">
        <v>0</v>
      </c>
      <c r="O27">
        <v>0</v>
      </c>
      <c r="Q27">
        <f t="shared" si="0"/>
        <v>0</v>
      </c>
      <c r="R27">
        <f t="shared" si="1"/>
        <v>0</v>
      </c>
      <c r="S27">
        <f t="shared" si="2"/>
        <v>0</v>
      </c>
    </row>
    <row r="28" spans="10:19" x14ac:dyDescent="0.3">
      <c r="J28">
        <v>26</v>
      </c>
      <c r="K28">
        <v>0</v>
      </c>
      <c r="L28">
        <v>0</v>
      </c>
      <c r="M28">
        <v>0</v>
      </c>
      <c r="N28">
        <v>0</v>
      </c>
      <c r="O28">
        <v>0</v>
      </c>
      <c r="Q28">
        <f t="shared" si="0"/>
        <v>0</v>
      </c>
      <c r="R28">
        <f t="shared" si="1"/>
        <v>0</v>
      </c>
      <c r="S28">
        <f t="shared" si="2"/>
        <v>0</v>
      </c>
    </row>
    <row r="29" spans="10:19" x14ac:dyDescent="0.3">
      <c r="J29">
        <v>27</v>
      </c>
      <c r="K29">
        <v>0</v>
      </c>
      <c r="L29">
        <v>0</v>
      </c>
      <c r="M29">
        <v>0</v>
      </c>
      <c r="N29">
        <v>0</v>
      </c>
      <c r="O29">
        <v>0</v>
      </c>
      <c r="Q29">
        <f t="shared" si="0"/>
        <v>0</v>
      </c>
      <c r="R29">
        <f t="shared" si="1"/>
        <v>0</v>
      </c>
      <c r="S29">
        <f t="shared" si="2"/>
        <v>0</v>
      </c>
    </row>
    <row r="30" spans="10:19" x14ac:dyDescent="0.3">
      <c r="J30">
        <v>28</v>
      </c>
      <c r="K30">
        <v>0</v>
      </c>
      <c r="L30">
        <v>0</v>
      </c>
      <c r="M30">
        <v>0</v>
      </c>
      <c r="N30">
        <v>0</v>
      </c>
      <c r="O30">
        <v>0</v>
      </c>
      <c r="Q30">
        <f t="shared" si="0"/>
        <v>0</v>
      </c>
      <c r="R30">
        <f t="shared" si="1"/>
        <v>0</v>
      </c>
      <c r="S30">
        <f t="shared" si="2"/>
        <v>0</v>
      </c>
    </row>
    <row r="31" spans="10:19" x14ac:dyDescent="0.3">
      <c r="J31">
        <v>29</v>
      </c>
      <c r="K31">
        <v>0</v>
      </c>
      <c r="L31">
        <v>0</v>
      </c>
      <c r="M31">
        <v>0</v>
      </c>
      <c r="N31">
        <v>0</v>
      </c>
      <c r="O31">
        <v>0</v>
      </c>
      <c r="Q31">
        <f t="shared" si="0"/>
        <v>0</v>
      </c>
      <c r="R31">
        <f t="shared" si="1"/>
        <v>0</v>
      </c>
      <c r="S31">
        <f t="shared" si="2"/>
        <v>0</v>
      </c>
    </row>
    <row r="32" spans="10:19" x14ac:dyDescent="0.3">
      <c r="J32">
        <v>30</v>
      </c>
      <c r="K32">
        <v>0</v>
      </c>
      <c r="L32">
        <v>0</v>
      </c>
      <c r="M32">
        <v>0</v>
      </c>
      <c r="N32">
        <v>0</v>
      </c>
      <c r="O32">
        <v>0</v>
      </c>
      <c r="Q32">
        <f t="shared" si="0"/>
        <v>0</v>
      </c>
      <c r="R32">
        <f t="shared" si="1"/>
        <v>0</v>
      </c>
      <c r="S32">
        <f t="shared" si="2"/>
        <v>0</v>
      </c>
    </row>
    <row r="33" spans="10:19" x14ac:dyDescent="0.3">
      <c r="J33">
        <v>31</v>
      </c>
      <c r="K33">
        <v>0</v>
      </c>
      <c r="L33">
        <v>0</v>
      </c>
      <c r="M33">
        <v>0</v>
      </c>
      <c r="N33">
        <v>0</v>
      </c>
      <c r="O33">
        <v>0</v>
      </c>
      <c r="Q33">
        <f t="shared" si="0"/>
        <v>0</v>
      </c>
      <c r="R33">
        <f t="shared" si="1"/>
        <v>0</v>
      </c>
      <c r="S33">
        <f t="shared" si="2"/>
        <v>0</v>
      </c>
    </row>
    <row r="34" spans="10:19" x14ac:dyDescent="0.3">
      <c r="J34">
        <v>32</v>
      </c>
      <c r="K34">
        <v>0</v>
      </c>
      <c r="L34">
        <v>0</v>
      </c>
      <c r="M34">
        <v>0</v>
      </c>
      <c r="N34">
        <v>0</v>
      </c>
      <c r="O34">
        <v>0</v>
      </c>
      <c r="Q34">
        <f t="shared" si="0"/>
        <v>0</v>
      </c>
      <c r="R34">
        <f t="shared" si="1"/>
        <v>0</v>
      </c>
      <c r="S34">
        <f t="shared" si="2"/>
        <v>0</v>
      </c>
    </row>
    <row r="35" spans="10:19" x14ac:dyDescent="0.3">
      <c r="J35">
        <v>33</v>
      </c>
      <c r="K35">
        <v>0</v>
      </c>
      <c r="L35">
        <v>0</v>
      </c>
      <c r="M35">
        <v>0</v>
      </c>
      <c r="N35">
        <v>0</v>
      </c>
      <c r="O35">
        <v>0</v>
      </c>
      <c r="Q35">
        <f t="shared" si="0"/>
        <v>0</v>
      </c>
      <c r="R35">
        <f t="shared" si="1"/>
        <v>0</v>
      </c>
      <c r="S35">
        <f t="shared" si="2"/>
        <v>0</v>
      </c>
    </row>
    <row r="36" spans="10:19" x14ac:dyDescent="0.3">
      <c r="J36">
        <v>34</v>
      </c>
      <c r="K36">
        <v>0</v>
      </c>
      <c r="L36">
        <v>0</v>
      </c>
      <c r="M36">
        <v>0</v>
      </c>
      <c r="N36">
        <v>0</v>
      </c>
      <c r="O36">
        <v>0</v>
      </c>
      <c r="Q36">
        <f t="shared" si="0"/>
        <v>0</v>
      </c>
      <c r="R36">
        <f t="shared" si="1"/>
        <v>0</v>
      </c>
      <c r="S36">
        <f t="shared" si="2"/>
        <v>0</v>
      </c>
    </row>
    <row r="37" spans="10:19" x14ac:dyDescent="0.3">
      <c r="J37">
        <v>35</v>
      </c>
      <c r="K37">
        <v>0</v>
      </c>
      <c r="L37">
        <v>0</v>
      </c>
      <c r="M37">
        <v>0</v>
      </c>
      <c r="N37">
        <v>0</v>
      </c>
      <c r="O37">
        <v>0</v>
      </c>
      <c r="Q37">
        <f t="shared" si="0"/>
        <v>0</v>
      </c>
      <c r="R37">
        <f t="shared" si="1"/>
        <v>0</v>
      </c>
      <c r="S37">
        <f t="shared" si="2"/>
        <v>0</v>
      </c>
    </row>
    <row r="38" spans="10:19" x14ac:dyDescent="0.3">
      <c r="J38">
        <v>36</v>
      </c>
      <c r="K38">
        <v>0</v>
      </c>
      <c r="L38">
        <v>0</v>
      </c>
      <c r="M38">
        <v>0</v>
      </c>
      <c r="N38">
        <v>0</v>
      </c>
      <c r="O38">
        <v>0</v>
      </c>
      <c r="Q38">
        <f t="shared" si="0"/>
        <v>0</v>
      </c>
      <c r="R38">
        <f t="shared" si="1"/>
        <v>0</v>
      </c>
      <c r="S38">
        <f t="shared" si="2"/>
        <v>0</v>
      </c>
    </row>
    <row r="39" spans="10:19" x14ac:dyDescent="0.3">
      <c r="J39">
        <v>37</v>
      </c>
      <c r="K39">
        <v>0</v>
      </c>
      <c r="L39">
        <v>0</v>
      </c>
      <c r="M39">
        <v>0</v>
      </c>
      <c r="N39">
        <v>0</v>
      </c>
      <c r="O39">
        <v>0</v>
      </c>
      <c r="Q39">
        <f t="shared" si="0"/>
        <v>0</v>
      </c>
      <c r="R39">
        <f t="shared" si="1"/>
        <v>0</v>
      </c>
      <c r="S39">
        <f t="shared" si="2"/>
        <v>0</v>
      </c>
    </row>
    <row r="40" spans="10:19" x14ac:dyDescent="0.3">
      <c r="J40">
        <v>38</v>
      </c>
      <c r="K40">
        <v>0</v>
      </c>
      <c r="L40">
        <v>0</v>
      </c>
      <c r="M40">
        <v>0</v>
      </c>
      <c r="N40">
        <v>0</v>
      </c>
      <c r="O40">
        <v>0</v>
      </c>
      <c r="Q40">
        <f t="shared" si="0"/>
        <v>0</v>
      </c>
      <c r="R40">
        <f t="shared" si="1"/>
        <v>0</v>
      </c>
      <c r="S40">
        <f t="shared" si="2"/>
        <v>0</v>
      </c>
    </row>
    <row r="41" spans="10:19" x14ac:dyDescent="0.3">
      <c r="J41">
        <v>39</v>
      </c>
      <c r="K41">
        <v>0</v>
      </c>
      <c r="L41">
        <v>0</v>
      </c>
      <c r="M41">
        <v>0</v>
      </c>
      <c r="N41">
        <v>0</v>
      </c>
      <c r="O41">
        <v>0</v>
      </c>
      <c r="Q41">
        <f t="shared" si="0"/>
        <v>0</v>
      </c>
      <c r="R41">
        <f t="shared" si="1"/>
        <v>0</v>
      </c>
      <c r="S41">
        <f t="shared" si="2"/>
        <v>0</v>
      </c>
    </row>
    <row r="42" spans="10:19" x14ac:dyDescent="0.3">
      <c r="J42">
        <v>40</v>
      </c>
      <c r="K42">
        <v>1</v>
      </c>
      <c r="L42">
        <f>IF(J82&lt;$B$3, 0, $B$2*K82*(1-($B$4/($B$4-$B$5))*EXP(-(J82-$J$42-$B$3)/$B$4)+($B$5/($B$4-$B$5))*EXP(-(J82-$J$42-$B$3)/$B$5)))</f>
        <v>0</v>
      </c>
      <c r="M42">
        <f>$D$2*M41-$D$3*M40 + $D$4*K2+$D$5*K3</f>
        <v>0</v>
      </c>
      <c r="N42">
        <v>0</v>
      </c>
      <c r="O42">
        <v>0</v>
      </c>
      <c r="Q42">
        <f t="shared" si="0"/>
        <v>0</v>
      </c>
      <c r="R42">
        <f t="shared" si="1"/>
        <v>0</v>
      </c>
      <c r="S42">
        <f t="shared" si="2"/>
        <v>0</v>
      </c>
    </row>
    <row r="43" spans="10:19" x14ac:dyDescent="0.3">
      <c r="J43">
        <v>41</v>
      </c>
      <c r="K43">
        <v>1</v>
      </c>
      <c r="L43">
        <v>0</v>
      </c>
      <c r="M43">
        <f t="shared" ref="M43:M106" si="3">$D$2*M42-$D$3*M41 + $D$4*K3+$D$5*K4</f>
        <v>0</v>
      </c>
      <c r="N43">
        <v>0</v>
      </c>
      <c r="O43">
        <v>0</v>
      </c>
      <c r="Q43">
        <f t="shared" si="0"/>
        <v>0</v>
      </c>
      <c r="R43">
        <f t="shared" si="1"/>
        <v>0</v>
      </c>
      <c r="S43">
        <f t="shared" si="2"/>
        <v>0</v>
      </c>
    </row>
    <row r="44" spans="10:19" x14ac:dyDescent="0.3">
      <c r="J44">
        <v>42</v>
      </c>
      <c r="K44">
        <v>1</v>
      </c>
      <c r="L44">
        <v>0</v>
      </c>
      <c r="M44">
        <f t="shared" si="3"/>
        <v>0</v>
      </c>
      <c r="N44">
        <v>0</v>
      </c>
      <c r="O44">
        <v>0</v>
      </c>
      <c r="Q44">
        <f t="shared" si="0"/>
        <v>0</v>
      </c>
      <c r="R44">
        <f t="shared" si="1"/>
        <v>0</v>
      </c>
      <c r="S44">
        <f t="shared" si="2"/>
        <v>0</v>
      </c>
    </row>
    <row r="45" spans="10:19" x14ac:dyDescent="0.3">
      <c r="J45">
        <v>43</v>
      </c>
      <c r="K45">
        <v>1</v>
      </c>
      <c r="L45">
        <v>0</v>
      </c>
      <c r="M45">
        <f t="shared" si="3"/>
        <v>0</v>
      </c>
      <c r="N45">
        <v>0</v>
      </c>
      <c r="O45">
        <v>0</v>
      </c>
      <c r="Q45">
        <f t="shared" si="0"/>
        <v>0</v>
      </c>
      <c r="R45">
        <f t="shared" si="1"/>
        <v>0</v>
      </c>
      <c r="S45">
        <f t="shared" si="2"/>
        <v>0</v>
      </c>
    </row>
    <row r="46" spans="10:19" x14ac:dyDescent="0.3">
      <c r="J46">
        <v>44</v>
      </c>
      <c r="K46">
        <v>1</v>
      </c>
      <c r="L46">
        <v>0</v>
      </c>
      <c r="M46">
        <f t="shared" si="3"/>
        <v>0</v>
      </c>
      <c r="N46">
        <v>0</v>
      </c>
      <c r="O46">
        <v>0</v>
      </c>
      <c r="Q46">
        <f t="shared" si="0"/>
        <v>0</v>
      </c>
      <c r="R46">
        <f t="shared" si="1"/>
        <v>0</v>
      </c>
      <c r="S46">
        <f t="shared" si="2"/>
        <v>0</v>
      </c>
    </row>
    <row r="47" spans="10:19" x14ac:dyDescent="0.3">
      <c r="J47">
        <v>45</v>
      </c>
      <c r="K47">
        <v>1</v>
      </c>
      <c r="L47">
        <v>0</v>
      </c>
      <c r="M47">
        <f t="shared" si="3"/>
        <v>0</v>
      </c>
      <c r="N47">
        <v>0</v>
      </c>
      <c r="O47">
        <v>0</v>
      </c>
      <c r="Q47">
        <f t="shared" si="0"/>
        <v>0</v>
      </c>
      <c r="R47">
        <f t="shared" si="1"/>
        <v>0</v>
      </c>
      <c r="S47">
        <f t="shared" si="2"/>
        <v>0</v>
      </c>
    </row>
    <row r="48" spans="10:19" x14ac:dyDescent="0.3">
      <c r="J48">
        <v>46</v>
      </c>
      <c r="K48">
        <v>1</v>
      </c>
      <c r="L48">
        <v>0</v>
      </c>
      <c r="M48">
        <f t="shared" si="3"/>
        <v>0</v>
      </c>
      <c r="N48">
        <v>0</v>
      </c>
      <c r="O48">
        <v>0</v>
      </c>
      <c r="Q48">
        <f t="shared" si="0"/>
        <v>0</v>
      </c>
      <c r="R48">
        <f t="shared" si="1"/>
        <v>0</v>
      </c>
      <c r="S48">
        <f t="shared" si="2"/>
        <v>0</v>
      </c>
    </row>
    <row r="49" spans="10:19" x14ac:dyDescent="0.3">
      <c r="J49">
        <v>47</v>
      </c>
      <c r="K49">
        <v>1</v>
      </c>
      <c r="L49">
        <v>0</v>
      </c>
      <c r="M49">
        <f t="shared" si="3"/>
        <v>0</v>
      </c>
      <c r="N49">
        <v>0</v>
      </c>
      <c r="O49">
        <v>0</v>
      </c>
      <c r="Q49">
        <f t="shared" si="0"/>
        <v>0</v>
      </c>
      <c r="R49">
        <f t="shared" si="1"/>
        <v>0</v>
      </c>
      <c r="S49">
        <f t="shared" si="2"/>
        <v>0</v>
      </c>
    </row>
    <row r="50" spans="10:19" x14ac:dyDescent="0.3">
      <c r="J50">
        <v>48</v>
      </c>
      <c r="K50">
        <v>1</v>
      </c>
      <c r="L50">
        <v>0</v>
      </c>
      <c r="M50">
        <f t="shared" si="3"/>
        <v>0</v>
      </c>
      <c r="N50">
        <v>0</v>
      </c>
      <c r="O50">
        <v>0</v>
      </c>
      <c r="Q50">
        <f t="shared" si="0"/>
        <v>0</v>
      </c>
      <c r="R50">
        <f t="shared" si="1"/>
        <v>0</v>
      </c>
      <c r="S50">
        <f t="shared" si="2"/>
        <v>0</v>
      </c>
    </row>
    <row r="51" spans="10:19" x14ac:dyDescent="0.3">
      <c r="J51">
        <v>49</v>
      </c>
      <c r="K51">
        <v>1</v>
      </c>
      <c r="L51">
        <v>0</v>
      </c>
      <c r="M51">
        <f t="shared" si="3"/>
        <v>0</v>
      </c>
      <c r="N51">
        <v>0</v>
      </c>
      <c r="O51">
        <v>0</v>
      </c>
      <c r="Q51">
        <f t="shared" si="0"/>
        <v>0</v>
      </c>
      <c r="R51">
        <f t="shared" si="1"/>
        <v>0</v>
      </c>
      <c r="S51">
        <f t="shared" si="2"/>
        <v>0</v>
      </c>
    </row>
    <row r="52" spans="10:19" x14ac:dyDescent="0.3">
      <c r="J52">
        <v>50</v>
      </c>
      <c r="K52">
        <v>1</v>
      </c>
      <c r="L52">
        <v>0</v>
      </c>
      <c r="M52">
        <f t="shared" si="3"/>
        <v>0</v>
      </c>
      <c r="N52">
        <f>$E$2 *N42 - $E$3 *N32 + $E$4 *K2 + $E$5 * 0</f>
        <v>0</v>
      </c>
      <c r="O52">
        <v>0</v>
      </c>
      <c r="Q52">
        <f t="shared" si="0"/>
        <v>0</v>
      </c>
      <c r="R52">
        <f t="shared" si="1"/>
        <v>0</v>
      </c>
      <c r="S52">
        <f t="shared" si="2"/>
        <v>0</v>
      </c>
    </row>
    <row r="53" spans="10:19" x14ac:dyDescent="0.3">
      <c r="J53">
        <v>51</v>
      </c>
      <c r="K53">
        <v>1</v>
      </c>
      <c r="L53">
        <v>0</v>
      </c>
      <c r="M53">
        <f t="shared" si="3"/>
        <v>0</v>
      </c>
      <c r="N53">
        <f t="shared" ref="N53:N61" si="4">$E$2 *N43 - $E$3 *N33 + $E$4 *K3 + $E$5 * 0</f>
        <v>0</v>
      </c>
      <c r="O53">
        <v>0</v>
      </c>
      <c r="Q53">
        <f t="shared" si="0"/>
        <v>0</v>
      </c>
      <c r="R53">
        <f t="shared" si="1"/>
        <v>0</v>
      </c>
      <c r="S53">
        <f t="shared" si="2"/>
        <v>0</v>
      </c>
    </row>
    <row r="54" spans="10:19" x14ac:dyDescent="0.3">
      <c r="J54">
        <v>52</v>
      </c>
      <c r="K54">
        <v>1</v>
      </c>
      <c r="L54">
        <v>0</v>
      </c>
      <c r="M54">
        <f t="shared" si="3"/>
        <v>0</v>
      </c>
      <c r="N54">
        <f t="shared" si="4"/>
        <v>0</v>
      </c>
      <c r="O54">
        <v>0</v>
      </c>
      <c r="Q54">
        <f t="shared" si="0"/>
        <v>0</v>
      </c>
      <c r="R54">
        <f t="shared" si="1"/>
        <v>0</v>
      </c>
      <c r="S54">
        <f t="shared" si="2"/>
        <v>0</v>
      </c>
    </row>
    <row r="55" spans="10:19" x14ac:dyDescent="0.3">
      <c r="J55">
        <v>53</v>
      </c>
      <c r="K55">
        <v>1</v>
      </c>
      <c r="L55">
        <v>0</v>
      </c>
      <c r="M55">
        <f t="shared" si="3"/>
        <v>0</v>
      </c>
      <c r="N55">
        <f t="shared" si="4"/>
        <v>0</v>
      </c>
      <c r="O55">
        <v>0</v>
      </c>
      <c r="Q55">
        <f t="shared" si="0"/>
        <v>0</v>
      </c>
      <c r="R55">
        <f t="shared" si="1"/>
        <v>0</v>
      </c>
      <c r="S55">
        <f t="shared" si="2"/>
        <v>0</v>
      </c>
    </row>
    <row r="56" spans="10:19" x14ac:dyDescent="0.3">
      <c r="J56">
        <v>54</v>
      </c>
      <c r="K56">
        <v>1</v>
      </c>
      <c r="L56">
        <v>0</v>
      </c>
      <c r="M56">
        <f t="shared" si="3"/>
        <v>0</v>
      </c>
      <c r="N56">
        <f t="shared" si="4"/>
        <v>0</v>
      </c>
      <c r="O56">
        <v>0</v>
      </c>
      <c r="Q56">
        <f t="shared" si="0"/>
        <v>0</v>
      </c>
      <c r="R56">
        <f t="shared" si="1"/>
        <v>0</v>
      </c>
      <c r="S56">
        <f t="shared" si="2"/>
        <v>0</v>
      </c>
    </row>
    <row r="57" spans="10:19" x14ac:dyDescent="0.3">
      <c r="J57">
        <v>55</v>
      </c>
      <c r="K57">
        <v>1</v>
      </c>
      <c r="L57">
        <v>0</v>
      </c>
      <c r="M57">
        <f t="shared" si="3"/>
        <v>0</v>
      </c>
      <c r="N57">
        <f t="shared" si="4"/>
        <v>0</v>
      </c>
      <c r="O57">
        <v>0</v>
      </c>
      <c r="Q57">
        <f t="shared" si="0"/>
        <v>0</v>
      </c>
      <c r="R57">
        <f t="shared" si="1"/>
        <v>0</v>
      </c>
      <c r="S57">
        <f t="shared" si="2"/>
        <v>0</v>
      </c>
    </row>
    <row r="58" spans="10:19" x14ac:dyDescent="0.3">
      <c r="J58">
        <v>56</v>
      </c>
      <c r="K58">
        <v>1</v>
      </c>
      <c r="L58">
        <v>0</v>
      </c>
      <c r="M58">
        <f t="shared" si="3"/>
        <v>0</v>
      </c>
      <c r="N58">
        <f t="shared" si="4"/>
        <v>0</v>
      </c>
      <c r="O58">
        <v>0</v>
      </c>
      <c r="Q58">
        <f t="shared" si="0"/>
        <v>0</v>
      </c>
      <c r="R58">
        <f t="shared" si="1"/>
        <v>0</v>
      </c>
      <c r="S58">
        <f t="shared" si="2"/>
        <v>0</v>
      </c>
    </row>
    <row r="59" spans="10:19" x14ac:dyDescent="0.3">
      <c r="J59">
        <v>57</v>
      </c>
      <c r="K59">
        <v>1</v>
      </c>
      <c r="L59">
        <v>0</v>
      </c>
      <c r="M59">
        <f t="shared" si="3"/>
        <v>0</v>
      </c>
      <c r="N59">
        <f t="shared" si="4"/>
        <v>0</v>
      </c>
      <c r="O59">
        <v>0</v>
      </c>
      <c r="Q59">
        <f t="shared" si="0"/>
        <v>0</v>
      </c>
      <c r="R59">
        <f t="shared" si="1"/>
        <v>0</v>
      </c>
      <c r="S59">
        <f t="shared" si="2"/>
        <v>0</v>
      </c>
    </row>
    <row r="60" spans="10:19" x14ac:dyDescent="0.3">
      <c r="J60">
        <v>58</v>
      </c>
      <c r="K60">
        <v>1</v>
      </c>
      <c r="L60">
        <v>0</v>
      </c>
      <c r="M60">
        <f t="shared" si="3"/>
        <v>0</v>
      </c>
      <c r="N60">
        <f t="shared" si="4"/>
        <v>0</v>
      </c>
      <c r="O60">
        <v>0</v>
      </c>
      <c r="Q60">
        <f t="shared" si="0"/>
        <v>0</v>
      </c>
      <c r="R60">
        <f t="shared" si="1"/>
        <v>0</v>
      </c>
      <c r="S60">
        <f t="shared" si="2"/>
        <v>0</v>
      </c>
    </row>
    <row r="61" spans="10:19" x14ac:dyDescent="0.3">
      <c r="J61">
        <v>59</v>
      </c>
      <c r="K61">
        <v>1</v>
      </c>
      <c r="L61">
        <v>0</v>
      </c>
      <c r="M61">
        <f t="shared" si="3"/>
        <v>0</v>
      </c>
      <c r="N61">
        <f t="shared" si="4"/>
        <v>0</v>
      </c>
      <c r="O61">
        <v>0</v>
      </c>
      <c r="Q61">
        <f t="shared" si="0"/>
        <v>0</v>
      </c>
      <c r="R61">
        <f t="shared" si="1"/>
        <v>0</v>
      </c>
      <c r="S61">
        <f t="shared" si="2"/>
        <v>0</v>
      </c>
    </row>
    <row r="62" spans="10:19" x14ac:dyDescent="0.3">
      <c r="J62">
        <v>60</v>
      </c>
      <c r="K62">
        <v>1</v>
      </c>
      <c r="L62">
        <v>0</v>
      </c>
      <c r="M62">
        <f t="shared" si="3"/>
        <v>0</v>
      </c>
      <c r="N62">
        <f>$E$2 *N52 - $E$3 *N42 + $E$4 *K22 + $E$5 * K12</f>
        <v>0</v>
      </c>
      <c r="O62">
        <f>$F$2 * O42 - $F$3 * O22 + $F$4 * K2 + $F$5 * 0</f>
        <v>0</v>
      </c>
      <c r="Q62">
        <f t="shared" si="0"/>
        <v>0</v>
      </c>
      <c r="R62">
        <f t="shared" si="1"/>
        <v>0</v>
      </c>
      <c r="S62">
        <f t="shared" si="2"/>
        <v>0</v>
      </c>
    </row>
    <row r="63" spans="10:19" x14ac:dyDescent="0.3">
      <c r="J63">
        <v>61</v>
      </c>
      <c r="K63">
        <v>1</v>
      </c>
      <c r="L63">
        <v>0</v>
      </c>
      <c r="M63">
        <f t="shared" si="3"/>
        <v>0</v>
      </c>
      <c r="N63">
        <f>$E$2 *N53 - $E$3 *N43 + $E$4 *K12 + $E$5 * K2</f>
        <v>0</v>
      </c>
      <c r="O63">
        <f t="shared" ref="O63:O80" si="5">$F$2 * O43 - $F$3 * O23 + $F$4 * K3 + $F$5 * 0</f>
        <v>0</v>
      </c>
      <c r="Q63">
        <f t="shared" si="0"/>
        <v>0</v>
      </c>
      <c r="R63">
        <f t="shared" si="1"/>
        <v>0</v>
      </c>
      <c r="S63">
        <f t="shared" si="2"/>
        <v>0</v>
      </c>
    </row>
    <row r="64" spans="10:19" x14ac:dyDescent="0.3">
      <c r="J64">
        <v>62</v>
      </c>
      <c r="K64">
        <v>1</v>
      </c>
      <c r="L64">
        <v>0</v>
      </c>
      <c r="M64">
        <f t="shared" si="3"/>
        <v>0</v>
      </c>
      <c r="N64">
        <f t="shared" ref="N64:N127" si="6">$E$2 *N54 - $E$3 *N44 + $E$4 *K13 + $E$5 * K3</f>
        <v>0</v>
      </c>
      <c r="O64">
        <f t="shared" si="5"/>
        <v>0</v>
      </c>
      <c r="Q64">
        <f t="shared" si="0"/>
        <v>0</v>
      </c>
      <c r="R64">
        <f t="shared" si="1"/>
        <v>0</v>
      </c>
      <c r="S64">
        <f t="shared" si="2"/>
        <v>0</v>
      </c>
    </row>
    <row r="65" spans="10:19" x14ac:dyDescent="0.3">
      <c r="J65">
        <v>63</v>
      </c>
      <c r="K65">
        <v>1</v>
      </c>
      <c r="L65">
        <v>0</v>
      </c>
      <c r="M65">
        <f t="shared" si="3"/>
        <v>0</v>
      </c>
      <c r="N65">
        <f t="shared" si="6"/>
        <v>0</v>
      </c>
      <c r="O65">
        <f t="shared" si="5"/>
        <v>0</v>
      </c>
      <c r="Q65">
        <f t="shared" si="0"/>
        <v>0</v>
      </c>
      <c r="R65">
        <f t="shared" si="1"/>
        <v>0</v>
      </c>
      <c r="S65">
        <f t="shared" si="2"/>
        <v>0</v>
      </c>
    </row>
    <row r="66" spans="10:19" x14ac:dyDescent="0.3">
      <c r="J66">
        <v>64</v>
      </c>
      <c r="K66">
        <v>1</v>
      </c>
      <c r="L66">
        <v>0</v>
      </c>
      <c r="M66">
        <f t="shared" si="3"/>
        <v>0</v>
      </c>
      <c r="N66">
        <f t="shared" si="6"/>
        <v>0</v>
      </c>
      <c r="O66">
        <f t="shared" si="5"/>
        <v>0</v>
      </c>
      <c r="Q66">
        <f t="shared" si="0"/>
        <v>0</v>
      </c>
      <c r="R66">
        <f t="shared" si="1"/>
        <v>0</v>
      </c>
      <c r="S66">
        <f t="shared" si="2"/>
        <v>0</v>
      </c>
    </row>
    <row r="67" spans="10:19" x14ac:dyDescent="0.3">
      <c r="J67">
        <v>65</v>
      </c>
      <c r="K67">
        <v>1</v>
      </c>
      <c r="L67">
        <v>0</v>
      </c>
      <c r="M67">
        <f t="shared" si="3"/>
        <v>0</v>
      </c>
      <c r="N67">
        <f t="shared" si="6"/>
        <v>0</v>
      </c>
      <c r="O67">
        <f t="shared" si="5"/>
        <v>0</v>
      </c>
      <c r="Q67">
        <f t="shared" ref="Q67:Q130" si="7">L67-M67</f>
        <v>0</v>
      </c>
      <c r="R67">
        <f t="shared" ref="R67:R130" si="8">L67-N67</f>
        <v>0</v>
      </c>
      <c r="S67">
        <f t="shared" ref="S67:S130" si="9">L67-O67</f>
        <v>0</v>
      </c>
    </row>
    <row r="68" spans="10:19" x14ac:dyDescent="0.3">
      <c r="J68">
        <v>66</v>
      </c>
      <c r="K68">
        <v>1</v>
      </c>
      <c r="L68">
        <v>0</v>
      </c>
      <c r="M68">
        <f t="shared" si="3"/>
        <v>0</v>
      </c>
      <c r="N68">
        <f t="shared" si="6"/>
        <v>0</v>
      </c>
      <c r="O68">
        <f t="shared" si="5"/>
        <v>0</v>
      </c>
      <c r="Q68">
        <f t="shared" si="7"/>
        <v>0</v>
      </c>
      <c r="R68">
        <f t="shared" si="8"/>
        <v>0</v>
      </c>
      <c r="S68">
        <f t="shared" si="9"/>
        <v>0</v>
      </c>
    </row>
    <row r="69" spans="10:19" x14ac:dyDescent="0.3">
      <c r="J69">
        <v>67</v>
      </c>
      <c r="K69">
        <v>1</v>
      </c>
      <c r="L69">
        <v>0</v>
      </c>
      <c r="M69">
        <f t="shared" si="3"/>
        <v>0</v>
      </c>
      <c r="N69">
        <f t="shared" si="6"/>
        <v>0</v>
      </c>
      <c r="O69">
        <f t="shared" si="5"/>
        <v>0</v>
      </c>
      <c r="Q69">
        <f t="shared" si="7"/>
        <v>0</v>
      </c>
      <c r="R69">
        <f t="shared" si="8"/>
        <v>0</v>
      </c>
      <c r="S69">
        <f t="shared" si="9"/>
        <v>0</v>
      </c>
    </row>
    <row r="70" spans="10:19" x14ac:dyDescent="0.3">
      <c r="J70">
        <v>68</v>
      </c>
      <c r="K70">
        <v>1</v>
      </c>
      <c r="L70">
        <v>0</v>
      </c>
      <c r="M70">
        <f t="shared" si="3"/>
        <v>0</v>
      </c>
      <c r="N70">
        <f t="shared" si="6"/>
        <v>0</v>
      </c>
      <c r="O70">
        <f t="shared" si="5"/>
        <v>0</v>
      </c>
      <c r="Q70">
        <f t="shared" si="7"/>
        <v>0</v>
      </c>
      <c r="R70">
        <f t="shared" si="8"/>
        <v>0</v>
      </c>
      <c r="S70">
        <f t="shared" si="9"/>
        <v>0</v>
      </c>
    </row>
    <row r="71" spans="10:19" x14ac:dyDescent="0.3">
      <c r="J71">
        <v>69</v>
      </c>
      <c r="K71">
        <v>1</v>
      </c>
      <c r="L71">
        <v>0</v>
      </c>
      <c r="M71">
        <f t="shared" si="3"/>
        <v>0</v>
      </c>
      <c r="N71">
        <f t="shared" si="6"/>
        <v>0</v>
      </c>
      <c r="O71">
        <f t="shared" si="5"/>
        <v>0</v>
      </c>
      <c r="Q71">
        <f t="shared" si="7"/>
        <v>0</v>
      </c>
      <c r="R71">
        <f t="shared" si="8"/>
        <v>0</v>
      </c>
      <c r="S71">
        <f t="shared" si="9"/>
        <v>0</v>
      </c>
    </row>
    <row r="72" spans="10:19" x14ac:dyDescent="0.3">
      <c r="J72">
        <v>70</v>
      </c>
      <c r="K72">
        <v>1</v>
      </c>
      <c r="L72">
        <v>0</v>
      </c>
      <c r="M72">
        <f t="shared" si="3"/>
        <v>0</v>
      </c>
      <c r="N72">
        <f t="shared" si="6"/>
        <v>0</v>
      </c>
      <c r="O72">
        <f t="shared" si="5"/>
        <v>0</v>
      </c>
      <c r="Q72">
        <f t="shared" si="7"/>
        <v>0</v>
      </c>
      <c r="R72">
        <f t="shared" si="8"/>
        <v>0</v>
      </c>
      <c r="S72">
        <f t="shared" si="9"/>
        <v>0</v>
      </c>
    </row>
    <row r="73" spans="10:19" x14ac:dyDescent="0.3">
      <c r="J73">
        <v>71</v>
      </c>
      <c r="K73">
        <v>1</v>
      </c>
      <c r="L73">
        <v>0</v>
      </c>
      <c r="M73">
        <f t="shared" si="3"/>
        <v>0</v>
      </c>
      <c r="N73">
        <f t="shared" si="6"/>
        <v>0</v>
      </c>
      <c r="O73">
        <f t="shared" si="5"/>
        <v>0</v>
      </c>
      <c r="Q73">
        <f t="shared" si="7"/>
        <v>0</v>
      </c>
      <c r="R73">
        <f t="shared" si="8"/>
        <v>0</v>
      </c>
      <c r="S73">
        <f t="shared" si="9"/>
        <v>0</v>
      </c>
    </row>
    <row r="74" spans="10:19" x14ac:dyDescent="0.3">
      <c r="J74">
        <v>72</v>
      </c>
      <c r="K74">
        <v>1</v>
      </c>
      <c r="L74">
        <v>0</v>
      </c>
      <c r="M74">
        <f t="shared" si="3"/>
        <v>0</v>
      </c>
      <c r="N74">
        <f t="shared" si="6"/>
        <v>0</v>
      </c>
      <c r="O74">
        <f t="shared" si="5"/>
        <v>0</v>
      </c>
      <c r="Q74">
        <f t="shared" si="7"/>
        <v>0</v>
      </c>
      <c r="R74">
        <f t="shared" si="8"/>
        <v>0</v>
      </c>
      <c r="S74">
        <f t="shared" si="9"/>
        <v>0</v>
      </c>
    </row>
    <row r="75" spans="10:19" x14ac:dyDescent="0.3">
      <c r="J75">
        <v>73</v>
      </c>
      <c r="K75">
        <v>1</v>
      </c>
      <c r="L75">
        <v>0</v>
      </c>
      <c r="M75">
        <f t="shared" si="3"/>
        <v>0</v>
      </c>
      <c r="N75">
        <f t="shared" si="6"/>
        <v>0</v>
      </c>
      <c r="O75">
        <f t="shared" si="5"/>
        <v>0</v>
      </c>
      <c r="Q75">
        <f t="shared" si="7"/>
        <v>0</v>
      </c>
      <c r="R75">
        <f t="shared" si="8"/>
        <v>0</v>
      </c>
      <c r="S75">
        <f t="shared" si="9"/>
        <v>0</v>
      </c>
    </row>
    <row r="76" spans="10:19" x14ac:dyDescent="0.3">
      <c r="J76">
        <v>74</v>
      </c>
      <c r="K76">
        <v>1</v>
      </c>
      <c r="L76">
        <v>0</v>
      </c>
      <c r="M76">
        <f t="shared" si="3"/>
        <v>0</v>
      </c>
      <c r="N76">
        <f t="shared" si="6"/>
        <v>0</v>
      </c>
      <c r="O76">
        <f t="shared" si="5"/>
        <v>0</v>
      </c>
      <c r="Q76">
        <f t="shared" si="7"/>
        <v>0</v>
      </c>
      <c r="R76">
        <f t="shared" si="8"/>
        <v>0</v>
      </c>
      <c r="S76">
        <f t="shared" si="9"/>
        <v>0</v>
      </c>
    </row>
    <row r="77" spans="10:19" x14ac:dyDescent="0.3">
      <c r="J77">
        <v>75</v>
      </c>
      <c r="K77">
        <v>1</v>
      </c>
      <c r="L77">
        <v>0</v>
      </c>
      <c r="M77">
        <f t="shared" si="3"/>
        <v>0</v>
      </c>
      <c r="N77">
        <f t="shared" si="6"/>
        <v>0</v>
      </c>
      <c r="O77">
        <f t="shared" si="5"/>
        <v>0</v>
      </c>
      <c r="Q77">
        <f t="shared" si="7"/>
        <v>0</v>
      </c>
      <c r="R77">
        <f t="shared" si="8"/>
        <v>0</v>
      </c>
      <c r="S77">
        <f t="shared" si="9"/>
        <v>0</v>
      </c>
    </row>
    <row r="78" spans="10:19" x14ac:dyDescent="0.3">
      <c r="J78">
        <v>76</v>
      </c>
      <c r="K78">
        <v>1</v>
      </c>
      <c r="L78">
        <v>0</v>
      </c>
      <c r="M78">
        <f t="shared" si="3"/>
        <v>0</v>
      </c>
      <c r="N78">
        <f t="shared" si="6"/>
        <v>0</v>
      </c>
      <c r="O78">
        <f t="shared" si="5"/>
        <v>0</v>
      </c>
      <c r="Q78">
        <f t="shared" si="7"/>
        <v>0</v>
      </c>
      <c r="R78">
        <f t="shared" si="8"/>
        <v>0</v>
      </c>
      <c r="S78">
        <f t="shared" si="9"/>
        <v>0</v>
      </c>
    </row>
    <row r="79" spans="10:19" x14ac:dyDescent="0.3">
      <c r="J79">
        <v>77</v>
      </c>
      <c r="K79">
        <v>1</v>
      </c>
      <c r="L79">
        <v>0</v>
      </c>
      <c r="M79">
        <f t="shared" si="3"/>
        <v>0</v>
      </c>
      <c r="N79">
        <f t="shared" si="6"/>
        <v>0</v>
      </c>
      <c r="O79">
        <f t="shared" si="5"/>
        <v>0</v>
      </c>
      <c r="Q79">
        <f t="shared" si="7"/>
        <v>0</v>
      </c>
      <c r="R79">
        <f t="shared" si="8"/>
        <v>0</v>
      </c>
      <c r="S79">
        <f t="shared" si="9"/>
        <v>0</v>
      </c>
    </row>
    <row r="80" spans="10:19" x14ac:dyDescent="0.3">
      <c r="J80">
        <v>78</v>
      </c>
      <c r="K80">
        <v>1</v>
      </c>
      <c r="L80">
        <v>0</v>
      </c>
      <c r="M80">
        <f t="shared" si="3"/>
        <v>0</v>
      </c>
      <c r="N80">
        <f t="shared" si="6"/>
        <v>0</v>
      </c>
      <c r="O80">
        <f t="shared" si="5"/>
        <v>0</v>
      </c>
      <c r="Q80">
        <f t="shared" si="7"/>
        <v>0</v>
      </c>
      <c r="R80">
        <f t="shared" si="8"/>
        <v>0</v>
      </c>
      <c r="S80">
        <f t="shared" si="9"/>
        <v>0</v>
      </c>
    </row>
    <row r="81" spans="10:19" x14ac:dyDescent="0.3">
      <c r="J81">
        <v>79</v>
      </c>
      <c r="K81">
        <v>1</v>
      </c>
      <c r="L81">
        <v>0</v>
      </c>
      <c r="M81">
        <v>0</v>
      </c>
      <c r="N81">
        <f t="shared" si="6"/>
        <v>0</v>
      </c>
      <c r="O81">
        <f>$F$2 * O61 - $F$3 * O41 + $F$4 * K21 + $F$5 * 0</f>
        <v>0</v>
      </c>
      <c r="Q81">
        <f t="shared" si="7"/>
        <v>0</v>
      </c>
      <c r="R81">
        <f t="shared" si="8"/>
        <v>0</v>
      </c>
      <c r="S81">
        <f t="shared" si="9"/>
        <v>0</v>
      </c>
    </row>
    <row r="82" spans="10:19" x14ac:dyDescent="0.3">
      <c r="J82">
        <v>80</v>
      </c>
      <c r="K82">
        <v>1</v>
      </c>
      <c r="L82">
        <f>$B$2*K82*(1-EXP(-(J82-$J$42-$B$3)/$B$4)*$B$4/($B$4-$B$5)+EXP(-(J82-$J$42-$B$3)/$B$5)*$B$5/($B$4-$B$5))</f>
        <v>0</v>
      </c>
      <c r="M82">
        <f>$D$2*M81-$D$3*M80 + $D$4*K2+$D$5*K3</f>
        <v>0</v>
      </c>
      <c r="N82">
        <f t="shared" si="6"/>
        <v>0</v>
      </c>
      <c r="O82">
        <f>$F$2 * O62 - $F$3 * O42 + $F$4 * K22 + $F$5 * K2</f>
        <v>0</v>
      </c>
      <c r="Q82">
        <f t="shared" si="7"/>
        <v>0</v>
      </c>
      <c r="R82">
        <f t="shared" si="8"/>
        <v>0</v>
      </c>
      <c r="S82">
        <f t="shared" si="9"/>
        <v>0</v>
      </c>
    </row>
    <row r="83" spans="10:19" x14ac:dyDescent="0.3">
      <c r="J83">
        <v>81</v>
      </c>
      <c r="K83">
        <v>1</v>
      </c>
      <c r="L83">
        <f t="shared" ref="L83:L116" si="10">$B$2*K83*(1-EXP(-(J83-$J$42-$B$3)/$B$4)*$B$4/($B$4-$B$5)+EXP(-(J83-$J$42-$B$3)/$B$5)*$B$5/($B$4-$B$5))</f>
        <v>8.6505768172333575E-3</v>
      </c>
      <c r="M83">
        <f t="shared" si="3"/>
        <v>1.6918443238161274E-2</v>
      </c>
      <c r="N83">
        <f t="shared" si="6"/>
        <v>0</v>
      </c>
      <c r="O83">
        <f t="shared" ref="O83:O146" si="11">$F$2 * O63 - $F$3 * O43 + $F$4 * K23 + $F$5 * K3</f>
        <v>0</v>
      </c>
      <c r="Q83">
        <f t="shared" si="7"/>
        <v>-8.2678664209279162E-3</v>
      </c>
      <c r="R83">
        <f t="shared" si="8"/>
        <v>8.6505768172333575E-3</v>
      </c>
      <c r="S83">
        <f t="shared" si="9"/>
        <v>8.6505768172333575E-3</v>
      </c>
    </row>
    <row r="84" spans="10:19" x14ac:dyDescent="0.3">
      <c r="J84">
        <v>82</v>
      </c>
      <c r="K84">
        <v>1</v>
      </c>
      <c r="L84">
        <f t="shared" si="10"/>
        <v>3.3084937238550438E-2</v>
      </c>
      <c r="M84">
        <f t="shared" si="3"/>
        <v>4.8536208953013256E-2</v>
      </c>
      <c r="N84">
        <f t="shared" si="6"/>
        <v>0</v>
      </c>
      <c r="O84">
        <f t="shared" si="11"/>
        <v>0</v>
      </c>
      <c r="Q84">
        <f t="shared" si="7"/>
        <v>-1.5451271714462818E-2</v>
      </c>
      <c r="R84">
        <f t="shared" si="8"/>
        <v>3.3084937238550438E-2</v>
      </c>
      <c r="S84">
        <f t="shared" si="9"/>
        <v>3.3084937238550438E-2</v>
      </c>
    </row>
    <row r="85" spans="10:19" x14ac:dyDescent="0.3">
      <c r="J85">
        <v>83</v>
      </c>
      <c r="K85">
        <v>1</v>
      </c>
      <c r="L85">
        <f t="shared" si="10"/>
        <v>7.1196200442367186E-2</v>
      </c>
      <c r="M85">
        <f t="shared" si="3"/>
        <v>9.2853690652735577E-2</v>
      </c>
      <c r="N85">
        <f t="shared" si="6"/>
        <v>0</v>
      </c>
      <c r="O85">
        <f t="shared" si="11"/>
        <v>0</v>
      </c>
      <c r="Q85">
        <f t="shared" si="7"/>
        <v>-2.1657490210368391E-2</v>
      </c>
      <c r="R85">
        <f t="shared" si="8"/>
        <v>7.1196200442367186E-2</v>
      </c>
      <c r="S85">
        <f t="shared" si="9"/>
        <v>7.1196200442367186E-2</v>
      </c>
    </row>
    <row r="86" spans="10:19" x14ac:dyDescent="0.3">
      <c r="J86">
        <v>84</v>
      </c>
      <c r="K86">
        <v>1</v>
      </c>
      <c r="L86">
        <f t="shared" si="10"/>
        <v>0.12108707700643073</v>
      </c>
      <c r="M86">
        <f t="shared" si="3"/>
        <v>0.14807138937246681</v>
      </c>
      <c r="N86">
        <f t="shared" si="6"/>
        <v>0</v>
      </c>
      <c r="O86">
        <f t="shared" si="11"/>
        <v>0</v>
      </c>
      <c r="Q86">
        <f t="shared" si="7"/>
        <v>-2.6984312366036073E-2</v>
      </c>
      <c r="R86">
        <f t="shared" si="8"/>
        <v>0.12108707700643073</v>
      </c>
      <c r="S86">
        <f t="shared" si="9"/>
        <v>0.12108707700643073</v>
      </c>
    </row>
    <row r="87" spans="10:19" x14ac:dyDescent="0.3">
      <c r="J87">
        <v>85</v>
      </c>
      <c r="K87">
        <v>1</v>
      </c>
      <c r="L87">
        <f t="shared" si="10"/>
        <v>0.18105128897484235</v>
      </c>
      <c r="M87">
        <f t="shared" si="3"/>
        <v>0.21257212397217937</v>
      </c>
      <c r="N87">
        <f t="shared" si="6"/>
        <v>0</v>
      </c>
      <c r="O87">
        <f t="shared" si="11"/>
        <v>0</v>
      </c>
      <c r="Q87">
        <f t="shared" si="7"/>
        <v>-3.1520834997337016E-2</v>
      </c>
      <c r="R87">
        <f t="shared" si="8"/>
        <v>0.18105128897484235</v>
      </c>
      <c r="S87">
        <f t="shared" si="9"/>
        <v>0.18105128897484235</v>
      </c>
    </row>
    <row r="88" spans="10:19" x14ac:dyDescent="0.3">
      <c r="J88">
        <v>86</v>
      </c>
      <c r="K88">
        <v>1</v>
      </c>
      <c r="L88">
        <f t="shared" si="10"/>
        <v>0.24955654048643439</v>
      </c>
      <c r="M88">
        <f t="shared" si="3"/>
        <v>0.28490472845770609</v>
      </c>
      <c r="N88">
        <f t="shared" si="6"/>
        <v>0</v>
      </c>
      <c r="O88">
        <f t="shared" si="11"/>
        <v>0</v>
      </c>
      <c r="Q88">
        <f t="shared" si="7"/>
        <v>-3.5348187971271705E-2</v>
      </c>
      <c r="R88">
        <f t="shared" si="8"/>
        <v>0.24955654048643439</v>
      </c>
      <c r="S88">
        <f t="shared" si="9"/>
        <v>0.24955654048643439</v>
      </c>
    </row>
    <row r="89" spans="10:19" x14ac:dyDescent="0.3">
      <c r="J89">
        <v>87</v>
      </c>
      <c r="K89">
        <v>1</v>
      </c>
      <c r="L89">
        <f t="shared" si="10"/>
        <v>0.32522891416971689</v>
      </c>
      <c r="M89">
        <f t="shared" si="3"/>
        <v>0.36376911652188709</v>
      </c>
      <c r="N89">
        <f t="shared" si="6"/>
        <v>0</v>
      </c>
      <c r="O89">
        <f t="shared" si="11"/>
        <v>0</v>
      </c>
      <c r="Q89">
        <f t="shared" si="7"/>
        <v>-3.8540202352170205E-2</v>
      </c>
      <c r="R89">
        <f t="shared" si="8"/>
        <v>0.32522891416971689</v>
      </c>
      <c r="S89">
        <f t="shared" si="9"/>
        <v>0.32522891416971689</v>
      </c>
    </row>
    <row r="90" spans="10:19" x14ac:dyDescent="0.3">
      <c r="J90">
        <v>88</v>
      </c>
      <c r="K90">
        <v>1</v>
      </c>
      <c r="L90">
        <f t="shared" si="10"/>
        <v>0.40683857832027837</v>
      </c>
      <c r="M90">
        <f t="shared" si="3"/>
        <v>0.44800260292733385</v>
      </c>
      <c r="N90">
        <f t="shared" si="6"/>
        <v>0</v>
      </c>
      <c r="O90">
        <f t="shared" si="11"/>
        <v>0</v>
      </c>
      <c r="Q90">
        <f t="shared" si="7"/>
        <v>-4.1164024607055483E-2</v>
      </c>
      <c r="R90">
        <f t="shared" si="8"/>
        <v>0.40683857832027837</v>
      </c>
      <c r="S90">
        <f t="shared" si="9"/>
        <v>0.40683857832027837</v>
      </c>
    </row>
    <row r="91" spans="10:19" x14ac:dyDescent="0.3">
      <c r="J91">
        <v>89</v>
      </c>
      <c r="K91">
        <v>1</v>
      </c>
      <c r="L91">
        <f t="shared" si="10"/>
        <v>0.49328669892800203</v>
      </c>
      <c r="M91">
        <f t="shared" si="3"/>
        <v>0.53656738004738114</v>
      </c>
      <c r="N91">
        <f t="shared" si="6"/>
        <v>0</v>
      </c>
      <c r="O91">
        <f t="shared" si="11"/>
        <v>0</v>
      </c>
      <c r="Q91">
        <f t="shared" si="7"/>
        <v>-4.3280681119379105E-2</v>
      </c>
      <c r="R91">
        <f t="shared" si="8"/>
        <v>0.49328669892800203</v>
      </c>
      <c r="S91">
        <f t="shared" si="9"/>
        <v>0.49328669892800203</v>
      </c>
    </row>
    <row r="92" spans="10:19" x14ac:dyDescent="0.3">
      <c r="J92">
        <v>90</v>
      </c>
      <c r="K92">
        <v>1</v>
      </c>
      <c r="L92">
        <f t="shared" si="10"/>
        <v>0.58359345897211945</v>
      </c>
      <c r="M92">
        <f t="shared" si="3"/>
        <v>0.628539055903232</v>
      </c>
      <c r="N92">
        <f t="shared" si="6"/>
        <v>0</v>
      </c>
      <c r="O92">
        <f t="shared" si="11"/>
        <v>0</v>
      </c>
      <c r="Q92">
        <f t="shared" si="7"/>
        <v>-4.4945596931112552E-2</v>
      </c>
      <c r="R92">
        <f t="shared" si="8"/>
        <v>0.58359345897211945</v>
      </c>
      <c r="S92">
        <f t="shared" si="9"/>
        <v>0.58359345897211945</v>
      </c>
    </row>
    <row r="93" spans="10:19" x14ac:dyDescent="0.3">
      <c r="J93">
        <v>91</v>
      </c>
      <c r="K93">
        <v>1</v>
      </c>
      <c r="L93">
        <f t="shared" si="10"/>
        <v>0.67688709510546374</v>
      </c>
      <c r="M93">
        <f t="shared" si="3"/>
        <v>0.72309616743467975</v>
      </c>
      <c r="N93">
        <f t="shared" si="6"/>
        <v>0.58359345897211945</v>
      </c>
      <c r="O93">
        <f t="shared" si="11"/>
        <v>0</v>
      </c>
      <c r="Q93">
        <f t="shared" si="7"/>
        <v>-4.6209072329216005E-2</v>
      </c>
      <c r="R93">
        <f t="shared" si="8"/>
        <v>9.3293636133344293E-2</v>
      </c>
      <c r="S93">
        <f t="shared" si="9"/>
        <v>0.67688709510546374</v>
      </c>
    </row>
    <row r="94" spans="10:19" x14ac:dyDescent="0.3">
      <c r="J94">
        <v>92</v>
      </c>
      <c r="K94">
        <v>1</v>
      </c>
      <c r="L94">
        <f t="shared" si="10"/>
        <v>0.77239386895503159</v>
      </c>
      <c r="M94">
        <f t="shared" si="3"/>
        <v>0.81951058956677991</v>
      </c>
      <c r="N94">
        <f t="shared" si="6"/>
        <v>0.58359345897211945</v>
      </c>
      <c r="O94">
        <f t="shared" si="11"/>
        <v>0</v>
      </c>
      <c r="Q94">
        <f t="shared" si="7"/>
        <v>-4.7116720611748319E-2</v>
      </c>
      <c r="R94">
        <f t="shared" si="8"/>
        <v>0.18880040998291214</v>
      </c>
      <c r="S94">
        <f t="shared" si="9"/>
        <v>0.77239386895503159</v>
      </c>
    </row>
    <row r="95" spans="10:19" x14ac:dyDescent="0.3">
      <c r="J95">
        <v>93</v>
      </c>
      <c r="K95">
        <v>1</v>
      </c>
      <c r="L95">
        <f t="shared" si="10"/>
        <v>0.86942889681970215</v>
      </c>
      <c r="M95">
        <f t="shared" si="3"/>
        <v>0.91713876692948115</v>
      </c>
      <c r="N95">
        <f t="shared" si="6"/>
        <v>0.58359345897211945</v>
      </c>
      <c r="O95">
        <f t="shared" si="11"/>
        <v>0</v>
      </c>
      <c r="Q95">
        <f t="shared" si="7"/>
        <v>-4.7709870109779007E-2</v>
      </c>
      <c r="R95">
        <f t="shared" si="8"/>
        <v>0.2858354378475827</v>
      </c>
      <c r="S95">
        <f t="shared" si="9"/>
        <v>0.86942889681970215</v>
      </c>
    </row>
    <row r="96" spans="10:19" x14ac:dyDescent="0.3">
      <c r="J96">
        <v>94</v>
      </c>
      <c r="K96">
        <v>1</v>
      </c>
      <c r="L96">
        <f t="shared" si="10"/>
        <v>0.96738776759030198</v>
      </c>
      <c r="M96">
        <f t="shared" si="3"/>
        <v>1.0154137008922182</v>
      </c>
      <c r="N96">
        <f t="shared" si="6"/>
        <v>0.58359345897211945</v>
      </c>
      <c r="O96">
        <f t="shared" si="11"/>
        <v>0</v>
      </c>
      <c r="Q96">
        <f t="shared" si="7"/>
        <v>-4.8025933301916179E-2</v>
      </c>
      <c r="R96">
        <f t="shared" si="8"/>
        <v>0.38379430861818253</v>
      </c>
      <c r="S96">
        <f t="shared" si="9"/>
        <v>0.96738776759030198</v>
      </c>
    </row>
    <row r="97" spans="10:19" x14ac:dyDescent="0.3">
      <c r="J97">
        <v>95</v>
      </c>
      <c r="K97">
        <v>1</v>
      </c>
      <c r="L97">
        <f t="shared" si="10"/>
        <v>1.0657388842910285</v>
      </c>
      <c r="M97">
        <f t="shared" si="3"/>
        <v>1.1138376299284032</v>
      </c>
      <c r="N97">
        <f t="shared" si="6"/>
        <v>0.58359345897211945</v>
      </c>
      <c r="O97">
        <f t="shared" si="11"/>
        <v>0</v>
      </c>
      <c r="Q97">
        <f t="shared" si="7"/>
        <v>-4.8098745637374707E-2</v>
      </c>
      <c r="R97">
        <f t="shared" si="8"/>
        <v>0.48214542531890903</v>
      </c>
      <c r="S97">
        <f t="shared" si="9"/>
        <v>1.0657388842910285</v>
      </c>
    </row>
    <row r="98" spans="10:19" x14ac:dyDescent="0.3">
      <c r="J98">
        <v>96</v>
      </c>
      <c r="K98">
        <v>1</v>
      </c>
      <c r="L98">
        <f t="shared" si="10"/>
        <v>1.1640164697807776</v>
      </c>
      <c r="M98">
        <f t="shared" si="3"/>
        <v>1.2119753462603877</v>
      </c>
      <c r="N98">
        <f t="shared" si="6"/>
        <v>0.58359345897211945</v>
      </c>
      <c r="O98">
        <f t="shared" si="11"/>
        <v>0</v>
      </c>
      <c r="Q98">
        <f t="shared" si="7"/>
        <v>-4.7958876479610169E-2</v>
      </c>
      <c r="R98">
        <f t="shared" si="8"/>
        <v>0.5804230108086581</v>
      </c>
      <c r="S98">
        <f t="shared" si="9"/>
        <v>1.1640164697807776</v>
      </c>
    </row>
    <row r="99" spans="10:19" x14ac:dyDescent="0.3">
      <c r="J99">
        <v>97</v>
      </c>
      <c r="K99">
        <v>1</v>
      </c>
      <c r="L99">
        <f t="shared" si="10"/>
        <v>1.2618141818916828</v>
      </c>
      <c r="M99">
        <f t="shared" si="3"/>
        <v>1.3094480962858805</v>
      </c>
      <c r="N99">
        <f t="shared" si="6"/>
        <v>0.58359345897211945</v>
      </c>
      <c r="O99">
        <f t="shared" si="11"/>
        <v>0</v>
      </c>
      <c r="Q99">
        <f t="shared" si="7"/>
        <v>-4.7633914394197729E-2</v>
      </c>
      <c r="R99">
        <f t="shared" si="8"/>
        <v>0.67822072291956337</v>
      </c>
      <c r="S99">
        <f t="shared" si="9"/>
        <v>1.2618141818916828</v>
      </c>
    </row>
    <row r="100" spans="10:19" x14ac:dyDescent="0.3">
      <c r="J100">
        <v>98</v>
      </c>
      <c r="K100">
        <v>1</v>
      </c>
      <c r="L100">
        <f t="shared" si="10"/>
        <v>1.3587792876506608</v>
      </c>
      <c r="M100">
        <f t="shared" si="3"/>
        <v>1.4059280164816643</v>
      </c>
      <c r="N100">
        <f t="shared" si="6"/>
        <v>0.58359345897211945</v>
      </c>
      <c r="O100">
        <f t="shared" si="11"/>
        <v>0</v>
      </c>
      <c r="Q100">
        <f t="shared" si="7"/>
        <v>-4.7148728831003517E-2</v>
      </c>
      <c r="R100">
        <f t="shared" si="8"/>
        <v>0.77518582867854136</v>
      </c>
      <c r="S100">
        <f t="shared" si="9"/>
        <v>1.3587792876506608</v>
      </c>
    </row>
    <row r="101" spans="10:19" x14ac:dyDescent="0.3">
      <c r="J101">
        <v>99</v>
      </c>
      <c r="K101">
        <v>1</v>
      </c>
      <c r="L101">
        <f t="shared" si="10"/>
        <v>1.4546073502569223</v>
      </c>
      <c r="M101">
        <f t="shared" si="3"/>
        <v>1.5011330603471373</v>
      </c>
      <c r="N101">
        <f t="shared" si="6"/>
        <v>0.58359345897211945</v>
      </c>
      <c r="O101">
        <f t="shared" si="11"/>
        <v>0</v>
      </c>
      <c r="Q101">
        <f t="shared" si="7"/>
        <v>-4.6525710090215E-2</v>
      </c>
      <c r="R101">
        <f t="shared" si="8"/>
        <v>0.87101389128480289</v>
      </c>
      <c r="S101">
        <f t="shared" si="9"/>
        <v>1.4546073502569223</v>
      </c>
    </row>
    <row r="102" spans="10:19" x14ac:dyDescent="0.3">
      <c r="J102">
        <v>100</v>
      </c>
      <c r="K102">
        <v>1</v>
      </c>
      <c r="L102">
        <f t="shared" si="10"/>
        <v>1.5490373862001805</v>
      </c>
      <c r="M102">
        <f t="shared" si="3"/>
        <v>1.594822375514021</v>
      </c>
      <c r="N102">
        <f t="shared" si="6"/>
        <v>0.58359345897211945</v>
      </c>
      <c r="O102">
        <f t="shared" si="11"/>
        <v>1.5490373862001805</v>
      </c>
      <c r="Q102">
        <f t="shared" si="7"/>
        <v>-4.5784989313840452E-2</v>
      </c>
      <c r="R102">
        <f t="shared" si="8"/>
        <v>0.96544392722806105</v>
      </c>
      <c r="S102">
        <f t="shared" si="9"/>
        <v>0</v>
      </c>
    </row>
    <row r="103" spans="10:19" x14ac:dyDescent="0.3">
      <c r="J103">
        <v>101</v>
      </c>
      <c r="K103">
        <v>1</v>
      </c>
      <c r="L103">
        <f t="shared" si="10"/>
        <v>1.6418474533252003</v>
      </c>
      <c r="M103">
        <f t="shared" si="3"/>
        <v>1.6867920934328928</v>
      </c>
      <c r="N103">
        <f t="shared" si="6"/>
        <v>1.5490373862001796</v>
      </c>
      <c r="O103">
        <f t="shared" si="11"/>
        <v>1.5490373862001805</v>
      </c>
      <c r="Q103">
        <f t="shared" si="7"/>
        <v>-4.4944640107692502E-2</v>
      </c>
      <c r="R103">
        <f t="shared" si="8"/>
        <v>9.2810067125020712E-2</v>
      </c>
      <c r="S103">
        <f t="shared" si="9"/>
        <v>9.2810067125019824E-2</v>
      </c>
    </row>
    <row r="104" spans="10:19" x14ac:dyDescent="0.3">
      <c r="J104">
        <v>102</v>
      </c>
      <c r="K104">
        <v>1</v>
      </c>
      <c r="L104">
        <f t="shared" si="10"/>
        <v>1.7328506338007892</v>
      </c>
      <c r="M104">
        <f t="shared" si="3"/>
        <v>1.7768714970736119</v>
      </c>
      <c r="N104">
        <f t="shared" si="6"/>
        <v>1.5490373862001796</v>
      </c>
      <c r="O104">
        <f t="shared" si="11"/>
        <v>1.5490373862001805</v>
      </c>
      <c r="Q104">
        <f t="shared" si="7"/>
        <v>-4.402086327282273E-2</v>
      </c>
      <c r="R104">
        <f t="shared" si="8"/>
        <v>0.18381324760060958</v>
      </c>
      <c r="S104">
        <f t="shared" si="9"/>
        <v>0.18381324760060869</v>
      </c>
    </row>
    <row r="105" spans="10:19" x14ac:dyDescent="0.3">
      <c r="J105">
        <v>103</v>
      </c>
      <c r="K105">
        <v>1</v>
      </c>
      <c r="L105">
        <f t="shared" si="10"/>
        <v>1.8218913788560291</v>
      </c>
      <c r="M105">
        <f t="shared" si="3"/>
        <v>1.8649195348651364</v>
      </c>
      <c r="N105">
        <f t="shared" si="6"/>
        <v>1.5490373862001796</v>
      </c>
      <c r="O105">
        <f t="shared" si="11"/>
        <v>1.5490373862001805</v>
      </c>
      <c r="Q105">
        <f t="shared" si="7"/>
        <v>-4.3028156009107255E-2</v>
      </c>
      <c r="R105">
        <f t="shared" si="8"/>
        <v>0.27285399265584953</v>
      </c>
      <c r="S105">
        <f t="shared" si="9"/>
        <v>0.27285399265584864</v>
      </c>
    </row>
    <row r="106" spans="10:19" x14ac:dyDescent="0.3">
      <c r="J106">
        <v>104</v>
      </c>
      <c r="K106">
        <v>1</v>
      </c>
      <c r="L106">
        <f t="shared" si="10"/>
        <v>1.9088421848227881</v>
      </c>
      <c r="M106">
        <f t="shared" si="3"/>
        <v>1.9508216516691128</v>
      </c>
      <c r="N106">
        <f t="shared" si="6"/>
        <v>1.5490373862001796</v>
      </c>
      <c r="O106">
        <f t="shared" si="11"/>
        <v>1.5490373862001805</v>
      </c>
      <c r="Q106">
        <f t="shared" si="7"/>
        <v>-4.1979466846324698E-2</v>
      </c>
      <c r="R106">
        <f t="shared" si="8"/>
        <v>0.3598047986226085</v>
      </c>
      <c r="S106">
        <f t="shared" si="9"/>
        <v>0.35980479862260761</v>
      </c>
    </row>
    <row r="107" spans="10:19" x14ac:dyDescent="0.3">
      <c r="J107">
        <v>105</v>
      </c>
      <c r="K107">
        <v>1</v>
      </c>
      <c r="L107">
        <f t="shared" si="10"/>
        <v>1.9936005724887664</v>
      </c>
      <c r="M107">
        <f t="shared" ref="M107:M170" si="12">$D$2*M106-$D$3*M105 + $D$4*K67+$D$5*K68</f>
        <v>2.0344869099479306</v>
      </c>
      <c r="N107">
        <f t="shared" si="6"/>
        <v>1.5490373862001796</v>
      </c>
      <c r="O107">
        <f t="shared" si="11"/>
        <v>1.5490373862001805</v>
      </c>
      <c r="Q107">
        <f t="shared" si="7"/>
        <v>-4.0886337459164146E-2</v>
      </c>
      <c r="R107">
        <f t="shared" si="8"/>
        <v>0.44456318628858682</v>
      </c>
      <c r="S107">
        <f t="shared" si="9"/>
        <v>0.44456318628858593</v>
      </c>
    </row>
    <row r="108" spans="10:19" x14ac:dyDescent="0.3">
      <c r="J108">
        <v>106</v>
      </c>
      <c r="K108">
        <v>1</v>
      </c>
      <c r="L108">
        <f t="shared" si="10"/>
        <v>2.0760863440361801</v>
      </c>
      <c r="M108">
        <f t="shared" si="12"/>
        <v>2.1158453764674094</v>
      </c>
      <c r="N108">
        <f t="shared" si="6"/>
        <v>1.5490373862001796</v>
      </c>
      <c r="O108">
        <f t="shared" si="11"/>
        <v>1.5490373862001805</v>
      </c>
      <c r="Q108">
        <f t="shared" si="7"/>
        <v>-3.9759032431229357E-2</v>
      </c>
      <c r="R108">
        <f t="shared" si="8"/>
        <v>0.52704895783600048</v>
      </c>
      <c r="S108">
        <f t="shared" si="9"/>
        <v>0.52704895783599959</v>
      </c>
    </row>
    <row r="109" spans="10:19" x14ac:dyDescent="0.3">
      <c r="J109">
        <v>107</v>
      </c>
      <c r="K109">
        <v>1</v>
      </c>
      <c r="L109">
        <f t="shared" si="10"/>
        <v>2.1562390939325162</v>
      </c>
      <c r="M109">
        <f t="shared" si="12"/>
        <v>2.1948457518814011</v>
      </c>
      <c r="N109">
        <f t="shared" si="6"/>
        <v>1.5490373862001796</v>
      </c>
      <c r="O109">
        <f t="shared" si="11"/>
        <v>1.5490373862001805</v>
      </c>
      <c r="Q109">
        <f t="shared" si="7"/>
        <v>-3.8606657948884848E-2</v>
      </c>
      <c r="R109">
        <f t="shared" si="8"/>
        <v>0.60720170773233662</v>
      </c>
      <c r="S109">
        <f t="shared" si="9"/>
        <v>0.60720170773233573</v>
      </c>
    </row>
    <row r="110" spans="10:19" x14ac:dyDescent="0.3">
      <c r="J110">
        <v>108</v>
      </c>
      <c r="K110">
        <v>1</v>
      </c>
      <c r="L110">
        <f t="shared" si="10"/>
        <v>2.2340159520655991</v>
      </c>
      <c r="M110">
        <f t="shared" si="12"/>
        <v>2.2714532223937405</v>
      </c>
      <c r="N110">
        <f t="shared" si="6"/>
        <v>1.5490373862001796</v>
      </c>
      <c r="O110">
        <f t="shared" si="11"/>
        <v>1.5490373862001805</v>
      </c>
      <c r="Q110">
        <f t="shared" si="7"/>
        <v>-3.743727032814137E-2</v>
      </c>
      <c r="R110">
        <f t="shared" si="8"/>
        <v>0.6849785658654195</v>
      </c>
      <c r="S110">
        <f t="shared" si="9"/>
        <v>0.68497856586541861</v>
      </c>
    </row>
    <row r="111" spans="10:19" x14ac:dyDescent="0.3">
      <c r="J111">
        <v>109</v>
      </c>
      <c r="K111">
        <v>1</v>
      </c>
      <c r="L111">
        <f t="shared" si="10"/>
        <v>2.3093895391884418</v>
      </c>
      <c r="M111">
        <f t="shared" si="12"/>
        <v>2.345647514394535</v>
      </c>
      <c r="N111">
        <f t="shared" si="6"/>
        <v>1.5490373862001796</v>
      </c>
      <c r="O111">
        <f t="shared" si="11"/>
        <v>1.5490373862001805</v>
      </c>
      <c r="Q111">
        <f t="shared" si="7"/>
        <v>-3.6257975206093196E-2</v>
      </c>
      <c r="R111">
        <f t="shared" si="8"/>
        <v>0.7603521529882622</v>
      </c>
      <c r="S111">
        <f t="shared" si="9"/>
        <v>0.76035215298826131</v>
      </c>
    </row>
    <row r="112" spans="10:19" x14ac:dyDescent="0.3">
      <c r="J112">
        <v>110</v>
      </c>
      <c r="K112">
        <v>1</v>
      </c>
      <c r="L112">
        <f t="shared" si="10"/>
        <v>2.3823461163717612</v>
      </c>
      <c r="M112">
        <f t="shared" si="12"/>
        <v>2.4174211345341332</v>
      </c>
      <c r="N112">
        <f t="shared" si="6"/>
        <v>1.5490373862001796</v>
      </c>
      <c r="O112">
        <f t="shared" si="11"/>
        <v>1.5490373862001805</v>
      </c>
      <c r="Q112">
        <f t="shared" si="7"/>
        <v>-3.5075018162372018E-2</v>
      </c>
      <c r="R112">
        <f t="shared" si="8"/>
        <v>0.83330873017158158</v>
      </c>
      <c r="S112">
        <f t="shared" si="9"/>
        <v>0.83330873017158069</v>
      </c>
    </row>
    <row r="113" spans="10:19" x14ac:dyDescent="0.3">
      <c r="J113">
        <v>111</v>
      </c>
      <c r="K113">
        <v>1</v>
      </c>
      <c r="L113">
        <f t="shared" si="10"/>
        <v>2.452883911664657</v>
      </c>
      <c r="M113">
        <f t="shared" si="12"/>
        <v>2.4867777791398362</v>
      </c>
      <c r="N113">
        <f t="shared" si="6"/>
        <v>2.3823461163717603</v>
      </c>
      <c r="O113">
        <f t="shared" si="11"/>
        <v>1.5490373862001805</v>
      </c>
      <c r="Q113">
        <f t="shared" si="7"/>
        <v>-3.3893867475179196E-2</v>
      </c>
      <c r="R113">
        <f t="shared" si="8"/>
        <v>7.0537795292896721E-2</v>
      </c>
      <c r="S113">
        <f t="shared" si="9"/>
        <v>0.90384652546447652</v>
      </c>
    </row>
    <row r="114" spans="10:19" x14ac:dyDescent="0.3">
      <c r="J114">
        <v>112</v>
      </c>
      <c r="K114">
        <v>1</v>
      </c>
      <c r="L114">
        <f t="shared" si="10"/>
        <v>2.5210116085469156</v>
      </c>
      <c r="M114">
        <f t="shared" si="12"/>
        <v>2.5537308982071703</v>
      </c>
      <c r="N114">
        <f t="shared" si="6"/>
        <v>2.3823461163717603</v>
      </c>
      <c r="O114">
        <f t="shared" si="11"/>
        <v>1.5490373862001805</v>
      </c>
      <c r="Q114">
        <f t="shared" si="7"/>
        <v>-3.2719289660254613E-2</v>
      </c>
      <c r="R114">
        <f t="shared" si="8"/>
        <v>0.13866549217515534</v>
      </c>
      <c r="S114">
        <f t="shared" si="9"/>
        <v>0.97197422234673514</v>
      </c>
    </row>
    <row r="115" spans="10:19" x14ac:dyDescent="0.3">
      <c r="J115">
        <v>113</v>
      </c>
      <c r="K115">
        <v>1</v>
      </c>
      <c r="L115">
        <f t="shared" si="10"/>
        <v>2.5867469820289748</v>
      </c>
      <c r="M115">
        <f t="shared" si="12"/>
        <v>2.618302400418385</v>
      </c>
      <c r="N115">
        <f t="shared" si="6"/>
        <v>2.3823461163717603</v>
      </c>
      <c r="O115">
        <f t="shared" si="11"/>
        <v>1.5490373862001805</v>
      </c>
      <c r="Q115">
        <f t="shared" si="7"/>
        <v>-3.1555418389410228E-2</v>
      </c>
      <c r="R115">
        <f t="shared" si="8"/>
        <v>0.20440086565721449</v>
      </c>
      <c r="S115">
        <f t="shared" si="9"/>
        <v>1.0377095958287943</v>
      </c>
    </row>
    <row r="116" spans="10:19" x14ac:dyDescent="0.3">
      <c r="J116">
        <v>114</v>
      </c>
      <c r="K116">
        <v>1</v>
      </c>
      <c r="L116">
        <f t="shared" si="10"/>
        <v>2.6501156694264969</v>
      </c>
      <c r="M116">
        <f t="shared" si="12"/>
        <v>2.6805214867639879</v>
      </c>
      <c r="N116">
        <f t="shared" si="6"/>
        <v>2.3823461163717603</v>
      </c>
      <c r="O116">
        <f t="shared" si="11"/>
        <v>1.5490373862001805</v>
      </c>
      <c r="Q116">
        <f t="shared" si="7"/>
        <v>-3.0405817337491037E-2</v>
      </c>
      <c r="R116">
        <f t="shared" si="8"/>
        <v>0.2677695530547366</v>
      </c>
      <c r="S116">
        <f t="shared" si="9"/>
        <v>1.1010782832263164</v>
      </c>
    </row>
    <row r="117" spans="10:19" x14ac:dyDescent="0.3">
      <c r="J117">
        <v>115</v>
      </c>
      <c r="K117">
        <v>1</v>
      </c>
      <c r="L117">
        <f t="shared" ref="L117:L180" si="13">$B$2*K117*(1-EXP(-(J117-$J$42-$B$3)/$B$4)*$B$4/($B$4-$B$5)+EXP(-(J117-$J$42-$B$3)/$B$5)*$B$5/($B$4-$B$5))</f>
        <v>2.711150063913617</v>
      </c>
      <c r="M117">
        <f t="shared" si="12"/>
        <v>2.7404236013762611</v>
      </c>
      <c r="N117">
        <f t="shared" si="6"/>
        <v>2.3823461163717603</v>
      </c>
      <c r="O117">
        <f t="shared" si="11"/>
        <v>1.5490373862001805</v>
      </c>
      <c r="Q117">
        <f t="shared" si="7"/>
        <v>-2.927353746264405E-2</v>
      </c>
      <c r="R117">
        <f t="shared" si="8"/>
        <v>0.32880394754185671</v>
      </c>
      <c r="S117">
        <f t="shared" si="9"/>
        <v>1.1621126777134365</v>
      </c>
    </row>
    <row r="118" spans="10:19" x14ac:dyDescent="0.3">
      <c r="J118">
        <v>116</v>
      </c>
      <c r="K118">
        <v>1</v>
      </c>
      <c r="L118">
        <f t="shared" si="13"/>
        <v>2.7698883199496445</v>
      </c>
      <c r="M118">
        <f t="shared" si="12"/>
        <v>2.798049489133891</v>
      </c>
      <c r="N118">
        <f t="shared" si="6"/>
        <v>2.3823461163717603</v>
      </c>
      <c r="O118">
        <f t="shared" si="11"/>
        <v>1.5490373862001805</v>
      </c>
      <c r="Q118">
        <f t="shared" si="7"/>
        <v>-2.8161169184246493E-2</v>
      </c>
      <c r="R118">
        <f t="shared" si="8"/>
        <v>0.38754220357788416</v>
      </c>
      <c r="S118">
        <f t="shared" si="9"/>
        <v>1.220850933749464</v>
      </c>
    </row>
    <row r="119" spans="10:19" x14ac:dyDescent="0.3">
      <c r="J119">
        <v>117</v>
      </c>
      <c r="K119">
        <v>1</v>
      </c>
      <c r="L119">
        <f t="shared" si="13"/>
        <v>2.8263734605850934</v>
      </c>
      <c r="M119">
        <f t="shared" si="12"/>
        <v>2.8534443504705616</v>
      </c>
      <c r="N119">
        <f t="shared" si="6"/>
        <v>2.3823461163717603</v>
      </c>
      <c r="O119">
        <f t="shared" si="11"/>
        <v>1.5490373862001805</v>
      </c>
      <c r="Q119">
        <f t="shared" si="7"/>
        <v>-2.707088988546813E-2</v>
      </c>
      <c r="R119">
        <f t="shared" si="8"/>
        <v>0.44402734421333312</v>
      </c>
      <c r="S119">
        <f t="shared" si="9"/>
        <v>1.2773360743849129</v>
      </c>
    </row>
    <row r="120" spans="10:19" x14ac:dyDescent="0.3">
      <c r="J120">
        <v>118</v>
      </c>
      <c r="K120">
        <v>1</v>
      </c>
      <c r="L120">
        <f t="shared" si="13"/>
        <v>2.8806525774906224</v>
      </c>
      <c r="M120">
        <f t="shared" si="12"/>
        <v>2.9066570846236388</v>
      </c>
      <c r="N120">
        <f t="shared" si="6"/>
        <v>2.3823461163717603</v>
      </c>
      <c r="O120">
        <f t="shared" si="11"/>
        <v>1.5490373862001805</v>
      </c>
      <c r="Q120">
        <f t="shared" si="7"/>
        <v>-2.6004507133016386E-2</v>
      </c>
      <c r="R120">
        <f t="shared" si="8"/>
        <v>0.49830646111886212</v>
      </c>
      <c r="S120">
        <f t="shared" si="9"/>
        <v>1.3316151912904419</v>
      </c>
    </row>
    <row r="121" spans="10:19" x14ac:dyDescent="0.3">
      <c r="J121">
        <v>119</v>
      </c>
      <c r="K121">
        <v>1</v>
      </c>
      <c r="L121">
        <f t="shared" si="13"/>
        <v>2.932776115322544</v>
      </c>
      <c r="M121">
        <f t="shared" si="12"/>
        <v>2.9577396132974654</v>
      </c>
      <c r="N121">
        <f t="shared" si="6"/>
        <v>2.3823461163717603</v>
      </c>
      <c r="O121">
        <f t="shared" si="11"/>
        <v>1.5490373862001805</v>
      </c>
      <c r="Q121">
        <f t="shared" si="7"/>
        <v>-2.4963497974921367E-2</v>
      </c>
      <c r="R121">
        <f t="shared" si="8"/>
        <v>0.55042999895078371</v>
      </c>
      <c r="S121">
        <f t="shared" si="9"/>
        <v>1.3837387291223635</v>
      </c>
    </row>
    <row r="122" spans="10:19" x14ac:dyDescent="0.3">
      <c r="J122">
        <v>120</v>
      </c>
      <c r="K122">
        <v>1</v>
      </c>
      <c r="L122">
        <f t="shared" si="13"/>
        <v>2.9827972327464218</v>
      </c>
      <c r="M122">
        <f t="shared" si="12"/>
        <v>3.0067462773943894</v>
      </c>
      <c r="N122">
        <f t="shared" si="6"/>
        <v>2.3823461163717603</v>
      </c>
      <c r="O122">
        <f t="shared" si="11"/>
        <v>2.9827972327464227</v>
      </c>
      <c r="Q122">
        <f t="shared" si="7"/>
        <v>-2.3949044647967543E-2</v>
      </c>
      <c r="R122">
        <f t="shared" si="8"/>
        <v>0.60045111637466153</v>
      </c>
      <c r="S122">
        <f t="shared" si="9"/>
        <v>0</v>
      </c>
    </row>
    <row r="123" spans="10:19" x14ac:dyDescent="0.3">
      <c r="J123">
        <v>121</v>
      </c>
      <c r="K123">
        <v>1</v>
      </c>
      <c r="L123">
        <f t="shared" si="13"/>
        <v>3.0307712330906686</v>
      </c>
      <c r="M123">
        <f t="shared" si="12"/>
        <v>3.053733300090173</v>
      </c>
      <c r="N123">
        <f t="shared" si="6"/>
        <v>2.9827972327464209</v>
      </c>
      <c r="O123">
        <f t="shared" si="11"/>
        <v>2.9827972327464227</v>
      </c>
      <c r="Q123">
        <f t="shared" si="7"/>
        <v>-2.2962066999504316E-2</v>
      </c>
      <c r="R123">
        <f t="shared" si="8"/>
        <v>4.7974000344247703E-2</v>
      </c>
      <c r="S123">
        <f t="shared" si="9"/>
        <v>4.7974000344245926E-2</v>
      </c>
    </row>
    <row r="124" spans="10:19" x14ac:dyDescent="0.3">
      <c r="J124">
        <v>122</v>
      </c>
      <c r="K124">
        <v>1</v>
      </c>
      <c r="L124">
        <f t="shared" si="13"/>
        <v>3.0767550581997134</v>
      </c>
      <c r="M124">
        <f t="shared" si="12"/>
        <v>3.0987583101032694</v>
      </c>
      <c r="N124">
        <f t="shared" si="6"/>
        <v>2.9827972327464209</v>
      </c>
      <c r="O124">
        <f t="shared" si="11"/>
        <v>2.9827972327464227</v>
      </c>
      <c r="Q124">
        <f t="shared" si="7"/>
        <v>-2.2003251903556009E-2</v>
      </c>
      <c r="R124">
        <f t="shared" si="8"/>
        <v>9.3957825453292454E-2</v>
      </c>
      <c r="S124">
        <f t="shared" si="9"/>
        <v>9.3957825453290678E-2</v>
      </c>
    </row>
    <row r="125" spans="10:19" x14ac:dyDescent="0.3">
      <c r="J125">
        <v>123</v>
      </c>
      <c r="K125">
        <v>1</v>
      </c>
      <c r="L125">
        <f t="shared" si="13"/>
        <v>3.1208068396052142</v>
      </c>
      <c r="M125">
        <f t="shared" si="12"/>
        <v>3.1418799195335718</v>
      </c>
      <c r="N125">
        <f t="shared" si="6"/>
        <v>2.9827972327464209</v>
      </c>
      <c r="O125">
        <f t="shared" si="11"/>
        <v>2.9827972327464227</v>
      </c>
      <c r="Q125">
        <f t="shared" si="7"/>
        <v>-2.1073079928357608E-2</v>
      </c>
      <c r="R125">
        <f t="shared" si="8"/>
        <v>0.13800960685879327</v>
      </c>
      <c r="S125">
        <f t="shared" si="9"/>
        <v>0.13800960685879149</v>
      </c>
    </row>
    <row r="126" spans="10:19" x14ac:dyDescent="0.3">
      <c r="J126">
        <v>124</v>
      </c>
      <c r="K126">
        <v>1</v>
      </c>
      <c r="L126">
        <f t="shared" si="13"/>
        <v>3.1629855016379711</v>
      </c>
      <c r="M126">
        <f t="shared" si="12"/>
        <v>3.1831573511293705</v>
      </c>
      <c r="N126">
        <f t="shared" si="6"/>
        <v>2.9827972327464209</v>
      </c>
      <c r="O126">
        <f t="shared" si="11"/>
        <v>2.9827972327464227</v>
      </c>
      <c r="Q126">
        <f t="shared" si="7"/>
        <v>-2.0171849491399385E-2</v>
      </c>
      <c r="R126">
        <f t="shared" si="8"/>
        <v>0.18018826889155015</v>
      </c>
      <c r="S126">
        <f t="shared" si="9"/>
        <v>0.18018826889154838</v>
      </c>
    </row>
    <row r="127" spans="10:19" x14ac:dyDescent="0.3">
      <c r="J127">
        <v>125</v>
      </c>
      <c r="K127">
        <v>1</v>
      </c>
      <c r="L127">
        <f t="shared" si="13"/>
        <v>3.2033504115660527</v>
      </c>
      <c r="M127">
        <f t="shared" si="12"/>
        <v>3.2226501102848104</v>
      </c>
      <c r="N127">
        <f t="shared" si="6"/>
        <v>2.9827972327464209</v>
      </c>
      <c r="O127">
        <f t="shared" si="11"/>
        <v>2.9827972327464227</v>
      </c>
      <c r="Q127">
        <f t="shared" si="7"/>
        <v>-1.9299698718757696E-2</v>
      </c>
      <c r="R127">
        <f t="shared" si="8"/>
        <v>0.22055317881963177</v>
      </c>
      <c r="S127">
        <f t="shared" si="9"/>
        <v>0.22055317881962999</v>
      </c>
    </row>
    <row r="128" spans="10:19" x14ac:dyDescent="0.3">
      <c r="J128">
        <v>126</v>
      </c>
      <c r="K128">
        <v>1</v>
      </c>
      <c r="L128">
        <f t="shared" si="13"/>
        <v>3.2419610722696022</v>
      </c>
      <c r="M128">
        <f t="shared" si="12"/>
        <v>3.2604176974772519</v>
      </c>
      <c r="N128">
        <f t="shared" ref="N128:N191" si="14">$E$2 *N118 - $E$3 *N108 + $E$4 *K77 + $E$5 * K67</f>
        <v>2.9827972327464209</v>
      </c>
      <c r="O128">
        <f t="shared" si="11"/>
        <v>2.9827972327464227</v>
      </c>
      <c r="Q128">
        <f t="shared" si="7"/>
        <v>-1.845662520764968E-2</v>
      </c>
      <c r="R128">
        <f t="shared" si="8"/>
        <v>0.25916383952318123</v>
      </c>
      <c r="S128">
        <f t="shared" si="9"/>
        <v>0.25916383952317945</v>
      </c>
    </row>
    <row r="129" spans="10:19" x14ac:dyDescent="0.3">
      <c r="J129">
        <v>127</v>
      </c>
      <c r="K129">
        <v>1</v>
      </c>
      <c r="L129">
        <f t="shared" si="13"/>
        <v>3.2788768533527284</v>
      </c>
      <c r="M129">
        <f t="shared" si="12"/>
        <v>3.2965193572275249</v>
      </c>
      <c r="N129">
        <f t="shared" si="14"/>
        <v>2.9827972327464209</v>
      </c>
      <c r="O129">
        <f t="shared" si="11"/>
        <v>2.9827972327464227</v>
      </c>
      <c r="Q129">
        <f t="shared" si="7"/>
        <v>-1.7642503874796489E-2</v>
      </c>
      <c r="R129">
        <f t="shared" si="8"/>
        <v>0.29607962060630744</v>
      </c>
      <c r="S129">
        <f t="shared" si="9"/>
        <v>0.29607962060630566</v>
      </c>
    </row>
    <row r="130" spans="10:19" x14ac:dyDescent="0.3">
      <c r="J130">
        <v>128</v>
      </c>
      <c r="K130">
        <v>1</v>
      </c>
      <c r="L130">
        <f t="shared" si="13"/>
        <v>3.3141567569507444</v>
      </c>
      <c r="M130">
        <f t="shared" si="12"/>
        <v>3.3310138600088055</v>
      </c>
      <c r="N130">
        <f t="shared" si="14"/>
        <v>2.9827972327464209</v>
      </c>
      <c r="O130">
        <f t="shared" si="11"/>
        <v>2.9827972327464227</v>
      </c>
      <c r="Q130">
        <f t="shared" si="7"/>
        <v>-1.6857103058061096E-2</v>
      </c>
      <c r="R130">
        <f t="shared" si="8"/>
        <v>0.33135952420432346</v>
      </c>
      <c r="S130">
        <f t="shared" si="9"/>
        <v>0.33135952420432169</v>
      </c>
    </row>
    <row r="131" spans="10:19" x14ac:dyDescent="0.3">
      <c r="J131">
        <v>129</v>
      </c>
      <c r="K131">
        <v>1</v>
      </c>
      <c r="L131">
        <f t="shared" si="13"/>
        <v>3.3478592148191719</v>
      </c>
      <c r="M131">
        <f t="shared" si="12"/>
        <v>3.3639593138441781</v>
      </c>
      <c r="N131">
        <f t="shared" si="14"/>
        <v>2.9827972327464209</v>
      </c>
      <c r="O131">
        <f t="shared" si="11"/>
        <v>2.9827972327464227</v>
      </c>
      <c r="Q131">
        <f t="shared" ref="Q131:Q194" si="15">L131-M131</f>
        <v>-1.6100099025006198E-2</v>
      </c>
      <c r="R131">
        <f t="shared" ref="R131:R194" si="16">L131-N131</f>
        <v>0.36506198207275098</v>
      </c>
      <c r="S131">
        <f t="shared" ref="S131:S194" si="17">L131-O131</f>
        <v>0.3650619820727492</v>
      </c>
    </row>
    <row r="132" spans="10:19" x14ac:dyDescent="0.3">
      <c r="J132">
        <v>130</v>
      </c>
      <c r="K132">
        <v>1</v>
      </c>
      <c r="L132">
        <f t="shared" si="13"/>
        <v>3.3800419135919832</v>
      </c>
      <c r="M132">
        <f t="shared" si="12"/>
        <v>3.3954130026211895</v>
      </c>
      <c r="N132">
        <f t="shared" si="14"/>
        <v>2.9827972327464209</v>
      </c>
      <c r="O132">
        <f t="shared" si="11"/>
        <v>2.9827972327464227</v>
      </c>
      <c r="Q132">
        <f t="shared" si="15"/>
        <v>-1.5371089029206253E-2</v>
      </c>
      <c r="R132">
        <f t="shared" si="16"/>
        <v>0.3972446808455623</v>
      </c>
      <c r="S132">
        <f t="shared" si="17"/>
        <v>0.39724468084556053</v>
      </c>
    </row>
    <row r="133" spans="10:19" x14ac:dyDescent="0.3">
      <c r="J133">
        <v>131</v>
      </c>
      <c r="K133">
        <v>1</v>
      </c>
      <c r="L133">
        <f t="shared" si="13"/>
        <v>3.410761645372463</v>
      </c>
      <c r="M133">
        <f t="shared" si="12"/>
        <v>3.4254312484159035</v>
      </c>
      <c r="N133">
        <f t="shared" si="14"/>
        <v>3.3800419135919824</v>
      </c>
      <c r="O133">
        <f t="shared" si="11"/>
        <v>2.9827972327464227</v>
      </c>
      <c r="Q133">
        <f t="shared" si="15"/>
        <v>-1.466960304344056E-2</v>
      </c>
      <c r="R133">
        <f t="shared" si="16"/>
        <v>3.0719731780480597E-2</v>
      </c>
      <c r="S133">
        <f t="shared" si="17"/>
        <v>0.42796441262604024</v>
      </c>
    </row>
    <row r="134" spans="10:19" x14ac:dyDescent="0.3">
      <c r="J134">
        <v>132</v>
      </c>
      <c r="K134">
        <v>1</v>
      </c>
      <c r="L134">
        <f t="shared" si="13"/>
        <v>3.4400741810730113</v>
      </c>
      <c r="M134">
        <f t="shared" si="12"/>
        <v>3.4540692953611032</v>
      </c>
      <c r="N134">
        <f t="shared" si="14"/>
        <v>3.3800419135919824</v>
      </c>
      <c r="O134">
        <f t="shared" si="11"/>
        <v>2.9827972327464227</v>
      </c>
      <c r="Q134">
        <f t="shared" si="15"/>
        <v>-1.3995114288091859E-2</v>
      </c>
      <c r="R134">
        <f t="shared" si="16"/>
        <v>6.0032267481028967E-2</v>
      </c>
      <c r="S134">
        <f t="shared" si="17"/>
        <v>0.45727694832658861</v>
      </c>
    </row>
    <row r="135" spans="10:19" x14ac:dyDescent="0.3">
      <c r="J135">
        <v>133</v>
      </c>
      <c r="K135">
        <v>1</v>
      </c>
      <c r="L135">
        <f t="shared" si="13"/>
        <v>3.4680341641519474</v>
      </c>
      <c r="M135">
        <f t="shared" si="12"/>
        <v>3.4813812128150974</v>
      </c>
      <c r="N135">
        <f t="shared" si="14"/>
        <v>3.3800419135919824</v>
      </c>
      <c r="O135">
        <f t="shared" si="11"/>
        <v>2.9827972327464227</v>
      </c>
      <c r="Q135">
        <f t="shared" si="15"/>
        <v>-1.3347048663149952E-2</v>
      </c>
      <c r="R135">
        <f t="shared" si="16"/>
        <v>8.7992250559965068E-2</v>
      </c>
      <c r="S135">
        <f t="shared" si="17"/>
        <v>0.48523693140552471</v>
      </c>
    </row>
    <row r="136" spans="10:19" x14ac:dyDescent="0.3">
      <c r="J136">
        <v>134</v>
      </c>
      <c r="K136">
        <v>1</v>
      </c>
      <c r="L136">
        <f t="shared" si="13"/>
        <v>3.4946950226076439</v>
      </c>
      <c r="M136">
        <f t="shared" si="12"/>
        <v>3.5074198157907448</v>
      </c>
      <c r="N136">
        <f t="shared" si="14"/>
        <v>3.3800419135919824</v>
      </c>
      <c r="O136">
        <f t="shared" si="11"/>
        <v>2.9827972327464227</v>
      </c>
      <c r="Q136">
        <f t="shared" si="15"/>
        <v>-1.2724793183100935E-2</v>
      </c>
      <c r="R136">
        <f t="shared" si="16"/>
        <v>0.1146531090156615</v>
      </c>
      <c r="S136">
        <f t="shared" si="17"/>
        <v>0.51189778986122114</v>
      </c>
    </row>
    <row r="137" spans="10:19" x14ac:dyDescent="0.3">
      <c r="J137">
        <v>135</v>
      </c>
      <c r="K137">
        <v>1</v>
      </c>
      <c r="L137">
        <f t="shared" si="13"/>
        <v>3.5201088972847159</v>
      </c>
      <c r="M137">
        <f t="shared" si="12"/>
        <v>3.5322366007903119</v>
      </c>
      <c r="N137">
        <f t="shared" si="14"/>
        <v>3.3800419135919824</v>
      </c>
      <c r="O137">
        <f t="shared" si="11"/>
        <v>2.9827972327464227</v>
      </c>
      <c r="Q137">
        <f t="shared" si="15"/>
        <v>-1.2127703505595999E-2</v>
      </c>
      <c r="R137">
        <f t="shared" si="16"/>
        <v>0.14006698369273352</v>
      </c>
      <c r="S137">
        <f t="shared" si="17"/>
        <v>0.53731166453829315</v>
      </c>
    </row>
    <row r="138" spans="10:19" x14ac:dyDescent="0.3">
      <c r="J138">
        <v>136</v>
      </c>
      <c r="K138">
        <v>1</v>
      </c>
      <c r="L138">
        <f t="shared" si="13"/>
        <v>3.5443265847249039</v>
      </c>
      <c r="M138">
        <f t="shared" si="12"/>
        <v>3.5558816953619865</v>
      </c>
      <c r="N138">
        <f t="shared" si="14"/>
        <v>3.3800419135919824</v>
      </c>
      <c r="O138">
        <f t="shared" si="11"/>
        <v>2.9827972327464227</v>
      </c>
      <c r="Q138">
        <f t="shared" si="15"/>
        <v>-1.1555110637082588E-2</v>
      </c>
      <c r="R138">
        <f t="shared" si="16"/>
        <v>0.16428467113292156</v>
      </c>
      <c r="S138">
        <f t="shared" si="17"/>
        <v>0.56152935197848119</v>
      </c>
    </row>
    <row r="139" spans="10:19" x14ac:dyDescent="0.3">
      <c r="J139">
        <v>137</v>
      </c>
      <c r="K139">
        <v>1</v>
      </c>
      <c r="L139">
        <f t="shared" si="13"/>
        <v>3.5673974929581269</v>
      </c>
      <c r="M139">
        <f t="shared" si="12"/>
        <v>3.578403819849644</v>
      </c>
      <c r="N139">
        <f t="shared" si="14"/>
        <v>3.3800419135919824</v>
      </c>
      <c r="O139">
        <f t="shared" si="11"/>
        <v>2.9827972327464227</v>
      </c>
      <c r="Q139">
        <f t="shared" si="15"/>
        <v>-1.1006326891517038E-2</v>
      </c>
      <c r="R139">
        <f t="shared" si="16"/>
        <v>0.18735557936614455</v>
      </c>
      <c r="S139">
        <f t="shared" si="17"/>
        <v>0.58460026021170419</v>
      </c>
    </row>
    <row r="140" spans="10:19" x14ac:dyDescent="0.3">
      <c r="J140">
        <v>138</v>
      </c>
      <c r="K140">
        <v>1</v>
      </c>
      <c r="L140">
        <f t="shared" si="13"/>
        <v>3.5893696087781111</v>
      </c>
      <c r="M140">
        <f t="shared" si="12"/>
        <v>3.5998502599498732</v>
      </c>
      <c r="N140">
        <f t="shared" si="14"/>
        <v>3.3800419135919824</v>
      </c>
      <c r="O140">
        <f t="shared" si="11"/>
        <v>2.9827972327464227</v>
      </c>
      <c r="Q140">
        <f t="shared" si="15"/>
        <v>-1.0480651171762112E-2</v>
      </c>
      <c r="R140">
        <f t="shared" si="16"/>
        <v>0.2093276951861287</v>
      </c>
      <c r="S140">
        <f t="shared" si="17"/>
        <v>0.60657237603168834</v>
      </c>
    </row>
    <row r="141" spans="10:19" x14ac:dyDescent="0.3">
      <c r="J141">
        <v>139</v>
      </c>
      <c r="K141">
        <v>1</v>
      </c>
      <c r="L141">
        <f t="shared" si="13"/>
        <v>3.6102894751832042</v>
      </c>
      <c r="M141">
        <f t="shared" si="12"/>
        <v>3.6202668488205121</v>
      </c>
      <c r="N141">
        <f t="shared" si="14"/>
        <v>3.3800419135919824</v>
      </c>
      <c r="O141">
        <f t="shared" si="11"/>
        <v>2.9827972327464227</v>
      </c>
      <c r="Q141">
        <f t="shared" si="15"/>
        <v>-9.9773736373078847E-3</v>
      </c>
      <c r="R141">
        <f t="shared" si="16"/>
        <v>0.23024756159122184</v>
      </c>
      <c r="S141">
        <f t="shared" si="17"/>
        <v>0.62749224243678148</v>
      </c>
    </row>
    <row r="142" spans="10:19" x14ac:dyDescent="0.3">
      <c r="J142">
        <v>140</v>
      </c>
      <c r="K142">
        <v>1</v>
      </c>
      <c r="L142">
        <f t="shared" si="13"/>
        <v>3.630202177787456</v>
      </c>
      <c r="M142">
        <f t="shared" si="12"/>
        <v>3.6396979576039286</v>
      </c>
      <c r="N142">
        <f t="shared" si="14"/>
        <v>3.3800419135919824</v>
      </c>
      <c r="O142">
        <f t="shared" si="11"/>
        <v>3.6302021777874574</v>
      </c>
      <c r="Q142">
        <f t="shared" si="15"/>
        <v>-9.4957798164725382E-3</v>
      </c>
      <c r="R142">
        <f t="shared" si="16"/>
        <v>0.25016026419547366</v>
      </c>
      <c r="S142">
        <f t="shared" si="17"/>
        <v>0</v>
      </c>
    </row>
    <row r="143" spans="10:19" x14ac:dyDescent="0.3">
      <c r="J143">
        <v>141</v>
      </c>
      <c r="K143">
        <v>1</v>
      </c>
      <c r="L143">
        <f t="shared" si="13"/>
        <v>3.6491513391207961</v>
      </c>
      <c r="M143">
        <f t="shared" si="12"/>
        <v>3.658186493336995</v>
      </c>
      <c r="N143">
        <f t="shared" si="14"/>
        <v>3.6302021777874556</v>
      </c>
      <c r="O143">
        <f t="shared" si="11"/>
        <v>3.6302021777874574</v>
      </c>
      <c r="Q143">
        <f t="shared" si="15"/>
        <v>-9.0351542161988263E-3</v>
      </c>
      <c r="R143">
        <f t="shared" si="16"/>
        <v>1.894916133334057E-2</v>
      </c>
      <c r="S143">
        <f t="shared" si="17"/>
        <v>1.8949161333338793E-2</v>
      </c>
    </row>
    <row r="144" spans="10:19" x14ac:dyDescent="0.3">
      <c r="J144">
        <v>142</v>
      </c>
      <c r="K144">
        <v>1</v>
      </c>
      <c r="L144">
        <f t="shared" si="13"/>
        <v>3.6671791198409966</v>
      </c>
      <c r="M144">
        <f t="shared" si="12"/>
        <v>3.6757739033189618</v>
      </c>
      <c r="N144">
        <f t="shared" si="14"/>
        <v>3.6302021777874556</v>
      </c>
      <c r="O144">
        <f t="shared" si="11"/>
        <v>3.6302021777874574</v>
      </c>
      <c r="Q144">
        <f t="shared" si="15"/>
        <v>-8.5947834779651622E-3</v>
      </c>
      <c r="R144">
        <f t="shared" si="16"/>
        <v>3.6976942053541073E-2</v>
      </c>
      <c r="S144">
        <f t="shared" si="17"/>
        <v>3.6976942053539297E-2</v>
      </c>
    </row>
    <row r="145" spans="10:19" x14ac:dyDescent="0.3">
      <c r="J145">
        <v>143</v>
      </c>
      <c r="K145">
        <v>1</v>
      </c>
      <c r="L145">
        <f t="shared" si="13"/>
        <v>3.6843262259749503</v>
      </c>
      <c r="M145">
        <f t="shared" si="12"/>
        <v>3.6925001850990107</v>
      </c>
      <c r="N145">
        <f t="shared" si="14"/>
        <v>3.6302021777874556</v>
      </c>
      <c r="O145">
        <f t="shared" si="11"/>
        <v>3.6302021777874574</v>
      </c>
      <c r="Q145">
        <f t="shared" si="15"/>
        <v>-8.1739591240603815E-3</v>
      </c>
      <c r="R145">
        <f t="shared" si="16"/>
        <v>5.4124048187494722E-2</v>
      </c>
      <c r="S145">
        <f t="shared" si="17"/>
        <v>5.4124048187492946E-2</v>
      </c>
    </row>
    <row r="146" spans="10:19" x14ac:dyDescent="0.3">
      <c r="J146">
        <v>144</v>
      </c>
      <c r="K146">
        <v>1</v>
      </c>
      <c r="L146">
        <f t="shared" si="13"/>
        <v>3.7006319213932812</v>
      </c>
      <c r="M146">
        <f t="shared" si="12"/>
        <v>3.7084039013279044</v>
      </c>
      <c r="N146">
        <f t="shared" si="14"/>
        <v>3.6302021777874556</v>
      </c>
      <c r="O146">
        <f t="shared" si="11"/>
        <v>3.6302021777874574</v>
      </c>
      <c r="Q146">
        <f t="shared" si="15"/>
        <v>-7.7719799346231966E-3</v>
      </c>
      <c r="R146">
        <f t="shared" si="16"/>
        <v>7.0429743605825657E-2</v>
      </c>
      <c r="S146">
        <f t="shared" si="17"/>
        <v>7.042974360582388E-2</v>
      </c>
    </row>
    <row r="147" spans="10:19" x14ac:dyDescent="0.3">
      <c r="J147">
        <v>145</v>
      </c>
      <c r="K147">
        <v>1</v>
      </c>
      <c r="L147">
        <f t="shared" si="13"/>
        <v>3.7161340448012483</v>
      </c>
      <c r="M147">
        <f t="shared" si="12"/>
        <v>3.7235221987934866</v>
      </c>
      <c r="N147">
        <f t="shared" si="14"/>
        <v>3.6302021777874556</v>
      </c>
      <c r="O147">
        <f t="shared" ref="O147:O210" si="18">$F$2 * O127 - $F$3 * O107 + $F$4 * K87 + $F$5 * K67</f>
        <v>3.6302021777874574</v>
      </c>
      <c r="Q147">
        <f t="shared" si="15"/>
        <v>-7.3881539922382444E-3</v>
      </c>
      <c r="R147">
        <f t="shared" si="16"/>
        <v>8.593186701379274E-2</v>
      </c>
      <c r="S147">
        <f t="shared" si="17"/>
        <v>8.5931867013790963E-2</v>
      </c>
    </row>
    <row r="148" spans="10:19" x14ac:dyDescent="0.3">
      <c r="J148">
        <v>146</v>
      </c>
      <c r="K148">
        <v>1</v>
      </c>
      <c r="L148">
        <f t="shared" si="13"/>
        <v>3.730869030600771</v>
      </c>
      <c r="M148">
        <f t="shared" si="12"/>
        <v>3.7378908310284387</v>
      </c>
      <c r="N148">
        <f t="shared" si="14"/>
        <v>3.6302021777874556</v>
      </c>
      <c r="O148">
        <f t="shared" si="18"/>
        <v>3.6302021777874574</v>
      </c>
      <c r="Q148">
        <f t="shared" si="15"/>
        <v>-7.021800427667646E-3</v>
      </c>
      <c r="R148">
        <f t="shared" si="16"/>
        <v>0.10066685281331544</v>
      </c>
      <c r="S148">
        <f t="shared" si="17"/>
        <v>0.10066685281331367</v>
      </c>
    </row>
    <row r="149" spans="10:19" x14ac:dyDescent="0.3">
      <c r="J149">
        <v>147</v>
      </c>
      <c r="K149">
        <v>1</v>
      </c>
      <c r="L149">
        <f t="shared" si="13"/>
        <v>3.7448719330439757</v>
      </c>
      <c r="M149">
        <f t="shared" si="12"/>
        <v>3.7515441839412214</v>
      </c>
      <c r="N149">
        <f t="shared" si="14"/>
        <v>3.6302021777874556</v>
      </c>
      <c r="O149">
        <f t="shared" si="18"/>
        <v>3.6302021777874574</v>
      </c>
      <c r="Q149">
        <f t="shared" si="15"/>
        <v>-6.6722508972456573E-3</v>
      </c>
      <c r="R149">
        <f t="shared" si="16"/>
        <v>0.11466975525652012</v>
      </c>
      <c r="S149">
        <f t="shared" si="17"/>
        <v>0.11466975525651835</v>
      </c>
    </row>
    <row r="150" spans="10:19" x14ac:dyDescent="0.3">
      <c r="J150">
        <v>148</v>
      </c>
      <c r="K150">
        <v>1</v>
      </c>
      <c r="L150">
        <f t="shared" si="13"/>
        <v>3.7581764531582746</v>
      </c>
      <c r="M150">
        <f t="shared" si="12"/>
        <v>3.764515303978039</v>
      </c>
      <c r="N150">
        <f t="shared" si="14"/>
        <v>3.6302021777874556</v>
      </c>
      <c r="O150">
        <f t="shared" si="18"/>
        <v>3.6302021777874574</v>
      </c>
      <c r="Q150">
        <f t="shared" si="15"/>
        <v>-6.3388508197643745E-3</v>
      </c>
      <c r="R150">
        <f t="shared" si="16"/>
        <v>0.12797427537081907</v>
      </c>
      <c r="S150">
        <f t="shared" si="17"/>
        <v>0.12797427537081729</v>
      </c>
    </row>
    <row r="151" spans="10:19" x14ac:dyDescent="0.3">
      <c r="J151">
        <v>149</v>
      </c>
      <c r="K151">
        <v>1</v>
      </c>
      <c r="L151">
        <f t="shared" si="13"/>
        <v>3.770814967977294</v>
      </c>
      <c r="M151">
        <f t="shared" si="12"/>
        <v>3.7768359283754398</v>
      </c>
      <c r="N151">
        <f t="shared" si="14"/>
        <v>3.6302021777874556</v>
      </c>
      <c r="O151">
        <f t="shared" si="18"/>
        <v>3.6302021777874574</v>
      </c>
      <c r="Q151">
        <f t="shared" si="15"/>
        <v>-6.0209603981458137E-3</v>
      </c>
      <c r="R151">
        <f t="shared" si="16"/>
        <v>0.14061279018983841</v>
      </c>
      <c r="S151">
        <f t="shared" si="17"/>
        <v>0.14061279018983663</v>
      </c>
    </row>
    <row r="152" spans="10:19" x14ac:dyDescent="0.3">
      <c r="J152">
        <v>150</v>
      </c>
      <c r="K152">
        <v>1</v>
      </c>
      <c r="L152">
        <f t="shared" si="13"/>
        <v>3.782818561661319</v>
      </c>
      <c r="M152">
        <f t="shared" si="12"/>
        <v>3.7885365171102103</v>
      </c>
      <c r="N152">
        <f t="shared" si="14"/>
        <v>3.6302021777874556</v>
      </c>
      <c r="O152">
        <f t="shared" si="18"/>
        <v>3.6302021777874574</v>
      </c>
      <c r="Q152">
        <f t="shared" si="15"/>
        <v>-5.7179554488913098E-3</v>
      </c>
      <c r="R152">
        <f t="shared" si="16"/>
        <v>0.15261638387386345</v>
      </c>
      <c r="S152">
        <f t="shared" si="17"/>
        <v>0.15261638387386167</v>
      </c>
    </row>
    <row r="153" spans="10:19" x14ac:dyDescent="0.3">
      <c r="J153">
        <v>151</v>
      </c>
      <c r="K153">
        <v>1</v>
      </c>
      <c r="L153">
        <f t="shared" si="13"/>
        <v>3.7942170581357799</v>
      </c>
      <c r="M153">
        <f t="shared" si="12"/>
        <v>3.7996462861959874</v>
      </c>
      <c r="N153">
        <f t="shared" si="14"/>
        <v>3.7828185616613186</v>
      </c>
      <c r="O153">
        <f t="shared" si="18"/>
        <v>3.6302021777874574</v>
      </c>
      <c r="Q153">
        <f t="shared" si="15"/>
        <v>-5.4292280602075138E-3</v>
      </c>
      <c r="R153">
        <f t="shared" si="16"/>
        <v>1.1398496474461339E-2</v>
      </c>
      <c r="S153">
        <f t="shared" si="17"/>
        <v>0.16401488034832257</v>
      </c>
    </row>
    <row r="154" spans="10:19" x14ac:dyDescent="0.3">
      <c r="J154">
        <v>152</v>
      </c>
      <c r="K154">
        <v>1</v>
      </c>
      <c r="L154">
        <f t="shared" si="13"/>
        <v>3.8050390549170334</v>
      </c>
      <c r="M154">
        <f t="shared" si="12"/>
        <v>3.8101932420148041</v>
      </c>
      <c r="N154">
        <f t="shared" si="14"/>
        <v>3.7828185616613186</v>
      </c>
      <c r="O154">
        <f t="shared" si="18"/>
        <v>3.6302021777874574</v>
      </c>
      <c r="Q154">
        <f t="shared" si="15"/>
        <v>-5.1541870977707127E-3</v>
      </c>
      <c r="R154">
        <f t="shared" si="16"/>
        <v>2.2220493255714846E-2</v>
      </c>
      <c r="S154">
        <f t="shared" si="17"/>
        <v>0.17483687712957607</v>
      </c>
    </row>
    <row r="155" spans="10:19" x14ac:dyDescent="0.3">
      <c r="J155">
        <v>153</v>
      </c>
      <c r="K155">
        <v>1</v>
      </c>
      <c r="L155">
        <f t="shared" si="13"/>
        <v>3.815311957831669</v>
      </c>
      <c r="M155">
        <f t="shared" si="12"/>
        <v>3.8202042164069936</v>
      </c>
      <c r="N155">
        <f t="shared" si="14"/>
        <v>3.7828185616613186</v>
      </c>
      <c r="O155">
        <f t="shared" si="18"/>
        <v>3.6302021777874574</v>
      </c>
      <c r="Q155">
        <f t="shared" si="15"/>
        <v>-4.892258575324604E-3</v>
      </c>
      <c r="R155">
        <f t="shared" si="16"/>
        <v>3.2493396170350408E-2</v>
      </c>
      <c r="S155">
        <f t="shared" si="17"/>
        <v>0.18510978004421164</v>
      </c>
    </row>
    <row r="156" spans="10:19" x14ac:dyDescent="0.3">
      <c r="J156">
        <v>154</v>
      </c>
      <c r="K156">
        <v>1</v>
      </c>
      <c r="L156">
        <f t="shared" si="13"/>
        <v>3.8250620163690563</v>
      </c>
      <c r="M156">
        <f t="shared" si="12"/>
        <v>3.8297049022747673</v>
      </c>
      <c r="N156">
        <f t="shared" si="14"/>
        <v>3.7828185616613186</v>
      </c>
      <c r="O156">
        <f t="shared" si="18"/>
        <v>3.6302021777874574</v>
      </c>
      <c r="Q156">
        <f t="shared" si="15"/>
        <v>-4.6428859057110472E-3</v>
      </c>
      <c r="R156">
        <f t="shared" si="16"/>
        <v>4.2243454707737715E-2</v>
      </c>
      <c r="S156">
        <f t="shared" si="17"/>
        <v>0.19485983858159894</v>
      </c>
    </row>
    <row r="157" spans="10:19" x14ac:dyDescent="0.3">
      <c r="J157">
        <v>155</v>
      </c>
      <c r="K157">
        <v>1</v>
      </c>
      <c r="L157">
        <f t="shared" si="13"/>
        <v>3.8343143594372382</v>
      </c>
      <c r="M157">
        <f t="shared" si="12"/>
        <v>3.838719889483678</v>
      </c>
      <c r="N157">
        <f t="shared" si="14"/>
        <v>3.7828185616613186</v>
      </c>
      <c r="O157">
        <f t="shared" si="18"/>
        <v>3.6302021777874574</v>
      </c>
      <c r="Q157">
        <f t="shared" si="15"/>
        <v>-4.4055300464398428E-3</v>
      </c>
      <c r="R157">
        <f t="shared" si="16"/>
        <v>5.1495797775919616E-2</v>
      </c>
      <c r="S157">
        <f t="shared" si="17"/>
        <v>0.20411218164978084</v>
      </c>
    </row>
    <row r="158" spans="10:19" x14ac:dyDescent="0.3">
      <c r="J158">
        <v>156</v>
      </c>
      <c r="K158">
        <v>1</v>
      </c>
      <c r="L158">
        <f t="shared" si="13"/>
        <v>3.8430930313197238</v>
      </c>
      <c r="M158">
        <f t="shared" si="12"/>
        <v>3.8472727008723031</v>
      </c>
      <c r="N158">
        <f t="shared" si="14"/>
        <v>3.7828185616613186</v>
      </c>
      <c r="O158">
        <f t="shared" si="18"/>
        <v>3.6302021777874574</v>
      </c>
      <c r="Q158">
        <f t="shared" si="15"/>
        <v>-4.1796695525793126E-3</v>
      </c>
      <c r="R158">
        <f t="shared" si="16"/>
        <v>6.0274469658405216E-2</v>
      </c>
      <c r="S158">
        <f t="shared" si="17"/>
        <v>0.21289085353226644</v>
      </c>
    </row>
    <row r="159" spans="10:19" x14ac:dyDescent="0.3">
      <c r="J159">
        <v>157</v>
      </c>
      <c r="K159">
        <v>1</v>
      </c>
      <c r="L159">
        <f t="shared" si="13"/>
        <v>3.8514210276556105</v>
      </c>
      <c r="M159">
        <f t="shared" si="12"/>
        <v>3.8553858282041062</v>
      </c>
      <c r="N159">
        <f t="shared" si="14"/>
        <v>3.7828185616613186</v>
      </c>
      <c r="O159">
        <f t="shared" si="18"/>
        <v>3.6302021777874574</v>
      </c>
      <c r="Q159">
        <f t="shared" si="15"/>
        <v>-3.9648005484957949E-3</v>
      </c>
      <c r="R159">
        <f t="shared" si="16"/>
        <v>6.8602465994291872E-2</v>
      </c>
      <c r="S159">
        <f t="shared" si="17"/>
        <v>0.2212188498681531</v>
      </c>
    </row>
    <row r="160" spans="10:19" x14ac:dyDescent="0.3">
      <c r="J160">
        <v>158</v>
      </c>
      <c r="K160">
        <v>1</v>
      </c>
      <c r="L160">
        <f t="shared" si="13"/>
        <v>3.8593203312878832</v>
      </c>
      <c r="M160">
        <f t="shared" si="12"/>
        <v>3.8630807679167551</v>
      </c>
      <c r="N160">
        <f t="shared" si="14"/>
        <v>3.7828185616613186</v>
      </c>
      <c r="O160">
        <f t="shared" si="18"/>
        <v>3.6302021777874574</v>
      </c>
      <c r="Q160">
        <f t="shared" si="15"/>
        <v>-3.7604366288719326E-3</v>
      </c>
      <c r="R160">
        <f t="shared" si="16"/>
        <v>7.6501769626564631E-2</v>
      </c>
      <c r="S160">
        <f t="shared" si="17"/>
        <v>0.22911815350042586</v>
      </c>
    </row>
    <row r="161" spans="10:19" x14ac:dyDescent="0.3">
      <c r="J161">
        <v>159</v>
      </c>
      <c r="K161">
        <v>1</v>
      </c>
      <c r="L161">
        <f t="shared" si="13"/>
        <v>3.866811947844996</v>
      </c>
      <c r="M161">
        <f t="shared" si="12"/>
        <v>3.8703780565433967</v>
      </c>
      <c r="N161">
        <f t="shared" si="14"/>
        <v>3.7828185616613186</v>
      </c>
      <c r="O161">
        <f t="shared" si="18"/>
        <v>3.6302021777874574</v>
      </c>
      <c r="Q161">
        <f t="shared" si="15"/>
        <v>-3.5661086984006829E-3</v>
      </c>
      <c r="R161">
        <f t="shared" si="16"/>
        <v>8.3993386183677465E-2</v>
      </c>
      <c r="S161">
        <f t="shared" si="17"/>
        <v>0.23660977005753869</v>
      </c>
    </row>
    <row r="162" spans="10:19" x14ac:dyDescent="0.3">
      <c r="J162">
        <v>160</v>
      </c>
      <c r="K162">
        <v>1</v>
      </c>
      <c r="L162">
        <f t="shared" si="13"/>
        <v>3.8739159409391095</v>
      </c>
      <c r="M162">
        <f t="shared" si="12"/>
        <v>3.8772973056977138</v>
      </c>
      <c r="N162">
        <f t="shared" si="14"/>
        <v>3.7828185616613186</v>
      </c>
      <c r="O162">
        <f t="shared" si="18"/>
        <v>3.8739159409391108</v>
      </c>
      <c r="Q162">
        <f t="shared" si="15"/>
        <v>-3.3813647586042883E-3</v>
      </c>
      <c r="R162">
        <f t="shared" si="16"/>
        <v>9.1097379277790935E-2</v>
      </c>
      <c r="S162">
        <f t="shared" si="17"/>
        <v>0</v>
      </c>
    </row>
    <row r="163" spans="10:19" x14ac:dyDescent="0.3">
      <c r="J163">
        <v>161</v>
      </c>
      <c r="K163">
        <v>1</v>
      </c>
      <c r="L163">
        <f t="shared" si="13"/>
        <v>3.8806514668807548</v>
      </c>
      <c r="M163">
        <f t="shared" si="12"/>
        <v>3.8838572365301656</v>
      </c>
      <c r="N163">
        <f t="shared" si="14"/>
        <v>3.8739159409391082</v>
      </c>
      <c r="O163">
        <f t="shared" si="18"/>
        <v>3.8739159409391108</v>
      </c>
      <c r="Q163">
        <f t="shared" si="15"/>
        <v>-3.2057696494107724E-3</v>
      </c>
      <c r="R163">
        <f t="shared" si="16"/>
        <v>6.735525941646614E-3</v>
      </c>
      <c r="S163">
        <f t="shared" si="17"/>
        <v>6.7355259416439495E-3</v>
      </c>
    </row>
    <row r="164" spans="10:19" x14ac:dyDescent="0.3">
      <c r="J164">
        <v>162</v>
      </c>
      <c r="K164">
        <v>1</v>
      </c>
      <c r="L164">
        <f t="shared" si="13"/>
        <v>3.8870368088244893</v>
      </c>
      <c r="M164">
        <f t="shared" si="12"/>
        <v>3.8900757135767936</v>
      </c>
      <c r="N164">
        <f t="shared" si="14"/>
        <v>3.8739159409391082</v>
      </c>
      <c r="O164">
        <f t="shared" si="18"/>
        <v>3.8739159409391108</v>
      </c>
      <c r="Q164">
        <f t="shared" si="15"/>
        <v>-3.0389047523042834E-3</v>
      </c>
      <c r="R164">
        <f t="shared" si="16"/>
        <v>1.3120867885381138E-2</v>
      </c>
      <c r="S164">
        <f t="shared" si="17"/>
        <v>1.3120867885378473E-2</v>
      </c>
    </row>
    <row r="165" spans="10:19" x14ac:dyDescent="0.3">
      <c r="J165">
        <v>163</v>
      </c>
      <c r="K165">
        <v>1</v>
      </c>
      <c r="L165">
        <f t="shared" si="13"/>
        <v>3.8930894102733369</v>
      </c>
      <c r="M165">
        <f t="shared" si="12"/>
        <v>3.8959697779345377</v>
      </c>
      <c r="N165">
        <f t="shared" si="14"/>
        <v>3.8739159409391082</v>
      </c>
      <c r="O165">
        <f t="shared" si="18"/>
        <v>3.8739159409391108</v>
      </c>
      <c r="Q165">
        <f t="shared" si="15"/>
        <v>-2.8803676612008111E-3</v>
      </c>
      <c r="R165">
        <f t="shared" si="16"/>
        <v>1.9173469334228699E-2</v>
      </c>
      <c r="S165">
        <f t="shared" si="17"/>
        <v>1.9173469334226034E-2</v>
      </c>
    </row>
    <row r="166" spans="10:19" x14ac:dyDescent="0.3">
      <c r="J166">
        <v>164</v>
      </c>
      <c r="K166">
        <v>1</v>
      </c>
      <c r="L166">
        <f t="shared" si="13"/>
        <v>3.8988259078817071</v>
      </c>
      <c r="M166">
        <f t="shared" si="12"/>
        <v>3.9015556797082316</v>
      </c>
      <c r="N166">
        <f t="shared" si="14"/>
        <v>3.8739159409391082</v>
      </c>
      <c r="O166">
        <f t="shared" si="18"/>
        <v>3.8739159409391108</v>
      </c>
      <c r="Q166">
        <f t="shared" si="15"/>
        <v>-2.7297718265244519E-3</v>
      </c>
      <c r="R166">
        <f t="shared" si="16"/>
        <v>2.4909966942598949E-2</v>
      </c>
      <c r="S166">
        <f t="shared" si="17"/>
        <v>2.4909966942596284E-2</v>
      </c>
    </row>
    <row r="167" spans="10:19" x14ac:dyDescent="0.3">
      <c r="J167">
        <v>165</v>
      </c>
      <c r="K167">
        <v>1</v>
      </c>
      <c r="L167">
        <f t="shared" si="13"/>
        <v>3.9042621635070955</v>
      </c>
      <c r="M167">
        <f t="shared" si="12"/>
        <v>3.9068489096844905</v>
      </c>
      <c r="N167">
        <f t="shared" si="14"/>
        <v>3.8739159409391082</v>
      </c>
      <c r="O167">
        <f t="shared" si="18"/>
        <v>3.8739159409391108</v>
      </c>
      <c r="Q167">
        <f t="shared" si="15"/>
        <v>-2.5867461773949607E-3</v>
      </c>
      <c r="R167">
        <f t="shared" si="16"/>
        <v>3.0346222567987358E-2</v>
      </c>
      <c r="S167">
        <f t="shared" si="17"/>
        <v>3.0346222567984693E-2</v>
      </c>
    </row>
    <row r="168" spans="10:19" x14ac:dyDescent="0.3">
      <c r="J168">
        <v>166</v>
      </c>
      <c r="K168">
        <v>1</v>
      </c>
      <c r="L168">
        <f t="shared" si="13"/>
        <v>3.9094132954703444</v>
      </c>
      <c r="M168">
        <f t="shared" si="12"/>
        <v>3.9118642301966551</v>
      </c>
      <c r="N168">
        <f t="shared" si="14"/>
        <v>3.8739159409391082</v>
      </c>
      <c r="O168">
        <f t="shared" si="18"/>
        <v>3.8739159409391108</v>
      </c>
      <c r="Q168">
        <f t="shared" si="15"/>
        <v>-2.4509347263106385E-3</v>
      </c>
      <c r="R168">
        <f t="shared" si="16"/>
        <v>3.5497354531236258E-2</v>
      </c>
      <c r="S168">
        <f t="shared" si="17"/>
        <v>3.5497354531233594E-2</v>
      </c>
    </row>
    <row r="169" spans="10:19" x14ac:dyDescent="0.3">
      <c r="J169">
        <v>167</v>
      </c>
      <c r="K169">
        <v>1</v>
      </c>
      <c r="L169">
        <f t="shared" si="13"/>
        <v>3.9142937089927266</v>
      </c>
      <c r="M169">
        <f t="shared" si="12"/>
        <v>3.9166157051529336</v>
      </c>
      <c r="N169">
        <f t="shared" si="14"/>
        <v>3.8739159409391082</v>
      </c>
      <c r="O169">
        <f t="shared" si="18"/>
        <v>3.8739159409391108</v>
      </c>
      <c r="Q169">
        <f t="shared" si="15"/>
        <v>-2.3219961602070072E-3</v>
      </c>
      <c r="R169">
        <f t="shared" si="16"/>
        <v>4.0377768053618368E-2</v>
      </c>
      <c r="S169">
        <f t="shared" si="17"/>
        <v>4.0377768053615704E-2</v>
      </c>
    </row>
    <row r="170" spans="10:19" x14ac:dyDescent="0.3">
      <c r="J170">
        <v>168</v>
      </c>
      <c r="K170">
        <v>1</v>
      </c>
      <c r="L170">
        <f t="shared" si="13"/>
        <v>3.9189171257855895</v>
      </c>
      <c r="M170">
        <f t="shared" si="12"/>
        <v>3.9211167292069526</v>
      </c>
      <c r="N170">
        <f t="shared" si="14"/>
        <v>3.8739159409391082</v>
      </c>
      <c r="O170">
        <f t="shared" si="18"/>
        <v>3.8739159409391108</v>
      </c>
      <c r="Q170">
        <f t="shared" si="15"/>
        <v>-2.199603421363161E-3</v>
      </c>
      <c r="R170">
        <f t="shared" si="16"/>
        <v>4.5001184846481301E-2</v>
      </c>
      <c r="S170">
        <f t="shared" si="17"/>
        <v>4.5001184846478637E-2</v>
      </c>
    </row>
    <row r="171" spans="10:19" x14ac:dyDescent="0.3">
      <c r="J171">
        <v>169</v>
      </c>
      <c r="K171">
        <v>1</v>
      </c>
      <c r="L171">
        <f t="shared" si="13"/>
        <v>3.9232966127749869</v>
      </c>
      <c r="M171">
        <f t="shared" ref="M171:M234" si="19">$D$2*M170-$D$3*M169 + $D$4*K131+$D$5*K132</f>
        <v>3.9253800560561971</v>
      </c>
      <c r="N171">
        <f t="shared" si="14"/>
        <v>3.8739159409391082</v>
      </c>
      <c r="O171">
        <f t="shared" si="18"/>
        <v>3.8739159409391108</v>
      </c>
      <c r="Q171">
        <f t="shared" si="15"/>
        <v>-2.0834432812102399E-3</v>
      </c>
      <c r="R171">
        <f t="shared" si="16"/>
        <v>4.9380671835878687E-2</v>
      </c>
      <c r="S171">
        <f t="shared" si="17"/>
        <v>4.9380671835876022E-2</v>
      </c>
    </row>
    <row r="172" spans="10:19" x14ac:dyDescent="0.3">
      <c r="J172">
        <v>170</v>
      </c>
      <c r="K172">
        <v>1</v>
      </c>
      <c r="L172">
        <f t="shared" si="13"/>
        <v>3.9274446099496028</v>
      </c>
      <c r="M172">
        <f t="shared" si="19"/>
        <v>3.9294178258593484</v>
      </c>
      <c r="N172">
        <f t="shared" si="14"/>
        <v>3.8739159409391082</v>
      </c>
      <c r="O172">
        <f t="shared" si="18"/>
        <v>3.8739159409391108</v>
      </c>
      <c r="Q172">
        <f t="shared" si="15"/>
        <v>-1.9732159097456403E-3</v>
      </c>
      <c r="R172">
        <f t="shared" si="16"/>
        <v>5.3528669010494578E-2</v>
      </c>
      <c r="S172">
        <f t="shared" si="17"/>
        <v>5.3528669010491914E-2</v>
      </c>
    </row>
    <row r="173" spans="10:19" x14ac:dyDescent="0.3">
      <c r="J173">
        <v>171</v>
      </c>
      <c r="K173">
        <v>1</v>
      </c>
      <c r="L173">
        <f t="shared" si="13"/>
        <v>3.9313729573254657</v>
      </c>
      <c r="M173">
        <f t="shared" si="19"/>
        <v>3.9332415917684025</v>
      </c>
      <c r="N173">
        <f t="shared" si="14"/>
        <v>3.9274446099496014</v>
      </c>
      <c r="O173">
        <f t="shared" si="18"/>
        <v>3.8739159409391108</v>
      </c>
      <c r="Q173">
        <f t="shared" si="15"/>
        <v>-1.868634442936834E-3</v>
      </c>
      <c r="R173">
        <f t="shared" si="16"/>
        <v>3.9283473758642273E-3</v>
      </c>
      <c r="S173">
        <f t="shared" si="17"/>
        <v>5.7457016386354809E-2</v>
      </c>
    </row>
    <row r="174" spans="10:19" x14ac:dyDescent="0.3">
      <c r="J174">
        <v>172</v>
      </c>
      <c r="K174">
        <v>1</v>
      </c>
      <c r="L174">
        <f t="shared" si="13"/>
        <v>3.9350929210255203</v>
      </c>
      <c r="M174">
        <f t="shared" si="19"/>
        <v>3.9368623455757112</v>
      </c>
      <c r="N174">
        <f t="shared" si="14"/>
        <v>3.9274446099496014</v>
      </c>
      <c r="O174">
        <f t="shared" si="18"/>
        <v>3.8739159409391108</v>
      </c>
      <c r="Q174">
        <f t="shared" si="15"/>
        <v>-1.7694245501909123E-3</v>
      </c>
      <c r="R174">
        <f t="shared" si="16"/>
        <v>7.648311075918901E-3</v>
      </c>
      <c r="S174">
        <f t="shared" si="17"/>
        <v>6.1176980086409483E-2</v>
      </c>
    </row>
    <row r="175" spans="10:19" x14ac:dyDescent="0.3">
      <c r="J175">
        <v>173</v>
      </c>
      <c r="K175">
        <v>1</v>
      </c>
      <c r="L175">
        <f t="shared" si="13"/>
        <v>3.9386152184760976</v>
      </c>
      <c r="M175">
        <f t="shared" si="19"/>
        <v>3.9402905424798207</v>
      </c>
      <c r="N175">
        <f t="shared" si="14"/>
        <v>3.9274446099496014</v>
      </c>
      <c r="O175">
        <f t="shared" si="18"/>
        <v>3.8739159409391108</v>
      </c>
      <c r="Q175">
        <f t="shared" si="15"/>
        <v>-1.6753240037230555E-3</v>
      </c>
      <c r="R175">
        <f t="shared" si="16"/>
        <v>1.1170608526496206E-2</v>
      </c>
      <c r="S175">
        <f t="shared" si="17"/>
        <v>6.4699277536986788E-2</v>
      </c>
    </row>
    <row r="176" spans="10:19" x14ac:dyDescent="0.3">
      <c r="J176">
        <v>174</v>
      </c>
      <c r="K176">
        <v>1</v>
      </c>
      <c r="L176">
        <f t="shared" si="13"/>
        <v>3.9419500427258205</v>
      </c>
      <c r="M176">
        <f t="shared" si="19"/>
        <v>3.9435361249772107</v>
      </c>
      <c r="N176">
        <f t="shared" si="14"/>
        <v>3.9274446099496014</v>
      </c>
      <c r="O176">
        <f t="shared" si="18"/>
        <v>3.8739159409391108</v>
      </c>
      <c r="Q176">
        <f t="shared" si="15"/>
        <v>-1.5860822513902306E-3</v>
      </c>
      <c r="R176">
        <f t="shared" si="16"/>
        <v>1.4505432776219074E-2</v>
      </c>
      <c r="S176">
        <f t="shared" si="17"/>
        <v>6.8034101786709655E-2</v>
      </c>
    </row>
    <row r="177" spans="10:19" x14ac:dyDescent="0.3">
      <c r="J177">
        <v>175</v>
      </c>
      <c r="K177">
        <v>1</v>
      </c>
      <c r="L177">
        <f t="shared" si="13"/>
        <v>3.9451070858954678</v>
      </c>
      <c r="M177">
        <f t="shared" si="19"/>
        <v>3.946608545889839</v>
      </c>
      <c r="N177">
        <f t="shared" si="14"/>
        <v>3.9274446099496014</v>
      </c>
      <c r="O177">
        <f t="shared" si="18"/>
        <v>3.8739159409391108</v>
      </c>
      <c r="Q177">
        <f t="shared" si="15"/>
        <v>-1.5014599943712348E-3</v>
      </c>
      <c r="R177">
        <f t="shared" si="16"/>
        <v>1.7662475945866341E-2</v>
      </c>
      <c r="S177">
        <f t="shared" si="17"/>
        <v>7.1191144956356922E-2</v>
      </c>
    </row>
    <row r="178" spans="10:19" x14ac:dyDescent="0.3">
      <c r="J178">
        <v>176</v>
      </c>
      <c r="K178">
        <v>1</v>
      </c>
      <c r="L178">
        <f t="shared" si="13"/>
        <v>3.9480955617699385</v>
      </c>
      <c r="M178">
        <f t="shared" si="19"/>
        <v>3.9495167905407897</v>
      </c>
      <c r="N178">
        <f t="shared" si="14"/>
        <v>3.9274446099496014</v>
      </c>
      <c r="O178">
        <f t="shared" si="18"/>
        <v>3.8739159409391108</v>
      </c>
      <c r="Q178">
        <f t="shared" si="15"/>
        <v>-1.4212287708512683E-3</v>
      </c>
      <c r="R178">
        <f t="shared" si="16"/>
        <v>2.0650951820337049E-2</v>
      </c>
      <c r="S178">
        <f t="shared" si="17"/>
        <v>7.4179620830827631E-2</v>
      </c>
    </row>
    <row r="179" spans="10:19" x14ac:dyDescent="0.3">
      <c r="J179">
        <v>177</v>
      </c>
      <c r="K179">
        <v>1</v>
      </c>
      <c r="L179">
        <f t="shared" si="13"/>
        <v>3.95092422754565</v>
      </c>
      <c r="M179">
        <f t="shared" si="19"/>
        <v>3.9522693980923704</v>
      </c>
      <c r="N179">
        <f t="shared" si="14"/>
        <v>3.9274446099496014</v>
      </c>
      <c r="O179">
        <f t="shared" si="18"/>
        <v>3.8739159409391108</v>
      </c>
      <c r="Q179">
        <f t="shared" si="15"/>
        <v>-1.3451705467204533E-3</v>
      </c>
      <c r="R179">
        <f t="shared" si="16"/>
        <v>2.3479617596048552E-2</v>
      </c>
      <c r="S179">
        <f t="shared" si="17"/>
        <v>7.7008286606539134E-2</v>
      </c>
    </row>
    <row r="180" spans="10:19" x14ac:dyDescent="0.3">
      <c r="J180">
        <v>178</v>
      </c>
      <c r="K180">
        <v>1</v>
      </c>
      <c r="L180">
        <f t="shared" si="13"/>
        <v>3.9536014047485954</v>
      </c>
      <c r="M180">
        <f t="shared" si="19"/>
        <v>3.9548744820627162</v>
      </c>
      <c r="N180">
        <f t="shared" si="14"/>
        <v>3.9274446099496014</v>
      </c>
      <c r="O180">
        <f t="shared" si="18"/>
        <v>3.8739159409391108</v>
      </c>
      <c r="Q180">
        <f t="shared" si="15"/>
        <v>-1.2730773141207408E-3</v>
      </c>
      <c r="R180">
        <f t="shared" si="16"/>
        <v>2.6156794798994021E-2</v>
      </c>
      <c r="S180">
        <f t="shared" si="17"/>
        <v>7.9685463809484602E-2</v>
      </c>
    </row>
    <row r="181" spans="10:19" x14ac:dyDescent="0.3">
      <c r="J181">
        <v>179</v>
      </c>
      <c r="K181">
        <v>1</v>
      </c>
      <c r="L181">
        <f t="shared" ref="L181:L244" si="20">$B$2*K181*(1-EXP(-(J181-$J$42-$B$3)/$B$4)*$B$4/($B$4-$B$5)+EXP(-(J181-$J$42-$B$3)/$B$5)*$B$5/($B$4-$B$5))</f>
        <v>3.9561349993398629</v>
      </c>
      <c r="M181">
        <f t="shared" si="19"/>
        <v>3.9573397500384044</v>
      </c>
      <c r="N181">
        <f t="shared" si="14"/>
        <v>3.9274446099496014</v>
      </c>
      <c r="O181">
        <f t="shared" si="18"/>
        <v>3.8739159409391108</v>
      </c>
      <c r="Q181">
        <f t="shared" si="15"/>
        <v>-1.2047506985415346E-3</v>
      </c>
      <c r="R181">
        <f t="shared" si="16"/>
        <v>2.8690389390261473E-2</v>
      </c>
      <c r="S181">
        <f t="shared" si="17"/>
        <v>8.2219058400752054E-2</v>
      </c>
    </row>
    <row r="182" spans="10:19" x14ac:dyDescent="0.3">
      <c r="J182">
        <v>180</v>
      </c>
      <c r="K182">
        <v>1</v>
      </c>
      <c r="L182">
        <f t="shared" si="20"/>
        <v>3.9585325210267133</v>
      </c>
      <c r="M182">
        <f t="shared" si="19"/>
        <v>3.9596725226017613</v>
      </c>
      <c r="N182">
        <f t="shared" si="14"/>
        <v>3.9274446099496014</v>
      </c>
      <c r="O182">
        <f t="shared" si="18"/>
        <v>3.9585325210267146</v>
      </c>
      <c r="Q182">
        <f t="shared" si="15"/>
        <v>-1.1400015750480108E-3</v>
      </c>
      <c r="R182">
        <f t="shared" si="16"/>
        <v>3.1087911077111841E-2</v>
      </c>
      <c r="S182">
        <f t="shared" si="17"/>
        <v>0</v>
      </c>
    </row>
    <row r="183" spans="10:19" x14ac:dyDescent="0.3">
      <c r="J183">
        <v>181</v>
      </c>
      <c r="K183">
        <v>1</v>
      </c>
      <c r="L183">
        <f t="shared" si="20"/>
        <v>3.9608011017983804</v>
      </c>
      <c r="M183">
        <f t="shared" si="19"/>
        <v>3.9618797514924817</v>
      </c>
      <c r="N183">
        <f t="shared" si="14"/>
        <v>3.9585325210267119</v>
      </c>
      <c r="O183">
        <f t="shared" si="18"/>
        <v>3.9585325210267146</v>
      </c>
      <c r="Q183">
        <f t="shared" si="15"/>
        <v>-1.0786496941013191E-3</v>
      </c>
      <c r="R183">
        <f t="shared" si="16"/>
        <v>2.2685807716684714E-3</v>
      </c>
      <c r="S183">
        <f t="shared" si="17"/>
        <v>2.2685807716658069E-3</v>
      </c>
    </row>
    <row r="184" spans="10:19" x14ac:dyDescent="0.3">
      <c r="J184">
        <v>182</v>
      </c>
      <c r="K184">
        <v>1</v>
      </c>
      <c r="L184">
        <f t="shared" si="20"/>
        <v>3.9629475137066135</v>
      </c>
      <c r="M184">
        <f t="shared" si="19"/>
        <v>3.9639680370239478</v>
      </c>
      <c r="N184">
        <f t="shared" si="14"/>
        <v>3.9585325210267119</v>
      </c>
      <c r="O184">
        <f t="shared" si="18"/>
        <v>3.9585325210267146</v>
      </c>
      <c r="Q184">
        <f t="shared" si="15"/>
        <v>-1.0205233173343764E-3</v>
      </c>
      <c r="R184">
        <f t="shared" si="16"/>
        <v>4.4149926799015304E-3</v>
      </c>
      <c r="S184">
        <f t="shared" si="17"/>
        <v>4.4149926798988659E-3</v>
      </c>
    </row>
    <row r="185" spans="10:19" x14ac:dyDescent="0.3">
      <c r="J185">
        <v>183</v>
      </c>
      <c r="K185">
        <v>1</v>
      </c>
      <c r="L185">
        <f t="shared" si="20"/>
        <v>3.964978185911618</v>
      </c>
      <c r="M185">
        <f t="shared" si="19"/>
        <v>3.9659436447751801</v>
      </c>
      <c r="N185">
        <f t="shared" si="14"/>
        <v>3.9585325210267119</v>
      </c>
      <c r="O185">
        <f t="shared" si="18"/>
        <v>3.9585325210267146</v>
      </c>
      <c r="Q185">
        <f t="shared" si="15"/>
        <v>-9.6545886356214083E-4</v>
      </c>
      <c r="R185">
        <f t="shared" si="16"/>
        <v>6.4456648849060549E-3</v>
      </c>
      <c r="S185">
        <f t="shared" si="17"/>
        <v>6.4456648849033904E-3</v>
      </c>
    </row>
    <row r="186" spans="10:19" x14ac:dyDescent="0.3">
      <c r="J186">
        <v>184</v>
      </c>
      <c r="K186">
        <v>1</v>
      </c>
      <c r="L186">
        <f t="shared" si="20"/>
        <v>3.9668992210145464</v>
      </c>
      <c r="M186">
        <f t="shared" si="19"/>
        <v>3.9678125215797722</v>
      </c>
      <c r="N186">
        <f t="shared" si="14"/>
        <v>3.9585325210267119</v>
      </c>
      <c r="O186">
        <f t="shared" si="18"/>
        <v>3.9585325210267146</v>
      </c>
      <c r="Q186">
        <f t="shared" si="15"/>
        <v>-9.1330056522576086E-4</v>
      </c>
      <c r="R186">
        <f t="shared" si="16"/>
        <v>8.3666999878344583E-3</v>
      </c>
      <c r="S186">
        <f t="shared" si="17"/>
        <v>8.3666999878317938E-3</v>
      </c>
    </row>
    <row r="187" spans="10:19" x14ac:dyDescent="0.3">
      <c r="J187">
        <v>185</v>
      </c>
      <c r="K187">
        <v>1</v>
      </c>
      <c r="L187">
        <f t="shared" si="20"/>
        <v>3.9687164106980273</v>
      </c>
      <c r="M187">
        <f t="shared" si="19"/>
        <v>3.9695803108334236</v>
      </c>
      <c r="N187">
        <f t="shared" si="14"/>
        <v>3.9585325210267119</v>
      </c>
      <c r="O187">
        <f t="shared" si="18"/>
        <v>3.9585325210267146</v>
      </c>
      <c r="Q187">
        <f t="shared" si="15"/>
        <v>-8.639001353962783E-4</v>
      </c>
      <c r="R187">
        <f t="shared" si="16"/>
        <v>1.0183889671315338E-2</v>
      </c>
      <c r="S187">
        <f t="shared" si="17"/>
        <v>1.0183889671312674E-2</v>
      </c>
    </row>
    <row r="188" spans="10:19" x14ac:dyDescent="0.3">
      <c r="J188">
        <v>186</v>
      </c>
      <c r="K188">
        <v>1</v>
      </c>
      <c r="L188">
        <f t="shared" si="20"/>
        <v>3.9704352506964047</v>
      </c>
      <c r="M188">
        <f t="shared" si="19"/>
        <v>3.9712523671418158</v>
      </c>
      <c r="N188">
        <f t="shared" si="14"/>
        <v>3.9585325210267119</v>
      </c>
      <c r="O188">
        <f t="shared" si="18"/>
        <v>3.9585325210267146</v>
      </c>
      <c r="Q188">
        <f t="shared" si="15"/>
        <v>-8.1711644541115902E-4</v>
      </c>
      <c r="R188">
        <f t="shared" si="16"/>
        <v>1.1902729669692746E-2</v>
      </c>
      <c r="S188">
        <f t="shared" si="17"/>
        <v>1.1902729669690082E-2</v>
      </c>
    </row>
    <row r="189" spans="10:19" x14ac:dyDescent="0.3">
      <c r="J189">
        <v>187</v>
      </c>
      <c r="K189">
        <v>1</v>
      </c>
      <c r="L189">
        <f t="shared" si="20"/>
        <v>3.9720609551174655</v>
      </c>
      <c r="M189">
        <f t="shared" si="19"/>
        <v>3.97283377033061</v>
      </c>
      <c r="N189">
        <f t="shared" si="14"/>
        <v>3.9585325210267119</v>
      </c>
      <c r="O189">
        <f t="shared" si="18"/>
        <v>3.9585325210267146</v>
      </c>
      <c r="Q189">
        <f t="shared" si="15"/>
        <v>-7.7281521314453983E-4</v>
      </c>
      <c r="R189">
        <f t="shared" si="16"/>
        <v>1.3528434090753549E-2</v>
      </c>
      <c r="S189">
        <f t="shared" si="17"/>
        <v>1.3528434090750885E-2</v>
      </c>
    </row>
    <row r="190" spans="10:19" x14ac:dyDescent="0.3">
      <c r="J190">
        <v>188</v>
      </c>
      <c r="K190">
        <v>1</v>
      </c>
      <c r="L190">
        <f t="shared" si="20"/>
        <v>3.9735984701373832</v>
      </c>
      <c r="M190">
        <f t="shared" si="19"/>
        <v>3.9743293388392851</v>
      </c>
      <c r="N190">
        <f t="shared" si="14"/>
        <v>3.9585325210267119</v>
      </c>
      <c r="O190">
        <f t="shared" si="18"/>
        <v>3.9585325210267146</v>
      </c>
      <c r="Q190">
        <f t="shared" si="15"/>
        <v>-7.3086870190186559E-4</v>
      </c>
      <c r="R190">
        <f t="shared" si="16"/>
        <v>1.5065949110671273E-2</v>
      </c>
      <c r="S190">
        <f t="shared" si="17"/>
        <v>1.5065949110668608E-2</v>
      </c>
    </row>
    <row r="191" spans="10:19" x14ac:dyDescent="0.3">
      <c r="J191">
        <v>189</v>
      </c>
      <c r="K191">
        <v>1</v>
      </c>
      <c r="L191">
        <f t="shared" si="20"/>
        <v>3.9750524870905353</v>
      </c>
      <c r="M191">
        <f t="shared" si="19"/>
        <v>3.9757436425203743</v>
      </c>
      <c r="N191">
        <f t="shared" si="14"/>
        <v>3.9585325210267119</v>
      </c>
      <c r="O191">
        <f t="shared" si="18"/>
        <v>3.9585325210267146</v>
      </c>
      <c r="Q191">
        <f t="shared" si="15"/>
        <v>-6.9115542983899658E-4</v>
      </c>
      <c r="R191">
        <f t="shared" si="16"/>
        <v>1.6519966063823333E-2</v>
      </c>
      <c r="S191">
        <f t="shared" si="17"/>
        <v>1.6519966063820668E-2</v>
      </c>
    </row>
    <row r="192" spans="10:19" x14ac:dyDescent="0.3">
      <c r="J192">
        <v>190</v>
      </c>
      <c r="K192">
        <v>1</v>
      </c>
      <c r="L192">
        <f t="shared" si="20"/>
        <v>3.97642745497562</v>
      </c>
      <c r="M192">
        <f t="shared" si="19"/>
        <v>3.9770810148654405</v>
      </c>
      <c r="N192">
        <f t="shared" ref="N192:N255" si="21">$E$2 *N182 - $E$3 *N172 + $E$4 *K141 + $E$5 * K131</f>
        <v>3.9585325210267119</v>
      </c>
      <c r="O192">
        <f t="shared" si="18"/>
        <v>3.9585325210267146</v>
      </c>
      <c r="Q192">
        <f t="shared" si="15"/>
        <v>-6.5355988982052082E-4</v>
      </c>
      <c r="R192">
        <f t="shared" si="16"/>
        <v>1.7894933948908065E-2</v>
      </c>
      <c r="S192">
        <f t="shared" si="17"/>
        <v>1.78949339489054E-2</v>
      </c>
    </row>
    <row r="193" spans="10:19" x14ac:dyDescent="0.3">
      <c r="J193">
        <v>191</v>
      </c>
      <c r="K193">
        <v>1</v>
      </c>
      <c r="L193">
        <f t="shared" si="20"/>
        <v>3.9777275923992894</v>
      </c>
      <c r="M193">
        <f t="shared" si="19"/>
        <v>3.9783455646788495</v>
      </c>
      <c r="N193">
        <f t="shared" si="21"/>
        <v>3.9764274549756187</v>
      </c>
      <c r="O193">
        <f t="shared" si="18"/>
        <v>3.9585325210267146</v>
      </c>
      <c r="Q193">
        <f t="shared" si="15"/>
        <v>-6.1797227956006395E-4</v>
      </c>
      <c r="R193">
        <f t="shared" si="16"/>
        <v>1.3001374236707441E-3</v>
      </c>
      <c r="S193">
        <f t="shared" si="17"/>
        <v>1.9195071372574812E-2</v>
      </c>
    </row>
    <row r="194" spans="10:19" x14ac:dyDescent="0.3">
      <c r="J194">
        <v>192</v>
      </c>
      <c r="K194">
        <v>1</v>
      </c>
      <c r="L194">
        <f t="shared" si="20"/>
        <v>3.9789568989781658</v>
      </c>
      <c r="M194">
        <f t="shared" si="19"/>
        <v>3.9795411872200588</v>
      </c>
      <c r="N194">
        <f t="shared" si="21"/>
        <v>3.9764274549756187</v>
      </c>
      <c r="O194">
        <f t="shared" si="18"/>
        <v>3.9585325210267146</v>
      </c>
      <c r="Q194">
        <f t="shared" si="15"/>
        <v>-5.8428824189293849E-4</v>
      </c>
      <c r="R194">
        <f t="shared" si="16"/>
        <v>2.5294440025471765E-3</v>
      </c>
      <c r="S194">
        <f t="shared" si="17"/>
        <v>2.0424377951451245E-2</v>
      </c>
    </row>
    <row r="195" spans="10:19" x14ac:dyDescent="0.3">
      <c r="J195">
        <v>193</v>
      </c>
      <c r="K195">
        <v>1</v>
      </c>
      <c r="L195">
        <f t="shared" si="20"/>
        <v>3.9801191662197777</v>
      </c>
      <c r="M195">
        <f t="shared" si="19"/>
        <v>3.9806715748347581</v>
      </c>
      <c r="N195">
        <f t="shared" si="21"/>
        <v>3.9764274549756187</v>
      </c>
      <c r="O195">
        <f t="shared" si="18"/>
        <v>3.9585325210267146</v>
      </c>
      <c r="Q195">
        <f t="shared" ref="Q195:Q258" si="22">L195-M195</f>
        <v>-5.5240861498040417E-4</v>
      </c>
      <c r="R195">
        <f t="shared" ref="R195:R258" si="23">L195-N195</f>
        <v>3.6917112441590128E-3</v>
      </c>
      <c r="S195">
        <f t="shared" ref="S195:S258" si="24">L195-O195</f>
        <v>2.1586645193063081E-2</v>
      </c>
    </row>
    <row r="196" spans="10:19" x14ac:dyDescent="0.3">
      <c r="J196">
        <v>194</v>
      </c>
      <c r="K196">
        <v>1</v>
      </c>
      <c r="L196">
        <f t="shared" si="20"/>
        <v>3.9812179879025247</v>
      </c>
      <c r="M196">
        <f t="shared" si="19"/>
        <v>3.9817402270947788</v>
      </c>
      <c r="N196">
        <f t="shared" si="21"/>
        <v>3.9764274549756187</v>
      </c>
      <c r="O196">
        <f t="shared" si="18"/>
        <v>3.9585325210267146</v>
      </c>
      <c r="Q196">
        <f t="shared" si="22"/>
        <v>-5.2223919225413695E-4</v>
      </c>
      <c r="R196">
        <f t="shared" si="23"/>
        <v>4.7905329269060104E-3</v>
      </c>
      <c r="S196">
        <f t="shared" si="24"/>
        <v>2.2685466875810079E-2</v>
      </c>
    </row>
    <row r="197" spans="10:19" x14ac:dyDescent="0.3">
      <c r="J197">
        <v>195</v>
      </c>
      <c r="K197">
        <v>1</v>
      </c>
      <c r="L197">
        <f t="shared" si="20"/>
        <v>3.9822567699743776</v>
      </c>
      <c r="M197">
        <f t="shared" si="19"/>
        <v>3.9827504604662427</v>
      </c>
      <c r="N197">
        <f t="shared" si="21"/>
        <v>3.9764274549756187</v>
      </c>
      <c r="O197">
        <f t="shared" si="18"/>
        <v>3.9585325210267146</v>
      </c>
      <c r="Q197">
        <f t="shared" si="22"/>
        <v>-4.9369049186509528E-4</v>
      </c>
      <c r="R197">
        <f t="shared" si="23"/>
        <v>5.8293149987589388E-3</v>
      </c>
      <c r="S197">
        <f t="shared" si="24"/>
        <v>2.3724248947663007E-2</v>
      </c>
    </row>
    <row r="198" spans="10:19" x14ac:dyDescent="0.3">
      <c r="J198">
        <v>196</v>
      </c>
      <c r="K198">
        <v>1</v>
      </c>
      <c r="L198">
        <f t="shared" si="20"/>
        <v>3.9832387399895119</v>
      </c>
      <c r="M198">
        <f t="shared" si="19"/>
        <v>3.9837054175249373</v>
      </c>
      <c r="N198">
        <f t="shared" si="21"/>
        <v>3.9764274549756187</v>
      </c>
      <c r="O198">
        <f t="shared" si="18"/>
        <v>3.9585325210267146</v>
      </c>
      <c r="Q198">
        <f t="shared" si="22"/>
        <v>-4.6667753542539714E-4</v>
      </c>
      <c r="R198">
        <f t="shared" si="23"/>
        <v>6.8112850138932757E-3</v>
      </c>
      <c r="S198">
        <f t="shared" si="24"/>
        <v>2.4706218962797344E-2</v>
      </c>
    </row>
    <row r="199" spans="10:19" x14ac:dyDescent="0.3">
      <c r="J199">
        <v>197</v>
      </c>
      <c r="K199">
        <v>1</v>
      </c>
      <c r="L199">
        <f t="shared" si="20"/>
        <v>3.9841669561016397</v>
      </c>
      <c r="M199">
        <f t="shared" si="19"/>
        <v>3.9846080757374165</v>
      </c>
      <c r="N199">
        <f t="shared" si="21"/>
        <v>3.9764274549756187</v>
      </c>
      <c r="O199">
        <f t="shared" si="18"/>
        <v>3.9585325210267146</v>
      </c>
      <c r="Q199">
        <f t="shared" si="22"/>
        <v>-4.4111963577675439E-4</v>
      </c>
      <c r="R199">
        <f t="shared" si="23"/>
        <v>7.7395011260210644E-3</v>
      </c>
      <c r="S199">
        <f t="shared" si="24"/>
        <v>2.5634435074925133E-2</v>
      </c>
    </row>
    <row r="200" spans="10:19" x14ac:dyDescent="0.3">
      <c r="J200">
        <v>198</v>
      </c>
      <c r="K200">
        <v>1</v>
      </c>
      <c r="L200">
        <f t="shared" si="20"/>
        <v>3.9850443156322513</v>
      </c>
      <c r="M200">
        <f t="shared" si="19"/>
        <v>3.9854612558258089</v>
      </c>
      <c r="N200">
        <f t="shared" si="21"/>
        <v>3.9764274549756187</v>
      </c>
      <c r="O200">
        <f t="shared" si="18"/>
        <v>3.9585325210267146</v>
      </c>
      <c r="Q200">
        <f t="shared" si="22"/>
        <v>-4.1694019355764667E-4</v>
      </c>
      <c r="R200">
        <f t="shared" si="23"/>
        <v>8.6168606566325856E-3</v>
      </c>
      <c r="S200">
        <f t="shared" si="24"/>
        <v>2.6511794605536654E-2</v>
      </c>
    </row>
    <row r="201" spans="10:19" x14ac:dyDescent="0.3">
      <c r="J201">
        <v>199</v>
      </c>
      <c r="K201">
        <v>1</v>
      </c>
      <c r="L201">
        <f t="shared" si="20"/>
        <v>3.9858735632315008</v>
      </c>
      <c r="M201">
        <f t="shared" si="19"/>
        <v>3.9862676297337969</v>
      </c>
      <c r="N201">
        <f t="shared" si="21"/>
        <v>3.9764274549756187</v>
      </c>
      <c r="O201">
        <f t="shared" si="18"/>
        <v>3.9585325210267146</v>
      </c>
      <c r="Q201">
        <f t="shared" si="22"/>
        <v>-3.9406650229611984E-4</v>
      </c>
      <c r="R201">
        <f t="shared" si="23"/>
        <v>9.4461082558821019E-3</v>
      </c>
      <c r="S201">
        <f t="shared" si="24"/>
        <v>2.734104220478617E-2</v>
      </c>
    </row>
    <row r="202" spans="10:19" x14ac:dyDescent="0.3">
      <c r="J202">
        <v>200</v>
      </c>
      <c r="K202">
        <v>1</v>
      </c>
      <c r="L202">
        <f t="shared" si="20"/>
        <v>3.9866572986489186</v>
      </c>
      <c r="M202">
        <f t="shared" si="19"/>
        <v>3.9870297282107003</v>
      </c>
      <c r="N202">
        <f t="shared" si="21"/>
        <v>3.9764274549756187</v>
      </c>
      <c r="O202">
        <f t="shared" si="18"/>
        <v>3.9866572986489199</v>
      </c>
      <c r="Q202">
        <f t="shared" si="22"/>
        <v>-3.7242956178173969E-4</v>
      </c>
      <c r="R202">
        <f t="shared" si="23"/>
        <v>1.0229843673299932E-2</v>
      </c>
      <c r="S202">
        <f t="shared" si="24"/>
        <v>0</v>
      </c>
    </row>
    <row r="203" spans="10:19" x14ac:dyDescent="0.3">
      <c r="J203">
        <v>201</v>
      </c>
      <c r="K203">
        <v>1</v>
      </c>
      <c r="L203">
        <f t="shared" si="20"/>
        <v>3.9873979841306104</v>
      </c>
      <c r="M203">
        <f t="shared" si="19"/>
        <v>3.9877499480300642</v>
      </c>
      <c r="N203">
        <f t="shared" si="21"/>
        <v>3.9866572986489177</v>
      </c>
      <c r="O203">
        <f t="shared" si="18"/>
        <v>3.9866572986489199</v>
      </c>
      <c r="Q203">
        <f t="shared" si="22"/>
        <v>-3.5196389945379991E-4</v>
      </c>
      <c r="R203">
        <f t="shared" si="23"/>
        <v>7.4068548169270443E-4</v>
      </c>
      <c r="S203">
        <f t="shared" si="24"/>
        <v>7.4068548169048398E-4</v>
      </c>
    </row>
    <row r="204" spans="10:19" x14ac:dyDescent="0.3">
      <c r="J204">
        <v>202</v>
      </c>
      <c r="K204">
        <v>1</v>
      </c>
      <c r="L204">
        <f t="shared" si="20"/>
        <v>3.9880979514590744</v>
      </c>
      <c r="M204">
        <f t="shared" si="19"/>
        <v>3.9884305588586098</v>
      </c>
      <c r="N204">
        <f t="shared" si="21"/>
        <v>3.9866572986489177</v>
      </c>
      <c r="O204">
        <f t="shared" si="18"/>
        <v>3.9866572986489199</v>
      </c>
      <c r="Q204">
        <f t="shared" si="22"/>
        <v>-3.3260739953533403E-4</v>
      </c>
      <c r="R204">
        <f t="shared" si="23"/>
        <v>1.4406528101567062E-3</v>
      </c>
      <c r="S204">
        <f t="shared" si="24"/>
        <v>1.4406528101544858E-3</v>
      </c>
    </row>
    <row r="205" spans="10:19" x14ac:dyDescent="0.3">
      <c r="J205">
        <v>203</v>
      </c>
      <c r="K205">
        <v>1</v>
      </c>
      <c r="L205">
        <f t="shared" si="20"/>
        <v>3.9887594086512168</v>
      </c>
      <c r="M205">
        <f t="shared" si="19"/>
        <v>3.9890737097908806</v>
      </c>
      <c r="N205">
        <f t="shared" si="21"/>
        <v>3.9866572986489177</v>
      </c>
      <c r="O205">
        <f t="shared" si="18"/>
        <v>3.9866572986489199</v>
      </c>
      <c r="Q205">
        <f t="shared" si="22"/>
        <v>-3.1430113966379736E-4</v>
      </c>
      <c r="R205">
        <f t="shared" si="23"/>
        <v>2.1021100022990957E-3</v>
      </c>
      <c r="S205">
        <f t="shared" si="24"/>
        <v>2.1021100022968753E-3</v>
      </c>
    </row>
    <row r="206" spans="10:19" x14ac:dyDescent="0.3">
      <c r="J206">
        <v>204</v>
      </c>
      <c r="K206">
        <v>1</v>
      </c>
      <c r="L206">
        <f t="shared" si="20"/>
        <v>3.9893844463296317</v>
      </c>
      <c r="M206">
        <f t="shared" si="19"/>
        <v>3.9896814355643788</v>
      </c>
      <c r="N206">
        <f t="shared" si="21"/>
        <v>3.9866572986489177</v>
      </c>
      <c r="O206">
        <f t="shared" si="18"/>
        <v>3.9866572986489199</v>
      </c>
      <c r="Q206">
        <f t="shared" si="22"/>
        <v>-2.9698923474708039E-4</v>
      </c>
      <c r="R206">
        <f t="shared" si="23"/>
        <v>2.727147680714026E-3</v>
      </c>
      <c r="S206">
        <f t="shared" si="24"/>
        <v>2.7271476807118056E-3</v>
      </c>
    </row>
    <row r="207" spans="10:19" x14ac:dyDescent="0.3">
      <c r="J207">
        <v>205</v>
      </c>
      <c r="K207">
        <v>1</v>
      </c>
      <c r="L207">
        <f t="shared" si="20"/>
        <v>3.989975043781663</v>
      </c>
      <c r="M207">
        <f t="shared" si="19"/>
        <v>3.9902556624694627</v>
      </c>
      <c r="N207">
        <f t="shared" si="21"/>
        <v>3.9866572986489177</v>
      </c>
      <c r="O207">
        <f t="shared" si="18"/>
        <v>3.9866572986489199</v>
      </c>
      <c r="Q207">
        <f t="shared" si="22"/>
        <v>-2.8061868779971633E-4</v>
      </c>
      <c r="R207">
        <f t="shared" si="23"/>
        <v>3.3177451327452978E-3</v>
      </c>
      <c r="S207">
        <f t="shared" si="24"/>
        <v>3.3177451327430774E-3</v>
      </c>
    </row>
    <row r="208" spans="10:19" x14ac:dyDescent="0.3">
      <c r="J208">
        <v>206</v>
      </c>
      <c r="K208">
        <v>1</v>
      </c>
      <c r="L208">
        <f t="shared" si="20"/>
        <v>3.9905330747202608</v>
      </c>
      <c r="M208">
        <f t="shared" si="19"/>
        <v>3.9907982139677527</v>
      </c>
      <c r="N208">
        <f t="shared" si="21"/>
        <v>3.9866572986489177</v>
      </c>
      <c r="O208">
        <f t="shared" si="18"/>
        <v>3.9866572986489199</v>
      </c>
      <c r="Q208">
        <f t="shared" si="22"/>
        <v>-2.6513924749194118E-4</v>
      </c>
      <c r="R208">
        <f t="shared" si="23"/>
        <v>3.87577607134304E-3</v>
      </c>
      <c r="S208">
        <f t="shared" si="24"/>
        <v>3.8757760713408196E-3</v>
      </c>
    </row>
    <row r="209" spans="10:19" x14ac:dyDescent="0.3">
      <c r="J209">
        <v>207</v>
      </c>
      <c r="K209">
        <v>1</v>
      </c>
      <c r="L209">
        <f t="shared" si="20"/>
        <v>3.991060312760113</v>
      </c>
      <c r="M209">
        <f t="shared" si="19"/>
        <v>3.9913108160322834</v>
      </c>
      <c r="N209">
        <f t="shared" si="21"/>
        <v>3.9866572986489177</v>
      </c>
      <c r="O209">
        <f t="shared" si="18"/>
        <v>3.9866572986489199</v>
      </c>
      <c r="Q209">
        <f t="shared" si="22"/>
        <v>-2.5050327217046586E-4</v>
      </c>
      <c r="R209">
        <f t="shared" si="23"/>
        <v>4.4030141111952581E-3</v>
      </c>
      <c r="S209">
        <f t="shared" si="24"/>
        <v>4.4030141111930376E-3</v>
      </c>
    </row>
    <row r="210" spans="10:19" x14ac:dyDescent="0.3">
      <c r="J210">
        <v>208</v>
      </c>
      <c r="K210">
        <v>1</v>
      </c>
      <c r="L210">
        <f t="shared" si="20"/>
        <v>3.9915584366220354</v>
      </c>
      <c r="M210">
        <f t="shared" si="19"/>
        <v>3.9917951022221385</v>
      </c>
      <c r="N210">
        <f t="shared" si="21"/>
        <v>3.9866572986489177</v>
      </c>
      <c r="O210">
        <f t="shared" si="18"/>
        <v>3.9866572986489199</v>
      </c>
      <c r="Q210">
        <f t="shared" si="22"/>
        <v>-2.3666560010315862E-4</v>
      </c>
      <c r="R210">
        <f t="shared" si="23"/>
        <v>4.9011379731176419E-3</v>
      </c>
      <c r="S210">
        <f t="shared" si="24"/>
        <v>4.9011379731154214E-3</v>
      </c>
    </row>
    <row r="211" spans="10:19" x14ac:dyDescent="0.3">
      <c r="J211">
        <v>209</v>
      </c>
      <c r="K211">
        <v>1</v>
      </c>
      <c r="L211">
        <f t="shared" si="20"/>
        <v>3.9920290350780996</v>
      </c>
      <c r="M211">
        <f t="shared" si="19"/>
        <v>3.9922526185038016</v>
      </c>
      <c r="N211">
        <f t="shared" si="21"/>
        <v>3.9866572986489177</v>
      </c>
      <c r="O211">
        <f t="shared" ref="O211:O274" si="25">$F$2 * O191 - $F$3 * O171 + $F$4 * K151 + $F$5 * K131</f>
        <v>3.9866572986489199</v>
      </c>
      <c r="Q211">
        <f t="shared" si="22"/>
        <v>-2.2358342570205636E-4</v>
      </c>
      <c r="R211">
        <f t="shared" si="23"/>
        <v>5.3717364291818726E-3</v>
      </c>
      <c r="S211">
        <f t="shared" si="24"/>
        <v>5.3717364291796521E-3</v>
      </c>
    </row>
    <row r="212" spans="10:19" x14ac:dyDescent="0.3">
      <c r="J212">
        <v>210</v>
      </c>
      <c r="K212">
        <v>1</v>
      </c>
      <c r="L212">
        <f t="shared" si="20"/>
        <v>3.9924736116494954</v>
      </c>
      <c r="M212">
        <f t="shared" si="19"/>
        <v>3.9926848278309914</v>
      </c>
      <c r="N212">
        <f t="shared" si="21"/>
        <v>3.9866572986489177</v>
      </c>
      <c r="O212">
        <f t="shared" si="25"/>
        <v>3.9866572986489199</v>
      </c>
      <c r="Q212">
        <f t="shared" si="22"/>
        <v>-2.1121618149599897E-4</v>
      </c>
      <c r="R212">
        <f t="shared" si="23"/>
        <v>5.8163130005777219E-3</v>
      </c>
      <c r="S212">
        <f t="shared" si="24"/>
        <v>5.8163130005755015E-3</v>
      </c>
    </row>
    <row r="213" spans="10:19" x14ac:dyDescent="0.3">
      <c r="J213">
        <v>211</v>
      </c>
      <c r="K213">
        <v>1</v>
      </c>
      <c r="L213">
        <f t="shared" si="20"/>
        <v>3.992893589068641</v>
      </c>
      <c r="M213">
        <f t="shared" si="19"/>
        <v>3.9930931144942567</v>
      </c>
      <c r="N213">
        <f t="shared" si="21"/>
        <v>3.992473611649495</v>
      </c>
      <c r="O213">
        <f t="shared" si="25"/>
        <v>3.9866572986489199</v>
      </c>
      <c r="Q213">
        <f t="shared" si="22"/>
        <v>-1.9952542561574305E-4</v>
      </c>
      <c r="R213">
        <f t="shared" si="23"/>
        <v>4.199774191460115E-4</v>
      </c>
      <c r="S213">
        <f t="shared" si="24"/>
        <v>6.2362904197210689E-3</v>
      </c>
    </row>
    <row r="214" spans="10:19" x14ac:dyDescent="0.3">
      <c r="J214">
        <v>212</v>
      </c>
      <c r="K214">
        <v>1</v>
      </c>
      <c r="L214">
        <f t="shared" si="20"/>
        <v>3.9932903135165949</v>
      </c>
      <c r="M214">
        <f t="shared" si="19"/>
        <v>3.9934787882511689</v>
      </c>
      <c r="N214">
        <f t="shared" si="21"/>
        <v>3.992473611649495</v>
      </c>
      <c r="O214">
        <f t="shared" si="25"/>
        <v>3.9866572986489199</v>
      </c>
      <c r="Q214">
        <f t="shared" si="22"/>
        <v>-1.8847473457395125E-4</v>
      </c>
      <c r="R214">
        <f t="shared" si="23"/>
        <v>8.1670186709992265E-4</v>
      </c>
      <c r="S214">
        <f t="shared" si="24"/>
        <v>6.6330148676749801E-3</v>
      </c>
    </row>
    <row r="215" spans="10:19" x14ac:dyDescent="0.3">
      <c r="J215">
        <v>213</v>
      </c>
      <c r="K215">
        <v>1</v>
      </c>
      <c r="L215">
        <f t="shared" si="20"/>
        <v>3.9936650586463704</v>
      </c>
      <c r="M215">
        <f t="shared" si="19"/>
        <v>3.9938430882474871</v>
      </c>
      <c r="N215">
        <f t="shared" si="21"/>
        <v>3.992473611649495</v>
      </c>
      <c r="O215">
        <f t="shared" si="25"/>
        <v>3.9866572986489199</v>
      </c>
      <c r="Q215">
        <f t="shared" si="22"/>
        <v>-1.7802960111668042E-4</v>
      </c>
      <c r="R215">
        <f t="shared" si="23"/>
        <v>1.191446996875456E-3</v>
      </c>
      <c r="S215">
        <f t="shared" si="24"/>
        <v>7.0077599974505134E-3</v>
      </c>
    </row>
    <row r="216" spans="10:19" x14ac:dyDescent="0.3">
      <c r="J216">
        <v>214</v>
      </c>
      <c r="K216">
        <v>1</v>
      </c>
      <c r="L216">
        <f t="shared" si="20"/>
        <v>3.9940190294023123</v>
      </c>
      <c r="M216">
        <f t="shared" si="19"/>
        <v>3.9941871867392473</v>
      </c>
      <c r="N216">
        <f t="shared" si="21"/>
        <v>3.992473611649495</v>
      </c>
      <c r="O216">
        <f t="shared" si="25"/>
        <v>3.9866572986489199</v>
      </c>
      <c r="Q216">
        <f t="shared" si="22"/>
        <v>-1.6815733693498203E-4</v>
      </c>
      <c r="R216">
        <f t="shared" si="23"/>
        <v>1.5454177528173574E-3</v>
      </c>
      <c r="S216">
        <f t="shared" si="24"/>
        <v>7.3617307533924148E-3</v>
      </c>
    </row>
    <row r="217" spans="10:19" x14ac:dyDescent="0.3">
      <c r="J217">
        <v>215</v>
      </c>
      <c r="K217">
        <v>1</v>
      </c>
      <c r="L217">
        <f t="shared" si="20"/>
        <v>3.994353365645265</v>
      </c>
      <c r="M217">
        <f t="shared" si="19"/>
        <v>3.9945121926252987</v>
      </c>
      <c r="N217">
        <f t="shared" si="21"/>
        <v>3.992473611649495</v>
      </c>
      <c r="O217">
        <f t="shared" si="25"/>
        <v>3.9866572986489199</v>
      </c>
      <c r="Q217">
        <f t="shared" si="22"/>
        <v>-1.5882698003366613E-4</v>
      </c>
      <c r="R217">
        <f t="shared" si="23"/>
        <v>1.879753995770006E-3</v>
      </c>
      <c r="S217">
        <f t="shared" si="24"/>
        <v>7.6960669963450634E-3</v>
      </c>
    </row>
    <row r="218" spans="10:19" x14ac:dyDescent="0.3">
      <c r="J218">
        <v>216</v>
      </c>
      <c r="K218">
        <v>1</v>
      </c>
      <c r="L218">
        <f t="shared" si="20"/>
        <v>3.9946691455928556</v>
      </c>
      <c r="M218">
        <f t="shared" si="19"/>
        <v>3.9948191547994139</v>
      </c>
      <c r="N218">
        <f t="shared" si="21"/>
        <v>3.992473611649495</v>
      </c>
      <c r="O218">
        <f t="shared" si="25"/>
        <v>3.9866572986489199</v>
      </c>
      <c r="Q218">
        <f t="shared" si="22"/>
        <v>-1.5000920655827699E-4</v>
      </c>
      <c r="R218">
        <f t="shared" si="23"/>
        <v>2.1955339433605836E-3</v>
      </c>
      <c r="S218">
        <f t="shared" si="24"/>
        <v>8.011846943935641E-3</v>
      </c>
    </row>
    <row r="219" spans="10:19" x14ac:dyDescent="0.3">
      <c r="J219">
        <v>217</v>
      </c>
      <c r="K219">
        <v>1</v>
      </c>
      <c r="L219">
        <f t="shared" si="20"/>
        <v>3.9949673890838042</v>
      </c>
      <c r="M219">
        <f t="shared" si="19"/>
        <v>3.9951090653306891</v>
      </c>
      <c r="N219">
        <f t="shared" si="21"/>
        <v>3.992473611649495</v>
      </c>
      <c r="O219">
        <f t="shared" si="25"/>
        <v>3.9866572986489199</v>
      </c>
      <c r="Q219">
        <f t="shared" si="22"/>
        <v>-1.416762468848809E-4</v>
      </c>
      <c r="R219">
        <f t="shared" si="23"/>
        <v>2.49377743430923E-3</v>
      </c>
      <c r="S219">
        <f t="shared" si="24"/>
        <v>8.3100904348842874E-3</v>
      </c>
    </row>
    <row r="220" spans="10:19" x14ac:dyDescent="0.3">
      <c r="J220">
        <v>218</v>
      </c>
      <c r="K220">
        <v>1</v>
      </c>
      <c r="L220">
        <f t="shared" si="20"/>
        <v>3.9952490606748028</v>
      </c>
      <c r="M220">
        <f t="shared" si="19"/>
        <v>3.9953828624805854</v>
      </c>
      <c r="N220">
        <f t="shared" si="21"/>
        <v>3.992473611649495</v>
      </c>
      <c r="O220">
        <f t="shared" si="25"/>
        <v>3.9866572986489199</v>
      </c>
      <c r="Q220">
        <f t="shared" si="22"/>
        <v>-1.3380180578259626E-4</v>
      </c>
      <c r="R220">
        <f t="shared" si="23"/>
        <v>2.7754490253077968E-3</v>
      </c>
      <c r="S220">
        <f t="shared" si="24"/>
        <v>8.5917620258828542E-3</v>
      </c>
    </row>
    <row r="221" spans="10:19" x14ac:dyDescent="0.3">
      <c r="J221">
        <v>219</v>
      </c>
      <c r="K221">
        <v>1</v>
      </c>
      <c r="L221">
        <f t="shared" si="20"/>
        <v>3.9955150725780979</v>
      </c>
      <c r="M221">
        <f t="shared" si="19"/>
        <v>3.995641433564582</v>
      </c>
      <c r="N221">
        <f t="shared" si="21"/>
        <v>3.992473611649495</v>
      </c>
      <c r="O221">
        <f t="shared" si="25"/>
        <v>3.9866572986489199</v>
      </c>
      <c r="Q221">
        <f t="shared" si="22"/>
        <v>-1.2636098648410865E-4</v>
      </c>
      <c r="R221">
        <f t="shared" si="23"/>
        <v>3.0414609286029126E-3</v>
      </c>
      <c r="S221">
        <f t="shared" si="24"/>
        <v>8.85777392917797E-3</v>
      </c>
    </row>
    <row r="222" spans="10:19" x14ac:dyDescent="0.3">
      <c r="J222">
        <v>220</v>
      </c>
      <c r="K222">
        <v>1</v>
      </c>
      <c r="L222">
        <f t="shared" si="20"/>
        <v>3.9957662874475983</v>
      </c>
      <c r="M222">
        <f t="shared" si="19"/>
        <v>3.9958856176660666</v>
      </c>
      <c r="N222">
        <f t="shared" si="21"/>
        <v>3.992473611649495</v>
      </c>
      <c r="O222">
        <f t="shared" si="25"/>
        <v>3.9957662874475997</v>
      </c>
      <c r="Q222">
        <f t="shared" si="22"/>
        <v>-1.1933021846832759E-4</v>
      </c>
      <c r="R222">
        <f t="shared" si="23"/>
        <v>3.2926757981033283E-3</v>
      </c>
      <c r="S222">
        <f t="shared" si="24"/>
        <v>0</v>
      </c>
    </row>
    <row r="223" spans="10:19" x14ac:dyDescent="0.3">
      <c r="J223">
        <v>221</v>
      </c>
      <c r="K223">
        <v>1</v>
      </c>
      <c r="L223">
        <f t="shared" si="20"/>
        <v>3.9960035210209237</v>
      </c>
      <c r="M223">
        <f t="shared" si="19"/>
        <v>3.9961162082097341</v>
      </c>
      <c r="N223">
        <f t="shared" si="21"/>
        <v>3.995766287447597</v>
      </c>
      <c r="O223">
        <f t="shared" si="25"/>
        <v>3.9957662874475997</v>
      </c>
      <c r="Q223">
        <f t="shared" si="22"/>
        <v>-1.1268718881041195E-4</v>
      </c>
      <c r="R223">
        <f t="shared" si="23"/>
        <v>2.3723357332672279E-4</v>
      </c>
      <c r="S223">
        <f t="shared" si="24"/>
        <v>2.3723357332405826E-4</v>
      </c>
    </row>
    <row r="224" spans="10:19" x14ac:dyDescent="0.3">
      <c r="J224">
        <v>222</v>
      </c>
      <c r="K224">
        <v>1</v>
      </c>
      <c r="L224">
        <f t="shared" si="20"/>
        <v>3.996227544624531</v>
      </c>
      <c r="M224">
        <f t="shared" si="19"/>
        <v>3.996333955401449</v>
      </c>
      <c r="N224">
        <f t="shared" si="21"/>
        <v>3.995766287447597</v>
      </c>
      <c r="O224">
        <f t="shared" si="25"/>
        <v>3.9957662874475997</v>
      </c>
      <c r="Q224">
        <f t="shared" si="22"/>
        <v>-1.0641077691797562E-4</v>
      </c>
      <c r="R224">
        <f t="shared" si="23"/>
        <v>4.6125717693401569E-4</v>
      </c>
      <c r="S224">
        <f t="shared" si="24"/>
        <v>4.6125717693135115E-4</v>
      </c>
    </row>
    <row r="225" spans="10:19" x14ac:dyDescent="0.3">
      <c r="J225">
        <v>223</v>
      </c>
      <c r="K225">
        <v>1</v>
      </c>
      <c r="L225">
        <f t="shared" si="20"/>
        <v>3.9964390875486813</v>
      </c>
      <c r="M225">
        <f t="shared" si="19"/>
        <v>3.9965395685412006</v>
      </c>
      <c r="N225">
        <f t="shared" si="21"/>
        <v>3.995766287447597</v>
      </c>
      <c r="O225">
        <f t="shared" si="25"/>
        <v>3.9957662874475997</v>
      </c>
      <c r="Q225">
        <f t="shared" si="22"/>
        <v>-1.0048099251935838E-4</v>
      </c>
      <c r="R225">
        <f t="shared" si="23"/>
        <v>6.7280010108428101E-4</v>
      </c>
      <c r="S225">
        <f t="shared" si="24"/>
        <v>6.7280010108161648E-4</v>
      </c>
    </row>
    <row r="226" spans="10:19" x14ac:dyDescent="0.3">
      <c r="J226">
        <v>224</v>
      </c>
      <c r="K226">
        <v>1</v>
      </c>
      <c r="L226">
        <f t="shared" si="20"/>
        <v>3.9966388392987451</v>
      </c>
      <c r="M226">
        <f t="shared" si="19"/>
        <v>3.9967337182154723</v>
      </c>
      <c r="N226">
        <f t="shared" si="21"/>
        <v>3.995766287447597</v>
      </c>
      <c r="O226">
        <f t="shared" si="25"/>
        <v>3.9957662874475997</v>
      </c>
      <c r="Q226">
        <f t="shared" si="22"/>
        <v>-9.4878916727214602E-5</v>
      </c>
      <c r="R226">
        <f t="shared" si="23"/>
        <v>8.7255185114809564E-4</v>
      </c>
      <c r="S226">
        <f t="shared" si="24"/>
        <v>8.725518511454311E-4</v>
      </c>
    </row>
    <row r="227" spans="10:19" x14ac:dyDescent="0.3">
      <c r="J227">
        <v>225</v>
      </c>
      <c r="K227">
        <v>1</v>
      </c>
      <c r="L227">
        <f t="shared" si="20"/>
        <v>3.9968274517290006</v>
      </c>
      <c r="M227">
        <f t="shared" si="19"/>
        <v>3.9969170383750687</v>
      </c>
      <c r="N227">
        <f t="shared" si="21"/>
        <v>3.995766287447597</v>
      </c>
      <c r="O227">
        <f t="shared" si="25"/>
        <v>3.9957662874475997</v>
      </c>
      <c r="Q227">
        <f t="shared" si="22"/>
        <v>-8.9586646068173792E-5</v>
      </c>
      <c r="R227">
        <f t="shared" si="23"/>
        <v>1.0611642814035704E-3</v>
      </c>
      <c r="S227">
        <f t="shared" si="24"/>
        <v>1.0611642814009059E-3</v>
      </c>
    </row>
    <row r="228" spans="10:19" x14ac:dyDescent="0.3">
      <c r="J228">
        <v>226</v>
      </c>
      <c r="K228">
        <v>1</v>
      </c>
      <c r="L228">
        <f t="shared" si="20"/>
        <v>3.9970055410648291</v>
      </c>
      <c r="M228">
        <f t="shared" si="19"/>
        <v>3.9970901283041411</v>
      </c>
      <c r="N228">
        <f t="shared" si="21"/>
        <v>3.995766287447597</v>
      </c>
      <c r="O228">
        <f t="shared" si="25"/>
        <v>3.9957662874475997</v>
      </c>
      <c r="Q228">
        <f t="shared" si="22"/>
        <v>-8.4587239312039486E-5</v>
      </c>
      <c r="R228">
        <f t="shared" si="23"/>
        <v>1.2392536172320945E-3</v>
      </c>
      <c r="S228">
        <f t="shared" si="24"/>
        <v>1.2392536172294299E-3</v>
      </c>
    </row>
    <row r="229" spans="10:19" x14ac:dyDescent="0.3">
      <c r="J229">
        <v>227</v>
      </c>
      <c r="K229">
        <v>1</v>
      </c>
      <c r="L229">
        <f t="shared" si="20"/>
        <v>3.9971736898189194</v>
      </c>
      <c r="M229">
        <f t="shared" si="19"/>
        <v>3.9972535544859022</v>
      </c>
      <c r="N229">
        <f t="shared" si="21"/>
        <v>3.995766287447597</v>
      </c>
      <c r="O229">
        <f t="shared" si="25"/>
        <v>3.9957662874475997</v>
      </c>
      <c r="Q229">
        <f t="shared" si="22"/>
        <v>-7.9864666982842891E-5</v>
      </c>
      <c r="R229">
        <f t="shared" si="23"/>
        <v>1.4074023713224193E-3</v>
      </c>
      <c r="S229">
        <f t="shared" si="24"/>
        <v>1.4074023713197548E-3</v>
      </c>
    </row>
    <row r="230" spans="10:19" x14ac:dyDescent="0.3">
      <c r="J230">
        <v>228</v>
      </c>
      <c r="K230">
        <v>1</v>
      </c>
      <c r="L230">
        <f t="shared" si="20"/>
        <v>3.9973324486068247</v>
      </c>
      <c r="M230">
        <f t="shared" si="19"/>
        <v>3.9974078523702463</v>
      </c>
      <c r="N230">
        <f t="shared" si="21"/>
        <v>3.995766287447597</v>
      </c>
      <c r="O230">
        <f t="shared" si="25"/>
        <v>3.9957662874475997</v>
      </c>
      <c r="Q230">
        <f t="shared" si="22"/>
        <v>-7.540376342163313E-5</v>
      </c>
      <c r="R230">
        <f t="shared" si="23"/>
        <v>1.5661611592276969E-3</v>
      </c>
      <c r="S230">
        <f t="shared" si="24"/>
        <v>1.5661611592250324E-3</v>
      </c>
    </row>
    <row r="231" spans="10:19" x14ac:dyDescent="0.3">
      <c r="J231">
        <v>229</v>
      </c>
      <c r="K231">
        <v>1</v>
      </c>
      <c r="L231">
        <f t="shared" si="20"/>
        <v>3.9974823378669715</v>
      </c>
      <c r="M231">
        <f t="shared" si="19"/>
        <v>3.9975535280482566</v>
      </c>
      <c r="N231">
        <f t="shared" si="21"/>
        <v>3.995766287447597</v>
      </c>
      <c r="O231">
        <f t="shared" si="25"/>
        <v>3.9957662874475997</v>
      </c>
      <c r="Q231">
        <f t="shared" si="22"/>
        <v>-7.1190181285096799E-5</v>
      </c>
      <c r="R231">
        <f t="shared" si="23"/>
        <v>1.7160504193745041E-3</v>
      </c>
      <c r="S231">
        <f t="shared" si="24"/>
        <v>1.7160504193718396E-3</v>
      </c>
    </row>
    <row r="232" spans="10:19" x14ac:dyDescent="0.3">
      <c r="J232">
        <v>230</v>
      </c>
      <c r="K232">
        <v>1</v>
      </c>
      <c r="L232">
        <f t="shared" si="20"/>
        <v>3.9976238494899796</v>
      </c>
      <c r="M232">
        <f t="shared" si="19"/>
        <v>3.9976910598383308</v>
      </c>
      <c r="N232">
        <f t="shared" si="21"/>
        <v>3.995766287447597</v>
      </c>
      <c r="O232">
        <f t="shared" si="25"/>
        <v>3.9957662874475997</v>
      </c>
      <c r="Q232">
        <f t="shared" si="22"/>
        <v>-6.7210348351220972E-5</v>
      </c>
      <c r="R232">
        <f t="shared" si="23"/>
        <v>1.8575620423826322E-3</v>
      </c>
      <c r="S232">
        <f t="shared" si="24"/>
        <v>1.8575620423799677E-3</v>
      </c>
    </row>
    <row r="233" spans="10:19" x14ac:dyDescent="0.3">
      <c r="J233">
        <v>231</v>
      </c>
      <c r="K233">
        <v>1</v>
      </c>
      <c r="L233">
        <f t="shared" si="20"/>
        <v>3.9977574483619027</v>
      </c>
      <c r="M233">
        <f t="shared" si="19"/>
        <v>3.9978208997884397</v>
      </c>
      <c r="N233">
        <f t="shared" si="21"/>
        <v>3.9976238494899778</v>
      </c>
      <c r="O233">
        <f t="shared" si="25"/>
        <v>3.9957662874475997</v>
      </c>
      <c r="Q233">
        <f t="shared" si="22"/>
        <v>-6.3451426536964561E-5</v>
      </c>
      <c r="R233">
        <f t="shared" si="23"/>
        <v>1.3359887192487818E-4</v>
      </c>
      <c r="S233">
        <f t="shared" si="24"/>
        <v>1.9911609143030695E-3</v>
      </c>
    </row>
    <row r="234" spans="10:19" x14ac:dyDescent="0.3">
      <c r="J234">
        <v>232</v>
      </c>
      <c r="K234">
        <v>1</v>
      </c>
      <c r="L234">
        <f t="shared" si="20"/>
        <v>3.9978835738257992</v>
      </c>
      <c r="M234">
        <f t="shared" si="19"/>
        <v>3.9979434750988068</v>
      </c>
      <c r="N234">
        <f t="shared" si="21"/>
        <v>3.9976238494899778</v>
      </c>
      <c r="O234">
        <f t="shared" si="25"/>
        <v>3.9957662874475997</v>
      </c>
      <c r="Q234">
        <f t="shared" si="22"/>
        <v>-5.990127300758985E-5</v>
      </c>
      <c r="R234">
        <f t="shared" si="23"/>
        <v>2.5972433582133192E-4</v>
      </c>
      <c r="S234">
        <f t="shared" si="24"/>
        <v>2.1172863781995233E-3</v>
      </c>
    </row>
    <row r="235" spans="10:19" x14ac:dyDescent="0.3">
      <c r="J235">
        <v>233</v>
      </c>
      <c r="K235">
        <v>1</v>
      </c>
      <c r="L235">
        <f t="shared" si="20"/>
        <v>3.9980026410658103</v>
      </c>
      <c r="M235">
        <f t="shared" ref="M235:M298" si="26">$D$2*M234-$D$3*M233 + $D$4*K195+$D$5*K196</f>
        <v>3.9980591894690951</v>
      </c>
      <c r="N235">
        <f t="shared" si="21"/>
        <v>3.9976238494899778</v>
      </c>
      <c r="O235">
        <f t="shared" si="25"/>
        <v>3.9957662874475997</v>
      </c>
      <c r="Q235">
        <f t="shared" si="22"/>
        <v>-5.6548403284839566E-5</v>
      </c>
      <c r="R235">
        <f t="shared" si="23"/>
        <v>3.7879157583242673E-4</v>
      </c>
      <c r="S235">
        <f t="shared" si="24"/>
        <v>2.2363536182106181E-3</v>
      </c>
    </row>
    <row r="236" spans="10:19" x14ac:dyDescent="0.3">
      <c r="J236">
        <v>234</v>
      </c>
      <c r="K236">
        <v>1</v>
      </c>
      <c r="L236">
        <f t="shared" si="20"/>
        <v>3.9981150424177336</v>
      </c>
      <c r="M236">
        <f t="shared" si="26"/>
        <v>3.9981684243739872</v>
      </c>
      <c r="N236">
        <f t="shared" si="21"/>
        <v>3.9976238494899778</v>
      </c>
      <c r="O236">
        <f t="shared" si="25"/>
        <v>3.9957662874475997</v>
      </c>
      <c r="Q236">
        <f t="shared" si="22"/>
        <v>-5.338195625359532E-5</v>
      </c>
      <c r="R236">
        <f t="shared" si="23"/>
        <v>4.9119292775579027E-4</v>
      </c>
      <c r="S236">
        <f t="shared" si="24"/>
        <v>2.3487549701339816E-3</v>
      </c>
    </row>
    <row r="237" spans="10:19" x14ac:dyDescent="0.3">
      <c r="J237">
        <v>235</v>
      </c>
      <c r="K237">
        <v>1</v>
      </c>
      <c r="L237">
        <f t="shared" si="20"/>
        <v>3.9982211486098782</v>
      </c>
      <c r="M237">
        <f t="shared" si="26"/>
        <v>3.998271540270848</v>
      </c>
      <c r="N237">
        <f t="shared" si="21"/>
        <v>3.9976238494899778</v>
      </c>
      <c r="O237">
        <f t="shared" si="25"/>
        <v>3.9957662874475997</v>
      </c>
      <c r="Q237">
        <f t="shared" si="22"/>
        <v>-5.0391660969761887E-5</v>
      </c>
      <c r="R237">
        <f t="shared" si="23"/>
        <v>5.97299119900363E-4</v>
      </c>
      <c r="S237">
        <f t="shared" si="24"/>
        <v>2.4548611622785543E-3</v>
      </c>
    </row>
    <row r="238" spans="10:19" x14ac:dyDescent="0.3">
      <c r="J238">
        <v>236</v>
      </c>
      <c r="K238">
        <v>1</v>
      </c>
      <c r="L238">
        <f t="shared" si="20"/>
        <v>3.9983213099377979</v>
      </c>
      <c r="M238">
        <f t="shared" si="26"/>
        <v>3.9983688777429887</v>
      </c>
      <c r="N238">
        <f t="shared" si="21"/>
        <v>3.9976238494899778</v>
      </c>
      <c r="O238">
        <f t="shared" si="25"/>
        <v>3.9957662874475997</v>
      </c>
      <c r="Q238">
        <f t="shared" si="22"/>
        <v>-4.7567805190773527E-5</v>
      </c>
      <c r="R238">
        <f t="shared" si="23"/>
        <v>6.9746044782004191E-4</v>
      </c>
      <c r="S238">
        <f t="shared" si="24"/>
        <v>2.5550224901982332E-3</v>
      </c>
    </row>
    <row r="239" spans="10:19" x14ac:dyDescent="0.3">
      <c r="J239">
        <v>237</v>
      </c>
      <c r="K239">
        <v>1</v>
      </c>
      <c r="L239">
        <f t="shared" si="20"/>
        <v>3.9984158573763335</v>
      </c>
      <c r="M239">
        <f t="shared" si="26"/>
        <v>3.998460758581869</v>
      </c>
      <c r="N239">
        <f t="shared" si="21"/>
        <v>3.9976238494899778</v>
      </c>
      <c r="O239">
        <f t="shared" si="25"/>
        <v>3.9957662874475997</v>
      </c>
      <c r="Q239">
        <f t="shared" si="22"/>
        <v>-4.4901205535463617E-5</v>
      </c>
      <c r="R239">
        <f t="shared" si="23"/>
        <v>7.9200788635569452E-4</v>
      </c>
      <c r="S239">
        <f t="shared" si="24"/>
        <v>2.6495699287338859E-3</v>
      </c>
    </row>
    <row r="240" spans="10:19" x14ac:dyDescent="0.3">
      <c r="J240">
        <v>238</v>
      </c>
      <c r="K240">
        <v>1</v>
      </c>
      <c r="L240">
        <f t="shared" si="20"/>
        <v>3.9985051036322159</v>
      </c>
      <c r="M240">
        <f t="shared" si="26"/>
        <v>3.9985474868114088</v>
      </c>
      <c r="N240">
        <f t="shared" si="21"/>
        <v>3.9976238494899778</v>
      </c>
      <c r="O240">
        <f t="shared" si="25"/>
        <v>3.9957662874475997</v>
      </c>
      <c r="Q240">
        <f t="shared" si="22"/>
        <v>-4.2383179192917453E-5</v>
      </c>
      <c r="R240">
        <f t="shared" si="23"/>
        <v>8.8125414223805265E-4</v>
      </c>
      <c r="S240">
        <f t="shared" si="24"/>
        <v>2.738816184616244E-3</v>
      </c>
    </row>
    <row r="241" spans="10:19" x14ac:dyDescent="0.3">
      <c r="J241">
        <v>239</v>
      </c>
      <c r="K241">
        <v>1</v>
      </c>
      <c r="L241">
        <f t="shared" si="20"/>
        <v>3.9985893441403211</v>
      </c>
      <c r="M241">
        <f t="shared" si="26"/>
        <v>3.9986293496574286</v>
      </c>
      <c r="N241">
        <f t="shared" si="21"/>
        <v>3.9976238494899778</v>
      </c>
      <c r="O241">
        <f t="shared" si="25"/>
        <v>3.9957662874475997</v>
      </c>
      <c r="Q241">
        <f t="shared" si="22"/>
        <v>-4.0005517107477573E-5</v>
      </c>
      <c r="R241">
        <f t="shared" si="23"/>
        <v>9.6549465034323489E-4</v>
      </c>
      <c r="S241">
        <f t="shared" si="24"/>
        <v>2.8230566927214262E-3</v>
      </c>
    </row>
    <row r="242" spans="10:19" x14ac:dyDescent="0.3">
      <c r="J242">
        <v>240</v>
      </c>
      <c r="K242">
        <v>1</v>
      </c>
      <c r="L242">
        <f t="shared" si="20"/>
        <v>3.9986688580065195</v>
      </c>
      <c r="M242">
        <f t="shared" si="26"/>
        <v>3.9987066184650835</v>
      </c>
      <c r="N242">
        <f t="shared" si="21"/>
        <v>3.9976238494899778</v>
      </c>
      <c r="O242">
        <f t="shared" si="25"/>
        <v>3.9986688580065208</v>
      </c>
      <c r="Q242">
        <f t="shared" si="22"/>
        <v>-3.7760458563962374E-5</v>
      </c>
      <c r="R242">
        <f t="shared" si="23"/>
        <v>1.0450085165416567E-3</v>
      </c>
      <c r="S242">
        <f t="shared" si="24"/>
        <v>0</v>
      </c>
    </row>
    <row r="243" spans="10:19" x14ac:dyDescent="0.3">
      <c r="J243">
        <v>241</v>
      </c>
      <c r="K243">
        <v>1</v>
      </c>
      <c r="L243">
        <f t="shared" si="20"/>
        <v>3.9987439088999088</v>
      </c>
      <c r="M243">
        <f t="shared" si="26"/>
        <v>3.9987795495670095</v>
      </c>
      <c r="N243">
        <f t="shared" si="21"/>
        <v>3.9986688580065182</v>
      </c>
      <c r="O243">
        <f t="shared" si="25"/>
        <v>3.9986688580065208</v>
      </c>
      <c r="Q243">
        <f t="shared" si="22"/>
        <v>-3.5640667100711454E-5</v>
      </c>
      <c r="R243">
        <f t="shared" si="23"/>
        <v>7.5050893390660178E-5</v>
      </c>
      <c r="S243">
        <f t="shared" si="24"/>
        <v>7.5050893387995643E-5</v>
      </c>
    </row>
    <row r="244" spans="10:19" x14ac:dyDescent="0.3">
      <c r="J244">
        <v>242</v>
      </c>
      <c r="K244">
        <v>1</v>
      </c>
      <c r="L244">
        <f t="shared" si="20"/>
        <v>3.9988147458970786</v>
      </c>
      <c r="M244">
        <f t="shared" si="26"/>
        <v>3.9988483851047665</v>
      </c>
      <c r="N244">
        <f t="shared" si="21"/>
        <v>3.9986688580065182</v>
      </c>
      <c r="O244">
        <f t="shared" si="25"/>
        <v>3.9986688580065208</v>
      </c>
      <c r="Q244">
        <f t="shared" si="22"/>
        <v>-3.3639207687841122E-5</v>
      </c>
      <c r="R244">
        <f t="shared" si="23"/>
        <v>1.4588789056046991E-4</v>
      </c>
      <c r="S244">
        <f t="shared" si="24"/>
        <v>1.4588789055780538E-4</v>
      </c>
    </row>
    <row r="245" spans="10:19" x14ac:dyDescent="0.3">
      <c r="J245">
        <v>243</v>
      </c>
      <c r="K245">
        <v>1</v>
      </c>
      <c r="L245">
        <f t="shared" ref="L245:L308" si="27">$B$2*K245*(1-EXP(-(J245-$J$42-$B$3)/$B$4)*$B$4/($B$4-$B$5)+EXP(-(J245-$J$42-$B$3)/$B$5)*$B$5/($B$4-$B$5))</f>
        <v>3.9988816042809336</v>
      </c>
      <c r="M245">
        <f t="shared" si="26"/>
        <v>3.9989133538060364</v>
      </c>
      <c r="N245">
        <f t="shared" si="21"/>
        <v>3.9986688580065182</v>
      </c>
      <c r="O245">
        <f t="shared" si="25"/>
        <v>3.9986688580065208</v>
      </c>
      <c r="Q245">
        <f t="shared" si="22"/>
        <v>-3.1749525102764409E-5</v>
      </c>
      <c r="R245">
        <f t="shared" si="23"/>
        <v>2.1274627441547622E-4</v>
      </c>
      <c r="S245">
        <f t="shared" si="24"/>
        <v>2.1274627441281169E-4</v>
      </c>
    </row>
    <row r="246" spans="10:19" x14ac:dyDescent="0.3">
      <c r="J246">
        <v>244</v>
      </c>
      <c r="K246">
        <v>1</v>
      </c>
      <c r="L246">
        <f t="shared" si="27"/>
        <v>3.9989447062964532</v>
      </c>
      <c r="M246">
        <f t="shared" si="26"/>
        <v>3.9989746717198988</v>
      </c>
      <c r="N246">
        <f t="shared" si="21"/>
        <v>3.9986688580065182</v>
      </c>
      <c r="O246">
        <f t="shared" si="25"/>
        <v>3.9986688580065208</v>
      </c>
      <c r="Q246">
        <f t="shared" si="22"/>
        <v>-2.9965423445688089E-5</v>
      </c>
      <c r="R246">
        <f t="shared" si="23"/>
        <v>2.7584828993498789E-4</v>
      </c>
      <c r="S246">
        <f t="shared" si="24"/>
        <v>2.7584828993232335E-4</v>
      </c>
    </row>
    <row r="247" spans="10:19" x14ac:dyDescent="0.3">
      <c r="J247">
        <v>245</v>
      </c>
      <c r="K247">
        <v>1</v>
      </c>
      <c r="L247">
        <f t="shared" si="27"/>
        <v>3.9990042618656685</v>
      </c>
      <c r="M247">
        <f t="shared" si="26"/>
        <v>3.999032542912401</v>
      </c>
      <c r="N247">
        <f t="shared" si="21"/>
        <v>3.9986688580065182</v>
      </c>
      <c r="O247">
        <f t="shared" si="25"/>
        <v>3.9986688580065208</v>
      </c>
      <c r="Q247">
        <f t="shared" si="22"/>
        <v>-2.8281046732470116E-5</v>
      </c>
      <c r="R247">
        <f t="shared" si="23"/>
        <v>3.3540385915031834E-4</v>
      </c>
      <c r="S247">
        <f t="shared" si="24"/>
        <v>3.354038591476538E-4</v>
      </c>
    </row>
    <row r="248" spans="10:19" x14ac:dyDescent="0.3">
      <c r="J248">
        <v>246</v>
      </c>
      <c r="K248">
        <v>1</v>
      </c>
      <c r="L248">
        <f t="shared" si="27"/>
        <v>3.9990604692639984</v>
      </c>
      <c r="M248">
        <f t="shared" si="26"/>
        <v>3.9990871601245188</v>
      </c>
      <c r="N248">
        <f t="shared" si="21"/>
        <v>3.9986688580065182</v>
      </c>
      <c r="O248">
        <f t="shared" si="25"/>
        <v>3.9986688580065208</v>
      </c>
      <c r="Q248">
        <f t="shared" si="22"/>
        <v>-2.6690860520428572E-5</v>
      </c>
      <c r="R248">
        <f t="shared" si="23"/>
        <v>3.9161125748021774E-4</v>
      </c>
      <c r="S248">
        <f t="shared" si="24"/>
        <v>3.9161125747755321E-4</v>
      </c>
    </row>
    <row r="249" spans="10:19" x14ac:dyDescent="0.3">
      <c r="J249">
        <v>247</v>
      </c>
      <c r="K249">
        <v>1</v>
      </c>
      <c r="L249">
        <f t="shared" si="27"/>
        <v>3.9991135157600013</v>
      </c>
      <c r="M249">
        <f t="shared" si="26"/>
        <v>3.9991387053944982</v>
      </c>
      <c r="N249">
        <f t="shared" si="21"/>
        <v>3.9986688580065182</v>
      </c>
      <c r="O249">
        <f t="shared" si="25"/>
        <v>3.9986688580065208</v>
      </c>
      <c r="Q249">
        <f t="shared" si="22"/>
        <v>-2.5189634496936009E-5</v>
      </c>
      <c r="R249">
        <f t="shared" si="23"/>
        <v>4.446577534831242E-4</v>
      </c>
      <c r="S249">
        <f t="shared" si="24"/>
        <v>4.4465775348045966E-4</v>
      </c>
    </row>
    <row r="250" spans="10:19" x14ac:dyDescent="0.3">
      <c r="J250">
        <v>248</v>
      </c>
      <c r="K250">
        <v>1</v>
      </c>
      <c r="L250">
        <f t="shared" si="27"/>
        <v>3.9991635782204691</v>
      </c>
      <c r="M250">
        <f t="shared" si="26"/>
        <v>3.9991873506464675</v>
      </c>
      <c r="N250">
        <f t="shared" si="21"/>
        <v>3.9986688580065182</v>
      </c>
      <c r="O250">
        <f t="shared" si="25"/>
        <v>3.9986688580065208</v>
      </c>
      <c r="Q250">
        <f t="shared" si="22"/>
        <v>-2.3772425998380697E-5</v>
      </c>
      <c r="R250">
        <f t="shared" si="23"/>
        <v>4.9472021395091659E-4</v>
      </c>
      <c r="S250">
        <f t="shared" si="24"/>
        <v>4.9472021394825205E-4</v>
      </c>
    </row>
    <row r="251" spans="10:19" x14ac:dyDescent="0.3">
      <c r="J251">
        <v>249</v>
      </c>
      <c r="K251">
        <v>1</v>
      </c>
      <c r="L251">
        <f t="shared" si="27"/>
        <v>3.9992108236827102</v>
      </c>
      <c r="M251">
        <f t="shared" si="26"/>
        <v>3.9992332582471128</v>
      </c>
      <c r="N251">
        <f t="shared" si="21"/>
        <v>3.9986688580065182</v>
      </c>
      <c r="O251">
        <f t="shared" si="25"/>
        <v>3.9986688580065208</v>
      </c>
      <c r="Q251">
        <f t="shared" si="22"/>
        <v>-2.2434564402651347E-5</v>
      </c>
      <c r="R251">
        <f t="shared" si="23"/>
        <v>5.419656761920244E-4</v>
      </c>
      <c r="S251">
        <f t="shared" si="24"/>
        <v>5.4196567618935987E-4</v>
      </c>
    </row>
    <row r="252" spans="10:19" x14ac:dyDescent="0.3">
      <c r="J252">
        <v>250</v>
      </c>
      <c r="K252">
        <v>1</v>
      </c>
      <c r="L252">
        <f t="shared" si="27"/>
        <v>3.9992554098957629</v>
      </c>
      <c r="M252">
        <f t="shared" si="26"/>
        <v>3.999276581532115</v>
      </c>
      <c r="N252">
        <f t="shared" si="21"/>
        <v>3.9986688580065182</v>
      </c>
      <c r="O252">
        <f t="shared" si="25"/>
        <v>3.9986688580065208</v>
      </c>
      <c r="Q252">
        <f t="shared" si="22"/>
        <v>-2.1171636352068646E-5</v>
      </c>
      <c r="R252">
        <f t="shared" si="23"/>
        <v>5.8655188924472412E-4</v>
      </c>
      <c r="S252">
        <f t="shared" si="24"/>
        <v>5.8655188924205959E-4</v>
      </c>
    </row>
    <row r="253" spans="10:19" x14ac:dyDescent="0.3">
      <c r="J253">
        <v>251</v>
      </c>
      <c r="K253">
        <v>1</v>
      </c>
      <c r="L253">
        <f t="shared" si="27"/>
        <v>3.999297485832197</v>
      </c>
      <c r="M253">
        <f t="shared" si="26"/>
        <v>3.9993174653039607</v>
      </c>
      <c r="N253">
        <f t="shared" si="21"/>
        <v>3.9992554098957616</v>
      </c>
      <c r="O253">
        <f t="shared" si="25"/>
        <v>3.9986688580065208</v>
      </c>
      <c r="Q253">
        <f t="shared" si="22"/>
        <v>-1.9979471763686973E-5</v>
      </c>
      <c r="R253">
        <f t="shared" si="23"/>
        <v>4.2075936435459482E-5</v>
      </c>
      <c r="S253">
        <f t="shared" si="24"/>
        <v>6.286278256761868E-4</v>
      </c>
    </row>
    <row r="254" spans="10:19" x14ac:dyDescent="0.3">
      <c r="J254">
        <v>252</v>
      </c>
      <c r="K254">
        <v>1</v>
      </c>
      <c r="L254">
        <f t="shared" si="27"/>
        <v>3.9993371921720677</v>
      </c>
      <c r="M254">
        <f t="shared" si="26"/>
        <v>3.9993560463026552</v>
      </c>
      <c r="N254">
        <f t="shared" si="21"/>
        <v>3.9992554098957616</v>
      </c>
      <c r="O254">
        <f t="shared" si="25"/>
        <v>3.9986688580065208</v>
      </c>
      <c r="Q254">
        <f t="shared" si="22"/>
        <v>-1.8854130587442341E-5</v>
      </c>
      <c r="R254">
        <f t="shared" si="23"/>
        <v>8.178227630617485E-5</v>
      </c>
      <c r="S254">
        <f t="shared" si="24"/>
        <v>6.6833416554690217E-4</v>
      </c>
    </row>
    <row r="255" spans="10:19" x14ac:dyDescent="0.3">
      <c r="J255">
        <v>253</v>
      </c>
      <c r="K255">
        <v>1</v>
      </c>
      <c r="L255">
        <f t="shared" si="27"/>
        <v>3.9993746617605157</v>
      </c>
      <c r="M255">
        <f t="shared" si="26"/>
        <v>3.9993924536507861</v>
      </c>
      <c r="N255">
        <f t="shared" si="21"/>
        <v>3.9992554098957616</v>
      </c>
      <c r="O255">
        <f t="shared" si="25"/>
        <v>3.9986688580065208</v>
      </c>
      <c r="Q255">
        <f t="shared" si="22"/>
        <v>-1.7791890270402178E-5</v>
      </c>
      <c r="R255">
        <f t="shared" si="23"/>
        <v>1.1925186475414407E-4</v>
      </c>
      <c r="S255">
        <f t="shared" si="24"/>
        <v>7.0580375399487139E-4</v>
      </c>
    </row>
    <row r="256" spans="10:19" x14ac:dyDescent="0.3">
      <c r="J256">
        <v>254</v>
      </c>
      <c r="K256">
        <v>1</v>
      </c>
      <c r="L256">
        <f t="shared" si="27"/>
        <v>3.9994100200404161</v>
      </c>
      <c r="M256">
        <f t="shared" si="26"/>
        <v>3.9994268092743104</v>
      </c>
      <c r="N256">
        <f t="shared" ref="N256:N319" si="28">$E$2 *N246 - $E$3 *N236 + $E$4 *K205 + $E$5 * K195</f>
        <v>3.9992554098957616</v>
      </c>
      <c r="O256">
        <f t="shared" si="25"/>
        <v>3.9986688580065208</v>
      </c>
      <c r="Q256">
        <f t="shared" si="22"/>
        <v>-1.6789233894254352E-5</v>
      </c>
      <c r="R256">
        <f t="shared" si="23"/>
        <v>1.5461014465456557E-4</v>
      </c>
      <c r="S256">
        <f t="shared" si="24"/>
        <v>7.4116203389529289E-4</v>
      </c>
    </row>
    <row r="257" spans="10:19" x14ac:dyDescent="0.3">
      <c r="J257">
        <v>255</v>
      </c>
      <c r="K257">
        <v>1</v>
      </c>
      <c r="L257">
        <f t="shared" si="27"/>
        <v>3.9994433854614191</v>
      </c>
      <c r="M257">
        <f t="shared" si="26"/>
        <v>3.9994592283003678</v>
      </c>
      <c r="N257">
        <f t="shared" si="28"/>
        <v>3.9992554098957616</v>
      </c>
      <c r="O257">
        <f t="shared" si="25"/>
        <v>3.9986688580065208</v>
      </c>
      <c r="Q257">
        <f t="shared" si="22"/>
        <v>-1.5842838948731952E-5</v>
      </c>
      <c r="R257">
        <f t="shared" si="23"/>
        <v>1.8797556565752771E-4</v>
      </c>
      <c r="S257">
        <f t="shared" si="24"/>
        <v>7.7452745489825503E-4</v>
      </c>
    </row>
    <row r="258" spans="10:19" x14ac:dyDescent="0.3">
      <c r="J258">
        <v>256</v>
      </c>
      <c r="K258">
        <v>1</v>
      </c>
      <c r="L258">
        <f t="shared" si="27"/>
        <v>3.9994748698666491</v>
      </c>
      <c r="M258">
        <f t="shared" si="26"/>
        <v>3.999489819433355</v>
      </c>
      <c r="N258">
        <f t="shared" si="28"/>
        <v>3.9992554098957616</v>
      </c>
      <c r="O258">
        <f t="shared" si="25"/>
        <v>3.9986688580065208</v>
      </c>
      <c r="Q258">
        <f t="shared" si="22"/>
        <v>-1.494956670589076E-5</v>
      </c>
      <c r="R258">
        <f t="shared" si="23"/>
        <v>2.1945997088756997E-4</v>
      </c>
      <c r="S258">
        <f t="shared" si="24"/>
        <v>8.0601186012829729E-4</v>
      </c>
    </row>
    <row r="259" spans="10:19" x14ac:dyDescent="0.3">
      <c r="J259">
        <v>257</v>
      </c>
      <c r="K259">
        <v>1</v>
      </c>
      <c r="L259">
        <f t="shared" si="27"/>
        <v>3.9995045788582573</v>
      </c>
      <c r="M259">
        <f t="shared" si="26"/>
        <v>3.9995186853104241</v>
      </c>
      <c r="N259">
        <f t="shared" si="28"/>
        <v>3.9992554098957616</v>
      </c>
      <c r="O259">
        <f t="shared" si="25"/>
        <v>3.9986688580065208</v>
      </c>
      <c r="Q259">
        <f t="shared" ref="Q259:Q322" si="29">L259-M259</f>
        <v>-1.4106452166817718E-5</v>
      </c>
      <c r="R259">
        <f t="shared" ref="R259:R322" si="30">L259-N259</f>
        <v>2.4916896249571607E-4</v>
      </c>
      <c r="S259">
        <f t="shared" ref="S259:S322" si="31">L259-O259</f>
        <v>8.3572085173644339E-4</v>
      </c>
    </row>
    <row r="260" spans="10:19" x14ac:dyDescent="0.3">
      <c r="J260">
        <v>258</v>
      </c>
      <c r="K260">
        <v>1</v>
      </c>
      <c r="L260">
        <f t="shared" si="27"/>
        <v>3.9995326121429704</v>
      </c>
      <c r="M260">
        <f t="shared" si="26"/>
        <v>3.9995459228375227</v>
      </c>
      <c r="N260">
        <f t="shared" si="28"/>
        <v>3.9992554098957616</v>
      </c>
      <c r="O260">
        <f t="shared" si="25"/>
        <v>3.9986688580065208</v>
      </c>
      <c r="Q260">
        <f t="shared" si="29"/>
        <v>-1.3310694552348679E-5</v>
      </c>
      <c r="R260">
        <f t="shared" si="30"/>
        <v>2.772022472088409E-4</v>
      </c>
      <c r="S260">
        <f t="shared" si="31"/>
        <v>8.6375413644956822E-4</v>
      </c>
    </row>
    <row r="261" spans="10:19" x14ac:dyDescent="0.3">
      <c r="J261">
        <v>259</v>
      </c>
      <c r="K261">
        <v>1</v>
      </c>
      <c r="L261">
        <f t="shared" si="27"/>
        <v>3.9995590638587148</v>
      </c>
      <c r="M261">
        <f t="shared" si="26"/>
        <v>3.9995716235070149</v>
      </c>
      <c r="N261">
        <f t="shared" si="28"/>
        <v>3.9992554098957616</v>
      </c>
      <c r="O261">
        <f t="shared" si="25"/>
        <v>3.9986688580065208</v>
      </c>
      <c r="Q261">
        <f t="shared" si="29"/>
        <v>-1.2559648300047854E-5</v>
      </c>
      <c r="R261">
        <f t="shared" si="30"/>
        <v>3.036539629532875E-4</v>
      </c>
      <c r="S261">
        <f t="shared" si="31"/>
        <v>8.9020585219401482E-4</v>
      </c>
    </row>
    <row r="262" spans="10:19" x14ac:dyDescent="0.3">
      <c r="J262">
        <v>260</v>
      </c>
      <c r="K262">
        <v>1</v>
      </c>
      <c r="L262">
        <f t="shared" si="27"/>
        <v>3.9995840228833299</v>
      </c>
      <c r="M262">
        <f t="shared" si="26"/>
        <v>3.9995958736978841</v>
      </c>
      <c r="N262">
        <f t="shared" si="28"/>
        <v>3.9992554098957616</v>
      </c>
      <c r="O262">
        <f t="shared" si="25"/>
        <v>3.9995840228833308</v>
      </c>
      <c r="Q262">
        <f t="shared" si="29"/>
        <v>-1.1850814554126288E-5</v>
      </c>
      <c r="R262">
        <f t="shared" si="30"/>
        <v>3.2861298756836632E-4</v>
      </c>
      <c r="S262">
        <f t="shared" si="31"/>
        <v>0</v>
      </c>
    </row>
    <row r="263" spans="10:19" x14ac:dyDescent="0.3">
      <c r="J263">
        <v>261</v>
      </c>
      <c r="K263">
        <v>1</v>
      </c>
      <c r="L263">
        <f t="shared" si="27"/>
        <v>3.9996075731263447</v>
      </c>
      <c r="M263">
        <f t="shared" si="26"/>
        <v>3.9996187549594571</v>
      </c>
      <c r="N263">
        <f t="shared" si="28"/>
        <v>3.9995840228833286</v>
      </c>
      <c r="O263">
        <f t="shared" si="25"/>
        <v>3.9995840228833308</v>
      </c>
      <c r="Q263">
        <f t="shared" si="29"/>
        <v>-1.1181833112328121E-5</v>
      </c>
      <c r="R263">
        <f t="shared" si="30"/>
        <v>2.3550243016146055E-5</v>
      </c>
      <c r="S263">
        <f t="shared" si="31"/>
        <v>2.3550243013925609E-5</v>
      </c>
    </row>
    <row r="264" spans="10:19" x14ac:dyDescent="0.3">
      <c r="J264">
        <v>262</v>
      </c>
      <c r="K264">
        <v>1</v>
      </c>
      <c r="L264">
        <f t="shared" si="27"/>
        <v>3.9996297938047336</v>
      </c>
      <c r="M264">
        <f t="shared" si="26"/>
        <v>3.9996403442795403</v>
      </c>
      <c r="N264">
        <f t="shared" si="28"/>
        <v>3.9995840228833286</v>
      </c>
      <c r="O264">
        <f t="shared" si="25"/>
        <v>3.9995840228833308</v>
      </c>
      <c r="Q264">
        <f t="shared" si="29"/>
        <v>-1.0550474806692023E-5</v>
      </c>
      <c r="R264">
        <f t="shared" si="30"/>
        <v>4.577092140500838E-5</v>
      </c>
      <c r="S264">
        <f t="shared" si="31"/>
        <v>4.5770921402787934E-5</v>
      </c>
    </row>
    <row r="265" spans="10:19" x14ac:dyDescent="0.3">
      <c r="J265">
        <v>263</v>
      </c>
      <c r="K265">
        <v>1</v>
      </c>
      <c r="L265">
        <f t="shared" si="27"/>
        <v>3.9996507597035116</v>
      </c>
      <c r="M265">
        <f t="shared" si="26"/>
        <v>3.9996607143378125</v>
      </c>
      <c r="N265">
        <f t="shared" si="28"/>
        <v>3.9995840228833286</v>
      </c>
      <c r="O265">
        <f t="shared" si="25"/>
        <v>3.9995840228833308</v>
      </c>
      <c r="Q265">
        <f t="shared" si="29"/>
        <v>-9.9546343008682925E-6</v>
      </c>
      <c r="R265">
        <f t="shared" si="30"/>
        <v>6.6736820182988765E-5</v>
      </c>
      <c r="S265">
        <f t="shared" si="31"/>
        <v>6.6736820180768319E-5</v>
      </c>
    </row>
    <row r="266" spans="10:19" x14ac:dyDescent="0.3">
      <c r="J266">
        <v>264</v>
      </c>
      <c r="K266">
        <v>1</v>
      </c>
      <c r="L266">
        <f t="shared" si="27"/>
        <v>3.9996705414220006</v>
      </c>
      <c r="M266">
        <f t="shared" si="26"/>
        <v>3.9996799337452753</v>
      </c>
      <c r="N266">
        <f t="shared" si="28"/>
        <v>3.9995840228833286</v>
      </c>
      <c r="O266">
        <f t="shared" si="25"/>
        <v>3.9995840228833308</v>
      </c>
      <c r="Q266">
        <f t="shared" si="29"/>
        <v>-9.3923232746817575E-6</v>
      </c>
      <c r="R266">
        <f t="shared" si="30"/>
        <v>8.6518538672031298E-5</v>
      </c>
      <c r="S266">
        <f t="shared" si="31"/>
        <v>8.6518538669810852E-5</v>
      </c>
    </row>
    <row r="267" spans="10:19" x14ac:dyDescent="0.3">
      <c r="J267">
        <v>265</v>
      </c>
      <c r="K267">
        <v>1</v>
      </c>
      <c r="L267">
        <f t="shared" si="27"/>
        <v>3.9996892056065367</v>
      </c>
      <c r="M267">
        <f t="shared" si="26"/>
        <v>3.999698067270518</v>
      </c>
      <c r="N267">
        <f t="shared" si="28"/>
        <v>3.9995840228833286</v>
      </c>
      <c r="O267">
        <f t="shared" si="25"/>
        <v>3.9995840228833308</v>
      </c>
      <c r="Q267">
        <f t="shared" si="29"/>
        <v>-8.8616639812855169E-6</v>
      </c>
      <c r="R267">
        <f t="shared" si="30"/>
        <v>1.0518272320814148E-4</v>
      </c>
      <c r="S267">
        <f t="shared" si="31"/>
        <v>1.0518272320592104E-4</v>
      </c>
    </row>
    <row r="268" spans="10:19" x14ac:dyDescent="0.3">
      <c r="J268">
        <v>266</v>
      </c>
      <c r="K268">
        <v>1</v>
      </c>
      <c r="L268">
        <f t="shared" si="27"/>
        <v>3.9997068151703599</v>
      </c>
      <c r="M268">
        <f t="shared" si="26"/>
        <v>3.9997151760535128</v>
      </c>
      <c r="N268">
        <f t="shared" si="28"/>
        <v>3.9995840228833286</v>
      </c>
      <c r="O268">
        <f t="shared" si="25"/>
        <v>3.9995840228833308</v>
      </c>
      <c r="Q268">
        <f t="shared" si="29"/>
        <v>-8.3608831529247141E-6</v>
      </c>
      <c r="R268">
        <f t="shared" si="30"/>
        <v>1.2279228703127032E-4</v>
      </c>
      <c r="S268">
        <f t="shared" si="31"/>
        <v>1.2279228702904987E-4</v>
      </c>
    </row>
    <row r="269" spans="10:19" x14ac:dyDescent="0.3">
      <c r="J269">
        <v>267</v>
      </c>
      <c r="K269">
        <v>1</v>
      </c>
      <c r="L269">
        <f t="shared" si="27"/>
        <v>3.9997234295013784</v>
      </c>
      <c r="M269">
        <f t="shared" si="26"/>
        <v>3.999731317807619</v>
      </c>
      <c r="N269">
        <f t="shared" si="28"/>
        <v>3.9995840228833286</v>
      </c>
      <c r="O269">
        <f t="shared" si="25"/>
        <v>3.9995840228833308</v>
      </c>
      <c r="Q269">
        <f t="shared" si="29"/>
        <v>-7.8883062406553961E-6</v>
      </c>
      <c r="R269">
        <f t="shared" si="30"/>
        <v>1.394066180497866E-4</v>
      </c>
      <c r="S269">
        <f t="shared" si="31"/>
        <v>1.3940661804756616E-4</v>
      </c>
    </row>
    <row r="270" spans="10:19" x14ac:dyDescent="0.3">
      <c r="J270">
        <v>268</v>
      </c>
      <c r="K270">
        <v>1</v>
      </c>
      <c r="L270">
        <f t="shared" si="27"/>
        <v>3.999739104658476</v>
      </c>
      <c r="M270">
        <f t="shared" si="26"/>
        <v>3.9997465470104396</v>
      </c>
      <c r="N270">
        <f t="shared" si="28"/>
        <v>3.9995840228833286</v>
      </c>
      <c r="O270">
        <f t="shared" si="25"/>
        <v>3.9995840228833308</v>
      </c>
      <c r="Q270">
        <f t="shared" si="29"/>
        <v>-7.442351963593552E-6</v>
      </c>
      <c r="R270">
        <f t="shared" si="30"/>
        <v>1.5508177514744759E-4</v>
      </c>
      <c r="S270">
        <f t="shared" si="31"/>
        <v>1.5508177514522714E-4</v>
      </c>
    </row>
    <row r="271" spans="10:19" x14ac:dyDescent="0.3">
      <c r="J271">
        <v>269</v>
      </c>
      <c r="K271">
        <v>1</v>
      </c>
      <c r="L271">
        <f t="shared" si="27"/>
        <v>3.9997538935569756</v>
      </c>
      <c r="M271">
        <f t="shared" si="26"/>
        <v>3.9997609150841353</v>
      </c>
      <c r="N271">
        <f t="shared" si="28"/>
        <v>3.9995840228833286</v>
      </c>
      <c r="O271">
        <f t="shared" si="25"/>
        <v>3.9995840228833308</v>
      </c>
      <c r="Q271">
        <f t="shared" si="29"/>
        <v>-7.0215271597007245E-6</v>
      </c>
      <c r="R271">
        <f t="shared" si="30"/>
        <v>1.6987067364704345E-4</v>
      </c>
      <c r="S271">
        <f t="shared" si="31"/>
        <v>1.69870673644823E-4</v>
      </c>
    </row>
    <row r="272" spans="10:19" x14ac:dyDescent="0.3">
      <c r="J272">
        <v>270</v>
      </c>
      <c r="K272">
        <v>1</v>
      </c>
      <c r="L272">
        <f t="shared" si="27"/>
        <v>3.9997678461438619</v>
      </c>
      <c r="M272">
        <f t="shared" si="26"/>
        <v>3.9997744705657765</v>
      </c>
      <c r="N272">
        <f t="shared" si="28"/>
        <v>3.9995840228833286</v>
      </c>
      <c r="O272">
        <f t="shared" si="25"/>
        <v>3.9995840228833308</v>
      </c>
      <c r="Q272">
        <f t="shared" si="29"/>
        <v>-6.6244219145694672E-6</v>
      </c>
      <c r="R272">
        <f t="shared" si="30"/>
        <v>1.8382326053334452E-4</v>
      </c>
      <c r="S272">
        <f t="shared" si="31"/>
        <v>1.8382326053112408E-4</v>
      </c>
    </row>
    <row r="273" spans="10:19" x14ac:dyDescent="0.3">
      <c r="J273">
        <v>271</v>
      </c>
      <c r="K273">
        <v>1</v>
      </c>
      <c r="L273">
        <f t="shared" si="27"/>
        <v>3.9997810095633133</v>
      </c>
      <c r="M273">
        <f t="shared" si="26"/>
        <v>3.9997872592682722</v>
      </c>
      <c r="N273">
        <f t="shared" si="28"/>
        <v>3.999767846143861</v>
      </c>
      <c r="O273">
        <f t="shared" si="25"/>
        <v>3.9995840228833308</v>
      </c>
      <c r="Q273">
        <f t="shared" si="29"/>
        <v>-6.2497049588827736E-6</v>
      </c>
      <c r="R273">
        <f t="shared" si="30"/>
        <v>1.3163419452233427E-5</v>
      </c>
      <c r="S273">
        <f t="shared" si="31"/>
        <v>1.9698667998246933E-4</v>
      </c>
    </row>
    <row r="274" spans="10:19" x14ac:dyDescent="0.3">
      <c r="J274">
        <v>272</v>
      </c>
      <c r="K274">
        <v>1</v>
      </c>
      <c r="L274">
        <f t="shared" si="27"/>
        <v>3.9997934283130769</v>
      </c>
      <c r="M274">
        <f t="shared" si="26"/>
        <v>3.9997993244323937</v>
      </c>
      <c r="N274">
        <f t="shared" si="28"/>
        <v>3.999767846143861</v>
      </c>
      <c r="O274">
        <f t="shared" si="25"/>
        <v>3.9995840228833308</v>
      </c>
      <c r="Q274">
        <f t="shared" si="29"/>
        <v>-5.8961193167839099E-6</v>
      </c>
      <c r="R274">
        <f t="shared" si="30"/>
        <v>2.5582169215887518E-5</v>
      </c>
      <c r="S274">
        <f t="shared" si="31"/>
        <v>2.0940542974612342E-4</v>
      </c>
    </row>
    <row r="275" spans="10:19" x14ac:dyDescent="0.3">
      <c r="J275">
        <v>273</v>
      </c>
      <c r="K275">
        <v>1</v>
      </c>
      <c r="L275">
        <f t="shared" si="27"/>
        <v>3.99980514439219</v>
      </c>
      <c r="M275">
        <f t="shared" si="26"/>
        <v>3.9998107068703797</v>
      </c>
      <c r="N275">
        <f t="shared" si="28"/>
        <v>3.999767846143861</v>
      </c>
      <c r="O275">
        <f t="shared" ref="O275:O338" si="32">$F$2 * O255 - $F$3 * O235 + $F$4 * K215 + $F$5 * K195</f>
        <v>3.9995840228833308</v>
      </c>
      <c r="Q275">
        <f t="shared" si="29"/>
        <v>-5.5624781896135289E-6</v>
      </c>
      <c r="R275">
        <f t="shared" si="30"/>
        <v>3.7298248328987427E-5</v>
      </c>
      <c r="S275">
        <f t="shared" si="31"/>
        <v>2.2112150885922333E-4</v>
      </c>
    </row>
    <row r="276" spans="10:19" x14ac:dyDescent="0.3">
      <c r="J276">
        <v>274</v>
      </c>
      <c r="K276">
        <v>1</v>
      </c>
      <c r="L276">
        <f t="shared" si="27"/>
        <v>3.9998161974405173</v>
      </c>
      <c r="M276">
        <f t="shared" si="26"/>
        <v>3.9998214451015857</v>
      </c>
      <c r="N276">
        <f t="shared" si="28"/>
        <v>3.999767846143861</v>
      </c>
      <c r="O276">
        <f t="shared" si="32"/>
        <v>3.9995840228833308</v>
      </c>
      <c r="Q276">
        <f t="shared" si="29"/>
        <v>-5.2476610683527269E-6</v>
      </c>
      <c r="R276">
        <f t="shared" si="30"/>
        <v>4.8351296656257148E-5</v>
      </c>
      <c r="S276">
        <f t="shared" si="31"/>
        <v>2.3217455718649305E-4</v>
      </c>
    </row>
    <row r="277" spans="10:19" x14ac:dyDescent="0.3">
      <c r="J277">
        <v>275</v>
      </c>
      <c r="K277">
        <v>1</v>
      </c>
      <c r="L277">
        <f t="shared" si="27"/>
        <v>3.9998266248705523</v>
      </c>
      <c r="M277">
        <f t="shared" si="26"/>
        <v>3.9998315754806124</v>
      </c>
      <c r="N277">
        <f t="shared" si="28"/>
        <v>3.999767846143861</v>
      </c>
      <c r="O277">
        <f t="shared" si="32"/>
        <v>3.9995840228833308</v>
      </c>
      <c r="Q277">
        <f t="shared" si="29"/>
        <v>-4.9506100601170999E-6</v>
      </c>
      <c r="R277">
        <f t="shared" si="30"/>
        <v>5.8778726691244287E-5</v>
      </c>
      <c r="S277">
        <f t="shared" si="31"/>
        <v>2.4260198722148019E-4</v>
      </c>
    </row>
    <row r="278" spans="10:19" x14ac:dyDescent="0.3">
      <c r="J278">
        <v>276</v>
      </c>
      <c r="K278">
        <v>1</v>
      </c>
      <c r="L278">
        <f t="shared" si="27"/>
        <v>3.9998364619919116</v>
      </c>
      <c r="M278">
        <f t="shared" si="26"/>
        <v>3.9998411323183247</v>
      </c>
      <c r="N278">
        <f t="shared" si="28"/>
        <v>3.999767846143861</v>
      </c>
      <c r="O278">
        <f t="shared" si="32"/>
        <v>3.9995840228833308</v>
      </c>
      <c r="Q278">
        <f t="shared" si="29"/>
        <v>-4.6703264131586764E-6</v>
      </c>
      <c r="R278">
        <f t="shared" si="30"/>
        <v>6.8615848050512795E-5</v>
      </c>
      <c r="S278">
        <f t="shared" si="31"/>
        <v>2.5243910858074869E-4</v>
      </c>
    </row>
    <row r="279" spans="10:19" x14ac:dyDescent="0.3">
      <c r="J279">
        <v>277</v>
      </c>
      <c r="K279">
        <v>1</v>
      </c>
      <c r="L279">
        <f t="shared" si="27"/>
        <v>3.9998457421289206</v>
      </c>
      <c r="M279">
        <f t="shared" si="26"/>
        <v>3.9998501479961548</v>
      </c>
      <c r="N279">
        <f t="shared" si="28"/>
        <v>3.999767846143861</v>
      </c>
      <c r="O279">
        <f t="shared" si="32"/>
        <v>3.9995840228833308</v>
      </c>
      <c r="Q279">
        <f t="shared" si="29"/>
        <v>-4.4058672341584781E-6</v>
      </c>
      <c r="R279">
        <f t="shared" si="30"/>
        <v>7.789598505958395E-5</v>
      </c>
      <c r="S279">
        <f t="shared" si="31"/>
        <v>2.6171924558981985E-4</v>
      </c>
    </row>
    <row r="280" spans="10:19" x14ac:dyDescent="0.3">
      <c r="J280">
        <v>278</v>
      </c>
      <c r="K280">
        <v>1</v>
      </c>
      <c r="L280">
        <f t="shared" si="27"/>
        <v>3.9998544967316705</v>
      </c>
      <c r="M280">
        <f t="shared" si="26"/>
        <v>3.999858653074055</v>
      </c>
      <c r="N280">
        <f t="shared" si="28"/>
        <v>3.999767846143861</v>
      </c>
      <c r="O280">
        <f t="shared" si="32"/>
        <v>3.9995840228833308</v>
      </c>
      <c r="Q280">
        <f t="shared" si="29"/>
        <v>-4.1563423844870329E-6</v>
      </c>
      <c r="R280">
        <f t="shared" si="30"/>
        <v>8.6650587809433688E-5</v>
      </c>
      <c r="S280">
        <f t="shared" si="31"/>
        <v>2.7047384833966959E-4</v>
      </c>
    </row>
    <row r="281" spans="10:19" x14ac:dyDescent="0.3">
      <c r="J281">
        <v>279</v>
      </c>
      <c r="K281">
        <v>1</v>
      </c>
      <c r="L281">
        <f t="shared" si="27"/>
        <v>3.9998627554809034</v>
      </c>
      <c r="M281">
        <f t="shared" si="26"/>
        <v>3.9998666763924531</v>
      </c>
      <c r="N281">
        <f t="shared" si="28"/>
        <v>3.999767846143861</v>
      </c>
      <c r="O281">
        <f t="shared" si="32"/>
        <v>3.9995840228833308</v>
      </c>
      <c r="Q281">
        <f t="shared" si="29"/>
        <v>-3.920911549659678E-6</v>
      </c>
      <c r="R281">
        <f t="shared" si="30"/>
        <v>9.4909337042370367E-5</v>
      </c>
      <c r="S281">
        <f t="shared" si="31"/>
        <v>2.7873259757260627E-4</v>
      </c>
    </row>
    <row r="282" spans="10:19" x14ac:dyDescent="0.3">
      <c r="J282">
        <v>280</v>
      </c>
      <c r="K282">
        <v>1</v>
      </c>
      <c r="L282">
        <f t="shared" si="27"/>
        <v>3.9998705463870676</v>
      </c>
      <c r="M282">
        <f t="shared" si="26"/>
        <v>3.9998742451685398</v>
      </c>
      <c r="N282">
        <f t="shared" si="28"/>
        <v>3.999767846143861</v>
      </c>
      <c r="O282">
        <f t="shared" si="32"/>
        <v>3.999870546387069</v>
      </c>
      <c r="Q282">
        <f t="shared" si="29"/>
        <v>-3.6987814722166945E-6</v>
      </c>
      <c r="R282">
        <f t="shared" si="30"/>
        <v>1.0270024320657711E-4</v>
      </c>
      <c r="S282">
        <f t="shared" si="31"/>
        <v>0</v>
      </c>
    </row>
    <row r="283" spans="10:19" x14ac:dyDescent="0.3">
      <c r="J283">
        <v>281</v>
      </c>
      <c r="K283">
        <v>1</v>
      </c>
      <c r="L283">
        <f t="shared" si="27"/>
        <v>3.9998778958838699</v>
      </c>
      <c r="M283">
        <f t="shared" si="26"/>
        <v>3.9998813850871966</v>
      </c>
      <c r="N283">
        <f t="shared" si="28"/>
        <v>3.9998705463870667</v>
      </c>
      <c r="O283">
        <f t="shared" si="32"/>
        <v>3.999870546387069</v>
      </c>
      <c r="Q283">
        <f t="shared" si="29"/>
        <v>-3.4892033267119871E-6</v>
      </c>
      <c r="R283">
        <f t="shared" si="30"/>
        <v>7.3494968031440067E-6</v>
      </c>
      <c r="S283">
        <f t="shared" si="31"/>
        <v>7.3494968009235606E-6</v>
      </c>
    </row>
    <row r="284" spans="10:19" x14ac:dyDescent="0.3">
      <c r="J284">
        <v>282</v>
      </c>
      <c r="K284">
        <v>1</v>
      </c>
      <c r="L284">
        <f t="shared" si="27"/>
        <v>3.9998848289166098</v>
      </c>
      <c r="M284">
        <f t="shared" si="26"/>
        <v>3.9998881203868644</v>
      </c>
      <c r="N284">
        <f t="shared" si="28"/>
        <v>3.9998705463870667</v>
      </c>
      <c r="O284">
        <f t="shared" si="32"/>
        <v>3.999870546387069</v>
      </c>
      <c r="Q284">
        <f t="shared" si="29"/>
        <v>-3.2914702545738805E-6</v>
      </c>
      <c r="R284">
        <f t="shared" si="30"/>
        <v>1.4282529543052647E-5</v>
      </c>
      <c r="S284">
        <f t="shared" si="31"/>
        <v>1.4282529540832201E-5</v>
      </c>
    </row>
    <row r="285" spans="10:19" x14ac:dyDescent="0.3">
      <c r="J285">
        <v>283</v>
      </c>
      <c r="K285">
        <v>1</v>
      </c>
      <c r="L285">
        <f t="shared" si="27"/>
        <v>3.9998913690256095</v>
      </c>
      <c r="M285">
        <f t="shared" si="26"/>
        <v>3.9998944739406306</v>
      </c>
      <c r="N285">
        <f t="shared" si="28"/>
        <v>3.9998705463870667</v>
      </c>
      <c r="O285">
        <f t="shared" si="32"/>
        <v>3.999870546387069</v>
      </c>
      <c r="Q285">
        <f t="shared" si="29"/>
        <v>-3.1049150210904486E-6</v>
      </c>
      <c r="R285">
        <f t="shared" si="30"/>
        <v>2.0822638542750127E-5</v>
      </c>
      <c r="S285">
        <f t="shared" si="31"/>
        <v>2.0822638540529681E-5</v>
      </c>
    </row>
    <row r="286" spans="10:19" x14ac:dyDescent="0.3">
      <c r="J286">
        <v>284</v>
      </c>
      <c r="K286">
        <v>1</v>
      </c>
      <c r="L286">
        <f t="shared" si="27"/>
        <v>3.9998975384249866</v>
      </c>
      <c r="M286">
        <f t="shared" si="26"/>
        <v>3.9999004673327967</v>
      </c>
      <c r="N286">
        <f t="shared" si="28"/>
        <v>3.9998705463870667</v>
      </c>
      <c r="O286">
        <f t="shared" si="32"/>
        <v>3.999870546387069</v>
      </c>
      <c r="Q286">
        <f t="shared" si="29"/>
        <v>-2.9289078100624977E-6</v>
      </c>
      <c r="R286">
        <f t="shared" si="30"/>
        <v>2.6992037919892908E-5</v>
      </c>
      <c r="S286">
        <f t="shared" si="31"/>
        <v>2.6992037917672462E-5</v>
      </c>
    </row>
    <row r="287" spans="10:19" x14ac:dyDescent="0.3">
      <c r="J287">
        <v>285</v>
      </c>
      <c r="K287">
        <v>1</v>
      </c>
      <c r="L287">
        <f t="shared" si="27"/>
        <v>3.9999033580770416</v>
      </c>
      <c r="M287">
        <f t="shared" si="26"/>
        <v>3.9999061209311795</v>
      </c>
      <c r="N287">
        <f t="shared" si="28"/>
        <v>3.9998705463870667</v>
      </c>
      <c r="O287">
        <f t="shared" si="32"/>
        <v>3.999870546387069</v>
      </c>
      <c r="Q287">
        <f t="shared" si="29"/>
        <v>-2.7628541379165483E-6</v>
      </c>
      <c r="R287">
        <f t="shared" si="30"/>
        <v>3.2811689974820979E-5</v>
      </c>
      <c r="S287">
        <f t="shared" si="31"/>
        <v>3.2811689972600533E-5</v>
      </c>
    </row>
    <row r="288" spans="10:19" x14ac:dyDescent="0.3">
      <c r="J288">
        <v>286</v>
      </c>
      <c r="K288">
        <v>1</v>
      </c>
      <c r="L288">
        <f t="shared" si="27"/>
        <v>3.9999088477624944</v>
      </c>
      <c r="M288">
        <f t="shared" si="26"/>
        <v>3.9999114539553791</v>
      </c>
      <c r="N288">
        <f t="shared" si="28"/>
        <v>3.9998705463870667</v>
      </c>
      <c r="O288">
        <f t="shared" si="32"/>
        <v>3.999870546387069</v>
      </c>
      <c r="Q288">
        <f t="shared" si="29"/>
        <v>-2.6061928846132787E-6</v>
      </c>
      <c r="R288">
        <f t="shared" si="30"/>
        <v>3.8301375427707285E-5</v>
      </c>
      <c r="S288">
        <f t="shared" si="31"/>
        <v>3.8301375425486839E-5</v>
      </c>
    </row>
    <row r="289" spans="10:19" x14ac:dyDescent="0.3">
      <c r="J289">
        <v>287</v>
      </c>
      <c r="K289">
        <v>1</v>
      </c>
      <c r="L289">
        <f t="shared" si="27"/>
        <v>3.9999140261468091</v>
      </c>
      <c r="M289">
        <f t="shared" si="26"/>
        <v>3.9999164845412363</v>
      </c>
      <c r="N289">
        <f t="shared" si="28"/>
        <v>3.9998705463870667</v>
      </c>
      <c r="O289">
        <f t="shared" si="32"/>
        <v>3.999870546387069</v>
      </c>
      <c r="Q289">
        <f t="shared" si="29"/>
        <v>-2.4583944271405755E-6</v>
      </c>
      <c r="R289">
        <f t="shared" si="30"/>
        <v>4.3479759742393043E-5</v>
      </c>
      <c r="S289">
        <f t="shared" si="31"/>
        <v>4.3479759740172597E-5</v>
      </c>
    </row>
    <row r="290" spans="10:19" x14ac:dyDescent="0.3">
      <c r="J290">
        <v>288</v>
      </c>
      <c r="K290">
        <v>1</v>
      </c>
      <c r="L290">
        <f t="shared" si="27"/>
        <v>3.9999189108428079</v>
      </c>
      <c r="M290">
        <f t="shared" si="26"/>
        <v>3.9999212298016942</v>
      </c>
      <c r="N290">
        <f t="shared" si="28"/>
        <v>3.9998705463870667</v>
      </c>
      <c r="O290">
        <f t="shared" si="32"/>
        <v>3.999870546387069</v>
      </c>
      <c r="Q290">
        <f t="shared" si="29"/>
        <v>-2.3189588862493338E-6</v>
      </c>
      <c r="R290">
        <f t="shared" si="30"/>
        <v>4.8364455741189971E-5</v>
      </c>
      <c r="S290">
        <f t="shared" si="31"/>
        <v>4.8364455738969525E-5</v>
      </c>
    </row>
    <row r="291" spans="10:19" x14ac:dyDescent="0.3">
      <c r="J291">
        <v>289</v>
      </c>
      <c r="K291">
        <v>1</v>
      </c>
      <c r="L291">
        <f t="shared" si="27"/>
        <v>3.9999235184697972</v>
      </c>
      <c r="M291">
        <f t="shared" si="26"/>
        <v>3.9999257058842601</v>
      </c>
      <c r="N291">
        <f t="shared" si="28"/>
        <v>3.9998705463870667</v>
      </c>
      <c r="O291">
        <f t="shared" si="32"/>
        <v>3.999870546387069</v>
      </c>
      <c r="Q291">
        <f t="shared" si="29"/>
        <v>-2.1874144628952763E-6</v>
      </c>
      <c r="R291">
        <f t="shared" si="30"/>
        <v>5.2972082730473602E-5</v>
      </c>
      <c r="S291">
        <f t="shared" si="31"/>
        <v>5.2972082728253156E-5</v>
      </c>
    </row>
    <row r="292" spans="10:19" x14ac:dyDescent="0.3">
      <c r="J292">
        <v>290</v>
      </c>
      <c r="K292">
        <v>1</v>
      </c>
      <c r="L292">
        <f t="shared" si="27"/>
        <v>3.9999278647093854</v>
      </c>
      <c r="M292">
        <f t="shared" si="26"/>
        <v>3.9999299280252569</v>
      </c>
      <c r="N292">
        <f t="shared" si="28"/>
        <v>3.9998705463870667</v>
      </c>
      <c r="O292">
        <f t="shared" si="32"/>
        <v>3.999870546387069</v>
      </c>
      <c r="Q292">
        <f t="shared" si="29"/>
        <v>-2.0633158714922217E-6</v>
      </c>
      <c r="R292">
        <f t="shared" si="30"/>
        <v>5.7318322318700154E-5</v>
      </c>
      <c r="S292">
        <f t="shared" si="31"/>
        <v>5.7318322316479708E-5</v>
      </c>
    </row>
    <row r="293" spans="10:19" x14ac:dyDescent="0.3">
      <c r="J293">
        <v>291</v>
      </c>
      <c r="K293">
        <v>1</v>
      </c>
      <c r="L293">
        <f t="shared" si="27"/>
        <v>3.9999319643581859</v>
      </c>
      <c r="M293">
        <f t="shared" si="26"/>
        <v>3.9999339106010412</v>
      </c>
      <c r="N293">
        <f t="shared" si="28"/>
        <v>3.9999278647093846</v>
      </c>
      <c r="O293">
        <f t="shared" si="32"/>
        <v>3.999870546387069</v>
      </c>
      <c r="Q293">
        <f t="shared" si="29"/>
        <v>-1.9462428553218558E-6</v>
      </c>
      <c r="R293">
        <f t="shared" si="30"/>
        <v>4.0996488013256283E-6</v>
      </c>
      <c r="S293">
        <f t="shared" si="31"/>
        <v>6.1417971116917158E-5</v>
      </c>
    </row>
    <row r="294" spans="10:19" x14ac:dyDescent="0.3">
      <c r="J294">
        <v>292</v>
      </c>
      <c r="K294">
        <v>1</v>
      </c>
      <c r="L294">
        <f t="shared" si="27"/>
        <v>3.9999358313775688</v>
      </c>
      <c r="M294">
        <f t="shared" si="26"/>
        <v>3.9999376671763565</v>
      </c>
      <c r="N294">
        <f t="shared" si="28"/>
        <v>3.9999278647093846</v>
      </c>
      <c r="O294">
        <f t="shared" si="32"/>
        <v>3.999870546387069</v>
      </c>
      <c r="Q294">
        <f t="shared" si="29"/>
        <v>-1.8357987876527204E-6</v>
      </c>
      <c r="R294">
        <f t="shared" si="30"/>
        <v>7.9666681842560649E-6</v>
      </c>
      <c r="S294">
        <f t="shared" si="31"/>
        <v>6.5284990499847595E-5</v>
      </c>
    </row>
    <row r="295" spans="10:19" x14ac:dyDescent="0.3">
      <c r="J295">
        <v>293</v>
      </c>
      <c r="K295">
        <v>1</v>
      </c>
      <c r="L295">
        <f t="shared" si="27"/>
        <v>3.9999394789406337</v>
      </c>
      <c r="M295">
        <f t="shared" si="26"/>
        <v>3.9999412105499847</v>
      </c>
      <c r="N295">
        <f t="shared" si="28"/>
        <v>3.9999278647093846</v>
      </c>
      <c r="O295">
        <f t="shared" si="32"/>
        <v>3.999870546387069</v>
      </c>
      <c r="Q295">
        <f t="shared" si="29"/>
        <v>-1.7316093510189035E-6</v>
      </c>
      <c r="R295">
        <f t="shared" si="30"/>
        <v>1.1614231249179596E-5</v>
      </c>
      <c r="S295">
        <f t="shared" si="31"/>
        <v>6.8932553564771126E-5</v>
      </c>
    </row>
    <row r="296" spans="10:19" x14ac:dyDescent="0.3">
      <c r="J296">
        <v>294</v>
      </c>
      <c r="K296">
        <v>1</v>
      </c>
      <c r="L296">
        <f t="shared" si="27"/>
        <v>3.9999429194765526</v>
      </c>
      <c r="M296">
        <f t="shared" si="26"/>
        <v>3.9999445527978392</v>
      </c>
      <c r="N296">
        <f t="shared" si="28"/>
        <v>3.9999278647093846</v>
      </c>
      <c r="O296">
        <f t="shared" si="32"/>
        <v>3.999870546387069</v>
      </c>
      <c r="Q296">
        <f t="shared" si="29"/>
        <v>-1.6333212866648239E-6</v>
      </c>
      <c r="R296">
        <f t="shared" si="30"/>
        <v>1.505476716801013E-5</v>
      </c>
      <c r="S296">
        <f t="shared" si="31"/>
        <v>7.237308948360166E-5</v>
      </c>
    </row>
    <row r="297" spans="10:19" x14ac:dyDescent="0.3">
      <c r="J297">
        <v>295</v>
      </c>
      <c r="K297">
        <v>1</v>
      </c>
      <c r="L297">
        <f t="shared" si="27"/>
        <v>3.999946164712429</v>
      </c>
      <c r="M297">
        <f t="shared" si="26"/>
        <v>3.9999477053136472</v>
      </c>
      <c r="N297">
        <f t="shared" si="28"/>
        <v>3.9999278647093846</v>
      </c>
      <c r="O297">
        <f t="shared" si="32"/>
        <v>3.999870546387069</v>
      </c>
      <c r="Q297">
        <f t="shared" si="29"/>
        <v>-1.540601218152915E-6</v>
      </c>
      <c r="R297">
        <f t="shared" si="30"/>
        <v>1.8300003044480206E-5</v>
      </c>
      <c r="S297">
        <f t="shared" si="31"/>
        <v>7.5618325360071736E-5</v>
      </c>
    </row>
    <row r="298" spans="10:19" x14ac:dyDescent="0.3">
      <c r="J298">
        <v>296</v>
      </c>
      <c r="K298">
        <v>1</v>
      </c>
      <c r="L298">
        <f t="shared" si="27"/>
        <v>3.9999492257128182</v>
      </c>
      <c r="M298">
        <f t="shared" si="26"/>
        <v>3.9999506788473522</v>
      </c>
      <c r="N298">
        <f t="shared" si="28"/>
        <v>3.9999278647093846</v>
      </c>
      <c r="O298">
        <f t="shared" si="32"/>
        <v>3.999870546387069</v>
      </c>
      <c r="Q298">
        <f t="shared" si="29"/>
        <v>-1.453134534035172E-6</v>
      </c>
      <c r="R298">
        <f t="shared" si="30"/>
        <v>2.136100343363978E-5</v>
      </c>
      <c r="S298">
        <f t="shared" si="31"/>
        <v>7.867932574923131E-5</v>
      </c>
    </row>
    <row r="299" spans="10:19" x14ac:dyDescent="0.3">
      <c r="J299">
        <v>297</v>
      </c>
      <c r="K299">
        <v>1</v>
      </c>
      <c r="L299">
        <f t="shared" si="27"/>
        <v>3.9999521129170255</v>
      </c>
      <c r="M299">
        <f t="shared" ref="M299:M362" si="33">$D$2*M298-$D$3*M297 + $D$4*K259+$D$5*K260</f>
        <v>3.9999534835413662</v>
      </c>
      <c r="N299">
        <f t="shared" si="28"/>
        <v>3.9999278647093846</v>
      </c>
      <c r="O299">
        <f t="shared" si="32"/>
        <v>3.999870546387069</v>
      </c>
      <c r="Q299">
        <f t="shared" si="29"/>
        <v>-1.3706243406907959E-6</v>
      </c>
      <c r="R299">
        <f t="shared" si="30"/>
        <v>2.4248207640908959E-5</v>
      </c>
      <c r="S299">
        <f t="shared" si="31"/>
        <v>8.1566529956500489E-5</v>
      </c>
    </row>
    <row r="300" spans="10:19" x14ac:dyDescent="0.3">
      <c r="J300">
        <v>298</v>
      </c>
      <c r="K300">
        <v>1</v>
      </c>
      <c r="L300">
        <f t="shared" si="27"/>
        <v>3.9999548361743216</v>
      </c>
      <c r="M300">
        <f t="shared" si="33"/>
        <v>3.9999561289647882</v>
      </c>
      <c r="N300">
        <f t="shared" si="28"/>
        <v>3.9999278647093846</v>
      </c>
      <c r="O300">
        <f t="shared" si="32"/>
        <v>3.999870546387069</v>
      </c>
      <c r="Q300">
        <f t="shared" si="29"/>
        <v>-1.2927904666781842E-6</v>
      </c>
      <c r="R300">
        <f t="shared" si="30"/>
        <v>2.6971464937020073E-5</v>
      </c>
      <c r="S300">
        <f t="shared" si="31"/>
        <v>8.4289787252611603E-5</v>
      </c>
    </row>
    <row r="301" spans="10:19" x14ac:dyDescent="0.3">
      <c r="J301">
        <v>299</v>
      </c>
      <c r="K301">
        <v>1</v>
      </c>
      <c r="L301">
        <f t="shared" si="27"/>
        <v>3.9999574047771813</v>
      </c>
      <c r="M301">
        <f t="shared" si="33"/>
        <v>3.9999586241457048</v>
      </c>
      <c r="N301">
        <f t="shared" si="28"/>
        <v>3.9999278647093846</v>
      </c>
      <c r="O301">
        <f t="shared" si="32"/>
        <v>3.999870546387069</v>
      </c>
      <c r="Q301">
        <f t="shared" si="29"/>
        <v>-1.2193685234862528E-6</v>
      </c>
      <c r="R301">
        <f t="shared" si="30"/>
        <v>2.954006779676277E-5</v>
      </c>
      <c r="S301">
        <f t="shared" si="31"/>
        <v>8.68583901123543E-5</v>
      </c>
    </row>
    <row r="302" spans="10:19" x14ac:dyDescent="0.3">
      <c r="J302">
        <v>300</v>
      </c>
      <c r="K302">
        <v>1</v>
      </c>
      <c r="L302">
        <f t="shared" si="27"/>
        <v>3.9999598274926553</v>
      </c>
      <c r="M302">
        <f t="shared" si="33"/>
        <v>3.9999609776016802</v>
      </c>
      <c r="N302">
        <f t="shared" si="28"/>
        <v>3.9999278647093846</v>
      </c>
      <c r="O302">
        <f t="shared" si="32"/>
        <v>3.9999598274926562</v>
      </c>
      <c r="Q302">
        <f t="shared" si="29"/>
        <v>-1.1501090249055324E-6</v>
      </c>
      <c r="R302">
        <f t="shared" si="30"/>
        <v>3.1962783270778061E-5</v>
      </c>
      <c r="S302">
        <f t="shared" si="31"/>
        <v>0</v>
      </c>
    </row>
    <row r="303" spans="10:19" x14ac:dyDescent="0.3">
      <c r="J303">
        <v>301</v>
      </c>
      <c r="K303">
        <v>1</v>
      </c>
      <c r="L303">
        <f t="shared" si="27"/>
        <v>3.9999621125919846</v>
      </c>
      <c r="M303">
        <f t="shared" si="33"/>
        <v>3.9999631973685323</v>
      </c>
      <c r="N303">
        <f t="shared" si="28"/>
        <v>3.999959827492654</v>
      </c>
      <c r="O303">
        <f t="shared" si="32"/>
        <v>3.9999598274926562</v>
      </c>
      <c r="Q303">
        <f t="shared" si="29"/>
        <v>-1.0847765476995619E-6</v>
      </c>
      <c r="R303">
        <f t="shared" si="30"/>
        <v>2.2850993306455791E-6</v>
      </c>
      <c r="S303">
        <f t="shared" si="31"/>
        <v>2.2850993284251331E-6</v>
      </c>
    </row>
    <row r="304" spans="10:19" x14ac:dyDescent="0.3">
      <c r="J304">
        <v>302</v>
      </c>
      <c r="K304">
        <v>1</v>
      </c>
      <c r="L304">
        <f t="shared" si="27"/>
        <v>3.9999642678785552</v>
      </c>
      <c r="M304">
        <f t="shared" si="33"/>
        <v>3.9999652910274954</v>
      </c>
      <c r="N304">
        <f t="shared" si="28"/>
        <v>3.999959827492654</v>
      </c>
      <c r="O304">
        <f t="shared" si="32"/>
        <v>3.9999598274926562</v>
      </c>
      <c r="Q304">
        <f t="shared" si="29"/>
        <v>-1.0231489402379168E-6</v>
      </c>
      <c r="R304">
        <f t="shared" si="30"/>
        <v>4.4403859011943325E-6</v>
      </c>
      <c r="S304">
        <f t="shared" si="31"/>
        <v>4.4403858989738865E-6</v>
      </c>
    </row>
    <row r="305" spans="10:19" x14ac:dyDescent="0.3">
      <c r="J305">
        <v>303</v>
      </c>
      <c r="K305">
        <v>1</v>
      </c>
      <c r="L305">
        <f t="shared" si="27"/>
        <v>3.9999663007142785</v>
      </c>
      <c r="M305">
        <f t="shared" si="33"/>
        <v>3.9999672657308594</v>
      </c>
      <c r="N305">
        <f t="shared" si="28"/>
        <v>3.999959827492654</v>
      </c>
      <c r="O305">
        <f t="shared" si="32"/>
        <v>3.9999598274926562</v>
      </c>
      <c r="Q305">
        <f t="shared" si="29"/>
        <v>-9.6501658086722841E-7</v>
      </c>
      <c r="R305">
        <f t="shared" si="30"/>
        <v>6.4732216245033669E-6</v>
      </c>
      <c r="S305">
        <f t="shared" si="31"/>
        <v>6.4732216222829209E-6</v>
      </c>
    </row>
    <row r="306" spans="10:19" x14ac:dyDescent="0.3">
      <c r="J306">
        <v>304</v>
      </c>
      <c r="K306">
        <v>1</v>
      </c>
      <c r="L306">
        <f t="shared" si="27"/>
        <v>3.99996821804449</v>
      </c>
      <c r="M306">
        <f t="shared" si="33"/>
        <v>3.9999691282261653</v>
      </c>
      <c r="N306">
        <f t="shared" si="28"/>
        <v>3.999959827492654</v>
      </c>
      <c r="O306">
        <f t="shared" si="32"/>
        <v>3.9999598274926562</v>
      </c>
      <c r="Q306">
        <f t="shared" si="29"/>
        <v>-9.1018167536205397E-7</v>
      </c>
      <c r="R306">
        <f t="shared" si="30"/>
        <v>8.3905518359905784E-6</v>
      </c>
      <c r="S306">
        <f t="shared" si="31"/>
        <v>8.3905518337701324E-6</v>
      </c>
    </row>
    <row r="307" spans="10:19" x14ac:dyDescent="0.3">
      <c r="J307">
        <v>305</v>
      </c>
      <c r="K307">
        <v>1</v>
      </c>
      <c r="L307">
        <f t="shared" si="27"/>
        <v>3.9999700264214564</v>
      </c>
      <c r="M307">
        <f t="shared" si="33"/>
        <v>3.9999708848790436</v>
      </c>
      <c r="N307">
        <f t="shared" si="28"/>
        <v>3.999959827492654</v>
      </c>
      <c r="O307">
        <f t="shared" si="32"/>
        <v>3.9999598274926562</v>
      </c>
      <c r="Q307">
        <f t="shared" si="29"/>
        <v>-8.584575872383482E-7</v>
      </c>
      <c r="R307">
        <f t="shared" si="30"/>
        <v>1.0198928802385154E-5</v>
      </c>
      <c r="S307">
        <f t="shared" si="31"/>
        <v>1.0198928800164708E-5</v>
      </c>
    </row>
    <row r="308" spans="10:19" x14ac:dyDescent="0.3">
      <c r="J308">
        <v>306</v>
      </c>
      <c r="K308">
        <v>1</v>
      </c>
      <c r="L308">
        <f t="shared" si="27"/>
        <v>3.9999717320265549</v>
      </c>
      <c r="M308">
        <f t="shared" si="33"/>
        <v>3.9999725416947682</v>
      </c>
      <c r="N308">
        <f t="shared" si="28"/>
        <v>3.999959827492654</v>
      </c>
      <c r="O308">
        <f t="shared" si="32"/>
        <v>3.9999598274926562</v>
      </c>
      <c r="Q308">
        <f t="shared" si="29"/>
        <v>-8.0966821336403427E-7</v>
      </c>
      <c r="R308">
        <f t="shared" si="30"/>
        <v>1.1904533900874981E-5</v>
      </c>
      <c r="S308">
        <f t="shared" si="31"/>
        <v>1.1904533898654535E-5</v>
      </c>
    </row>
    <row r="309" spans="10:19" x14ac:dyDescent="0.3">
      <c r="J309">
        <v>307</v>
      </c>
      <c r="K309">
        <v>1</v>
      </c>
      <c r="L309">
        <f t="shared" ref="L309:L372" si="34">$B$2*K309*(1-EXP(-(J309-$J$42-$B$3)/$B$4)*$B$4/($B$4-$B$5)+EXP(-(J309-$J$42-$B$3)/$B$5)*$B$5/($B$4-$B$5))</f>
        <v>3.9999733406912066</v>
      </c>
      <c r="M309">
        <f t="shared" si="33"/>
        <v>3.9999741043385986</v>
      </c>
      <c r="N309">
        <f t="shared" si="28"/>
        <v>3.999959827492654</v>
      </c>
      <c r="O309">
        <f t="shared" si="32"/>
        <v>3.9999598274926562</v>
      </c>
      <c r="Q309">
        <f t="shared" si="29"/>
        <v>-7.6364739198808707E-7</v>
      </c>
      <c r="R309">
        <f t="shared" si="30"/>
        <v>1.3513198552583816E-5</v>
      </c>
      <c r="S309">
        <f t="shared" si="31"/>
        <v>1.351319855036337E-5</v>
      </c>
    </row>
    <row r="310" spans="10:19" x14ac:dyDescent="0.3">
      <c r="J310">
        <v>308</v>
      </c>
      <c r="K310">
        <v>1</v>
      </c>
      <c r="L310">
        <f t="shared" si="34"/>
        <v>3.9999748579166341</v>
      </c>
      <c r="M310">
        <f t="shared" si="33"/>
        <v>3.9999755781549795</v>
      </c>
      <c r="N310">
        <f t="shared" si="28"/>
        <v>3.999959827492654</v>
      </c>
      <c r="O310">
        <f t="shared" si="32"/>
        <v>3.9999598274926562</v>
      </c>
      <c r="Q310">
        <f t="shared" si="29"/>
        <v>-7.2023834540857479E-7</v>
      </c>
      <c r="R310">
        <f t="shared" si="30"/>
        <v>1.5030423980100238E-5</v>
      </c>
      <c r="S310">
        <f t="shared" si="31"/>
        <v>1.5030423977879792E-5</v>
      </c>
    </row>
    <row r="311" spans="10:19" x14ac:dyDescent="0.3">
      <c r="J311">
        <v>309</v>
      </c>
      <c r="K311">
        <v>1</v>
      </c>
      <c r="L311">
        <f t="shared" si="34"/>
        <v>3.9999762888925097</v>
      </c>
      <c r="M311">
        <f t="shared" si="33"/>
        <v>3.9999769681856567</v>
      </c>
      <c r="N311">
        <f t="shared" si="28"/>
        <v>3.999959827492654</v>
      </c>
      <c r="O311">
        <f t="shared" si="32"/>
        <v>3.9999598274926562</v>
      </c>
      <c r="Q311">
        <f t="shared" si="29"/>
        <v>-6.7929314706560717E-7</v>
      </c>
      <c r="R311">
        <f t="shared" si="30"/>
        <v>1.6461399855671743E-5</v>
      </c>
      <c r="S311">
        <f t="shared" si="31"/>
        <v>1.6461399853451297E-5</v>
      </c>
    </row>
    <row r="312" spans="10:19" x14ac:dyDescent="0.3">
      <c r="J312">
        <v>310</v>
      </c>
      <c r="K312">
        <v>1</v>
      </c>
      <c r="L312">
        <f t="shared" si="34"/>
        <v>3.9999776385145496</v>
      </c>
      <c r="M312">
        <f t="shared" si="33"/>
        <v>3.9999782791867777</v>
      </c>
      <c r="N312">
        <f t="shared" si="28"/>
        <v>3.999959827492654</v>
      </c>
      <c r="O312">
        <f t="shared" si="32"/>
        <v>3.9999598274926562</v>
      </c>
      <c r="Q312">
        <f t="shared" si="29"/>
        <v>-6.4067222815822333E-7</v>
      </c>
      <c r="R312">
        <f t="shared" si="30"/>
        <v>1.7811021895575152E-5</v>
      </c>
      <c r="S312">
        <f t="shared" si="31"/>
        <v>1.7811021893354706E-5</v>
      </c>
    </row>
    <row r="313" spans="10:19" x14ac:dyDescent="0.3">
      <c r="J313">
        <v>311</v>
      </c>
      <c r="K313">
        <v>1</v>
      </c>
      <c r="L313">
        <f t="shared" si="34"/>
        <v>3.9999789114011217</v>
      </c>
      <c r="M313">
        <f t="shared" si="33"/>
        <v>3.9999795156450273</v>
      </c>
      <c r="N313">
        <f t="shared" si="28"/>
        <v>3.9999776385145482</v>
      </c>
      <c r="O313">
        <f t="shared" si="32"/>
        <v>3.9999598274926562</v>
      </c>
      <c r="Q313">
        <f t="shared" si="29"/>
        <v>-6.0424390557756169E-7</v>
      </c>
      <c r="R313">
        <f t="shared" si="30"/>
        <v>1.2728865734779049E-6</v>
      </c>
      <c r="S313">
        <f t="shared" si="31"/>
        <v>1.9083908465500343E-5</v>
      </c>
    </row>
    <row r="314" spans="10:19" x14ac:dyDescent="0.3">
      <c r="J314">
        <v>312</v>
      </c>
      <c r="K314">
        <v>1</v>
      </c>
      <c r="L314">
        <f t="shared" si="34"/>
        <v>3.9999801119089176</v>
      </c>
      <c r="M314">
        <f t="shared" si="33"/>
        <v>3.999980681792854</v>
      </c>
      <c r="N314">
        <f t="shared" si="28"/>
        <v>3.9999776385145482</v>
      </c>
      <c r="O314">
        <f t="shared" si="32"/>
        <v>3.9999598274926562</v>
      </c>
      <c r="Q314">
        <f t="shared" si="29"/>
        <v>-5.6988393648538249E-7</v>
      </c>
      <c r="R314">
        <f t="shared" si="30"/>
        <v>2.4733943693178162E-6</v>
      </c>
      <c r="S314">
        <f t="shared" si="31"/>
        <v>2.0284416261340255E-5</v>
      </c>
    </row>
    <row r="315" spans="10:19" x14ac:dyDescent="0.3">
      <c r="J315">
        <v>313</v>
      </c>
      <c r="K315">
        <v>1</v>
      </c>
      <c r="L315">
        <f t="shared" si="34"/>
        <v>3.9999812441477407</v>
      </c>
      <c r="M315">
        <f t="shared" si="33"/>
        <v>3.9999817816228425</v>
      </c>
      <c r="N315">
        <f t="shared" si="28"/>
        <v>3.9999776385145482</v>
      </c>
      <c r="O315">
        <f t="shared" si="32"/>
        <v>3.9999598274926562</v>
      </c>
      <c r="Q315">
        <f t="shared" si="29"/>
        <v>-5.3747510175838897E-7</v>
      </c>
      <c r="R315">
        <f t="shared" si="30"/>
        <v>3.6056331924605445E-6</v>
      </c>
      <c r="S315">
        <f t="shared" si="31"/>
        <v>2.1416655084482983E-5</v>
      </c>
    </row>
    <row r="316" spans="10:19" x14ac:dyDescent="0.3">
      <c r="J316">
        <v>314</v>
      </c>
      <c r="K316">
        <v>1</v>
      </c>
      <c r="L316">
        <f t="shared" si="34"/>
        <v>3.9999823119944633</v>
      </c>
      <c r="M316">
        <f t="shared" si="33"/>
        <v>3.9999828189012723</v>
      </c>
      <c r="N316">
        <f t="shared" si="28"/>
        <v>3.9999776385145482</v>
      </c>
      <c r="O316">
        <f t="shared" si="32"/>
        <v>3.9999598274926562</v>
      </c>
      <c r="Q316">
        <f t="shared" si="29"/>
        <v>-5.0690680897247375E-7</v>
      </c>
      <c r="R316">
        <f t="shared" si="30"/>
        <v>4.6734799150627282E-6</v>
      </c>
      <c r="S316">
        <f t="shared" si="31"/>
        <v>2.2484501807085167E-5</v>
      </c>
    </row>
    <row r="317" spans="10:19" x14ac:dyDescent="0.3">
      <c r="J317">
        <v>315</v>
      </c>
      <c r="K317">
        <v>1</v>
      </c>
      <c r="L317">
        <f t="shared" si="34"/>
        <v>3.9999833191061955</v>
      </c>
      <c r="M317">
        <f t="shared" si="33"/>
        <v>3.9999837971809145</v>
      </c>
      <c r="N317">
        <f t="shared" si="28"/>
        <v>3.9999776385145482</v>
      </c>
      <c r="O317">
        <f t="shared" si="32"/>
        <v>3.9999598274926562</v>
      </c>
      <c r="Q317">
        <f t="shared" si="29"/>
        <v>-4.7807471892369335E-7</v>
      </c>
      <c r="R317">
        <f t="shared" si="30"/>
        <v>5.6805916472946194E-6</v>
      </c>
      <c r="S317">
        <f t="shared" si="31"/>
        <v>2.3491613539317058E-5</v>
      </c>
    </row>
    <row r="318" spans="10:19" x14ac:dyDescent="0.3">
      <c r="J318">
        <v>316</v>
      </c>
      <c r="K318">
        <v>1</v>
      </c>
      <c r="L318">
        <f t="shared" si="34"/>
        <v>3.9999842689327143</v>
      </c>
      <c r="M318">
        <f t="shared" si="33"/>
        <v>3.999984719813106</v>
      </c>
      <c r="N318">
        <f t="shared" si="28"/>
        <v>3.9999776385145482</v>
      </c>
      <c r="O318">
        <f t="shared" si="32"/>
        <v>3.9999598274926562</v>
      </c>
      <c r="Q318">
        <f t="shared" si="29"/>
        <v>-4.5088039168916794E-7</v>
      </c>
      <c r="R318">
        <f t="shared" si="30"/>
        <v>6.6304181660647998E-6</v>
      </c>
      <c r="S318">
        <f t="shared" si="31"/>
        <v>2.4441440058087238E-5</v>
      </c>
    </row>
    <row r="319" spans="10:19" x14ac:dyDescent="0.3">
      <c r="J319">
        <v>317</v>
      </c>
      <c r="K319">
        <v>1</v>
      </c>
      <c r="L319">
        <f t="shared" si="34"/>
        <v>3.9999851647281877</v>
      </c>
      <c r="M319">
        <f t="shared" si="33"/>
        <v>3.9999855899591465</v>
      </c>
      <c r="N319">
        <f t="shared" si="28"/>
        <v>3.9999776385145482</v>
      </c>
      <c r="O319">
        <f t="shared" si="32"/>
        <v>3.9999598274926562</v>
      </c>
      <c r="Q319">
        <f t="shared" si="29"/>
        <v>-4.2523095888924445E-7</v>
      </c>
      <c r="R319">
        <f t="shared" si="30"/>
        <v>7.5262136394194101E-6</v>
      </c>
      <c r="S319">
        <f t="shared" si="31"/>
        <v>2.5337235531441848E-5</v>
      </c>
    </row>
    <row r="320" spans="10:19" x14ac:dyDescent="0.3">
      <c r="J320">
        <v>318</v>
      </c>
      <c r="K320">
        <v>1</v>
      </c>
      <c r="L320">
        <f t="shared" si="34"/>
        <v>3.9999860095622433</v>
      </c>
      <c r="M320">
        <f t="shared" si="33"/>
        <v>3.9999864106010476</v>
      </c>
      <c r="N320">
        <f t="shared" ref="N320:N383" si="35">$E$2 *N310 - $E$3 *N300 + $E$4 *K269 + $E$5 * K259</f>
        <v>3.9999776385145482</v>
      </c>
      <c r="O320">
        <f t="shared" si="32"/>
        <v>3.9999598274926562</v>
      </c>
      <c r="Q320">
        <f t="shared" si="29"/>
        <v>-4.0103880438735473E-7</v>
      </c>
      <c r="R320">
        <f t="shared" si="30"/>
        <v>8.3710476950216162E-6</v>
      </c>
      <c r="S320">
        <f t="shared" si="31"/>
        <v>2.6182069587044055E-5</v>
      </c>
    </row>
    <row r="321" spans="10:19" x14ac:dyDescent="0.3">
      <c r="J321">
        <v>319</v>
      </c>
      <c r="K321">
        <v>1</v>
      </c>
      <c r="L321">
        <f t="shared" si="34"/>
        <v>3.9999868063304094</v>
      </c>
      <c r="M321">
        <f t="shared" si="33"/>
        <v>3.9999871845516792</v>
      </c>
      <c r="N321">
        <f t="shared" si="35"/>
        <v>3.9999776385145482</v>
      </c>
      <c r="O321">
        <f t="shared" si="32"/>
        <v>3.9999598274926562</v>
      </c>
      <c r="Q321">
        <f t="shared" si="29"/>
        <v>-3.7822126985886939E-7</v>
      </c>
      <c r="R321">
        <f t="shared" si="30"/>
        <v>9.1678158611330218E-6</v>
      </c>
      <c r="S321">
        <f t="shared" si="31"/>
        <v>2.697883775315546E-5</v>
      </c>
    </row>
    <row r="322" spans="10:19" x14ac:dyDescent="0.3">
      <c r="J322">
        <v>320</v>
      </c>
      <c r="K322">
        <v>1</v>
      </c>
      <c r="L322">
        <f t="shared" si="34"/>
        <v>3.9999875577639665</v>
      </c>
      <c r="M322">
        <f t="shared" si="33"/>
        <v>3.9999879144643415</v>
      </c>
      <c r="N322">
        <f t="shared" si="35"/>
        <v>3.9999776385145482</v>
      </c>
      <c r="O322">
        <f t="shared" si="32"/>
        <v>3.9999875577639674</v>
      </c>
      <c r="Q322">
        <f t="shared" si="29"/>
        <v>-3.567003750148956E-7</v>
      </c>
      <c r="R322">
        <f t="shared" si="30"/>
        <v>9.9192494182887003E-6</v>
      </c>
      <c r="S322">
        <f t="shared" si="31"/>
        <v>0</v>
      </c>
    </row>
    <row r="323" spans="10:19" x14ac:dyDescent="0.3">
      <c r="J323">
        <v>321</v>
      </c>
      <c r="K323">
        <v>1</v>
      </c>
      <c r="L323">
        <f t="shared" si="34"/>
        <v>3.9999882664392441</v>
      </c>
      <c r="M323">
        <f t="shared" si="33"/>
        <v>3.9999886028417988</v>
      </c>
      <c r="N323">
        <f t="shared" si="35"/>
        <v>3.9999875577639656</v>
      </c>
      <c r="O323">
        <f t="shared" si="32"/>
        <v>3.9999875577639674</v>
      </c>
      <c r="Q323">
        <f t="shared" ref="Q323:Q386" si="36">L323-M323</f>
        <v>-3.3640255470146485E-7</v>
      </c>
      <c r="R323">
        <f t="shared" ref="R323:R386" si="37">L323-N323</f>
        <v>7.0867527846019129E-7</v>
      </c>
      <c r="S323">
        <f t="shared" ref="S323:S386" si="38">L323-O323</f>
        <v>7.0867527668383445E-7</v>
      </c>
    </row>
    <row r="324" spans="10:19" x14ac:dyDescent="0.3">
      <c r="J324">
        <v>322</v>
      </c>
      <c r="K324">
        <v>1</v>
      </c>
      <c r="L324">
        <f t="shared" si="34"/>
        <v>3.9999889347863937</v>
      </c>
      <c r="M324">
        <f t="shared" si="33"/>
        <v>3.999989252044803</v>
      </c>
      <c r="N324">
        <f t="shared" si="35"/>
        <v>3.9999875577639656</v>
      </c>
      <c r="O324">
        <f t="shared" si="32"/>
        <v>3.9999875577639674</v>
      </c>
      <c r="Q324">
        <f t="shared" si="36"/>
        <v>-3.1725840932139704E-7</v>
      </c>
      <c r="R324">
        <f t="shared" si="37"/>
        <v>1.3770224280840182E-6</v>
      </c>
      <c r="S324">
        <f t="shared" si="38"/>
        <v>1.3770224263076614E-6</v>
      </c>
    </row>
    <row r="325" spans="10:19" x14ac:dyDescent="0.3">
      <c r="J325">
        <v>323</v>
      </c>
      <c r="K325">
        <v>1</v>
      </c>
      <c r="L325">
        <f t="shared" si="34"/>
        <v>3.9999895650976658</v>
      </c>
      <c r="M325">
        <f t="shared" si="33"/>
        <v>3.999989864300133</v>
      </c>
      <c r="N325">
        <f t="shared" si="35"/>
        <v>3.9999875577639656</v>
      </c>
      <c r="O325">
        <f t="shared" si="32"/>
        <v>3.9999875577639674</v>
      </c>
      <c r="Q325">
        <f t="shared" si="36"/>
        <v>-2.9920246724657318E-7</v>
      </c>
      <c r="R325">
        <f t="shared" si="37"/>
        <v>2.0073337001491609E-6</v>
      </c>
      <c r="S325">
        <f t="shared" si="38"/>
        <v>2.0073336983728041E-6</v>
      </c>
    </row>
    <row r="326" spans="10:19" x14ac:dyDescent="0.3">
      <c r="J326">
        <v>324</v>
      </c>
      <c r="K326">
        <v>1</v>
      </c>
      <c r="L326">
        <f t="shared" si="34"/>
        <v>3.9999901595352165</v>
      </c>
      <c r="M326">
        <f t="shared" si="33"/>
        <v>3.9999904417081824</v>
      </c>
      <c r="N326">
        <f t="shared" si="35"/>
        <v>3.9999875577639656</v>
      </c>
      <c r="O326">
        <f t="shared" si="32"/>
        <v>3.9999875577639674</v>
      </c>
      <c r="Q326">
        <f t="shared" si="36"/>
        <v>-2.8217296588195495E-7</v>
      </c>
      <c r="R326">
        <f t="shared" si="37"/>
        <v>2.6017712508874524E-6</v>
      </c>
      <c r="S326">
        <f t="shared" si="38"/>
        <v>2.6017712491110956E-6</v>
      </c>
    </row>
    <row r="327" spans="10:19" x14ac:dyDescent="0.3">
      <c r="J327">
        <v>325</v>
      </c>
      <c r="K327">
        <v>1</v>
      </c>
      <c r="L327">
        <f t="shared" si="34"/>
        <v>3.9999907201384794</v>
      </c>
      <c r="M327">
        <f t="shared" si="33"/>
        <v>3.9999909862501206</v>
      </c>
      <c r="N327">
        <f t="shared" si="35"/>
        <v>3.9999875577639656</v>
      </c>
      <c r="O327">
        <f t="shared" si="32"/>
        <v>3.9999875577639674</v>
      </c>
      <c r="Q327">
        <f t="shared" si="36"/>
        <v>-2.6611164116729924E-7</v>
      </c>
      <c r="R327">
        <f t="shared" si="37"/>
        <v>3.1623745138098514E-6</v>
      </c>
      <c r="S327">
        <f t="shared" si="38"/>
        <v>3.1623745120334945E-6</v>
      </c>
    </row>
    <row r="328" spans="10:19" x14ac:dyDescent="0.3">
      <c r="J328">
        <v>326</v>
      </c>
      <c r="K328">
        <v>1</v>
      </c>
      <c r="L328">
        <f t="shared" si="34"/>
        <v>3.9999912488311158</v>
      </c>
      <c r="M328">
        <f t="shared" si="33"/>
        <v>3.9999914997946453</v>
      </c>
      <c r="N328">
        <f t="shared" si="35"/>
        <v>3.9999875577639656</v>
      </c>
      <c r="O328">
        <f t="shared" si="32"/>
        <v>3.9999875577639674</v>
      </c>
      <c r="Q328">
        <f t="shared" si="36"/>
        <v>-2.5096352951337053E-7</v>
      </c>
      <c r="R328">
        <f t="shared" si="37"/>
        <v>3.6910671501466652E-6</v>
      </c>
      <c r="S328">
        <f t="shared" si="38"/>
        <v>3.6910671483703084E-6</v>
      </c>
    </row>
    <row r="329" spans="10:19" x14ac:dyDescent="0.3">
      <c r="J329">
        <v>327</v>
      </c>
      <c r="K329">
        <v>1</v>
      </c>
      <c r="L329">
        <f t="shared" si="34"/>
        <v>3.9999917474275741</v>
      </c>
      <c r="M329">
        <f t="shared" si="33"/>
        <v>3.9999919841043554</v>
      </c>
      <c r="N329">
        <f t="shared" si="35"/>
        <v>3.9999875577639656</v>
      </c>
      <c r="O329">
        <f t="shared" si="32"/>
        <v>3.9999875577639674</v>
      </c>
      <c r="Q329">
        <f t="shared" si="36"/>
        <v>-2.3667678128447278E-7</v>
      </c>
      <c r="R329">
        <f t="shared" si="37"/>
        <v>4.1896636084892691E-6</v>
      </c>
      <c r="S329">
        <f t="shared" si="38"/>
        <v>4.1896636067129123E-6</v>
      </c>
    </row>
    <row r="330" spans="10:19" x14ac:dyDescent="0.3">
      <c r="J330">
        <v>328</v>
      </c>
      <c r="K330">
        <v>1</v>
      </c>
      <c r="L330">
        <f t="shared" si="34"/>
        <v>3.9999922176392784</v>
      </c>
      <c r="M330">
        <f t="shared" si="33"/>
        <v>3.9999924408417651</v>
      </c>
      <c r="N330">
        <f t="shared" si="35"/>
        <v>3.9999875577639656</v>
      </c>
      <c r="O330">
        <f t="shared" si="32"/>
        <v>3.9999875577639674</v>
      </c>
      <c r="Q330">
        <f t="shared" si="36"/>
        <v>-2.2320248671547915E-7</v>
      </c>
      <c r="R330">
        <f t="shared" si="37"/>
        <v>4.6598753127291559E-6</v>
      </c>
      <c r="S330">
        <f t="shared" si="38"/>
        <v>4.6598753109527991E-6</v>
      </c>
    </row>
    <row r="331" spans="10:19" x14ac:dyDescent="0.3">
      <c r="J331">
        <v>329</v>
      </c>
      <c r="K331">
        <v>1</v>
      </c>
      <c r="L331">
        <f t="shared" si="34"/>
        <v>3.9999926610804692</v>
      </c>
      <c r="M331">
        <f t="shared" si="33"/>
        <v>3.9999928715749751</v>
      </c>
      <c r="N331">
        <f t="shared" si="35"/>
        <v>3.9999875577639656</v>
      </c>
      <c r="O331">
        <f t="shared" si="32"/>
        <v>3.9999875577639674</v>
      </c>
      <c r="Q331">
        <f t="shared" si="36"/>
        <v>-2.1049450582566465E-7</v>
      </c>
      <c r="R331">
        <f t="shared" si="37"/>
        <v>5.1033165036074024E-6</v>
      </c>
      <c r="S331">
        <f t="shared" si="38"/>
        <v>5.1033165018310456E-6</v>
      </c>
    </row>
    <row r="332" spans="10:19" x14ac:dyDescent="0.3">
      <c r="J332">
        <v>330</v>
      </c>
      <c r="K332">
        <v>1</v>
      </c>
      <c r="L332">
        <f t="shared" si="34"/>
        <v>3.999993079273708</v>
      </c>
      <c r="M332">
        <f t="shared" si="33"/>
        <v>3.9999932777830249</v>
      </c>
      <c r="N332">
        <f t="shared" si="35"/>
        <v>3.9999875577639656</v>
      </c>
      <c r="O332">
        <f t="shared" si="32"/>
        <v>3.9999875577639674</v>
      </c>
      <c r="Q332">
        <f t="shared" si="36"/>
        <v>-1.9850931698428553E-7</v>
      </c>
      <c r="R332">
        <f t="shared" si="37"/>
        <v>5.5215097423122472E-6</v>
      </c>
      <c r="S332">
        <f t="shared" si="38"/>
        <v>5.5215097405358904E-6</v>
      </c>
    </row>
    <row r="333" spans="10:19" x14ac:dyDescent="0.3">
      <c r="J333">
        <v>331</v>
      </c>
      <c r="K333">
        <v>1</v>
      </c>
      <c r="L333">
        <f t="shared" si="34"/>
        <v>3.9999934736550786</v>
      </c>
      <c r="M333">
        <f t="shared" si="33"/>
        <v>3.9999936608609419</v>
      </c>
      <c r="N333">
        <f t="shared" si="35"/>
        <v>3.9999930792737066</v>
      </c>
      <c r="O333">
        <f t="shared" si="32"/>
        <v>3.9999875577639674</v>
      </c>
      <c r="Q333">
        <f t="shared" si="36"/>
        <v>-1.8720586325571276E-7</v>
      </c>
      <c r="R333">
        <f t="shared" si="37"/>
        <v>3.9438137200420442E-7</v>
      </c>
      <c r="S333">
        <f t="shared" si="38"/>
        <v>5.9158911112078272E-6</v>
      </c>
    </row>
    <row r="334" spans="10:19" x14ac:dyDescent="0.3">
      <c r="J334">
        <v>332</v>
      </c>
      <c r="K334">
        <v>1</v>
      </c>
      <c r="L334">
        <f t="shared" si="34"/>
        <v>3.9999938455790893</v>
      </c>
      <c r="M334">
        <f t="shared" si="33"/>
        <v>3.9999940221245063</v>
      </c>
      <c r="N334">
        <f t="shared" si="35"/>
        <v>3.9999930792737066</v>
      </c>
      <c r="O334">
        <f t="shared" si="32"/>
        <v>3.9999875577639674</v>
      </c>
      <c r="Q334">
        <f t="shared" si="36"/>
        <v>-1.7654541695222292E-7</v>
      </c>
      <c r="R334">
        <f t="shared" si="37"/>
        <v>7.6630538270450188E-7</v>
      </c>
      <c r="S334">
        <f t="shared" si="38"/>
        <v>6.2878151219081246E-6</v>
      </c>
    </row>
    <row r="335" spans="10:19" x14ac:dyDescent="0.3">
      <c r="J335">
        <v>333</v>
      </c>
      <c r="K335">
        <v>1</v>
      </c>
      <c r="L335">
        <f t="shared" si="34"/>
        <v>3.9999941963232968</v>
      </c>
      <c r="M335">
        <f t="shared" si="33"/>
        <v>3.9999943628147441</v>
      </c>
      <c r="N335">
        <f t="shared" si="35"/>
        <v>3.9999930792737066</v>
      </c>
      <c r="O335">
        <f t="shared" si="32"/>
        <v>3.9999875577639674</v>
      </c>
      <c r="Q335">
        <f t="shared" si="36"/>
        <v>-1.6649144729541376E-7</v>
      </c>
      <c r="R335">
        <f t="shared" si="37"/>
        <v>1.1170495901602351E-6</v>
      </c>
      <c r="S335">
        <f t="shared" si="38"/>
        <v>6.6385593293638578E-6</v>
      </c>
    </row>
    <row r="336" spans="10:19" x14ac:dyDescent="0.3">
      <c r="J336">
        <v>334</v>
      </c>
      <c r="K336">
        <v>1</v>
      </c>
      <c r="L336">
        <f t="shared" si="34"/>
        <v>3.9999945270926727</v>
      </c>
      <c r="M336">
        <f t="shared" si="33"/>
        <v>3.9999946841021679</v>
      </c>
      <c r="N336">
        <f t="shared" si="35"/>
        <v>3.9999930792737066</v>
      </c>
      <c r="O336">
        <f t="shared" si="32"/>
        <v>3.9999875577639674</v>
      </c>
      <c r="Q336">
        <f t="shared" si="36"/>
        <v>-1.5700949518304697E-7</v>
      </c>
      <c r="R336">
        <f t="shared" si="37"/>
        <v>1.4478189660493967E-6</v>
      </c>
      <c r="S336">
        <f t="shared" si="38"/>
        <v>6.9693287052530195E-6</v>
      </c>
    </row>
    <row r="337" spans="10:19" x14ac:dyDescent="0.3">
      <c r="J337">
        <v>335</v>
      </c>
      <c r="K337">
        <v>1</v>
      </c>
      <c r="L337">
        <f t="shared" si="34"/>
        <v>3.9999948390237203</v>
      </c>
      <c r="M337">
        <f t="shared" si="33"/>
        <v>3.9999949870907754</v>
      </c>
      <c r="N337">
        <f t="shared" si="35"/>
        <v>3.9999930792737066</v>
      </c>
      <c r="O337">
        <f t="shared" si="32"/>
        <v>3.9999875577639674</v>
      </c>
      <c r="Q337">
        <f t="shared" si="36"/>
        <v>-1.4806705506131834E-7</v>
      </c>
      <c r="R337">
        <f t="shared" si="37"/>
        <v>1.7597500137078725E-6</v>
      </c>
      <c r="S337">
        <f t="shared" si="38"/>
        <v>7.2812597529114953E-6</v>
      </c>
    </row>
    <row r="338" spans="10:19" x14ac:dyDescent="0.3">
      <c r="J338">
        <v>336</v>
      </c>
      <c r="K338">
        <v>1</v>
      </c>
      <c r="L338">
        <f t="shared" si="34"/>
        <v>3.9999951331883574</v>
      </c>
      <c r="M338">
        <f t="shared" si="33"/>
        <v>3.9999952728218244</v>
      </c>
      <c r="N338">
        <f t="shared" si="35"/>
        <v>3.9999930792737066</v>
      </c>
      <c r="O338">
        <f t="shared" si="32"/>
        <v>3.9999875577639674</v>
      </c>
      <c r="Q338">
        <f t="shared" si="36"/>
        <v>-1.3963346701117985E-7</v>
      </c>
      <c r="R338">
        <f t="shared" si="37"/>
        <v>2.0539146508014028E-6</v>
      </c>
      <c r="S338">
        <f t="shared" si="38"/>
        <v>7.5754243900050255E-6</v>
      </c>
    </row>
    <row r="339" spans="10:19" x14ac:dyDescent="0.3">
      <c r="J339">
        <v>337</v>
      </c>
      <c r="K339">
        <v>1</v>
      </c>
      <c r="L339">
        <f t="shared" si="34"/>
        <v>3.9999954105975819</v>
      </c>
      <c r="M339">
        <f t="shared" si="33"/>
        <v>3.9999955422773921</v>
      </c>
      <c r="N339">
        <f t="shared" si="35"/>
        <v>3.9999930792737066</v>
      </c>
      <c r="O339">
        <f t="shared" ref="O339:O402" si="39">$F$2 * O319 - $F$3 * O299 + $F$4 * K279 + $F$5 * K259</f>
        <v>3.9999875577639674</v>
      </c>
      <c r="Q339">
        <f t="shared" si="36"/>
        <v>-1.316798101669292E-7</v>
      </c>
      <c r="R339">
        <f t="shared" si="37"/>
        <v>2.3313238752820098E-6</v>
      </c>
      <c r="S339">
        <f t="shared" si="38"/>
        <v>7.8528336144856326E-6</v>
      </c>
    </row>
    <row r="340" spans="10:19" x14ac:dyDescent="0.3">
      <c r="J340">
        <v>338</v>
      </c>
      <c r="K340">
        <v>1</v>
      </c>
      <c r="L340">
        <f t="shared" si="34"/>
        <v>3.9999956722049292</v>
      </c>
      <c r="M340">
        <f t="shared" si="33"/>
        <v>3.9999957963837329</v>
      </c>
      <c r="N340">
        <f t="shared" si="35"/>
        <v>3.9999930792737066</v>
      </c>
      <c r="O340">
        <f t="shared" si="39"/>
        <v>3.9999875577639674</v>
      </c>
      <c r="Q340">
        <f t="shared" si="36"/>
        <v>-1.2417880368431611E-7</v>
      </c>
      <c r="R340">
        <f t="shared" si="37"/>
        <v>2.5929312226224965E-6</v>
      </c>
      <c r="S340">
        <f t="shared" si="38"/>
        <v>8.1144409618261193E-6</v>
      </c>
    </row>
    <row r="341" spans="10:19" x14ac:dyDescent="0.3">
      <c r="J341">
        <v>339</v>
      </c>
      <c r="K341">
        <v>1</v>
      </c>
      <c r="L341">
        <f t="shared" si="34"/>
        <v>3.9999959189097316</v>
      </c>
      <c r="M341">
        <f t="shared" si="33"/>
        <v>3.9999960360144486</v>
      </c>
      <c r="N341">
        <f t="shared" si="35"/>
        <v>3.9999930792737066</v>
      </c>
      <c r="O341">
        <f t="shared" si="39"/>
        <v>3.9999875577639674</v>
      </c>
      <c r="Q341">
        <f t="shared" si="36"/>
        <v>-1.1710471703452185E-7</v>
      </c>
      <c r="R341">
        <f t="shared" si="37"/>
        <v>2.8396360249871577E-6</v>
      </c>
      <c r="S341">
        <f t="shared" si="38"/>
        <v>8.3611457641907805E-6</v>
      </c>
    </row>
    <row r="342" spans="10:19" x14ac:dyDescent="0.3">
      <c r="J342">
        <v>340</v>
      </c>
      <c r="K342">
        <v>1</v>
      </c>
      <c r="L342">
        <f t="shared" si="34"/>
        <v>3.9999961515601954</v>
      </c>
      <c r="M342">
        <f t="shared" si="33"/>
        <v>3.9999962619934752</v>
      </c>
      <c r="N342">
        <f t="shared" si="35"/>
        <v>3.9999930792737066</v>
      </c>
      <c r="O342">
        <f t="shared" si="39"/>
        <v>3.9999961515601963</v>
      </c>
      <c r="Q342">
        <f t="shared" si="36"/>
        <v>-1.1043327985404972E-7</v>
      </c>
      <c r="R342">
        <f t="shared" si="37"/>
        <v>3.0722864887700041E-6</v>
      </c>
      <c r="S342">
        <f t="shared" si="38"/>
        <v>0</v>
      </c>
    </row>
    <row r="343" spans="10:19" x14ac:dyDescent="0.3">
      <c r="J343">
        <v>341</v>
      </c>
      <c r="K343">
        <v>1</v>
      </c>
      <c r="L343">
        <f t="shared" si="34"/>
        <v>3.9999963709563038</v>
      </c>
      <c r="M343">
        <f t="shared" si="33"/>
        <v>3.9999964750979022</v>
      </c>
      <c r="N343">
        <f t="shared" si="35"/>
        <v>3.9999961515601936</v>
      </c>
      <c r="O343">
        <f t="shared" si="39"/>
        <v>3.9999961515601963</v>
      </c>
      <c r="Q343">
        <f t="shared" si="36"/>
        <v>-1.041415984559535E-7</v>
      </c>
      <c r="R343">
        <f t="shared" si="37"/>
        <v>2.1939611016819072E-7</v>
      </c>
      <c r="S343">
        <f t="shared" si="38"/>
        <v>2.1939610750365546E-7</v>
      </c>
    </row>
    <row r="344" spans="10:19" x14ac:dyDescent="0.3">
      <c r="J344">
        <v>342</v>
      </c>
      <c r="K344">
        <v>1</v>
      </c>
      <c r="L344">
        <f t="shared" si="34"/>
        <v>3.9999965778525537</v>
      </c>
      <c r="M344">
        <f t="shared" si="33"/>
        <v>3.9999966760606331</v>
      </c>
      <c r="N344">
        <f t="shared" si="35"/>
        <v>3.9999961515601936</v>
      </c>
      <c r="O344">
        <f t="shared" si="39"/>
        <v>3.9999961515601963</v>
      </c>
      <c r="Q344">
        <f t="shared" si="36"/>
        <v>-9.8208079446493457E-8</v>
      </c>
      <c r="R344">
        <f t="shared" si="37"/>
        <v>4.2629236007840632E-7</v>
      </c>
      <c r="S344">
        <f t="shared" si="38"/>
        <v>4.2629235741387106E-7</v>
      </c>
    </row>
    <row r="345" spans="10:19" x14ac:dyDescent="0.3">
      <c r="J345">
        <v>343</v>
      </c>
      <c r="K345">
        <v>1</v>
      </c>
      <c r="L345">
        <f t="shared" si="34"/>
        <v>3.9999967729605381</v>
      </c>
      <c r="M345">
        <f t="shared" si="33"/>
        <v>3.9999968655728941</v>
      </c>
      <c r="N345">
        <f t="shared" si="35"/>
        <v>3.9999961515601936</v>
      </c>
      <c r="O345">
        <f t="shared" si="39"/>
        <v>3.9999961515601963</v>
      </c>
      <c r="Q345">
        <f t="shared" si="36"/>
        <v>-9.2612356006327445E-8</v>
      </c>
      <c r="R345">
        <f t="shared" si="37"/>
        <v>6.2140034451374504E-7</v>
      </c>
      <c r="S345">
        <f t="shared" si="38"/>
        <v>6.2140034184920978E-7</v>
      </c>
    </row>
    <row r="346" spans="10:19" x14ac:dyDescent="0.3">
      <c r="J346">
        <v>344</v>
      </c>
      <c r="K346">
        <v>1</v>
      </c>
      <c r="L346">
        <f t="shared" si="34"/>
        <v>3.9999969569513842</v>
      </c>
      <c r="M346">
        <f t="shared" si="33"/>
        <v>3.9999970442866011</v>
      </c>
      <c r="N346">
        <f t="shared" si="35"/>
        <v>3.9999961515601936</v>
      </c>
      <c r="O346">
        <f t="shared" si="39"/>
        <v>3.9999961515601963</v>
      </c>
      <c r="Q346">
        <f t="shared" si="36"/>
        <v>-8.733521683623735E-8</v>
      </c>
      <c r="R346">
        <f t="shared" si="37"/>
        <v>8.0539119062805753E-7</v>
      </c>
      <c r="S346">
        <f t="shared" si="38"/>
        <v>8.0539118796352227E-7</v>
      </c>
    </row>
    <row r="347" spans="10:19" x14ac:dyDescent="0.3">
      <c r="J347">
        <v>345</v>
      </c>
      <c r="K347">
        <v>1</v>
      </c>
      <c r="L347">
        <f t="shared" si="34"/>
        <v>3.9999971304580493</v>
      </c>
      <c r="M347">
        <f t="shared" si="33"/>
        <v>3.999997212816591</v>
      </c>
      <c r="N347">
        <f t="shared" si="35"/>
        <v>3.9999961515601936</v>
      </c>
      <c r="O347">
        <f t="shared" si="39"/>
        <v>3.9999961515601963</v>
      </c>
      <c r="Q347">
        <f t="shared" si="36"/>
        <v>-8.235854176419366E-8</v>
      </c>
      <c r="R347">
        <f t="shared" si="37"/>
        <v>9.7889785566351861E-7</v>
      </c>
      <c r="S347">
        <f t="shared" si="38"/>
        <v>9.7889785299898335E-7</v>
      </c>
    </row>
    <row r="348" spans="10:19" x14ac:dyDescent="0.3">
      <c r="J348">
        <v>346</v>
      </c>
      <c r="K348">
        <v>1</v>
      </c>
      <c r="L348">
        <f t="shared" si="34"/>
        <v>3.9999972940774886</v>
      </c>
      <c r="M348">
        <f t="shared" si="33"/>
        <v>3.9999973717427295</v>
      </c>
      <c r="N348">
        <f t="shared" si="35"/>
        <v>3.9999961515601936</v>
      </c>
      <c r="O348">
        <f t="shared" si="39"/>
        <v>3.9999961515601963</v>
      </c>
      <c r="Q348">
        <f t="shared" si="36"/>
        <v>-7.7665240905133714E-8</v>
      </c>
      <c r="R348">
        <f t="shared" si="37"/>
        <v>1.1425172949941498E-6</v>
      </c>
      <c r="S348">
        <f t="shared" si="38"/>
        <v>1.1425172923296145E-6</v>
      </c>
    </row>
    <row r="349" spans="10:19" x14ac:dyDescent="0.3">
      <c r="J349">
        <v>347</v>
      </c>
      <c r="K349">
        <v>1</v>
      </c>
      <c r="L349">
        <f t="shared" si="34"/>
        <v>3.9999974483727025</v>
      </c>
      <c r="M349">
        <f t="shared" si="33"/>
        <v>3.9999975216118973</v>
      </c>
      <c r="N349">
        <f t="shared" si="35"/>
        <v>3.9999961515601936</v>
      </c>
      <c r="O349">
        <f t="shared" si="39"/>
        <v>3.9999961515601963</v>
      </c>
      <c r="Q349">
        <f t="shared" si="36"/>
        <v>-7.3239194708918376E-8</v>
      </c>
      <c r="R349">
        <f t="shared" si="37"/>
        <v>1.2968125089329874E-6</v>
      </c>
      <c r="S349">
        <f t="shared" si="38"/>
        <v>1.2968125062684521E-6</v>
      </c>
    </row>
    <row r="350" spans="10:19" x14ac:dyDescent="0.3">
      <c r="J350">
        <v>348</v>
      </c>
      <c r="K350">
        <v>1</v>
      </c>
      <c r="L350">
        <f t="shared" si="34"/>
        <v>3.9999975938746641</v>
      </c>
      <c r="M350">
        <f t="shared" si="33"/>
        <v>3.9999976629398635</v>
      </c>
      <c r="N350">
        <f t="shared" si="35"/>
        <v>3.9999961515601936</v>
      </c>
      <c r="O350">
        <f t="shared" si="39"/>
        <v>3.9999961515601963</v>
      </c>
      <c r="Q350">
        <f t="shared" si="36"/>
        <v>-6.9065199337359218E-8</v>
      </c>
      <c r="R350">
        <f t="shared" si="37"/>
        <v>1.4423144705233426E-6</v>
      </c>
      <c r="S350">
        <f t="shared" si="38"/>
        <v>1.4423144678588073E-6</v>
      </c>
    </row>
    <row r="351" spans="10:19" x14ac:dyDescent="0.3">
      <c r="J351">
        <v>349</v>
      </c>
      <c r="K351">
        <v>1</v>
      </c>
      <c r="L351">
        <f t="shared" si="34"/>
        <v>3.9999977310841381</v>
      </c>
      <c r="M351">
        <f t="shared" si="33"/>
        <v>3.9999977962130528</v>
      </c>
      <c r="N351">
        <f t="shared" si="35"/>
        <v>3.9999961515601936</v>
      </c>
      <c r="O351">
        <f t="shared" si="39"/>
        <v>3.9999961515601963</v>
      </c>
      <c r="Q351">
        <f t="shared" si="36"/>
        <v>-6.5128914705780971E-8</v>
      </c>
      <c r="R351">
        <f t="shared" si="37"/>
        <v>1.579523944528205E-6</v>
      </c>
      <c r="S351">
        <f t="shared" si="38"/>
        <v>1.5795239418636697E-6</v>
      </c>
    </row>
    <row r="352" spans="10:19" x14ac:dyDescent="0.3">
      <c r="J352">
        <v>350</v>
      </c>
      <c r="K352">
        <v>1</v>
      </c>
      <c r="L352">
        <f t="shared" si="34"/>
        <v>3.9999978604733983</v>
      </c>
      <c r="M352">
        <f t="shared" si="33"/>
        <v>3.999997921890214</v>
      </c>
      <c r="N352">
        <f t="shared" si="35"/>
        <v>3.9999961515601936</v>
      </c>
      <c r="O352">
        <f t="shared" si="39"/>
        <v>3.9999961515601963</v>
      </c>
      <c r="Q352">
        <f t="shared" si="36"/>
        <v>-6.1416815633208444E-8</v>
      </c>
      <c r="R352">
        <f t="shared" si="37"/>
        <v>1.7089132047232169E-6</v>
      </c>
      <c r="S352">
        <f t="shared" si="38"/>
        <v>1.7089132020586817E-6</v>
      </c>
    </row>
    <row r="353" spans="10:19" x14ac:dyDescent="0.3">
      <c r="J353">
        <v>351</v>
      </c>
      <c r="K353">
        <v>1</v>
      </c>
      <c r="L353">
        <f t="shared" si="34"/>
        <v>3.9999979824878471</v>
      </c>
      <c r="M353">
        <f t="shared" si="33"/>
        <v>3.9999980404039919</v>
      </c>
      <c r="N353">
        <f t="shared" si="35"/>
        <v>3.9999978604733966</v>
      </c>
      <c r="O353">
        <f t="shared" si="39"/>
        <v>3.9999961515601963</v>
      </c>
      <c r="Q353">
        <f t="shared" si="36"/>
        <v>-5.7916144768910272E-8</v>
      </c>
      <c r="R353">
        <f t="shared" si="37"/>
        <v>1.2201445054316196E-7</v>
      </c>
      <c r="S353">
        <f t="shared" si="38"/>
        <v>1.8309276508254868E-6</v>
      </c>
    </row>
    <row r="354" spans="10:19" x14ac:dyDescent="0.3">
      <c r="J354">
        <v>352</v>
      </c>
      <c r="K354">
        <v>1</v>
      </c>
      <c r="L354">
        <f t="shared" si="34"/>
        <v>3.9999980975475404</v>
      </c>
      <c r="M354">
        <f t="shared" si="33"/>
        <v>3.9999981521624126</v>
      </c>
      <c r="N354">
        <f t="shared" si="35"/>
        <v>3.9999978604733966</v>
      </c>
      <c r="O354">
        <f t="shared" si="39"/>
        <v>3.9999961515601963</v>
      </c>
      <c r="Q354">
        <f t="shared" si="36"/>
        <v>-5.4614872180280827E-8</v>
      </c>
      <c r="R354">
        <f t="shared" si="37"/>
        <v>2.3707414387175163E-7</v>
      </c>
      <c r="S354">
        <f t="shared" si="38"/>
        <v>1.9459873441540765E-6</v>
      </c>
    </row>
    <row r="355" spans="10:19" x14ac:dyDescent="0.3">
      <c r="J355">
        <v>353</v>
      </c>
      <c r="K355">
        <v>1</v>
      </c>
      <c r="L355">
        <f t="shared" si="34"/>
        <v>3.9999982060486312</v>
      </c>
      <c r="M355">
        <f t="shared" si="33"/>
        <v>3.9999982575502804</v>
      </c>
      <c r="N355">
        <f t="shared" si="35"/>
        <v>3.9999978604733966</v>
      </c>
      <c r="O355">
        <f t="shared" si="39"/>
        <v>3.9999961515601963</v>
      </c>
      <c r="Q355">
        <f t="shared" si="36"/>
        <v>-5.1501649167562391E-8</v>
      </c>
      <c r="R355">
        <f t="shared" si="37"/>
        <v>3.4557523465039708E-7</v>
      </c>
      <c r="S355">
        <f t="shared" si="38"/>
        <v>2.0544884349327219E-6</v>
      </c>
    </row>
    <row r="356" spans="10:19" x14ac:dyDescent="0.3">
      <c r="J356">
        <v>354</v>
      </c>
      <c r="K356">
        <v>1</v>
      </c>
      <c r="L356">
        <f t="shared" si="34"/>
        <v>3.999998308364725</v>
      </c>
      <c r="M356">
        <f t="shared" si="33"/>
        <v>3.9999983569304987</v>
      </c>
      <c r="N356">
        <f t="shared" si="35"/>
        <v>3.9999978604733966</v>
      </c>
      <c r="O356">
        <f t="shared" si="39"/>
        <v>3.9999961515601963</v>
      </c>
      <c r="Q356">
        <f t="shared" si="36"/>
        <v>-4.8565773624886788E-8</v>
      </c>
      <c r="R356">
        <f t="shared" si="37"/>
        <v>4.4789132847000701E-7</v>
      </c>
      <c r="S356">
        <f t="shared" si="38"/>
        <v>2.1568045287523319E-6</v>
      </c>
    </row>
    <row r="357" spans="10:19" x14ac:dyDescent="0.3">
      <c r="J357">
        <v>355</v>
      </c>
      <c r="K357">
        <v>1</v>
      </c>
      <c r="L357">
        <f t="shared" si="34"/>
        <v>3.9999984048481649</v>
      </c>
      <c r="M357">
        <f t="shared" si="33"/>
        <v>3.9999984506453163</v>
      </c>
      <c r="N357">
        <f t="shared" si="35"/>
        <v>3.9999978604733966</v>
      </c>
      <c r="O357">
        <f t="shared" si="39"/>
        <v>3.9999961515601963</v>
      </c>
      <c r="Q357">
        <f t="shared" si="36"/>
        <v>-4.5797151404514125E-8</v>
      </c>
      <c r="R357">
        <f t="shared" si="37"/>
        <v>5.4437476837421173E-7</v>
      </c>
      <c r="S357">
        <f t="shared" si="38"/>
        <v>2.2532879686565366E-6</v>
      </c>
    </row>
    <row r="358" spans="10:19" x14ac:dyDescent="0.3">
      <c r="J358">
        <v>356</v>
      </c>
      <c r="K358">
        <v>1</v>
      </c>
      <c r="L358">
        <f t="shared" si="34"/>
        <v>3.9999984958312385</v>
      </c>
      <c r="M358">
        <f t="shared" si="33"/>
        <v>3.9999985390175006</v>
      </c>
      <c r="N358">
        <f t="shared" si="35"/>
        <v>3.9999978604733966</v>
      </c>
      <c r="O358">
        <f t="shared" si="39"/>
        <v>3.9999961515601963</v>
      </c>
      <c r="Q358">
        <f t="shared" si="36"/>
        <v>-4.3186262121963637E-8</v>
      </c>
      <c r="R358">
        <f t="shared" si="37"/>
        <v>6.3535784189383548E-7</v>
      </c>
      <c r="S358">
        <f t="shared" si="38"/>
        <v>2.3442710421761603E-6</v>
      </c>
    </row>
    <row r="359" spans="10:19" x14ac:dyDescent="0.3">
      <c r="J359">
        <v>357</v>
      </c>
      <c r="K359">
        <v>1</v>
      </c>
      <c r="L359">
        <f t="shared" si="34"/>
        <v>3.9999985816273176</v>
      </c>
      <c r="M359">
        <f t="shared" si="33"/>
        <v>3.9999986223514448</v>
      </c>
      <c r="N359">
        <f t="shared" si="35"/>
        <v>3.9999978604733966</v>
      </c>
      <c r="O359">
        <f t="shared" si="39"/>
        <v>3.9999961515601963</v>
      </c>
      <c r="Q359">
        <f t="shared" si="36"/>
        <v>-4.0724127181590575E-8</v>
      </c>
      <c r="R359">
        <f t="shared" si="37"/>
        <v>7.2115392102389819E-7</v>
      </c>
      <c r="S359">
        <f t="shared" si="38"/>
        <v>2.430067121306223E-6</v>
      </c>
    </row>
    <row r="360" spans="10:19" x14ac:dyDescent="0.3">
      <c r="J360">
        <v>358</v>
      </c>
      <c r="K360">
        <v>1</v>
      </c>
      <c r="L360">
        <f t="shared" si="34"/>
        <v>3.9999986625319361</v>
      </c>
      <c r="M360">
        <f t="shared" si="33"/>
        <v>3.9999987009342131</v>
      </c>
      <c r="N360">
        <f t="shared" si="35"/>
        <v>3.9999978604733966</v>
      </c>
      <c r="O360">
        <f t="shared" si="39"/>
        <v>3.9999961515601963</v>
      </c>
      <c r="Q360">
        <f t="shared" si="36"/>
        <v>-3.8402276913984679E-8</v>
      </c>
      <c r="R360">
        <f t="shared" si="37"/>
        <v>8.020585395840385E-7</v>
      </c>
      <c r="S360">
        <f t="shared" si="38"/>
        <v>2.5109717398663634E-6</v>
      </c>
    </row>
    <row r="361" spans="10:19" x14ac:dyDescent="0.3">
      <c r="J361">
        <v>359</v>
      </c>
      <c r="K361">
        <v>1</v>
      </c>
      <c r="L361">
        <f t="shared" si="34"/>
        <v>3.9999987388238019</v>
      </c>
      <c r="M361">
        <f t="shared" si="33"/>
        <v>3.9999987750365276</v>
      </c>
      <c r="N361">
        <f t="shared" si="35"/>
        <v>3.9999978604733966</v>
      </c>
      <c r="O361">
        <f t="shared" si="39"/>
        <v>3.9999961515601963</v>
      </c>
      <c r="Q361">
        <f t="shared" si="36"/>
        <v>-3.6212725706974425E-8</v>
      </c>
      <c r="R361">
        <f t="shared" si="37"/>
        <v>8.7835040529782304E-7</v>
      </c>
      <c r="S361">
        <f t="shared" si="38"/>
        <v>2.5872636055801479E-6</v>
      </c>
    </row>
    <row r="362" spans="10:19" x14ac:dyDescent="0.3">
      <c r="J362">
        <v>360</v>
      </c>
      <c r="K362">
        <v>1</v>
      </c>
      <c r="L362">
        <f t="shared" si="34"/>
        <v>3.9999988107657547</v>
      </c>
      <c r="M362">
        <f t="shared" si="33"/>
        <v>3.9999988449136956</v>
      </c>
      <c r="N362">
        <f t="shared" si="35"/>
        <v>3.9999978604733966</v>
      </c>
      <c r="O362">
        <f t="shared" si="39"/>
        <v>3.999998810765756</v>
      </c>
      <c r="Q362">
        <f t="shared" si="36"/>
        <v>-3.4147940919382336E-8</v>
      </c>
      <c r="R362">
        <f t="shared" si="37"/>
        <v>9.5029235813726132E-7</v>
      </c>
      <c r="S362">
        <f t="shared" si="38"/>
        <v>0</v>
      </c>
    </row>
    <row r="363" spans="10:19" x14ac:dyDescent="0.3">
      <c r="J363">
        <v>361</v>
      </c>
      <c r="K363">
        <v>1</v>
      </c>
      <c r="L363">
        <f t="shared" si="34"/>
        <v>3.9999988786056706</v>
      </c>
      <c r="M363">
        <f t="shared" ref="M363:M402" si="40">$D$2*M362-$D$3*M361 + $D$4*K323+$D$5*K324</f>
        <v>3.9999989108064877</v>
      </c>
      <c r="N363">
        <f t="shared" si="35"/>
        <v>3.9999988107657529</v>
      </c>
      <c r="O363">
        <f t="shared" si="39"/>
        <v>3.999998810765756</v>
      </c>
      <c r="Q363">
        <f t="shared" si="36"/>
        <v>-3.2200817123850811E-8</v>
      </c>
      <c r="R363">
        <f t="shared" si="37"/>
        <v>6.7839917683443218E-8</v>
      </c>
      <c r="S363">
        <f t="shared" si="38"/>
        <v>6.7839914574818749E-8</v>
      </c>
    </row>
    <row r="364" spans="10:19" x14ac:dyDescent="0.3">
      <c r="J364">
        <v>362</v>
      </c>
      <c r="K364">
        <v>1</v>
      </c>
      <c r="L364">
        <f t="shared" si="34"/>
        <v>3.9999989425773084</v>
      </c>
      <c r="M364">
        <f t="shared" si="40"/>
        <v>3.9999989729419645</v>
      </c>
      <c r="N364">
        <f t="shared" si="35"/>
        <v>3.9999988107657529</v>
      </c>
      <c r="O364">
        <f t="shared" si="39"/>
        <v>3.999998810765756</v>
      </c>
      <c r="Q364">
        <f t="shared" si="36"/>
        <v>-3.0364656122827682E-8</v>
      </c>
      <c r="R364">
        <f t="shared" si="37"/>
        <v>1.3181155544828016E-7</v>
      </c>
      <c r="S364">
        <f t="shared" si="38"/>
        <v>1.3181155233965569E-7</v>
      </c>
    </row>
    <row r="365" spans="10:19" x14ac:dyDescent="0.3">
      <c r="J365">
        <v>363</v>
      </c>
      <c r="K365">
        <v>1</v>
      </c>
      <c r="L365">
        <f t="shared" si="34"/>
        <v>3.9999990029011188</v>
      </c>
      <c r="M365">
        <f t="shared" si="40"/>
        <v>3.9999990315342564</v>
      </c>
      <c r="N365">
        <f t="shared" si="35"/>
        <v>3.9999988107657529</v>
      </c>
      <c r="O365">
        <f t="shared" si="39"/>
        <v>3.999998810765756</v>
      </c>
      <c r="Q365">
        <f t="shared" si="36"/>
        <v>-2.8633137638678363E-8</v>
      </c>
      <c r="R365">
        <f t="shared" si="37"/>
        <v>1.9213536583961854E-7</v>
      </c>
      <c r="S365">
        <f t="shared" si="38"/>
        <v>1.9213536273099407E-7</v>
      </c>
    </row>
    <row r="366" spans="10:19" x14ac:dyDescent="0.3">
      <c r="J366">
        <v>364</v>
      </c>
      <c r="K366">
        <v>1</v>
      </c>
      <c r="L366">
        <f t="shared" si="34"/>
        <v>3.9999990597849959</v>
      </c>
      <c r="M366">
        <f t="shared" si="40"/>
        <v>3.9999990867852988</v>
      </c>
      <c r="N366">
        <f t="shared" si="35"/>
        <v>3.9999988107657529</v>
      </c>
      <c r="O366">
        <f t="shared" si="39"/>
        <v>3.999998810765756</v>
      </c>
      <c r="Q366">
        <f t="shared" si="36"/>
        <v>-2.7000302882385085E-8</v>
      </c>
      <c r="R366">
        <f t="shared" si="37"/>
        <v>2.4901924300380074E-7</v>
      </c>
      <c r="S366">
        <f t="shared" si="38"/>
        <v>2.4901923989517627E-7</v>
      </c>
    </row>
    <row r="367" spans="10:19" x14ac:dyDescent="0.3">
      <c r="J367">
        <v>365</v>
      </c>
      <c r="K367">
        <v>1</v>
      </c>
      <c r="L367">
        <f t="shared" si="34"/>
        <v>3.999999113424995</v>
      </c>
      <c r="M367">
        <f t="shared" si="40"/>
        <v>3.9999991388855274</v>
      </c>
      <c r="N367">
        <f t="shared" si="35"/>
        <v>3.9999988107657529</v>
      </c>
      <c r="O367">
        <f t="shared" si="39"/>
        <v>3.999998810765756</v>
      </c>
      <c r="Q367">
        <f t="shared" si="36"/>
        <v>-2.5460532349086407E-8</v>
      </c>
      <c r="R367">
        <f t="shared" si="37"/>
        <v>3.0265924211292372E-7</v>
      </c>
      <c r="S367">
        <f t="shared" si="38"/>
        <v>3.0265923900429925E-7</v>
      </c>
    </row>
    <row r="368" spans="10:19" x14ac:dyDescent="0.3">
      <c r="J368">
        <v>366</v>
      </c>
      <c r="K368">
        <v>1</v>
      </c>
      <c r="L368">
        <f t="shared" si="34"/>
        <v>3.9999991640060055</v>
      </c>
      <c r="M368">
        <f t="shared" si="40"/>
        <v>3.99999918801453</v>
      </c>
      <c r="N368">
        <f t="shared" si="35"/>
        <v>3.9999988107657529</v>
      </c>
      <c r="O368">
        <f t="shared" si="39"/>
        <v>3.999998810765756</v>
      </c>
      <c r="Q368">
        <f t="shared" si="36"/>
        <v>-2.4008524501795137E-8</v>
      </c>
      <c r="R368">
        <f t="shared" si="37"/>
        <v>3.5324025260408121E-7</v>
      </c>
      <c r="S368">
        <f t="shared" si="38"/>
        <v>3.5324024949545674E-7</v>
      </c>
    </row>
    <row r="369" spans="10:19" x14ac:dyDescent="0.3">
      <c r="J369">
        <v>367</v>
      </c>
      <c r="K369">
        <v>1</v>
      </c>
      <c r="L369">
        <f t="shared" si="34"/>
        <v>3.9999992117023861</v>
      </c>
      <c r="M369">
        <f t="shared" si="40"/>
        <v>3.9999992343416668</v>
      </c>
      <c r="N369">
        <f t="shared" si="35"/>
        <v>3.9999988107657529</v>
      </c>
      <c r="O369">
        <f t="shared" si="39"/>
        <v>3.999998810765756</v>
      </c>
      <c r="Q369">
        <f t="shared" si="36"/>
        <v>-2.2639280672365203E-8</v>
      </c>
      <c r="R369">
        <f t="shared" si="37"/>
        <v>4.0093663322693374E-7</v>
      </c>
      <c r="S369">
        <f t="shared" si="38"/>
        <v>4.0093663011830927E-7</v>
      </c>
    </row>
    <row r="370" spans="10:19" x14ac:dyDescent="0.3">
      <c r="J370">
        <v>368</v>
      </c>
      <c r="K370">
        <v>1</v>
      </c>
      <c r="L370">
        <f t="shared" si="34"/>
        <v>3.9999992566785627</v>
      </c>
      <c r="M370">
        <f t="shared" si="40"/>
        <v>3.99999927802665</v>
      </c>
      <c r="N370">
        <f t="shared" si="35"/>
        <v>3.9999988107657529</v>
      </c>
      <c r="O370">
        <f t="shared" si="39"/>
        <v>3.999998810765756</v>
      </c>
      <c r="Q370">
        <f t="shared" si="36"/>
        <v>-2.1348087297923257E-8</v>
      </c>
      <c r="R370">
        <f t="shared" si="37"/>
        <v>4.4591280978778514E-7</v>
      </c>
      <c r="S370">
        <f t="shared" si="38"/>
        <v>4.4591280667916067E-7</v>
      </c>
    </row>
    <row r="371" spans="10:19" x14ac:dyDescent="0.3">
      <c r="J371">
        <v>369</v>
      </c>
      <c r="K371">
        <v>1</v>
      </c>
      <c r="L371">
        <f t="shared" si="34"/>
        <v>3.9999992990895965</v>
      </c>
      <c r="M371">
        <f t="shared" si="40"/>
        <v>3.9999993192200942</v>
      </c>
      <c r="N371">
        <f t="shared" si="35"/>
        <v>3.9999988107657529</v>
      </c>
      <c r="O371">
        <f t="shared" si="39"/>
        <v>3.999998810765756</v>
      </c>
      <c r="Q371">
        <f t="shared" si="36"/>
        <v>-2.0130497713211071E-8</v>
      </c>
      <c r="R371">
        <f t="shared" si="37"/>
        <v>4.8832384358377112E-7</v>
      </c>
      <c r="S371">
        <f t="shared" si="38"/>
        <v>4.8832384047514665E-7</v>
      </c>
    </row>
    <row r="372" spans="10:19" x14ac:dyDescent="0.3">
      <c r="J372">
        <v>370</v>
      </c>
      <c r="K372">
        <v>1</v>
      </c>
      <c r="L372">
        <f t="shared" si="34"/>
        <v>3.9999993390817141</v>
      </c>
      <c r="M372">
        <f t="shared" si="40"/>
        <v>3.9999993580640334</v>
      </c>
      <c r="N372">
        <f t="shared" si="35"/>
        <v>3.9999988107657529</v>
      </c>
      <c r="O372">
        <f t="shared" si="39"/>
        <v>3.999998810765756</v>
      </c>
      <c r="Q372">
        <f t="shared" si="36"/>
        <v>-1.8982319271998449E-8</v>
      </c>
      <c r="R372">
        <f t="shared" si="37"/>
        <v>5.2831596120128665E-7</v>
      </c>
      <c r="S372">
        <f t="shared" si="38"/>
        <v>5.2831595809266219E-7</v>
      </c>
    </row>
    <row r="373" spans="10:19" x14ac:dyDescent="0.3">
      <c r="J373">
        <v>371</v>
      </c>
      <c r="K373">
        <v>1</v>
      </c>
      <c r="L373">
        <f t="shared" ref="L373:L402" si="41">$B$2*K373*(1-EXP(-(J373-$J$42-$B$3)/$B$4)*$B$4/($B$4-$B$5)+EXP(-(J373-$J$42-$B$3)/$B$5)*$B$5/($B$4-$B$5))</f>
        <v>3.9999993767928128</v>
      </c>
      <c r="M373">
        <f t="shared" si="40"/>
        <v>3.9999993946924097</v>
      </c>
      <c r="N373">
        <f t="shared" si="35"/>
        <v>3.9999993390817123</v>
      </c>
      <c r="O373">
        <f t="shared" si="39"/>
        <v>3.999998810765756</v>
      </c>
      <c r="Q373">
        <f t="shared" si="36"/>
        <v>-1.7899596915782467E-8</v>
      </c>
      <c r="R373">
        <f t="shared" si="37"/>
        <v>3.771110046457693E-8</v>
      </c>
      <c r="S373">
        <f t="shared" si="38"/>
        <v>5.6602705678088228E-7</v>
      </c>
    </row>
    <row r="374" spans="10:19" x14ac:dyDescent="0.3">
      <c r="J374">
        <v>372</v>
      </c>
      <c r="K374">
        <v>1</v>
      </c>
      <c r="L374">
        <f t="shared" si="41"/>
        <v>3.9999994123529334</v>
      </c>
      <c r="M374">
        <f t="shared" si="40"/>
        <v>3.9999994292315342</v>
      </c>
      <c r="N374">
        <f t="shared" si="35"/>
        <v>3.9999993390817123</v>
      </c>
      <c r="O374">
        <f t="shared" si="39"/>
        <v>3.999998810765756</v>
      </c>
      <c r="Q374">
        <f t="shared" si="36"/>
        <v>-1.6878600739289595E-8</v>
      </c>
      <c r="R374">
        <f t="shared" si="37"/>
        <v>7.3271221090465133E-8</v>
      </c>
      <c r="S374">
        <f t="shared" si="38"/>
        <v>6.0158717740677048E-7</v>
      </c>
    </row>
    <row r="375" spans="10:19" x14ac:dyDescent="0.3">
      <c r="J375">
        <v>373</v>
      </c>
      <c r="K375">
        <v>1</v>
      </c>
      <c r="L375">
        <f t="shared" si="41"/>
        <v>3.9999994458847068</v>
      </c>
      <c r="M375">
        <f t="shared" si="40"/>
        <v>3.9999994618005221</v>
      </c>
      <c r="N375">
        <f t="shared" si="35"/>
        <v>3.9999993390817123</v>
      </c>
      <c r="O375">
        <f t="shared" si="39"/>
        <v>3.999998810765756</v>
      </c>
      <c r="Q375">
        <f t="shared" si="36"/>
        <v>-1.591581533233466E-8</v>
      </c>
      <c r="R375">
        <f t="shared" si="37"/>
        <v>1.0680299444842944E-7</v>
      </c>
      <c r="S375">
        <f t="shared" si="38"/>
        <v>6.3511895076473479E-7</v>
      </c>
    </row>
    <row r="376" spans="10:19" x14ac:dyDescent="0.3">
      <c r="J376">
        <v>374</v>
      </c>
      <c r="K376">
        <v>1</v>
      </c>
      <c r="L376">
        <f t="shared" si="41"/>
        <v>3.9999994775037773</v>
      </c>
      <c r="M376">
        <f t="shared" si="40"/>
        <v>3.9999994925117011</v>
      </c>
      <c r="N376">
        <f t="shared" si="35"/>
        <v>3.9999993390817123</v>
      </c>
      <c r="O376">
        <f t="shared" si="39"/>
        <v>3.999998810765756</v>
      </c>
      <c r="Q376">
        <f t="shared" si="36"/>
        <v>-1.500792379260929E-8</v>
      </c>
      <c r="R376">
        <f t="shared" si="37"/>
        <v>1.384220649214285E-7</v>
      </c>
      <c r="S376">
        <f t="shared" si="38"/>
        <v>6.6673802123773385E-7</v>
      </c>
    </row>
    <row r="377" spans="10:19" x14ac:dyDescent="0.3">
      <c r="J377">
        <v>375</v>
      </c>
      <c r="K377">
        <v>1</v>
      </c>
      <c r="L377">
        <f t="shared" si="41"/>
        <v>3.9999995073191998</v>
      </c>
      <c r="M377">
        <f t="shared" si="40"/>
        <v>3.9999995214709974</v>
      </c>
      <c r="N377">
        <f t="shared" si="35"/>
        <v>3.9999993390817123</v>
      </c>
      <c r="O377">
        <f t="shared" si="39"/>
        <v>3.999998810765756</v>
      </c>
      <c r="Q377">
        <f t="shared" si="36"/>
        <v>-1.4151797511630093E-8</v>
      </c>
      <c r="R377">
        <f t="shared" si="37"/>
        <v>1.6823748749672518E-7</v>
      </c>
      <c r="S377">
        <f t="shared" si="38"/>
        <v>6.9655344381303053E-7</v>
      </c>
    </row>
    <row r="378" spans="10:19" x14ac:dyDescent="0.3">
      <c r="J378">
        <v>376</v>
      </c>
      <c r="K378">
        <v>1</v>
      </c>
      <c r="L378">
        <f t="shared" si="41"/>
        <v>3.9999995354338154</v>
      </c>
      <c r="M378">
        <f t="shared" si="40"/>
        <v>3.9999995487783013</v>
      </c>
      <c r="N378">
        <f t="shared" si="35"/>
        <v>3.9999993390817123</v>
      </c>
      <c r="O378">
        <f t="shared" si="39"/>
        <v>3.999998810765756</v>
      </c>
      <c r="Q378">
        <f t="shared" si="36"/>
        <v>-1.3344485960686825E-8</v>
      </c>
      <c r="R378">
        <f t="shared" si="37"/>
        <v>1.9635210302126893E-7</v>
      </c>
      <c r="S378">
        <f t="shared" si="38"/>
        <v>7.2466805933757428E-7</v>
      </c>
    </row>
    <row r="379" spans="10:19" x14ac:dyDescent="0.3">
      <c r="J379">
        <v>377</v>
      </c>
      <c r="K379">
        <v>1</v>
      </c>
      <c r="L379">
        <f t="shared" si="41"/>
        <v>3.9999995619446032</v>
      </c>
      <c r="M379">
        <f t="shared" si="40"/>
        <v>3.9999995745278114</v>
      </c>
      <c r="N379">
        <f t="shared" si="35"/>
        <v>3.9999993390817123</v>
      </c>
      <c r="O379">
        <f t="shared" si="39"/>
        <v>3.999998810765756</v>
      </c>
      <c r="Q379">
        <f t="shared" si="36"/>
        <v>-1.2583208253147404E-8</v>
      </c>
      <c r="R379">
        <f t="shared" si="37"/>
        <v>2.2286289080852839E-7</v>
      </c>
      <c r="S379">
        <f t="shared" si="38"/>
        <v>7.5117884712483374E-7</v>
      </c>
    </row>
    <row r="380" spans="10:19" x14ac:dyDescent="0.3">
      <c r="J380">
        <v>378</v>
      </c>
      <c r="K380">
        <v>1</v>
      </c>
      <c r="L380">
        <f t="shared" si="41"/>
        <v>3.9999995869430172</v>
      </c>
      <c r="M380">
        <f t="shared" si="40"/>
        <v>3.9999995988083583</v>
      </c>
      <c r="N380">
        <f t="shared" si="35"/>
        <v>3.9999993390817123</v>
      </c>
      <c r="O380">
        <f t="shared" si="39"/>
        <v>3.999998810765756</v>
      </c>
      <c r="Q380">
        <f t="shared" si="36"/>
        <v>-1.1865341154049247E-8</v>
      </c>
      <c r="R380">
        <f t="shared" si="37"/>
        <v>2.4786130481402324E-7</v>
      </c>
      <c r="S380">
        <f t="shared" si="38"/>
        <v>7.7617726113032859E-7</v>
      </c>
    </row>
    <row r="381" spans="10:19" x14ac:dyDescent="0.3">
      <c r="J381">
        <v>379</v>
      </c>
      <c r="K381">
        <v>1</v>
      </c>
      <c r="L381">
        <f t="shared" si="41"/>
        <v>3.9999996105152986</v>
      </c>
      <c r="M381">
        <f t="shared" si="40"/>
        <v>3.9999996217037093</v>
      </c>
      <c r="N381">
        <f t="shared" si="35"/>
        <v>3.9999993390817123</v>
      </c>
      <c r="O381">
        <f t="shared" si="39"/>
        <v>3.999998810765756</v>
      </c>
      <c r="Q381">
        <f t="shared" si="36"/>
        <v>-1.1188410642404278E-8</v>
      </c>
      <c r="R381">
        <f t="shared" si="37"/>
        <v>2.7143358627412795E-7</v>
      </c>
      <c r="S381">
        <f t="shared" si="38"/>
        <v>7.9974954259043329E-7</v>
      </c>
    </row>
    <row r="382" spans="10:19" x14ac:dyDescent="0.3">
      <c r="J382">
        <v>380</v>
      </c>
      <c r="K382">
        <v>1</v>
      </c>
      <c r="L382">
        <f t="shared" si="41"/>
        <v>3.9999996327427736</v>
      </c>
      <c r="M382">
        <f t="shared" si="40"/>
        <v>3.9999996432928571</v>
      </c>
      <c r="N382">
        <f t="shared" si="35"/>
        <v>3.9999993390817123</v>
      </c>
      <c r="O382">
        <f t="shared" si="39"/>
        <v>3.9999996327427745</v>
      </c>
      <c r="Q382">
        <f t="shared" si="36"/>
        <v>-1.0550083473503946E-8</v>
      </c>
      <c r="R382">
        <f t="shared" si="37"/>
        <v>2.9366106124584235E-7</v>
      </c>
      <c r="S382">
        <f t="shared" si="38"/>
        <v>0</v>
      </c>
    </row>
    <row r="383" spans="10:19" x14ac:dyDescent="0.3">
      <c r="J383">
        <v>381</v>
      </c>
      <c r="K383">
        <v>1</v>
      </c>
      <c r="L383">
        <f t="shared" si="41"/>
        <v>3.9999996537021332</v>
      </c>
      <c r="M383">
        <f t="shared" si="40"/>
        <v>3.9999996636502928</v>
      </c>
      <c r="N383">
        <f t="shared" si="35"/>
        <v>3.9999996327427723</v>
      </c>
      <c r="O383">
        <f t="shared" si="39"/>
        <v>3.9999996327427745</v>
      </c>
      <c r="Q383">
        <f t="shared" si="36"/>
        <v>-9.9481596294026531E-9</v>
      </c>
      <c r="R383">
        <f t="shared" si="37"/>
        <v>2.0959360913508363E-8</v>
      </c>
      <c r="S383">
        <f t="shared" si="38"/>
        <v>2.0959358693062313E-8</v>
      </c>
    </row>
    <row r="384" spans="10:19" x14ac:dyDescent="0.3">
      <c r="J384">
        <v>382</v>
      </c>
      <c r="K384">
        <v>1</v>
      </c>
      <c r="L384">
        <f t="shared" si="41"/>
        <v>3.9999996734656973</v>
      </c>
      <c r="M384">
        <f t="shared" si="40"/>
        <v>3.9999996828462607</v>
      </c>
      <c r="N384">
        <f t="shared" ref="N384:N402" si="42">$E$2 *N374 - $E$3 *N364 + $E$4 *K333 + $E$5 * K323</f>
        <v>3.9999996327427723</v>
      </c>
      <c r="O384">
        <f t="shared" si="39"/>
        <v>3.9999996327427745</v>
      </c>
      <c r="Q384">
        <f t="shared" si="36"/>
        <v>-9.38056343713356E-9</v>
      </c>
      <c r="R384">
        <f t="shared" si="37"/>
        <v>4.0722925032099511E-8</v>
      </c>
      <c r="S384">
        <f t="shared" si="38"/>
        <v>4.0722922811653461E-8</v>
      </c>
    </row>
    <row r="385" spans="10:19" x14ac:dyDescent="0.3">
      <c r="J385">
        <v>383</v>
      </c>
      <c r="K385">
        <v>1</v>
      </c>
      <c r="L385">
        <f t="shared" si="41"/>
        <v>3.9999996921016638</v>
      </c>
      <c r="M385">
        <f t="shared" si="40"/>
        <v>3.9999997009470012</v>
      </c>
      <c r="N385">
        <f t="shared" si="42"/>
        <v>3.9999996327427723</v>
      </c>
      <c r="O385">
        <f t="shared" si="39"/>
        <v>3.9999996327427745</v>
      </c>
      <c r="Q385">
        <f t="shared" si="36"/>
        <v>-8.8453373514596478E-9</v>
      </c>
      <c r="R385">
        <f t="shared" si="37"/>
        <v>5.9358891579819328E-8</v>
      </c>
      <c r="S385">
        <f t="shared" si="38"/>
        <v>5.9358889359373279E-8</v>
      </c>
    </row>
    <row r="386" spans="10:19" x14ac:dyDescent="0.3">
      <c r="J386">
        <v>384</v>
      </c>
      <c r="K386">
        <v>1</v>
      </c>
      <c r="L386">
        <f t="shared" si="41"/>
        <v>3.9999997096743418</v>
      </c>
      <c r="M386">
        <f t="shared" si="40"/>
        <v>3.9999997180149793</v>
      </c>
      <c r="N386">
        <f t="shared" si="42"/>
        <v>3.9999996327427723</v>
      </c>
      <c r="O386">
        <f t="shared" si="39"/>
        <v>3.9999996327427745</v>
      </c>
      <c r="Q386">
        <f t="shared" si="36"/>
        <v>-8.3406375139816191E-9</v>
      </c>
      <c r="R386">
        <f t="shared" si="37"/>
        <v>7.6931569559235413E-8</v>
      </c>
      <c r="S386">
        <f t="shared" si="38"/>
        <v>7.6931567338789364E-8</v>
      </c>
    </row>
    <row r="387" spans="10:19" x14ac:dyDescent="0.3">
      <c r="J387">
        <v>385</v>
      </c>
      <c r="K387">
        <v>1</v>
      </c>
      <c r="L387">
        <f t="shared" si="41"/>
        <v>3.9999997262443756</v>
      </c>
      <c r="M387">
        <f t="shared" si="40"/>
        <v>3.9999997341090991</v>
      </c>
      <c r="N387">
        <f t="shared" si="42"/>
        <v>3.9999996327427723</v>
      </c>
      <c r="O387">
        <f t="shared" si="39"/>
        <v>3.9999996327427745</v>
      </c>
      <c r="Q387">
        <f t="shared" ref="Q387:Q402" si="43">L387-M387</f>
        <v>-7.8647235390860715E-9</v>
      </c>
      <c r="R387">
        <f t="shared" ref="R387:R401" si="44">L387-N387</f>
        <v>9.350160334875568E-8</v>
      </c>
      <c r="S387">
        <f t="shared" ref="S387:S402" si="45">L387-O387</f>
        <v>9.350160112830963E-8</v>
      </c>
    </row>
    <row r="388" spans="10:19" x14ac:dyDescent="0.3">
      <c r="J388">
        <v>386</v>
      </c>
      <c r="K388">
        <v>1</v>
      </c>
      <c r="L388">
        <f t="shared" si="41"/>
        <v>3.9999997418689532</v>
      </c>
      <c r="M388">
        <f t="shared" si="40"/>
        <v>3.9999997492849069</v>
      </c>
      <c r="N388">
        <f t="shared" si="42"/>
        <v>3.9999996327427723</v>
      </c>
      <c r="O388">
        <f t="shared" si="39"/>
        <v>3.9999996327427745</v>
      </c>
      <c r="Q388">
        <f t="shared" si="43"/>
        <v>-7.4159536289641892E-9</v>
      </c>
      <c r="R388">
        <f t="shared" si="44"/>
        <v>1.0912618098046778E-7</v>
      </c>
      <c r="S388">
        <f t="shared" si="45"/>
        <v>1.0912617876002173E-7</v>
      </c>
    </row>
    <row r="389" spans="10:19" x14ac:dyDescent="0.3">
      <c r="J389">
        <v>387</v>
      </c>
      <c r="K389">
        <v>1</v>
      </c>
      <c r="L389">
        <f t="shared" si="41"/>
        <v>3.9999997566020005</v>
      </c>
      <c r="M389">
        <f t="shared" si="40"/>
        <v>3.9999997635947819</v>
      </c>
      <c r="N389">
        <f t="shared" si="42"/>
        <v>3.9999996327427723</v>
      </c>
      <c r="O389">
        <f t="shared" si="39"/>
        <v>3.9999996327427745</v>
      </c>
      <c r="Q389">
        <f t="shared" si="43"/>
        <v>-6.9927814649872744E-9</v>
      </c>
      <c r="R389">
        <f t="shared" si="44"/>
        <v>1.2385922820712381E-7</v>
      </c>
      <c r="S389">
        <f t="shared" si="45"/>
        <v>1.2385922598667776E-7</v>
      </c>
    </row>
    <row r="390" spans="10:19" x14ac:dyDescent="0.3">
      <c r="J390">
        <v>388</v>
      </c>
      <c r="K390">
        <v>1</v>
      </c>
      <c r="L390">
        <f t="shared" si="41"/>
        <v>3.9999997704943704</v>
      </c>
      <c r="M390">
        <f t="shared" si="40"/>
        <v>3.9999997770881168</v>
      </c>
      <c r="N390">
        <f t="shared" si="42"/>
        <v>3.9999996327427723</v>
      </c>
      <c r="O390">
        <f t="shared" si="39"/>
        <v>3.9999996327427745</v>
      </c>
      <c r="Q390">
        <f t="shared" si="43"/>
        <v>-6.5937464377441302E-9</v>
      </c>
      <c r="R390">
        <f t="shared" si="44"/>
        <v>1.377515981282329E-7</v>
      </c>
      <c r="S390">
        <f t="shared" si="45"/>
        <v>1.3775159590778685E-7</v>
      </c>
    </row>
    <row r="391" spans="10:19" x14ac:dyDescent="0.3">
      <c r="J391">
        <v>389</v>
      </c>
      <c r="K391">
        <v>1</v>
      </c>
      <c r="L391">
        <f t="shared" si="41"/>
        <v>3.9999997835940149</v>
      </c>
      <c r="M391">
        <f t="shared" si="40"/>
        <v>3.999999789811489</v>
      </c>
      <c r="N391">
        <f t="shared" si="42"/>
        <v>3.9999996327427723</v>
      </c>
      <c r="O391">
        <f t="shared" si="39"/>
        <v>3.9999996327427745</v>
      </c>
      <c r="Q391">
        <f t="shared" si="43"/>
        <v>-6.2174740911302706E-9</v>
      </c>
      <c r="R391">
        <f t="shared" si="44"/>
        <v>1.5085124260849625E-7</v>
      </c>
      <c r="S391">
        <f t="shared" si="45"/>
        <v>1.508512403880502E-7</v>
      </c>
    </row>
    <row r="392" spans="10:19" x14ac:dyDescent="0.3">
      <c r="J392">
        <v>390</v>
      </c>
      <c r="K392">
        <v>1</v>
      </c>
      <c r="L392">
        <f t="shared" si="41"/>
        <v>3.9999997959461546</v>
      </c>
      <c r="M392">
        <f t="shared" si="40"/>
        <v>3.9999998018088192</v>
      </c>
      <c r="N392">
        <f t="shared" si="42"/>
        <v>3.9999996327427723</v>
      </c>
      <c r="O392">
        <f t="shared" si="39"/>
        <v>3.9999996327427745</v>
      </c>
      <c r="Q392">
        <f t="shared" si="43"/>
        <v>-5.8626645760284646E-9</v>
      </c>
      <c r="R392">
        <f t="shared" si="44"/>
        <v>1.6320338236397447E-7</v>
      </c>
      <c r="S392">
        <f t="shared" si="45"/>
        <v>1.6320338014352842E-7</v>
      </c>
    </row>
    <row r="393" spans="10:19" x14ac:dyDescent="0.3">
      <c r="J393">
        <v>391</v>
      </c>
      <c r="K393">
        <v>1</v>
      </c>
      <c r="L393">
        <f t="shared" si="41"/>
        <v>3.9999998075934289</v>
      </c>
      <c r="M393">
        <f t="shared" si="40"/>
        <v>3.9999998131215246</v>
      </c>
      <c r="N393">
        <f t="shared" si="42"/>
        <v>3.9999997959461533</v>
      </c>
      <c r="O393">
        <f t="shared" si="39"/>
        <v>3.9999996327427745</v>
      </c>
      <c r="Q393">
        <f t="shared" si="43"/>
        <v>-5.5280957589332047E-9</v>
      </c>
      <c r="R393">
        <f t="shared" si="44"/>
        <v>1.1647275588444472E-8</v>
      </c>
      <c r="S393">
        <f t="shared" si="45"/>
        <v>1.7485065439970526E-7</v>
      </c>
    </row>
    <row r="394" spans="10:19" x14ac:dyDescent="0.3">
      <c r="J394">
        <v>392</v>
      </c>
      <c r="K394">
        <v>1</v>
      </c>
      <c r="L394">
        <f t="shared" si="41"/>
        <v>3.9999998185760477</v>
      </c>
      <c r="M394">
        <f t="shared" si="40"/>
        <v>3.9999998237886607</v>
      </c>
      <c r="N394">
        <f t="shared" si="42"/>
        <v>3.9999997959461533</v>
      </c>
      <c r="O394">
        <f t="shared" si="39"/>
        <v>3.9999996327427745</v>
      </c>
      <c r="Q394">
        <f t="shared" si="43"/>
        <v>-5.2126130078988808E-9</v>
      </c>
      <c r="R394">
        <f t="shared" si="44"/>
        <v>2.2629894402825812E-8</v>
      </c>
      <c r="S394">
        <f t="shared" si="45"/>
        <v>1.858332732140866E-7</v>
      </c>
    </row>
    <row r="395" spans="10:19" x14ac:dyDescent="0.3">
      <c r="J395">
        <v>393</v>
      </c>
      <c r="K395">
        <v>1</v>
      </c>
      <c r="L395">
        <f t="shared" si="41"/>
        <v>3.9999998289319278</v>
      </c>
      <c r="M395">
        <f t="shared" si="40"/>
        <v>3.9999998338470557</v>
      </c>
      <c r="N395">
        <f t="shared" si="42"/>
        <v>3.9999997959461533</v>
      </c>
      <c r="O395">
        <f t="shared" si="39"/>
        <v>3.9999996327427745</v>
      </c>
      <c r="Q395">
        <f t="shared" si="43"/>
        <v>-4.9151278602721504E-9</v>
      </c>
      <c r="R395">
        <f t="shared" si="44"/>
        <v>3.2985774556237857E-8</v>
      </c>
      <c r="S395">
        <f t="shared" si="45"/>
        <v>1.9618915336749865E-7</v>
      </c>
    </row>
    <row r="396" spans="10:19" x14ac:dyDescent="0.3">
      <c r="J396">
        <v>394</v>
      </c>
      <c r="K396">
        <v>1</v>
      </c>
      <c r="L396">
        <f t="shared" si="41"/>
        <v>3.9999998386968239</v>
      </c>
      <c r="M396">
        <f t="shared" si="40"/>
        <v>3.9999998433314379</v>
      </c>
      <c r="N396">
        <f t="shared" si="42"/>
        <v>3.9999997959461533</v>
      </c>
      <c r="O396">
        <f t="shared" si="39"/>
        <v>3.9999996327427745</v>
      </c>
      <c r="Q396">
        <f t="shared" si="43"/>
        <v>-4.63461402588905E-9</v>
      </c>
      <c r="R396">
        <f t="shared" si="44"/>
        <v>4.2750670559144055E-8</v>
      </c>
      <c r="S396">
        <f t="shared" si="45"/>
        <v>2.0595404937040485E-7</v>
      </c>
    </row>
    <row r="397" spans="10:19" x14ac:dyDescent="0.3">
      <c r="J397">
        <v>395</v>
      </c>
      <c r="K397">
        <v>1</v>
      </c>
      <c r="L397">
        <f t="shared" si="41"/>
        <v>3.9999998479044505</v>
      </c>
      <c r="M397">
        <f t="shared" si="40"/>
        <v>3.9999998522745548</v>
      </c>
      <c r="N397">
        <f t="shared" si="42"/>
        <v>3.9999997959461533</v>
      </c>
      <c r="O397">
        <f t="shared" si="39"/>
        <v>3.9999996327427745</v>
      </c>
      <c r="Q397">
        <f t="shared" si="43"/>
        <v>-4.3701042784505262E-9</v>
      </c>
      <c r="R397">
        <f t="shared" si="44"/>
        <v>5.1958297220267013E-8</v>
      </c>
      <c r="S397">
        <f t="shared" si="45"/>
        <v>2.151616760315278E-7</v>
      </c>
    </row>
    <row r="398" spans="10:19" x14ac:dyDescent="0.3">
      <c r="J398">
        <v>396</v>
      </c>
      <c r="K398">
        <v>1</v>
      </c>
      <c r="L398">
        <f t="shared" si="41"/>
        <v>3.9999998565866015</v>
      </c>
      <c r="M398">
        <f t="shared" si="40"/>
        <v>3.9999998607072862</v>
      </c>
      <c r="N398">
        <f t="shared" si="42"/>
        <v>3.9999997959461533</v>
      </c>
      <c r="O398">
        <f t="shared" si="39"/>
        <v>3.9999996327427745</v>
      </c>
      <c r="Q398">
        <f t="shared" si="43"/>
        <v>-4.1206846823627075E-9</v>
      </c>
      <c r="R398">
        <f t="shared" si="44"/>
        <v>6.0640448218407528E-8</v>
      </c>
      <c r="S398">
        <f t="shared" si="45"/>
        <v>2.2384382702966832E-7</v>
      </c>
    </row>
    <row r="399" spans="10:19" x14ac:dyDescent="0.3">
      <c r="J399">
        <v>397</v>
      </c>
      <c r="K399">
        <v>1</v>
      </c>
      <c r="L399">
        <f t="shared" si="41"/>
        <v>3.9999998647732564</v>
      </c>
      <c r="M399">
        <f t="shared" si="40"/>
        <v>3.9999998686587515</v>
      </c>
      <c r="N399">
        <f t="shared" si="42"/>
        <v>3.9999997959461533</v>
      </c>
      <c r="O399">
        <f t="shared" si="39"/>
        <v>3.9999996327427745</v>
      </c>
      <c r="Q399">
        <f t="shared" si="43"/>
        <v>-3.8854950368261143E-9</v>
      </c>
      <c r="R399">
        <f t="shared" si="44"/>
        <v>6.8827103127944156E-8</v>
      </c>
      <c r="S399">
        <f t="shared" si="45"/>
        <v>2.3203048193920495E-7</v>
      </c>
    </row>
    <row r="400" spans="10:19" x14ac:dyDescent="0.3">
      <c r="J400">
        <v>398</v>
      </c>
      <c r="K400">
        <v>1</v>
      </c>
      <c r="L400">
        <f t="shared" si="41"/>
        <v>3.9999998724926855</v>
      </c>
      <c r="M400">
        <f t="shared" si="40"/>
        <v>3.9999998761564095</v>
      </c>
      <c r="N400">
        <f t="shared" si="42"/>
        <v>3.9999997959461533</v>
      </c>
      <c r="O400">
        <f t="shared" si="39"/>
        <v>3.9999996327427745</v>
      </c>
      <c r="Q400">
        <f t="shared" si="43"/>
        <v>-3.6637239908543506E-9</v>
      </c>
      <c r="R400">
        <f t="shared" si="44"/>
        <v>7.6546532223886743E-8</v>
      </c>
      <c r="S400">
        <f t="shared" si="45"/>
        <v>2.3974991103514753E-7</v>
      </c>
    </row>
    <row r="401" spans="10:19" x14ac:dyDescent="0.3">
      <c r="J401">
        <v>399</v>
      </c>
      <c r="K401">
        <v>1</v>
      </c>
      <c r="L401">
        <f t="shared" si="41"/>
        <v>3.9999998797715461</v>
      </c>
      <c r="M401">
        <f t="shared" si="40"/>
        <v>3.9999998832261525</v>
      </c>
      <c r="N401">
        <f t="shared" si="42"/>
        <v>3.9999997959461533</v>
      </c>
      <c r="O401">
        <f t="shared" si="39"/>
        <v>3.9999996327427745</v>
      </c>
      <c r="Q401">
        <f t="shared" si="43"/>
        <v>-3.4546063787388448E-9</v>
      </c>
      <c r="R401">
        <f t="shared" si="44"/>
        <v>8.3825392849234959E-8</v>
      </c>
      <c r="S401">
        <f t="shared" si="45"/>
        <v>2.4702877166049575E-7</v>
      </c>
    </row>
    <row r="402" spans="10:19" x14ac:dyDescent="0.3">
      <c r="J402">
        <v>400</v>
      </c>
      <c r="K402">
        <v>1</v>
      </c>
      <c r="L402">
        <f t="shared" si="41"/>
        <v>3.9999998866349755</v>
      </c>
      <c r="M402">
        <f t="shared" si="40"/>
        <v>3.9999998898923965</v>
      </c>
      <c r="N402">
        <f t="shared" si="42"/>
        <v>3.9999997959461533</v>
      </c>
      <c r="O402">
        <f t="shared" si="39"/>
        <v>3.9999998866349764</v>
      </c>
      <c r="Q402">
        <f t="shared" si="43"/>
        <v>-3.2574209996028003E-9</v>
      </c>
      <c r="R402">
        <f>L402-N402</f>
        <v>9.0688822229623156E-8</v>
      </c>
      <c r="S402">
        <f t="shared" si="45"/>
        <v>0</v>
      </c>
    </row>
  </sheetData>
  <mergeCells count="1">
    <mergeCell ref="A1:B1"/>
  </mergeCells>
  <pageMargins left="0.7" right="0.7" top="0.75" bottom="0.75" header="0.3" footer="0.3"/>
  <pageSetup paperSize="0" orientation="portrait" horizontalDpi="0" verticalDpi="0" copie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3C52-E25B-4002-B04C-7A339F303188}">
  <dimension ref="A1:R159"/>
  <sheetViews>
    <sheetView workbookViewId="0">
      <selection activeCell="J11" sqref="J11"/>
    </sheetView>
  </sheetViews>
  <sheetFormatPr defaultRowHeight="14.4" x14ac:dyDescent="0.3"/>
  <sheetData>
    <row r="1" spans="1:18" x14ac:dyDescent="0.3">
      <c r="A1" s="43" t="s">
        <v>22</v>
      </c>
      <c r="B1" s="43"/>
      <c r="D1" s="43" t="s">
        <v>26</v>
      </c>
      <c r="E1" s="43"/>
      <c r="F1" s="43"/>
      <c r="G1" s="43" t="s">
        <v>28</v>
      </c>
      <c r="H1" s="43"/>
      <c r="I1" s="43"/>
    </row>
    <row r="2" spans="1:18" x14ac:dyDescent="0.3">
      <c r="A2" t="s">
        <v>23</v>
      </c>
      <c r="B2">
        <v>6</v>
      </c>
      <c r="C2" s="11" t="s">
        <v>27</v>
      </c>
      <c r="D2" s="10">
        <v>1</v>
      </c>
      <c r="E2">
        <v>5</v>
      </c>
      <c r="F2" s="9">
        <v>10</v>
      </c>
      <c r="G2">
        <v>1</v>
      </c>
      <c r="H2">
        <v>5</v>
      </c>
      <c r="I2" s="9">
        <v>10</v>
      </c>
    </row>
    <row r="3" spans="1:18" x14ac:dyDescent="0.3">
      <c r="A3" t="s">
        <v>24</v>
      </c>
      <c r="B3">
        <v>20</v>
      </c>
      <c r="C3" s="11" t="s">
        <v>29</v>
      </c>
      <c r="D3" s="10">
        <f>$B$2*(1+$B$4)</f>
        <v>36</v>
      </c>
      <c r="E3">
        <f>$B$2*(1+$B$4)</f>
        <v>36</v>
      </c>
      <c r="F3" s="9">
        <f>$B$2*(1+$B$4)</f>
        <v>36</v>
      </c>
      <c r="G3">
        <f>$B$2*(1+G$2/(2*$B$3)+$B$4/G$2)</f>
        <v>36.150000000000006</v>
      </c>
      <c r="H3">
        <f>$B$2*(1+H$2/(2*$B$3)+$B$4/H$2)</f>
        <v>12.75</v>
      </c>
      <c r="I3" s="9">
        <f>$B$2*(1+I$2/(2*$B$3)+$B$4/I$2)</f>
        <v>10.5</v>
      </c>
    </row>
    <row r="4" spans="1:18" x14ac:dyDescent="0.3">
      <c r="A4" t="s">
        <v>25</v>
      </c>
      <c r="B4">
        <v>5</v>
      </c>
      <c r="C4" s="11" t="s">
        <v>30</v>
      </c>
      <c r="D4" s="10">
        <f>$B$2*(D$2/$B$3-1-2*$B$4)</f>
        <v>-65.699999999999989</v>
      </c>
      <c r="E4">
        <f>$B$2*(E$2/$B$3-1-2*$B$4)</f>
        <v>-64.5</v>
      </c>
      <c r="F4" s="9">
        <f>$B$2*(F$2/$B$3-1-2*$B$4)</f>
        <v>-63</v>
      </c>
      <c r="G4">
        <f>$B$2*(G$2/(2*$B$3)-1-2*$B$4/G$2)</f>
        <v>-65.849999999999994</v>
      </c>
      <c r="H4">
        <f>$B$2*(H$2/(2*$B$3)-1-2*$B$4/H$2)</f>
        <v>-17.25</v>
      </c>
      <c r="I4" s="9">
        <f>$B$2*(I$2/(2*$B$3)-1-2*$B$4/I$2)</f>
        <v>-10.5</v>
      </c>
    </row>
    <row r="5" spans="1:18" x14ac:dyDescent="0.3">
      <c r="C5" s="11" t="s">
        <v>31</v>
      </c>
      <c r="D5" s="12">
        <f>$B$2*$B$4</f>
        <v>30</v>
      </c>
      <c r="E5" s="13">
        <f>$B$2*$B$4</f>
        <v>30</v>
      </c>
      <c r="F5" s="14">
        <f>$B$2*$B$4</f>
        <v>30</v>
      </c>
      <c r="G5" s="13">
        <f>($B$2 * $B$4)/G2</f>
        <v>30</v>
      </c>
      <c r="H5" s="13">
        <f>($B$2 * $B$4)/H2</f>
        <v>6</v>
      </c>
      <c r="I5" s="14">
        <f>($B$2 * $B$4)/I2</f>
        <v>3</v>
      </c>
    </row>
    <row r="7" spans="1:18" x14ac:dyDescent="0.3">
      <c r="C7" s="42" t="s">
        <v>26</v>
      </c>
      <c r="D7" s="42"/>
      <c r="E7" s="42"/>
      <c r="F7" s="42" t="s">
        <v>28</v>
      </c>
      <c r="G7" s="42"/>
      <c r="H7" s="42"/>
      <c r="M7" s="42" t="s">
        <v>26</v>
      </c>
      <c r="N7" s="42"/>
      <c r="O7" s="42"/>
      <c r="P7" s="42" t="s">
        <v>28</v>
      </c>
      <c r="Q7" s="42"/>
      <c r="R7" s="42"/>
    </row>
    <row r="8" spans="1:18" x14ac:dyDescent="0.3">
      <c r="A8" t="s">
        <v>32</v>
      </c>
      <c r="B8" t="s">
        <v>33</v>
      </c>
      <c r="C8" t="s">
        <v>34</v>
      </c>
      <c r="D8" t="s">
        <v>35</v>
      </c>
      <c r="E8" t="s">
        <v>36</v>
      </c>
      <c r="F8" t="s">
        <v>34</v>
      </c>
      <c r="G8" t="s">
        <v>35</v>
      </c>
      <c r="H8" t="s">
        <v>36</v>
      </c>
      <c r="L8" t="s">
        <v>33</v>
      </c>
      <c r="M8" t="s">
        <v>34</v>
      </c>
      <c r="N8" t="s">
        <v>35</v>
      </c>
      <c r="O8" t="s">
        <v>36</v>
      </c>
      <c r="P8" t="s">
        <v>34</v>
      </c>
      <c r="Q8" t="s">
        <v>35</v>
      </c>
      <c r="R8" t="s">
        <v>36</v>
      </c>
    </row>
    <row r="9" spans="1:1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v>2</v>
      </c>
      <c r="B11">
        <v>0</v>
      </c>
      <c r="C11">
        <f>C10+D$3*$B11+D$4*$B10+D$5*$B9</f>
        <v>0</v>
      </c>
      <c r="D11">
        <v>0</v>
      </c>
      <c r="E11">
        <v>0</v>
      </c>
      <c r="F11">
        <f>F10+G$3*$B11+G$4*$B10+G$5*$B9</f>
        <v>0</v>
      </c>
      <c r="G11">
        <v>0</v>
      </c>
      <c r="H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v>3</v>
      </c>
      <c r="B12">
        <v>0</v>
      </c>
      <c r="C12">
        <f t="shared" ref="C12:C75" si="0">C11+D$3*$B12+D$4*$B11+D$5*$B10</f>
        <v>0</v>
      </c>
      <c r="D12">
        <v>0</v>
      </c>
      <c r="E12">
        <v>0</v>
      </c>
      <c r="F12">
        <f t="shared" ref="F12:F75" si="1">F11+G$3*$B12+G$4*$B11+G$5*$B10</f>
        <v>0</v>
      </c>
      <c r="G12">
        <v>0</v>
      </c>
      <c r="H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v>4</v>
      </c>
      <c r="B13">
        <v>0</v>
      </c>
      <c r="C13">
        <f t="shared" si="0"/>
        <v>0</v>
      </c>
      <c r="D13">
        <v>0</v>
      </c>
      <c r="E13">
        <v>0</v>
      </c>
      <c r="F13">
        <f t="shared" si="1"/>
        <v>0</v>
      </c>
      <c r="G13">
        <v>0</v>
      </c>
      <c r="H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v>5</v>
      </c>
      <c r="B14">
        <v>0</v>
      </c>
      <c r="C14">
        <f t="shared" si="0"/>
        <v>0</v>
      </c>
      <c r="D14">
        <v>0</v>
      </c>
      <c r="E14">
        <v>0</v>
      </c>
      <c r="F14">
        <f t="shared" si="1"/>
        <v>0</v>
      </c>
      <c r="G14">
        <v>0</v>
      </c>
      <c r="H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v>6</v>
      </c>
      <c r="B15">
        <v>0</v>
      </c>
      <c r="C15">
        <f t="shared" si="0"/>
        <v>0</v>
      </c>
      <c r="D15">
        <v>0</v>
      </c>
      <c r="E15">
        <v>0</v>
      </c>
      <c r="F15">
        <f t="shared" si="1"/>
        <v>0</v>
      </c>
      <c r="G15">
        <v>0</v>
      </c>
      <c r="H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v>7</v>
      </c>
      <c r="B16">
        <v>0</v>
      </c>
      <c r="C16">
        <f t="shared" si="0"/>
        <v>0</v>
      </c>
      <c r="D16">
        <v>0</v>
      </c>
      <c r="E16">
        <v>0</v>
      </c>
      <c r="F16">
        <f t="shared" si="1"/>
        <v>0</v>
      </c>
      <c r="G16">
        <v>0</v>
      </c>
      <c r="H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v>8</v>
      </c>
      <c r="B17">
        <v>0</v>
      </c>
      <c r="C17">
        <f t="shared" si="0"/>
        <v>0</v>
      </c>
      <c r="D17">
        <v>0</v>
      </c>
      <c r="E17">
        <v>0</v>
      </c>
      <c r="F17">
        <f t="shared" si="1"/>
        <v>0</v>
      </c>
      <c r="G17">
        <v>0</v>
      </c>
      <c r="H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v>9</v>
      </c>
      <c r="B18">
        <v>0</v>
      </c>
      <c r="C18">
        <f t="shared" si="0"/>
        <v>0</v>
      </c>
      <c r="D18">
        <v>0</v>
      </c>
      <c r="E18">
        <v>0</v>
      </c>
      <c r="F18">
        <f t="shared" si="1"/>
        <v>0</v>
      </c>
      <c r="G18">
        <v>0</v>
      </c>
      <c r="H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v>10</v>
      </c>
      <c r="B19">
        <v>0</v>
      </c>
      <c r="C19">
        <f t="shared" si="0"/>
        <v>0</v>
      </c>
      <c r="D19">
        <f>D14+E$3*$B19+E$4*$B14+E$5*$B9</f>
        <v>0</v>
      </c>
      <c r="E19">
        <v>0</v>
      </c>
      <c r="F19">
        <f t="shared" si="1"/>
        <v>0</v>
      </c>
      <c r="G19">
        <f>G14+H$3*$B19+H$4*$B14+H$5*$B9</f>
        <v>0</v>
      </c>
      <c r="H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v>11</v>
      </c>
      <c r="B20">
        <v>0</v>
      </c>
      <c r="C20">
        <f t="shared" si="0"/>
        <v>0</v>
      </c>
      <c r="D20">
        <f t="shared" ref="D20:D83" si="2">D15+E$3*$B20+E$4*$B15+E$5*$B10</f>
        <v>0</v>
      </c>
      <c r="E20">
        <v>0</v>
      </c>
      <c r="F20">
        <f t="shared" si="1"/>
        <v>0</v>
      </c>
      <c r="G20">
        <f t="shared" ref="G20:G83" si="3">G15+H$3*$B20+H$4*$B15+H$5*$B10</f>
        <v>0</v>
      </c>
      <c r="H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v>12</v>
      </c>
      <c r="B21">
        <v>0</v>
      </c>
      <c r="C21">
        <f t="shared" si="0"/>
        <v>0</v>
      </c>
      <c r="D21">
        <f t="shared" si="2"/>
        <v>0</v>
      </c>
      <c r="E21">
        <v>0</v>
      </c>
      <c r="F21">
        <f t="shared" si="1"/>
        <v>0</v>
      </c>
      <c r="G21">
        <f t="shared" si="3"/>
        <v>0</v>
      </c>
      <c r="H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v>13</v>
      </c>
      <c r="B22">
        <v>0</v>
      </c>
      <c r="C22">
        <f t="shared" si="0"/>
        <v>0</v>
      </c>
      <c r="D22">
        <f t="shared" si="2"/>
        <v>0</v>
      </c>
      <c r="E22">
        <v>0</v>
      </c>
      <c r="F22">
        <f t="shared" si="1"/>
        <v>0</v>
      </c>
      <c r="G22">
        <f t="shared" si="3"/>
        <v>0</v>
      </c>
      <c r="H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v>14</v>
      </c>
      <c r="B23">
        <v>0</v>
      </c>
      <c r="C23">
        <f t="shared" si="0"/>
        <v>0</v>
      </c>
      <c r="D23">
        <f t="shared" si="2"/>
        <v>0</v>
      </c>
      <c r="E23">
        <v>0</v>
      </c>
      <c r="F23">
        <f t="shared" si="1"/>
        <v>0</v>
      </c>
      <c r="G23">
        <f t="shared" si="3"/>
        <v>0</v>
      </c>
      <c r="H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v>15</v>
      </c>
      <c r="B24">
        <v>0</v>
      </c>
      <c r="C24">
        <f t="shared" si="0"/>
        <v>0</v>
      </c>
      <c r="D24">
        <f t="shared" si="2"/>
        <v>0</v>
      </c>
      <c r="E24">
        <v>0</v>
      </c>
      <c r="F24">
        <f t="shared" si="1"/>
        <v>0</v>
      </c>
      <c r="G24">
        <f t="shared" si="3"/>
        <v>0</v>
      </c>
      <c r="H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v>16</v>
      </c>
      <c r="B25">
        <v>0</v>
      </c>
      <c r="C25">
        <f t="shared" si="0"/>
        <v>0</v>
      </c>
      <c r="D25">
        <f t="shared" si="2"/>
        <v>0</v>
      </c>
      <c r="E25">
        <v>0</v>
      </c>
      <c r="F25">
        <f t="shared" si="1"/>
        <v>0</v>
      </c>
      <c r="G25">
        <f t="shared" si="3"/>
        <v>0</v>
      </c>
      <c r="H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v>17</v>
      </c>
      <c r="B26">
        <v>0</v>
      </c>
      <c r="C26">
        <f t="shared" si="0"/>
        <v>0</v>
      </c>
      <c r="D26">
        <f t="shared" si="2"/>
        <v>0</v>
      </c>
      <c r="E26">
        <v>0</v>
      </c>
      <c r="F26">
        <f t="shared" si="1"/>
        <v>0</v>
      </c>
      <c r="G26">
        <f t="shared" si="3"/>
        <v>0</v>
      </c>
      <c r="H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v>18</v>
      </c>
      <c r="B27">
        <v>0</v>
      </c>
      <c r="C27">
        <f t="shared" si="0"/>
        <v>0</v>
      </c>
      <c r="D27">
        <f t="shared" si="2"/>
        <v>0</v>
      </c>
      <c r="E27">
        <v>0</v>
      </c>
      <c r="F27">
        <f t="shared" si="1"/>
        <v>0</v>
      </c>
      <c r="G27">
        <f t="shared" si="3"/>
        <v>0</v>
      </c>
      <c r="H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v>19</v>
      </c>
      <c r="B28">
        <v>0</v>
      </c>
      <c r="C28">
        <f t="shared" si="0"/>
        <v>0</v>
      </c>
      <c r="D28">
        <f t="shared" si="2"/>
        <v>0</v>
      </c>
      <c r="E28">
        <v>0</v>
      </c>
      <c r="F28">
        <f t="shared" si="1"/>
        <v>0</v>
      </c>
      <c r="G28">
        <f t="shared" si="3"/>
        <v>0</v>
      </c>
      <c r="H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v>20</v>
      </c>
      <c r="B29">
        <v>0</v>
      </c>
      <c r="C29">
        <f t="shared" si="0"/>
        <v>0</v>
      </c>
      <c r="D29">
        <f t="shared" si="2"/>
        <v>0</v>
      </c>
      <c r="E29">
        <f>E19+F$3*$B29+F$4*$B19+F$5*$B9</f>
        <v>0</v>
      </c>
      <c r="F29">
        <f t="shared" si="1"/>
        <v>0</v>
      </c>
      <c r="G29">
        <f t="shared" si="3"/>
        <v>0</v>
      </c>
      <c r="H29">
        <f>H19+I$3*$B29+I$4*$B19+I$5*$B9</f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v>21</v>
      </c>
      <c r="B30">
        <v>0</v>
      </c>
      <c r="C30">
        <f t="shared" si="0"/>
        <v>0</v>
      </c>
      <c r="D30">
        <f t="shared" si="2"/>
        <v>0</v>
      </c>
      <c r="E30">
        <f t="shared" ref="E30:E93" si="4">E20+F$3*$B30+F$4*$B20+F$5*$B10</f>
        <v>0</v>
      </c>
      <c r="F30">
        <f t="shared" si="1"/>
        <v>0</v>
      </c>
      <c r="G30">
        <f t="shared" si="3"/>
        <v>0</v>
      </c>
      <c r="H30">
        <f t="shared" ref="H30:H93" si="5">H20+I$3*$B30+I$4*$B20+I$5*$B10</f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v>22</v>
      </c>
      <c r="B31">
        <v>0</v>
      </c>
      <c r="C31">
        <f t="shared" si="0"/>
        <v>0</v>
      </c>
      <c r="D31">
        <f t="shared" si="2"/>
        <v>0</v>
      </c>
      <c r="E31">
        <f t="shared" si="4"/>
        <v>0</v>
      </c>
      <c r="F31">
        <f t="shared" si="1"/>
        <v>0</v>
      </c>
      <c r="G31">
        <f t="shared" si="3"/>
        <v>0</v>
      </c>
      <c r="H31">
        <f t="shared" si="5"/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v>23</v>
      </c>
      <c r="B32">
        <v>0</v>
      </c>
      <c r="C32">
        <f t="shared" si="0"/>
        <v>0</v>
      </c>
      <c r="D32">
        <f t="shared" si="2"/>
        <v>0</v>
      </c>
      <c r="E32">
        <f t="shared" si="4"/>
        <v>0</v>
      </c>
      <c r="F32">
        <f t="shared" si="1"/>
        <v>0</v>
      </c>
      <c r="G32">
        <f t="shared" si="3"/>
        <v>0</v>
      </c>
      <c r="H32">
        <f t="shared" si="5"/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v>24</v>
      </c>
      <c r="B33">
        <v>0</v>
      </c>
      <c r="C33">
        <f t="shared" si="0"/>
        <v>0</v>
      </c>
      <c r="D33">
        <f t="shared" si="2"/>
        <v>0</v>
      </c>
      <c r="E33">
        <f t="shared" si="4"/>
        <v>0</v>
      </c>
      <c r="F33">
        <f t="shared" si="1"/>
        <v>0</v>
      </c>
      <c r="G33">
        <f t="shared" si="3"/>
        <v>0</v>
      </c>
      <c r="H33">
        <f t="shared" si="5"/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v>25</v>
      </c>
      <c r="B34">
        <v>0</v>
      </c>
      <c r="C34">
        <f t="shared" si="0"/>
        <v>0</v>
      </c>
      <c r="D34">
        <f t="shared" si="2"/>
        <v>0</v>
      </c>
      <c r="E34">
        <f t="shared" si="4"/>
        <v>0</v>
      </c>
      <c r="F34">
        <f t="shared" si="1"/>
        <v>0</v>
      </c>
      <c r="G34">
        <f t="shared" si="3"/>
        <v>0</v>
      </c>
      <c r="H34">
        <f t="shared" si="5"/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v>26</v>
      </c>
      <c r="B35">
        <v>0</v>
      </c>
      <c r="C35">
        <f t="shared" si="0"/>
        <v>0</v>
      </c>
      <c r="D35">
        <f t="shared" si="2"/>
        <v>0</v>
      </c>
      <c r="E35">
        <f t="shared" si="4"/>
        <v>0</v>
      </c>
      <c r="F35">
        <f t="shared" si="1"/>
        <v>0</v>
      </c>
      <c r="G35">
        <f t="shared" si="3"/>
        <v>0</v>
      </c>
      <c r="H35">
        <f t="shared" si="5"/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v>27</v>
      </c>
      <c r="B36">
        <v>0</v>
      </c>
      <c r="C36">
        <f t="shared" si="0"/>
        <v>0</v>
      </c>
      <c r="D36">
        <f t="shared" si="2"/>
        <v>0</v>
      </c>
      <c r="E36">
        <f t="shared" si="4"/>
        <v>0</v>
      </c>
      <c r="F36">
        <f t="shared" si="1"/>
        <v>0</v>
      </c>
      <c r="G36">
        <f t="shared" si="3"/>
        <v>0</v>
      </c>
      <c r="H36">
        <f t="shared" si="5"/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v>28</v>
      </c>
      <c r="B37">
        <v>0</v>
      </c>
      <c r="C37">
        <f t="shared" si="0"/>
        <v>0</v>
      </c>
      <c r="D37">
        <f t="shared" si="2"/>
        <v>0</v>
      </c>
      <c r="E37">
        <f t="shared" si="4"/>
        <v>0</v>
      </c>
      <c r="F37">
        <f t="shared" si="1"/>
        <v>0</v>
      </c>
      <c r="G37">
        <f t="shared" si="3"/>
        <v>0</v>
      </c>
      <c r="H37">
        <f t="shared" si="5"/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v>29</v>
      </c>
      <c r="B38">
        <v>0</v>
      </c>
      <c r="C38">
        <f t="shared" si="0"/>
        <v>0</v>
      </c>
      <c r="D38">
        <f t="shared" si="2"/>
        <v>0</v>
      </c>
      <c r="E38">
        <f t="shared" si="4"/>
        <v>0</v>
      </c>
      <c r="F38">
        <f t="shared" si="1"/>
        <v>0</v>
      </c>
      <c r="G38">
        <f t="shared" si="3"/>
        <v>0</v>
      </c>
      <c r="H38">
        <f t="shared" si="5"/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v>30</v>
      </c>
      <c r="B39">
        <v>0</v>
      </c>
      <c r="C39">
        <f t="shared" si="0"/>
        <v>0</v>
      </c>
      <c r="D39">
        <f t="shared" si="2"/>
        <v>0</v>
      </c>
      <c r="E39">
        <f t="shared" si="4"/>
        <v>0</v>
      </c>
      <c r="F39">
        <f t="shared" si="1"/>
        <v>0</v>
      </c>
      <c r="G39">
        <f t="shared" si="3"/>
        <v>0</v>
      </c>
      <c r="H39">
        <f t="shared" si="5"/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v>31</v>
      </c>
      <c r="B40">
        <v>0</v>
      </c>
      <c r="C40">
        <f t="shared" si="0"/>
        <v>0</v>
      </c>
      <c r="D40">
        <f t="shared" si="2"/>
        <v>0</v>
      </c>
      <c r="E40">
        <f t="shared" si="4"/>
        <v>0</v>
      </c>
      <c r="F40">
        <f t="shared" si="1"/>
        <v>0</v>
      </c>
      <c r="G40">
        <f t="shared" si="3"/>
        <v>0</v>
      </c>
      <c r="H40">
        <f t="shared" si="5"/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v>32</v>
      </c>
      <c r="B41">
        <v>0</v>
      </c>
      <c r="C41">
        <f t="shared" si="0"/>
        <v>0</v>
      </c>
      <c r="D41">
        <f t="shared" si="2"/>
        <v>0</v>
      </c>
      <c r="E41">
        <f t="shared" si="4"/>
        <v>0</v>
      </c>
      <c r="F41">
        <f t="shared" si="1"/>
        <v>0</v>
      </c>
      <c r="G41">
        <f t="shared" si="3"/>
        <v>0</v>
      </c>
      <c r="H41">
        <f t="shared" si="5"/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v>33</v>
      </c>
      <c r="B42">
        <v>0</v>
      </c>
      <c r="C42">
        <f t="shared" si="0"/>
        <v>0</v>
      </c>
      <c r="D42">
        <f t="shared" si="2"/>
        <v>0</v>
      </c>
      <c r="E42">
        <f t="shared" si="4"/>
        <v>0</v>
      </c>
      <c r="F42">
        <f t="shared" si="1"/>
        <v>0</v>
      </c>
      <c r="G42">
        <f t="shared" si="3"/>
        <v>0</v>
      </c>
      <c r="H42">
        <f t="shared" si="5"/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v>34</v>
      </c>
      <c r="B43">
        <v>0</v>
      </c>
      <c r="C43">
        <f t="shared" si="0"/>
        <v>0</v>
      </c>
      <c r="D43">
        <f t="shared" si="2"/>
        <v>0</v>
      </c>
      <c r="E43">
        <f t="shared" si="4"/>
        <v>0</v>
      </c>
      <c r="F43">
        <f t="shared" si="1"/>
        <v>0</v>
      </c>
      <c r="G43">
        <f t="shared" si="3"/>
        <v>0</v>
      </c>
      <c r="H43">
        <f t="shared" si="5"/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v>35</v>
      </c>
      <c r="B44">
        <v>0</v>
      </c>
      <c r="C44">
        <f t="shared" si="0"/>
        <v>0</v>
      </c>
      <c r="D44">
        <f t="shared" si="2"/>
        <v>0</v>
      </c>
      <c r="E44">
        <f t="shared" si="4"/>
        <v>0</v>
      </c>
      <c r="F44">
        <f t="shared" si="1"/>
        <v>0</v>
      </c>
      <c r="G44">
        <f t="shared" si="3"/>
        <v>0</v>
      </c>
      <c r="H44">
        <f t="shared" si="5"/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v>36</v>
      </c>
      <c r="B45">
        <v>0</v>
      </c>
      <c r="C45">
        <f t="shared" si="0"/>
        <v>0</v>
      </c>
      <c r="D45">
        <f t="shared" si="2"/>
        <v>0</v>
      </c>
      <c r="E45">
        <f t="shared" si="4"/>
        <v>0</v>
      </c>
      <c r="F45">
        <f t="shared" si="1"/>
        <v>0</v>
      </c>
      <c r="G45">
        <f t="shared" si="3"/>
        <v>0</v>
      </c>
      <c r="H45">
        <f t="shared" si="5"/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v>37</v>
      </c>
      <c r="B46">
        <v>0</v>
      </c>
      <c r="C46">
        <f t="shared" si="0"/>
        <v>0</v>
      </c>
      <c r="D46">
        <f t="shared" si="2"/>
        <v>0</v>
      </c>
      <c r="E46">
        <f t="shared" si="4"/>
        <v>0</v>
      </c>
      <c r="F46">
        <f t="shared" si="1"/>
        <v>0</v>
      </c>
      <c r="G46">
        <f t="shared" si="3"/>
        <v>0</v>
      </c>
      <c r="H46">
        <f t="shared" si="5"/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v>38</v>
      </c>
      <c r="B47">
        <v>0</v>
      </c>
      <c r="C47">
        <f t="shared" si="0"/>
        <v>0</v>
      </c>
      <c r="D47">
        <f t="shared" si="2"/>
        <v>0</v>
      </c>
      <c r="E47">
        <f t="shared" si="4"/>
        <v>0</v>
      </c>
      <c r="F47">
        <f t="shared" si="1"/>
        <v>0</v>
      </c>
      <c r="G47">
        <f t="shared" si="3"/>
        <v>0</v>
      </c>
      <c r="H47">
        <f t="shared" si="5"/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v>39</v>
      </c>
      <c r="B48">
        <v>0</v>
      </c>
      <c r="C48">
        <f t="shared" si="0"/>
        <v>0</v>
      </c>
      <c r="D48">
        <f t="shared" si="2"/>
        <v>0</v>
      </c>
      <c r="E48">
        <f t="shared" si="4"/>
        <v>0</v>
      </c>
      <c r="F48">
        <f t="shared" si="1"/>
        <v>0</v>
      </c>
      <c r="G48">
        <f t="shared" si="3"/>
        <v>0</v>
      </c>
      <c r="H48">
        <f t="shared" si="5"/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v>40</v>
      </c>
      <c r="B49">
        <v>1</v>
      </c>
      <c r="C49">
        <f t="shared" si="0"/>
        <v>36</v>
      </c>
      <c r="D49">
        <f t="shared" si="2"/>
        <v>36</v>
      </c>
      <c r="E49">
        <f t="shared" si="4"/>
        <v>36</v>
      </c>
      <c r="F49">
        <f t="shared" si="1"/>
        <v>36.150000000000006</v>
      </c>
      <c r="G49">
        <f t="shared" si="3"/>
        <v>12.75</v>
      </c>
      <c r="H49">
        <f t="shared" si="5"/>
        <v>10.5</v>
      </c>
      <c r="L49">
        <v>1</v>
      </c>
      <c r="M49">
        <f t="shared" ref="M49:R49" ca="1" si="6">IF(MOD($A49,D$2)=0,OFFSET(M49,-D$2,0)+ D$3* $B49+D$4*OFFSET($B49,-D$2,0)+ D$5*OFFSET($B49,-2* D$2,0), M48)</f>
        <v>36</v>
      </c>
      <c r="N49">
        <f t="shared" ca="1" si="6"/>
        <v>36</v>
      </c>
      <c r="O49">
        <f t="shared" ca="1" si="6"/>
        <v>36</v>
      </c>
      <c r="P49">
        <f t="shared" ca="1" si="6"/>
        <v>36.150000000000006</v>
      </c>
      <c r="Q49">
        <f t="shared" ca="1" si="6"/>
        <v>12.75</v>
      </c>
      <c r="R49">
        <f t="shared" ca="1" si="6"/>
        <v>10.5</v>
      </c>
    </row>
    <row r="50" spans="1:18" x14ac:dyDescent="0.3">
      <c r="A50">
        <v>41</v>
      </c>
      <c r="B50">
        <v>1</v>
      </c>
      <c r="C50">
        <f t="shared" si="0"/>
        <v>6.3000000000000114</v>
      </c>
      <c r="D50">
        <f t="shared" si="2"/>
        <v>36</v>
      </c>
      <c r="E50">
        <f t="shared" si="4"/>
        <v>36</v>
      </c>
      <c r="F50">
        <f t="shared" si="1"/>
        <v>6.4500000000000171</v>
      </c>
      <c r="G50">
        <f t="shared" si="3"/>
        <v>12.75</v>
      </c>
      <c r="H50">
        <f t="shared" si="5"/>
        <v>10.5</v>
      </c>
      <c r="L50">
        <v>1</v>
      </c>
      <c r="M50">
        <f t="shared" ref="M50:M113" ca="1" si="7">IF(MOD($A50,D$2)=0,OFFSET(M50,-D$2,0)+ D$3* $B50+D$4*OFFSET($B50,-D$2,0)+ D$5*OFFSET($B50,-2* D$2,0), M49)</f>
        <v>6.3000000000000114</v>
      </c>
      <c r="N50">
        <f t="shared" ref="N50:N113" ca="1" si="8">IF(MOD($A50,E$2)=0,OFFSET(N50,-E$2,0)+ E$3* $B50+E$4*OFFSET($B50,-E$2,0)+ E$5*OFFSET($B50,-2* E$2,0), N49)</f>
        <v>36</v>
      </c>
      <c r="O50">
        <f t="shared" ref="O50:O113" ca="1" si="9">IF(MOD($A50,F$2)=0,OFFSET(O50,-F$2,0)+ F$3* $B50+F$4*OFFSET($B50,-F$2,0)+ F$5*OFFSET($B50,-2* F$2,0), O49)</f>
        <v>36</v>
      </c>
      <c r="P50">
        <f t="shared" ref="P50:P113" ca="1" si="10">IF(MOD($A50,G$2)=0,OFFSET(P50,-G$2,0)+ G$3* $B50+G$4*OFFSET($B50,-G$2,0)+ G$5*OFFSET($B50,-2* G$2,0), P49)</f>
        <v>6.4500000000000171</v>
      </c>
      <c r="Q50">
        <f t="shared" ref="Q50:Q113" ca="1" si="11">IF(MOD($A50,H$2)=0,OFFSET(Q50,-H$2,0)+ H$3* $B50+H$4*OFFSET($B50,-H$2,0)+ H$5*OFFSET($B50,-2* H$2,0), Q49)</f>
        <v>12.75</v>
      </c>
      <c r="R50">
        <f t="shared" ref="R50:R113" ca="1" si="12">IF(MOD($A50,I$2)=0,OFFSET(R50,-I$2,0)+ I$3* $B50+I$4*OFFSET($B50,-I$2,0)+ I$5*OFFSET($B50,-2* I$2,0), R49)</f>
        <v>10.5</v>
      </c>
    </row>
    <row r="51" spans="1:18" x14ac:dyDescent="0.3">
      <c r="A51">
        <v>42</v>
      </c>
      <c r="B51">
        <v>1</v>
      </c>
      <c r="C51">
        <f t="shared" si="0"/>
        <v>6.6000000000000227</v>
      </c>
      <c r="D51">
        <f t="shared" si="2"/>
        <v>36</v>
      </c>
      <c r="E51">
        <f t="shared" si="4"/>
        <v>36</v>
      </c>
      <c r="F51">
        <f t="shared" si="1"/>
        <v>6.7500000000000284</v>
      </c>
      <c r="G51">
        <f t="shared" si="3"/>
        <v>12.75</v>
      </c>
      <c r="H51">
        <f t="shared" si="5"/>
        <v>10.5</v>
      </c>
      <c r="L51">
        <v>1</v>
      </c>
      <c r="M51">
        <f t="shared" ca="1" si="7"/>
        <v>6.6000000000000227</v>
      </c>
      <c r="N51">
        <f t="shared" ca="1" si="8"/>
        <v>36</v>
      </c>
      <c r="O51">
        <f t="shared" ca="1" si="9"/>
        <v>36</v>
      </c>
      <c r="P51">
        <f t="shared" ca="1" si="10"/>
        <v>6.7500000000000284</v>
      </c>
      <c r="Q51">
        <f t="shared" ca="1" si="11"/>
        <v>12.75</v>
      </c>
      <c r="R51">
        <f t="shared" ca="1" si="12"/>
        <v>10.5</v>
      </c>
    </row>
    <row r="52" spans="1:18" x14ac:dyDescent="0.3">
      <c r="A52">
        <v>43</v>
      </c>
      <c r="B52">
        <v>1</v>
      </c>
      <c r="C52">
        <f t="shared" si="0"/>
        <v>6.9000000000000341</v>
      </c>
      <c r="D52">
        <f t="shared" si="2"/>
        <v>36</v>
      </c>
      <c r="E52">
        <f t="shared" si="4"/>
        <v>36</v>
      </c>
      <c r="F52">
        <f t="shared" si="1"/>
        <v>7.0500000000000398</v>
      </c>
      <c r="G52">
        <f t="shared" si="3"/>
        <v>12.75</v>
      </c>
      <c r="H52">
        <f t="shared" si="5"/>
        <v>10.5</v>
      </c>
      <c r="L52">
        <v>1</v>
      </c>
      <c r="M52">
        <f t="shared" ca="1" si="7"/>
        <v>6.9000000000000341</v>
      </c>
      <c r="N52">
        <f t="shared" ca="1" si="8"/>
        <v>36</v>
      </c>
      <c r="O52">
        <f t="shared" ca="1" si="9"/>
        <v>36</v>
      </c>
      <c r="P52">
        <f t="shared" ca="1" si="10"/>
        <v>7.0500000000000398</v>
      </c>
      <c r="Q52">
        <f t="shared" ca="1" si="11"/>
        <v>12.75</v>
      </c>
      <c r="R52">
        <f t="shared" ca="1" si="12"/>
        <v>10.5</v>
      </c>
    </row>
    <row r="53" spans="1:18" x14ac:dyDescent="0.3">
      <c r="A53">
        <v>44</v>
      </c>
      <c r="B53">
        <v>1</v>
      </c>
      <c r="C53">
        <f t="shared" si="0"/>
        <v>7.2000000000000455</v>
      </c>
      <c r="D53">
        <f t="shared" si="2"/>
        <v>36</v>
      </c>
      <c r="E53">
        <f t="shared" si="4"/>
        <v>36</v>
      </c>
      <c r="F53">
        <f t="shared" si="1"/>
        <v>7.3500000000000512</v>
      </c>
      <c r="G53">
        <f t="shared" si="3"/>
        <v>12.75</v>
      </c>
      <c r="H53">
        <f t="shared" si="5"/>
        <v>10.5</v>
      </c>
      <c r="L53">
        <v>1</v>
      </c>
      <c r="M53">
        <f t="shared" ca="1" si="7"/>
        <v>7.2000000000000455</v>
      </c>
      <c r="N53">
        <f t="shared" ca="1" si="8"/>
        <v>36</v>
      </c>
      <c r="O53">
        <f t="shared" ca="1" si="9"/>
        <v>36</v>
      </c>
      <c r="P53">
        <f t="shared" ca="1" si="10"/>
        <v>7.3500000000000512</v>
      </c>
      <c r="Q53">
        <f t="shared" ca="1" si="11"/>
        <v>12.75</v>
      </c>
      <c r="R53">
        <f t="shared" ca="1" si="12"/>
        <v>10.5</v>
      </c>
    </row>
    <row r="54" spans="1:18" x14ac:dyDescent="0.3">
      <c r="A54">
        <v>45</v>
      </c>
      <c r="B54">
        <v>1</v>
      </c>
      <c r="C54">
        <f t="shared" si="0"/>
        <v>7.5000000000000568</v>
      </c>
      <c r="D54">
        <f t="shared" si="2"/>
        <v>7.5</v>
      </c>
      <c r="E54">
        <f t="shared" si="4"/>
        <v>36</v>
      </c>
      <c r="F54">
        <f t="shared" si="1"/>
        <v>7.6500000000000625</v>
      </c>
      <c r="G54">
        <f t="shared" si="3"/>
        <v>8.25</v>
      </c>
      <c r="H54">
        <f t="shared" si="5"/>
        <v>10.5</v>
      </c>
      <c r="L54">
        <v>1</v>
      </c>
      <c r="M54">
        <f t="shared" ca="1" si="7"/>
        <v>7.5000000000000568</v>
      </c>
      <c r="N54">
        <f t="shared" ca="1" si="8"/>
        <v>7.5</v>
      </c>
      <c r="O54">
        <f t="shared" ca="1" si="9"/>
        <v>36</v>
      </c>
      <c r="P54">
        <f t="shared" ca="1" si="10"/>
        <v>7.6500000000000625</v>
      </c>
      <c r="Q54">
        <f t="shared" ca="1" si="11"/>
        <v>8.25</v>
      </c>
      <c r="R54">
        <f t="shared" ca="1" si="12"/>
        <v>10.5</v>
      </c>
    </row>
    <row r="55" spans="1:18" x14ac:dyDescent="0.3">
      <c r="A55">
        <v>46</v>
      </c>
      <c r="B55">
        <v>1</v>
      </c>
      <c r="C55">
        <f t="shared" si="0"/>
        <v>7.8000000000000682</v>
      </c>
      <c r="D55">
        <f t="shared" si="2"/>
        <v>7.5</v>
      </c>
      <c r="E55">
        <f t="shared" si="4"/>
        <v>36</v>
      </c>
      <c r="F55">
        <f t="shared" si="1"/>
        <v>7.9500000000000739</v>
      </c>
      <c r="G55">
        <f t="shared" si="3"/>
        <v>8.25</v>
      </c>
      <c r="H55">
        <f t="shared" si="5"/>
        <v>10.5</v>
      </c>
      <c r="L55">
        <v>1</v>
      </c>
      <c r="M55">
        <f t="shared" ca="1" si="7"/>
        <v>7.8000000000000682</v>
      </c>
      <c r="N55">
        <f t="shared" ca="1" si="8"/>
        <v>7.5</v>
      </c>
      <c r="O55">
        <f t="shared" ca="1" si="9"/>
        <v>36</v>
      </c>
      <c r="P55">
        <f t="shared" ca="1" si="10"/>
        <v>7.9500000000000739</v>
      </c>
      <c r="Q55">
        <f t="shared" ca="1" si="11"/>
        <v>8.25</v>
      </c>
      <c r="R55">
        <f t="shared" ca="1" si="12"/>
        <v>10.5</v>
      </c>
    </row>
    <row r="56" spans="1:18" x14ac:dyDescent="0.3">
      <c r="A56">
        <v>47</v>
      </c>
      <c r="B56">
        <v>1</v>
      </c>
      <c r="C56">
        <f t="shared" si="0"/>
        <v>8.1000000000000796</v>
      </c>
      <c r="D56">
        <f t="shared" si="2"/>
        <v>7.5</v>
      </c>
      <c r="E56">
        <f t="shared" si="4"/>
        <v>36</v>
      </c>
      <c r="F56">
        <f t="shared" si="1"/>
        <v>8.2500000000000853</v>
      </c>
      <c r="G56">
        <f t="shared" si="3"/>
        <v>8.25</v>
      </c>
      <c r="H56">
        <f t="shared" si="5"/>
        <v>10.5</v>
      </c>
      <c r="L56">
        <v>1</v>
      </c>
      <c r="M56">
        <f t="shared" ca="1" si="7"/>
        <v>8.1000000000000796</v>
      </c>
      <c r="N56">
        <f t="shared" ca="1" si="8"/>
        <v>7.5</v>
      </c>
      <c r="O56">
        <f t="shared" ca="1" si="9"/>
        <v>36</v>
      </c>
      <c r="P56">
        <f t="shared" ca="1" si="10"/>
        <v>8.2500000000000853</v>
      </c>
      <c r="Q56">
        <f t="shared" ca="1" si="11"/>
        <v>8.25</v>
      </c>
      <c r="R56">
        <f t="shared" ca="1" si="12"/>
        <v>10.5</v>
      </c>
    </row>
    <row r="57" spans="1:18" x14ac:dyDescent="0.3">
      <c r="A57">
        <v>48</v>
      </c>
      <c r="B57">
        <v>1</v>
      </c>
      <c r="C57">
        <f t="shared" si="0"/>
        <v>8.4000000000000909</v>
      </c>
      <c r="D57">
        <f t="shared" si="2"/>
        <v>7.5</v>
      </c>
      <c r="E57">
        <f t="shared" si="4"/>
        <v>36</v>
      </c>
      <c r="F57">
        <f t="shared" si="1"/>
        <v>8.5500000000000966</v>
      </c>
      <c r="G57">
        <f t="shared" si="3"/>
        <v>8.25</v>
      </c>
      <c r="H57">
        <f t="shared" si="5"/>
        <v>10.5</v>
      </c>
      <c r="L57">
        <v>1</v>
      </c>
      <c r="M57">
        <f t="shared" ca="1" si="7"/>
        <v>8.4000000000000909</v>
      </c>
      <c r="N57">
        <f t="shared" ca="1" si="8"/>
        <v>7.5</v>
      </c>
      <c r="O57">
        <f t="shared" ca="1" si="9"/>
        <v>36</v>
      </c>
      <c r="P57">
        <f t="shared" ca="1" si="10"/>
        <v>8.5500000000000966</v>
      </c>
      <c r="Q57">
        <f t="shared" ca="1" si="11"/>
        <v>8.25</v>
      </c>
      <c r="R57">
        <f t="shared" ca="1" si="12"/>
        <v>10.5</v>
      </c>
    </row>
    <row r="58" spans="1:18" x14ac:dyDescent="0.3">
      <c r="A58">
        <v>49</v>
      </c>
      <c r="B58">
        <v>1</v>
      </c>
      <c r="C58">
        <f t="shared" si="0"/>
        <v>8.7000000000001023</v>
      </c>
      <c r="D58">
        <f t="shared" si="2"/>
        <v>7.5</v>
      </c>
      <c r="E58">
        <f t="shared" si="4"/>
        <v>36</v>
      </c>
      <c r="F58">
        <f t="shared" si="1"/>
        <v>8.850000000000108</v>
      </c>
      <c r="G58">
        <f t="shared" si="3"/>
        <v>8.25</v>
      </c>
      <c r="H58">
        <f t="shared" si="5"/>
        <v>10.5</v>
      </c>
      <c r="L58">
        <v>1</v>
      </c>
      <c r="M58">
        <f t="shared" ca="1" si="7"/>
        <v>8.7000000000001023</v>
      </c>
      <c r="N58">
        <f t="shared" ca="1" si="8"/>
        <v>7.5</v>
      </c>
      <c r="O58">
        <f t="shared" ca="1" si="9"/>
        <v>36</v>
      </c>
      <c r="P58">
        <f t="shared" ca="1" si="10"/>
        <v>8.850000000000108</v>
      </c>
      <c r="Q58">
        <f t="shared" ca="1" si="11"/>
        <v>8.25</v>
      </c>
      <c r="R58">
        <f t="shared" ca="1" si="12"/>
        <v>10.5</v>
      </c>
    </row>
    <row r="59" spans="1:18" x14ac:dyDescent="0.3">
      <c r="A59">
        <v>50</v>
      </c>
      <c r="B59">
        <v>1</v>
      </c>
      <c r="C59">
        <f t="shared" si="0"/>
        <v>9.0000000000001137</v>
      </c>
      <c r="D59">
        <f t="shared" si="2"/>
        <v>9</v>
      </c>
      <c r="E59">
        <f t="shared" si="4"/>
        <v>9</v>
      </c>
      <c r="F59">
        <f t="shared" si="1"/>
        <v>9.1500000000001194</v>
      </c>
      <c r="G59">
        <f t="shared" si="3"/>
        <v>9.75</v>
      </c>
      <c r="H59">
        <f t="shared" si="5"/>
        <v>10.5</v>
      </c>
      <c r="L59">
        <v>1</v>
      </c>
      <c r="M59">
        <f t="shared" ca="1" si="7"/>
        <v>9.0000000000001137</v>
      </c>
      <c r="N59">
        <f t="shared" ca="1" si="8"/>
        <v>9</v>
      </c>
      <c r="O59">
        <f t="shared" ca="1" si="9"/>
        <v>9</v>
      </c>
      <c r="P59">
        <f t="shared" ca="1" si="10"/>
        <v>9.1500000000001194</v>
      </c>
      <c r="Q59">
        <f t="shared" ca="1" si="11"/>
        <v>9.75</v>
      </c>
      <c r="R59">
        <f t="shared" ca="1" si="12"/>
        <v>10.5</v>
      </c>
    </row>
    <row r="60" spans="1:18" x14ac:dyDescent="0.3">
      <c r="A60">
        <v>51</v>
      </c>
      <c r="B60">
        <v>1</v>
      </c>
      <c r="C60">
        <f t="shared" si="0"/>
        <v>9.3000000000001251</v>
      </c>
      <c r="D60">
        <f t="shared" si="2"/>
        <v>9</v>
      </c>
      <c r="E60">
        <f t="shared" si="4"/>
        <v>9</v>
      </c>
      <c r="F60">
        <f t="shared" si="1"/>
        <v>9.4500000000001307</v>
      </c>
      <c r="G60">
        <f t="shared" si="3"/>
        <v>9.75</v>
      </c>
      <c r="H60">
        <f t="shared" si="5"/>
        <v>10.5</v>
      </c>
      <c r="L60">
        <v>1</v>
      </c>
      <c r="M60">
        <f t="shared" ca="1" si="7"/>
        <v>9.3000000000001251</v>
      </c>
      <c r="N60">
        <f t="shared" ca="1" si="8"/>
        <v>9</v>
      </c>
      <c r="O60">
        <f t="shared" ca="1" si="9"/>
        <v>9</v>
      </c>
      <c r="P60">
        <f t="shared" ca="1" si="10"/>
        <v>9.4500000000001307</v>
      </c>
      <c r="Q60">
        <f t="shared" ca="1" si="11"/>
        <v>9.75</v>
      </c>
      <c r="R60">
        <f t="shared" ca="1" si="12"/>
        <v>10.5</v>
      </c>
    </row>
    <row r="61" spans="1:18" x14ac:dyDescent="0.3">
      <c r="A61">
        <v>52</v>
      </c>
      <c r="B61">
        <v>1</v>
      </c>
      <c r="C61">
        <f t="shared" si="0"/>
        <v>9.6000000000001364</v>
      </c>
      <c r="D61">
        <f t="shared" si="2"/>
        <v>9</v>
      </c>
      <c r="E61">
        <f t="shared" si="4"/>
        <v>9</v>
      </c>
      <c r="F61">
        <f t="shared" si="1"/>
        <v>9.7500000000001421</v>
      </c>
      <c r="G61">
        <f t="shared" si="3"/>
        <v>9.75</v>
      </c>
      <c r="H61">
        <f t="shared" si="5"/>
        <v>10.5</v>
      </c>
      <c r="L61">
        <v>1</v>
      </c>
      <c r="M61">
        <f t="shared" ca="1" si="7"/>
        <v>9.6000000000001364</v>
      </c>
      <c r="N61">
        <f t="shared" ca="1" si="8"/>
        <v>9</v>
      </c>
      <c r="O61">
        <f t="shared" ca="1" si="9"/>
        <v>9</v>
      </c>
      <c r="P61">
        <f t="shared" ca="1" si="10"/>
        <v>9.7500000000001421</v>
      </c>
      <c r="Q61">
        <f t="shared" ca="1" si="11"/>
        <v>9.75</v>
      </c>
      <c r="R61">
        <f t="shared" ca="1" si="12"/>
        <v>10.5</v>
      </c>
    </row>
    <row r="62" spans="1:18" x14ac:dyDescent="0.3">
      <c r="A62">
        <v>53</v>
      </c>
      <c r="B62">
        <v>1</v>
      </c>
      <c r="C62">
        <f t="shared" si="0"/>
        <v>9.9000000000001478</v>
      </c>
      <c r="D62">
        <f t="shared" si="2"/>
        <v>9</v>
      </c>
      <c r="E62">
        <f t="shared" si="4"/>
        <v>9</v>
      </c>
      <c r="F62">
        <f t="shared" si="1"/>
        <v>10.050000000000153</v>
      </c>
      <c r="G62">
        <f t="shared" si="3"/>
        <v>9.75</v>
      </c>
      <c r="H62">
        <f t="shared" si="5"/>
        <v>10.5</v>
      </c>
      <c r="L62">
        <v>1</v>
      </c>
      <c r="M62">
        <f t="shared" ca="1" si="7"/>
        <v>9.9000000000001478</v>
      </c>
      <c r="N62">
        <f t="shared" ca="1" si="8"/>
        <v>9</v>
      </c>
      <c r="O62">
        <f t="shared" ca="1" si="9"/>
        <v>9</v>
      </c>
      <c r="P62">
        <f t="shared" ca="1" si="10"/>
        <v>10.050000000000153</v>
      </c>
      <c r="Q62">
        <f t="shared" ca="1" si="11"/>
        <v>9.75</v>
      </c>
      <c r="R62">
        <f t="shared" ca="1" si="12"/>
        <v>10.5</v>
      </c>
    </row>
    <row r="63" spans="1:18" x14ac:dyDescent="0.3">
      <c r="A63">
        <v>54</v>
      </c>
      <c r="B63">
        <v>1</v>
      </c>
      <c r="C63">
        <f t="shared" si="0"/>
        <v>10.200000000000159</v>
      </c>
      <c r="D63">
        <f t="shared" si="2"/>
        <v>9</v>
      </c>
      <c r="E63">
        <f t="shared" si="4"/>
        <v>9</v>
      </c>
      <c r="F63">
        <f t="shared" si="1"/>
        <v>10.350000000000165</v>
      </c>
      <c r="G63">
        <f t="shared" si="3"/>
        <v>9.75</v>
      </c>
      <c r="H63">
        <f t="shared" si="5"/>
        <v>10.5</v>
      </c>
      <c r="L63">
        <v>1</v>
      </c>
      <c r="M63">
        <f t="shared" ca="1" si="7"/>
        <v>10.200000000000159</v>
      </c>
      <c r="N63">
        <f t="shared" ca="1" si="8"/>
        <v>9</v>
      </c>
      <c r="O63">
        <f t="shared" ca="1" si="9"/>
        <v>9</v>
      </c>
      <c r="P63">
        <f t="shared" ca="1" si="10"/>
        <v>10.350000000000165</v>
      </c>
      <c r="Q63">
        <f t="shared" ca="1" si="11"/>
        <v>9.75</v>
      </c>
      <c r="R63">
        <f t="shared" ca="1" si="12"/>
        <v>10.5</v>
      </c>
    </row>
    <row r="64" spans="1:18" x14ac:dyDescent="0.3">
      <c r="A64">
        <v>55</v>
      </c>
      <c r="B64">
        <v>1</v>
      </c>
      <c r="C64">
        <f t="shared" si="0"/>
        <v>10.500000000000171</v>
      </c>
      <c r="D64">
        <f t="shared" si="2"/>
        <v>10.5</v>
      </c>
      <c r="E64">
        <f t="shared" si="4"/>
        <v>9</v>
      </c>
      <c r="F64">
        <f t="shared" si="1"/>
        <v>10.650000000000176</v>
      </c>
      <c r="G64">
        <f t="shared" si="3"/>
        <v>11.25</v>
      </c>
      <c r="H64">
        <f t="shared" si="5"/>
        <v>10.5</v>
      </c>
      <c r="L64">
        <v>1</v>
      </c>
      <c r="M64">
        <f t="shared" ca="1" si="7"/>
        <v>10.500000000000171</v>
      </c>
      <c r="N64">
        <f t="shared" ca="1" si="8"/>
        <v>10.5</v>
      </c>
      <c r="O64">
        <f t="shared" ca="1" si="9"/>
        <v>9</v>
      </c>
      <c r="P64">
        <f t="shared" ca="1" si="10"/>
        <v>10.650000000000176</v>
      </c>
      <c r="Q64">
        <f t="shared" ca="1" si="11"/>
        <v>11.25</v>
      </c>
      <c r="R64">
        <f t="shared" ca="1" si="12"/>
        <v>10.5</v>
      </c>
    </row>
    <row r="65" spans="1:18" x14ac:dyDescent="0.3">
      <c r="A65">
        <v>56</v>
      </c>
      <c r="B65">
        <v>1</v>
      </c>
      <c r="C65">
        <f t="shared" si="0"/>
        <v>10.800000000000182</v>
      </c>
      <c r="D65">
        <f t="shared" si="2"/>
        <v>10.5</v>
      </c>
      <c r="E65">
        <f t="shared" si="4"/>
        <v>9</v>
      </c>
      <c r="F65">
        <f t="shared" si="1"/>
        <v>10.950000000000188</v>
      </c>
      <c r="G65">
        <f t="shared" si="3"/>
        <v>11.25</v>
      </c>
      <c r="H65">
        <f t="shared" si="5"/>
        <v>10.5</v>
      </c>
      <c r="L65">
        <v>1</v>
      </c>
      <c r="M65">
        <f t="shared" ca="1" si="7"/>
        <v>10.800000000000182</v>
      </c>
      <c r="N65">
        <f t="shared" ca="1" si="8"/>
        <v>10.5</v>
      </c>
      <c r="O65">
        <f t="shared" ca="1" si="9"/>
        <v>9</v>
      </c>
      <c r="P65">
        <f t="shared" ca="1" si="10"/>
        <v>10.950000000000188</v>
      </c>
      <c r="Q65">
        <f t="shared" ca="1" si="11"/>
        <v>11.25</v>
      </c>
      <c r="R65">
        <f t="shared" ca="1" si="12"/>
        <v>10.5</v>
      </c>
    </row>
    <row r="66" spans="1:18" x14ac:dyDescent="0.3">
      <c r="A66">
        <v>57</v>
      </c>
      <c r="B66">
        <v>1</v>
      </c>
      <c r="C66">
        <f t="shared" si="0"/>
        <v>11.100000000000193</v>
      </c>
      <c r="D66">
        <f t="shared" si="2"/>
        <v>10.5</v>
      </c>
      <c r="E66">
        <f t="shared" si="4"/>
        <v>9</v>
      </c>
      <c r="F66">
        <f t="shared" si="1"/>
        <v>11.250000000000199</v>
      </c>
      <c r="G66">
        <f t="shared" si="3"/>
        <v>11.25</v>
      </c>
      <c r="H66">
        <f t="shared" si="5"/>
        <v>10.5</v>
      </c>
      <c r="L66">
        <v>1</v>
      </c>
      <c r="M66">
        <f t="shared" ca="1" si="7"/>
        <v>11.100000000000193</v>
      </c>
      <c r="N66">
        <f t="shared" ca="1" si="8"/>
        <v>10.5</v>
      </c>
      <c r="O66">
        <f t="shared" ca="1" si="9"/>
        <v>9</v>
      </c>
      <c r="P66">
        <f t="shared" ca="1" si="10"/>
        <v>11.250000000000199</v>
      </c>
      <c r="Q66">
        <f t="shared" ca="1" si="11"/>
        <v>11.25</v>
      </c>
      <c r="R66">
        <f t="shared" ca="1" si="12"/>
        <v>10.5</v>
      </c>
    </row>
    <row r="67" spans="1:18" x14ac:dyDescent="0.3">
      <c r="A67">
        <v>58</v>
      </c>
      <c r="B67">
        <v>1</v>
      </c>
      <c r="C67">
        <f t="shared" si="0"/>
        <v>11.400000000000205</v>
      </c>
      <c r="D67">
        <f t="shared" si="2"/>
        <v>10.5</v>
      </c>
      <c r="E67">
        <f t="shared" si="4"/>
        <v>9</v>
      </c>
      <c r="F67">
        <f t="shared" si="1"/>
        <v>11.55000000000021</v>
      </c>
      <c r="G67">
        <f t="shared" si="3"/>
        <v>11.25</v>
      </c>
      <c r="H67">
        <f t="shared" si="5"/>
        <v>10.5</v>
      </c>
      <c r="L67">
        <v>1</v>
      </c>
      <c r="M67">
        <f t="shared" ca="1" si="7"/>
        <v>11.400000000000205</v>
      </c>
      <c r="N67">
        <f t="shared" ca="1" si="8"/>
        <v>10.5</v>
      </c>
      <c r="O67">
        <f t="shared" ca="1" si="9"/>
        <v>9</v>
      </c>
      <c r="P67">
        <f t="shared" ca="1" si="10"/>
        <v>11.55000000000021</v>
      </c>
      <c r="Q67">
        <f t="shared" ca="1" si="11"/>
        <v>11.25</v>
      </c>
      <c r="R67">
        <f t="shared" ca="1" si="12"/>
        <v>10.5</v>
      </c>
    </row>
    <row r="68" spans="1:18" x14ac:dyDescent="0.3">
      <c r="A68">
        <v>59</v>
      </c>
      <c r="B68">
        <v>1</v>
      </c>
      <c r="C68">
        <f t="shared" si="0"/>
        <v>11.700000000000216</v>
      </c>
      <c r="D68">
        <f t="shared" si="2"/>
        <v>10.5</v>
      </c>
      <c r="E68">
        <f t="shared" si="4"/>
        <v>9</v>
      </c>
      <c r="F68">
        <f t="shared" si="1"/>
        <v>11.850000000000222</v>
      </c>
      <c r="G68">
        <f t="shared" si="3"/>
        <v>11.25</v>
      </c>
      <c r="H68">
        <f t="shared" si="5"/>
        <v>10.5</v>
      </c>
      <c r="L68">
        <v>1</v>
      </c>
      <c r="M68">
        <f t="shared" ca="1" si="7"/>
        <v>11.700000000000216</v>
      </c>
      <c r="N68">
        <f t="shared" ca="1" si="8"/>
        <v>10.5</v>
      </c>
      <c r="O68">
        <f t="shared" ca="1" si="9"/>
        <v>9</v>
      </c>
      <c r="P68">
        <f t="shared" ca="1" si="10"/>
        <v>11.850000000000222</v>
      </c>
      <c r="Q68">
        <f t="shared" ca="1" si="11"/>
        <v>11.25</v>
      </c>
      <c r="R68">
        <f t="shared" ca="1" si="12"/>
        <v>10.5</v>
      </c>
    </row>
    <row r="69" spans="1:18" x14ac:dyDescent="0.3">
      <c r="A69">
        <v>60</v>
      </c>
      <c r="B69">
        <v>1</v>
      </c>
      <c r="C69">
        <f t="shared" si="0"/>
        <v>12.000000000000227</v>
      </c>
      <c r="D69">
        <f t="shared" si="2"/>
        <v>12</v>
      </c>
      <c r="E69">
        <f t="shared" si="4"/>
        <v>12</v>
      </c>
      <c r="F69">
        <f t="shared" si="1"/>
        <v>12.150000000000233</v>
      </c>
      <c r="G69">
        <f t="shared" si="3"/>
        <v>12.75</v>
      </c>
      <c r="H69">
        <f t="shared" si="5"/>
        <v>13.5</v>
      </c>
      <c r="L69">
        <v>1</v>
      </c>
      <c r="M69">
        <f t="shared" ca="1" si="7"/>
        <v>12.000000000000227</v>
      </c>
      <c r="N69">
        <f t="shared" ca="1" si="8"/>
        <v>12</v>
      </c>
      <c r="O69">
        <f t="shared" ca="1" si="9"/>
        <v>12</v>
      </c>
      <c r="P69">
        <f t="shared" ca="1" si="10"/>
        <v>12.150000000000233</v>
      </c>
      <c r="Q69">
        <f t="shared" ca="1" si="11"/>
        <v>12.75</v>
      </c>
      <c r="R69">
        <f t="shared" ca="1" si="12"/>
        <v>13.5</v>
      </c>
    </row>
    <row r="70" spans="1:18" x14ac:dyDescent="0.3">
      <c r="A70">
        <v>61</v>
      </c>
      <c r="B70">
        <v>1</v>
      </c>
      <c r="C70">
        <f t="shared" si="0"/>
        <v>12.300000000000239</v>
      </c>
      <c r="D70">
        <f t="shared" si="2"/>
        <v>12</v>
      </c>
      <c r="E70">
        <f t="shared" si="4"/>
        <v>12</v>
      </c>
      <c r="F70">
        <f t="shared" si="1"/>
        <v>12.450000000000244</v>
      </c>
      <c r="G70">
        <f t="shared" si="3"/>
        <v>12.75</v>
      </c>
      <c r="H70">
        <f t="shared" si="5"/>
        <v>13.5</v>
      </c>
      <c r="L70">
        <v>1</v>
      </c>
      <c r="M70">
        <f t="shared" ca="1" si="7"/>
        <v>12.300000000000239</v>
      </c>
      <c r="N70">
        <f t="shared" ca="1" si="8"/>
        <v>12</v>
      </c>
      <c r="O70">
        <f t="shared" ca="1" si="9"/>
        <v>12</v>
      </c>
      <c r="P70">
        <f t="shared" ca="1" si="10"/>
        <v>12.450000000000244</v>
      </c>
      <c r="Q70">
        <f t="shared" ca="1" si="11"/>
        <v>12.75</v>
      </c>
      <c r="R70">
        <f t="shared" ca="1" si="12"/>
        <v>13.5</v>
      </c>
    </row>
    <row r="71" spans="1:18" x14ac:dyDescent="0.3">
      <c r="A71">
        <v>62</v>
      </c>
      <c r="B71">
        <v>1</v>
      </c>
      <c r="C71">
        <f t="shared" si="0"/>
        <v>12.60000000000025</v>
      </c>
      <c r="D71">
        <f t="shared" si="2"/>
        <v>12</v>
      </c>
      <c r="E71">
        <f t="shared" si="4"/>
        <v>12</v>
      </c>
      <c r="F71">
        <f t="shared" si="1"/>
        <v>12.750000000000256</v>
      </c>
      <c r="G71">
        <f t="shared" si="3"/>
        <v>12.75</v>
      </c>
      <c r="H71">
        <f t="shared" si="5"/>
        <v>13.5</v>
      </c>
      <c r="L71">
        <v>1</v>
      </c>
      <c r="M71">
        <f t="shared" ca="1" si="7"/>
        <v>12.60000000000025</v>
      </c>
      <c r="N71">
        <f t="shared" ca="1" si="8"/>
        <v>12</v>
      </c>
      <c r="O71">
        <f t="shared" ca="1" si="9"/>
        <v>12</v>
      </c>
      <c r="P71">
        <f t="shared" ca="1" si="10"/>
        <v>12.750000000000256</v>
      </c>
      <c r="Q71">
        <f t="shared" ca="1" si="11"/>
        <v>12.75</v>
      </c>
      <c r="R71">
        <f t="shared" ca="1" si="12"/>
        <v>13.5</v>
      </c>
    </row>
    <row r="72" spans="1:18" x14ac:dyDescent="0.3">
      <c r="A72">
        <v>63</v>
      </c>
      <c r="B72">
        <v>1</v>
      </c>
      <c r="C72">
        <f t="shared" si="0"/>
        <v>12.900000000000261</v>
      </c>
      <c r="D72">
        <f t="shared" si="2"/>
        <v>12</v>
      </c>
      <c r="E72">
        <f t="shared" si="4"/>
        <v>12</v>
      </c>
      <c r="F72">
        <f t="shared" si="1"/>
        <v>13.050000000000267</v>
      </c>
      <c r="G72">
        <f t="shared" si="3"/>
        <v>12.75</v>
      </c>
      <c r="H72">
        <f t="shared" si="5"/>
        <v>13.5</v>
      </c>
      <c r="L72">
        <v>1</v>
      </c>
      <c r="M72">
        <f t="shared" ca="1" si="7"/>
        <v>12.900000000000261</v>
      </c>
      <c r="N72">
        <f t="shared" ca="1" si="8"/>
        <v>12</v>
      </c>
      <c r="O72">
        <f t="shared" ca="1" si="9"/>
        <v>12</v>
      </c>
      <c r="P72">
        <f t="shared" ca="1" si="10"/>
        <v>13.050000000000267</v>
      </c>
      <c r="Q72">
        <f t="shared" ca="1" si="11"/>
        <v>12.75</v>
      </c>
      <c r="R72">
        <f t="shared" ca="1" si="12"/>
        <v>13.5</v>
      </c>
    </row>
    <row r="73" spans="1:18" x14ac:dyDescent="0.3">
      <c r="A73">
        <v>64</v>
      </c>
      <c r="B73">
        <v>1</v>
      </c>
      <c r="C73">
        <f t="shared" si="0"/>
        <v>13.200000000000273</v>
      </c>
      <c r="D73">
        <f t="shared" si="2"/>
        <v>12</v>
      </c>
      <c r="E73">
        <f t="shared" si="4"/>
        <v>12</v>
      </c>
      <c r="F73">
        <f t="shared" si="1"/>
        <v>13.350000000000279</v>
      </c>
      <c r="G73">
        <f t="shared" si="3"/>
        <v>12.75</v>
      </c>
      <c r="H73">
        <f t="shared" si="5"/>
        <v>13.5</v>
      </c>
      <c r="L73">
        <v>1</v>
      </c>
      <c r="M73">
        <f t="shared" ca="1" si="7"/>
        <v>13.200000000000273</v>
      </c>
      <c r="N73">
        <f t="shared" ca="1" si="8"/>
        <v>12</v>
      </c>
      <c r="O73">
        <f t="shared" ca="1" si="9"/>
        <v>12</v>
      </c>
      <c r="P73">
        <f t="shared" ca="1" si="10"/>
        <v>13.350000000000279</v>
      </c>
      <c r="Q73">
        <f t="shared" ca="1" si="11"/>
        <v>12.75</v>
      </c>
      <c r="R73">
        <f t="shared" ca="1" si="12"/>
        <v>13.5</v>
      </c>
    </row>
    <row r="74" spans="1:18" x14ac:dyDescent="0.3">
      <c r="A74">
        <v>65</v>
      </c>
      <c r="B74">
        <v>1</v>
      </c>
      <c r="C74">
        <f t="shared" si="0"/>
        <v>13.500000000000284</v>
      </c>
      <c r="D74">
        <f t="shared" si="2"/>
        <v>13.5</v>
      </c>
      <c r="E74">
        <f t="shared" si="4"/>
        <v>12</v>
      </c>
      <c r="F74">
        <f t="shared" si="1"/>
        <v>13.65000000000029</v>
      </c>
      <c r="G74">
        <f t="shared" si="3"/>
        <v>14.25</v>
      </c>
      <c r="H74">
        <f t="shared" si="5"/>
        <v>13.5</v>
      </c>
      <c r="L74">
        <v>1</v>
      </c>
      <c r="M74">
        <f t="shared" ca="1" si="7"/>
        <v>13.500000000000284</v>
      </c>
      <c r="N74">
        <f t="shared" ca="1" si="8"/>
        <v>13.5</v>
      </c>
      <c r="O74">
        <f t="shared" ca="1" si="9"/>
        <v>12</v>
      </c>
      <c r="P74">
        <f t="shared" ca="1" si="10"/>
        <v>13.65000000000029</v>
      </c>
      <c r="Q74">
        <f t="shared" ca="1" si="11"/>
        <v>14.25</v>
      </c>
      <c r="R74">
        <f t="shared" ca="1" si="12"/>
        <v>13.5</v>
      </c>
    </row>
    <row r="75" spans="1:18" x14ac:dyDescent="0.3">
      <c r="A75">
        <v>66</v>
      </c>
      <c r="B75">
        <v>1</v>
      </c>
      <c r="C75">
        <f t="shared" si="0"/>
        <v>13.800000000000296</v>
      </c>
      <c r="D75">
        <f t="shared" si="2"/>
        <v>13.5</v>
      </c>
      <c r="E75">
        <f t="shared" si="4"/>
        <v>12</v>
      </c>
      <c r="F75">
        <f t="shared" si="1"/>
        <v>13.950000000000301</v>
      </c>
      <c r="G75">
        <f t="shared" si="3"/>
        <v>14.25</v>
      </c>
      <c r="H75">
        <f t="shared" si="5"/>
        <v>13.5</v>
      </c>
      <c r="L75">
        <v>1</v>
      </c>
      <c r="M75">
        <f t="shared" ca="1" si="7"/>
        <v>13.800000000000296</v>
      </c>
      <c r="N75">
        <f t="shared" ca="1" si="8"/>
        <v>13.5</v>
      </c>
      <c r="O75">
        <f t="shared" ca="1" si="9"/>
        <v>12</v>
      </c>
      <c r="P75">
        <f t="shared" ca="1" si="10"/>
        <v>13.950000000000301</v>
      </c>
      <c r="Q75">
        <f t="shared" ca="1" si="11"/>
        <v>14.25</v>
      </c>
      <c r="R75">
        <f t="shared" ca="1" si="12"/>
        <v>13.5</v>
      </c>
    </row>
    <row r="76" spans="1:18" x14ac:dyDescent="0.3">
      <c r="A76">
        <v>67</v>
      </c>
      <c r="B76">
        <v>1</v>
      </c>
      <c r="C76">
        <f t="shared" ref="C76:C139" si="13">C75+D$3*$B76+D$4*$B75+D$5*$B74</f>
        <v>14.100000000000307</v>
      </c>
      <c r="D76">
        <f t="shared" si="2"/>
        <v>13.5</v>
      </c>
      <c r="E76">
        <f t="shared" si="4"/>
        <v>12</v>
      </c>
      <c r="F76">
        <f t="shared" ref="F76:F139" si="14">F75+G$3*$B76+G$4*$B75+G$5*$B74</f>
        <v>14.250000000000313</v>
      </c>
      <c r="G76">
        <f t="shared" si="3"/>
        <v>14.25</v>
      </c>
      <c r="H76">
        <f t="shared" si="5"/>
        <v>13.5</v>
      </c>
      <c r="L76">
        <v>1</v>
      </c>
      <c r="M76">
        <f t="shared" ca="1" si="7"/>
        <v>14.100000000000307</v>
      </c>
      <c r="N76">
        <f t="shared" ca="1" si="8"/>
        <v>13.5</v>
      </c>
      <c r="O76">
        <f t="shared" ca="1" si="9"/>
        <v>12</v>
      </c>
      <c r="P76">
        <f t="shared" ca="1" si="10"/>
        <v>14.250000000000313</v>
      </c>
      <c r="Q76">
        <f t="shared" ca="1" si="11"/>
        <v>14.25</v>
      </c>
      <c r="R76">
        <f t="shared" ca="1" si="12"/>
        <v>13.5</v>
      </c>
    </row>
    <row r="77" spans="1:18" x14ac:dyDescent="0.3">
      <c r="A77">
        <v>68</v>
      </c>
      <c r="B77">
        <v>1</v>
      </c>
      <c r="C77">
        <f t="shared" si="13"/>
        <v>14.400000000000318</v>
      </c>
      <c r="D77">
        <f t="shared" si="2"/>
        <v>13.5</v>
      </c>
      <c r="E77">
        <f t="shared" si="4"/>
        <v>12</v>
      </c>
      <c r="F77">
        <f t="shared" si="14"/>
        <v>14.550000000000324</v>
      </c>
      <c r="G77">
        <f t="shared" si="3"/>
        <v>14.25</v>
      </c>
      <c r="H77">
        <f t="shared" si="5"/>
        <v>13.5</v>
      </c>
      <c r="L77">
        <v>1</v>
      </c>
      <c r="M77">
        <f t="shared" ca="1" si="7"/>
        <v>14.400000000000318</v>
      </c>
      <c r="N77">
        <f t="shared" ca="1" si="8"/>
        <v>13.5</v>
      </c>
      <c r="O77">
        <f t="shared" ca="1" si="9"/>
        <v>12</v>
      </c>
      <c r="P77">
        <f t="shared" ca="1" si="10"/>
        <v>14.550000000000324</v>
      </c>
      <c r="Q77">
        <f t="shared" ca="1" si="11"/>
        <v>14.25</v>
      </c>
      <c r="R77">
        <f t="shared" ca="1" si="12"/>
        <v>13.5</v>
      </c>
    </row>
    <row r="78" spans="1:18" x14ac:dyDescent="0.3">
      <c r="A78">
        <v>69</v>
      </c>
      <c r="B78">
        <v>1</v>
      </c>
      <c r="C78">
        <f t="shared" si="13"/>
        <v>14.70000000000033</v>
      </c>
      <c r="D78">
        <f t="shared" si="2"/>
        <v>13.5</v>
      </c>
      <c r="E78">
        <f t="shared" si="4"/>
        <v>12</v>
      </c>
      <c r="F78">
        <f t="shared" si="14"/>
        <v>14.850000000000335</v>
      </c>
      <c r="G78">
        <f t="shared" si="3"/>
        <v>14.25</v>
      </c>
      <c r="H78">
        <f t="shared" si="5"/>
        <v>13.5</v>
      </c>
      <c r="L78">
        <v>1</v>
      </c>
      <c r="M78">
        <f t="shared" ca="1" si="7"/>
        <v>14.70000000000033</v>
      </c>
      <c r="N78">
        <f t="shared" ca="1" si="8"/>
        <v>13.5</v>
      </c>
      <c r="O78">
        <f t="shared" ca="1" si="9"/>
        <v>12</v>
      </c>
      <c r="P78">
        <f t="shared" ca="1" si="10"/>
        <v>14.850000000000335</v>
      </c>
      <c r="Q78">
        <f t="shared" ca="1" si="11"/>
        <v>14.25</v>
      </c>
      <c r="R78">
        <f t="shared" ca="1" si="12"/>
        <v>13.5</v>
      </c>
    </row>
    <row r="79" spans="1:18" x14ac:dyDescent="0.3">
      <c r="A79">
        <v>70</v>
      </c>
      <c r="B79">
        <v>1</v>
      </c>
      <c r="C79">
        <f t="shared" si="13"/>
        <v>15.000000000000341</v>
      </c>
      <c r="D79">
        <f t="shared" si="2"/>
        <v>15</v>
      </c>
      <c r="E79">
        <f t="shared" si="4"/>
        <v>15</v>
      </c>
      <c r="F79">
        <f t="shared" si="14"/>
        <v>15.150000000000347</v>
      </c>
      <c r="G79">
        <f t="shared" si="3"/>
        <v>15.75</v>
      </c>
      <c r="H79">
        <f t="shared" si="5"/>
        <v>16.5</v>
      </c>
      <c r="L79">
        <v>1</v>
      </c>
      <c r="M79">
        <f t="shared" ca="1" si="7"/>
        <v>15.000000000000341</v>
      </c>
      <c r="N79">
        <f t="shared" ca="1" si="8"/>
        <v>15</v>
      </c>
      <c r="O79">
        <f t="shared" ca="1" si="9"/>
        <v>15</v>
      </c>
      <c r="P79">
        <f t="shared" ca="1" si="10"/>
        <v>15.150000000000347</v>
      </c>
      <c r="Q79">
        <f t="shared" ca="1" si="11"/>
        <v>15.75</v>
      </c>
      <c r="R79">
        <f t="shared" ca="1" si="12"/>
        <v>16.5</v>
      </c>
    </row>
    <row r="80" spans="1:18" x14ac:dyDescent="0.3">
      <c r="A80">
        <v>71</v>
      </c>
      <c r="B80">
        <v>1</v>
      </c>
      <c r="C80">
        <f t="shared" si="13"/>
        <v>15.300000000000352</v>
      </c>
      <c r="D80">
        <f t="shared" si="2"/>
        <v>15</v>
      </c>
      <c r="E80">
        <f t="shared" si="4"/>
        <v>15</v>
      </c>
      <c r="F80">
        <f t="shared" si="14"/>
        <v>15.450000000000358</v>
      </c>
      <c r="G80">
        <f t="shared" si="3"/>
        <v>15.75</v>
      </c>
      <c r="H80">
        <f t="shared" si="5"/>
        <v>16.5</v>
      </c>
      <c r="L80">
        <v>1</v>
      </c>
      <c r="M80">
        <f t="shared" ca="1" si="7"/>
        <v>15.300000000000352</v>
      </c>
      <c r="N80">
        <f t="shared" ca="1" si="8"/>
        <v>15</v>
      </c>
      <c r="O80">
        <f t="shared" ca="1" si="9"/>
        <v>15</v>
      </c>
      <c r="P80">
        <f t="shared" ca="1" si="10"/>
        <v>15.450000000000358</v>
      </c>
      <c r="Q80">
        <f t="shared" ca="1" si="11"/>
        <v>15.75</v>
      </c>
      <c r="R80">
        <f t="shared" ca="1" si="12"/>
        <v>16.5</v>
      </c>
    </row>
    <row r="81" spans="1:18" x14ac:dyDescent="0.3">
      <c r="A81">
        <v>72</v>
      </c>
      <c r="B81">
        <v>1</v>
      </c>
      <c r="C81">
        <f t="shared" si="13"/>
        <v>15.600000000000364</v>
      </c>
      <c r="D81">
        <f t="shared" si="2"/>
        <v>15</v>
      </c>
      <c r="E81">
        <f t="shared" si="4"/>
        <v>15</v>
      </c>
      <c r="F81">
        <f t="shared" si="14"/>
        <v>15.750000000000369</v>
      </c>
      <c r="G81">
        <f t="shared" si="3"/>
        <v>15.75</v>
      </c>
      <c r="H81">
        <f t="shared" si="5"/>
        <v>16.5</v>
      </c>
      <c r="L81">
        <v>1</v>
      </c>
      <c r="M81">
        <f t="shared" ca="1" si="7"/>
        <v>15.600000000000364</v>
      </c>
      <c r="N81">
        <f t="shared" ca="1" si="8"/>
        <v>15</v>
      </c>
      <c r="O81">
        <f t="shared" ca="1" si="9"/>
        <v>15</v>
      </c>
      <c r="P81">
        <f t="shared" ca="1" si="10"/>
        <v>15.750000000000369</v>
      </c>
      <c r="Q81">
        <f t="shared" ca="1" si="11"/>
        <v>15.75</v>
      </c>
      <c r="R81">
        <f t="shared" ca="1" si="12"/>
        <v>16.5</v>
      </c>
    </row>
    <row r="82" spans="1:18" x14ac:dyDescent="0.3">
      <c r="A82">
        <v>73</v>
      </c>
      <c r="B82">
        <v>1</v>
      </c>
      <c r="C82">
        <f t="shared" si="13"/>
        <v>15.900000000000375</v>
      </c>
      <c r="D82">
        <f t="shared" si="2"/>
        <v>15</v>
      </c>
      <c r="E82">
        <f t="shared" si="4"/>
        <v>15</v>
      </c>
      <c r="F82">
        <f t="shared" si="14"/>
        <v>16.050000000000381</v>
      </c>
      <c r="G82">
        <f t="shared" si="3"/>
        <v>15.75</v>
      </c>
      <c r="H82">
        <f t="shared" si="5"/>
        <v>16.5</v>
      </c>
      <c r="L82">
        <v>1</v>
      </c>
      <c r="M82">
        <f t="shared" ca="1" si="7"/>
        <v>15.900000000000375</v>
      </c>
      <c r="N82">
        <f t="shared" ca="1" si="8"/>
        <v>15</v>
      </c>
      <c r="O82">
        <f t="shared" ca="1" si="9"/>
        <v>15</v>
      </c>
      <c r="P82">
        <f t="shared" ca="1" si="10"/>
        <v>16.050000000000381</v>
      </c>
      <c r="Q82">
        <f t="shared" ca="1" si="11"/>
        <v>15.75</v>
      </c>
      <c r="R82">
        <f t="shared" ca="1" si="12"/>
        <v>16.5</v>
      </c>
    </row>
    <row r="83" spans="1:18" x14ac:dyDescent="0.3">
      <c r="A83">
        <v>74</v>
      </c>
      <c r="B83">
        <v>1</v>
      </c>
      <c r="C83">
        <f t="shared" si="13"/>
        <v>16.200000000000387</v>
      </c>
      <c r="D83">
        <f t="shared" si="2"/>
        <v>15</v>
      </c>
      <c r="E83">
        <f t="shared" si="4"/>
        <v>15</v>
      </c>
      <c r="F83">
        <f t="shared" si="14"/>
        <v>16.350000000000392</v>
      </c>
      <c r="G83">
        <f t="shared" si="3"/>
        <v>15.75</v>
      </c>
      <c r="H83">
        <f t="shared" si="5"/>
        <v>16.5</v>
      </c>
      <c r="L83">
        <v>1</v>
      </c>
      <c r="M83">
        <f t="shared" ca="1" si="7"/>
        <v>16.200000000000387</v>
      </c>
      <c r="N83">
        <f t="shared" ca="1" si="8"/>
        <v>15</v>
      </c>
      <c r="O83">
        <f t="shared" ca="1" si="9"/>
        <v>15</v>
      </c>
      <c r="P83">
        <f t="shared" ca="1" si="10"/>
        <v>16.350000000000392</v>
      </c>
      <c r="Q83">
        <f t="shared" ca="1" si="11"/>
        <v>15.75</v>
      </c>
      <c r="R83">
        <f t="shared" ca="1" si="12"/>
        <v>16.5</v>
      </c>
    </row>
    <row r="84" spans="1:18" x14ac:dyDescent="0.3">
      <c r="A84">
        <v>75</v>
      </c>
      <c r="B84">
        <v>1</v>
      </c>
      <c r="C84">
        <f t="shared" si="13"/>
        <v>16.500000000000398</v>
      </c>
      <c r="D84">
        <f t="shared" ref="D84:D147" si="15">D79+E$3*$B84+E$4*$B79+E$5*$B74</f>
        <v>16.5</v>
      </c>
      <c r="E84">
        <f t="shared" si="4"/>
        <v>15</v>
      </c>
      <c r="F84">
        <f t="shared" si="14"/>
        <v>16.650000000000404</v>
      </c>
      <c r="G84">
        <f t="shared" ref="G84:G147" si="16">G79+H$3*$B84+H$4*$B79+H$5*$B74</f>
        <v>17.25</v>
      </c>
      <c r="H84">
        <f t="shared" si="5"/>
        <v>16.5</v>
      </c>
      <c r="L84">
        <v>1</v>
      </c>
      <c r="M84">
        <f t="shared" ca="1" si="7"/>
        <v>16.500000000000398</v>
      </c>
      <c r="N84">
        <f t="shared" ca="1" si="8"/>
        <v>16.5</v>
      </c>
      <c r="O84">
        <f t="shared" ca="1" si="9"/>
        <v>15</v>
      </c>
      <c r="P84">
        <f t="shared" ca="1" si="10"/>
        <v>16.650000000000404</v>
      </c>
      <c r="Q84">
        <f t="shared" ca="1" si="11"/>
        <v>17.25</v>
      </c>
      <c r="R84">
        <f t="shared" ca="1" si="12"/>
        <v>16.5</v>
      </c>
    </row>
    <row r="85" spans="1:18" x14ac:dyDescent="0.3">
      <c r="A85">
        <v>76</v>
      </c>
      <c r="B85">
        <v>1</v>
      </c>
      <c r="C85">
        <f t="shared" si="13"/>
        <v>16.800000000000409</v>
      </c>
      <c r="D85">
        <f t="shared" si="15"/>
        <v>16.5</v>
      </c>
      <c r="E85">
        <f t="shared" si="4"/>
        <v>15</v>
      </c>
      <c r="F85">
        <f t="shared" si="14"/>
        <v>16.950000000000415</v>
      </c>
      <c r="G85">
        <f t="shared" si="16"/>
        <v>17.25</v>
      </c>
      <c r="H85">
        <f t="shared" si="5"/>
        <v>16.5</v>
      </c>
      <c r="L85">
        <v>1</v>
      </c>
      <c r="M85">
        <f t="shared" ca="1" si="7"/>
        <v>16.800000000000409</v>
      </c>
      <c r="N85">
        <f t="shared" ca="1" si="8"/>
        <v>16.5</v>
      </c>
      <c r="O85">
        <f t="shared" ca="1" si="9"/>
        <v>15</v>
      </c>
      <c r="P85">
        <f t="shared" ca="1" si="10"/>
        <v>16.950000000000415</v>
      </c>
      <c r="Q85">
        <f t="shared" ca="1" si="11"/>
        <v>17.25</v>
      </c>
      <c r="R85">
        <f t="shared" ca="1" si="12"/>
        <v>16.5</v>
      </c>
    </row>
    <row r="86" spans="1:18" x14ac:dyDescent="0.3">
      <c r="A86">
        <v>77</v>
      </c>
      <c r="B86">
        <v>1</v>
      </c>
      <c r="C86">
        <f t="shared" si="13"/>
        <v>17.100000000000421</v>
      </c>
      <c r="D86">
        <f t="shared" si="15"/>
        <v>16.5</v>
      </c>
      <c r="E86">
        <f t="shared" si="4"/>
        <v>15</v>
      </c>
      <c r="F86">
        <f t="shared" si="14"/>
        <v>17.250000000000426</v>
      </c>
      <c r="G86">
        <f t="shared" si="16"/>
        <v>17.25</v>
      </c>
      <c r="H86">
        <f t="shared" si="5"/>
        <v>16.5</v>
      </c>
      <c r="L86">
        <v>1</v>
      </c>
      <c r="M86">
        <f t="shared" ca="1" si="7"/>
        <v>17.100000000000421</v>
      </c>
      <c r="N86">
        <f t="shared" ca="1" si="8"/>
        <v>16.5</v>
      </c>
      <c r="O86">
        <f t="shared" ca="1" si="9"/>
        <v>15</v>
      </c>
      <c r="P86">
        <f t="shared" ca="1" si="10"/>
        <v>17.250000000000426</v>
      </c>
      <c r="Q86">
        <f t="shared" ca="1" si="11"/>
        <v>17.25</v>
      </c>
      <c r="R86">
        <f t="shared" ca="1" si="12"/>
        <v>16.5</v>
      </c>
    </row>
    <row r="87" spans="1:18" x14ac:dyDescent="0.3">
      <c r="A87">
        <v>78</v>
      </c>
      <c r="B87">
        <v>1</v>
      </c>
      <c r="C87">
        <f t="shared" si="13"/>
        <v>17.400000000000432</v>
      </c>
      <c r="D87">
        <f t="shared" si="15"/>
        <v>16.5</v>
      </c>
      <c r="E87">
        <f t="shared" si="4"/>
        <v>15</v>
      </c>
      <c r="F87">
        <f t="shared" si="14"/>
        <v>17.550000000000438</v>
      </c>
      <c r="G87">
        <f t="shared" si="16"/>
        <v>17.25</v>
      </c>
      <c r="H87">
        <f t="shared" si="5"/>
        <v>16.5</v>
      </c>
      <c r="L87">
        <v>1</v>
      </c>
      <c r="M87">
        <f t="shared" ca="1" si="7"/>
        <v>17.400000000000432</v>
      </c>
      <c r="N87">
        <f t="shared" ca="1" si="8"/>
        <v>16.5</v>
      </c>
      <c r="O87">
        <f t="shared" ca="1" si="9"/>
        <v>15</v>
      </c>
      <c r="P87">
        <f t="shared" ca="1" si="10"/>
        <v>17.550000000000438</v>
      </c>
      <c r="Q87">
        <f t="shared" ca="1" si="11"/>
        <v>17.25</v>
      </c>
      <c r="R87">
        <f t="shared" ca="1" si="12"/>
        <v>16.5</v>
      </c>
    </row>
    <row r="88" spans="1:18" x14ac:dyDescent="0.3">
      <c r="A88">
        <v>79</v>
      </c>
      <c r="B88">
        <v>1</v>
      </c>
      <c r="C88">
        <f t="shared" si="13"/>
        <v>17.700000000000443</v>
      </c>
      <c r="D88">
        <f t="shared" si="15"/>
        <v>16.5</v>
      </c>
      <c r="E88">
        <f t="shared" si="4"/>
        <v>15</v>
      </c>
      <c r="F88">
        <f t="shared" si="14"/>
        <v>17.850000000000449</v>
      </c>
      <c r="G88">
        <f t="shared" si="16"/>
        <v>17.25</v>
      </c>
      <c r="H88">
        <f t="shared" si="5"/>
        <v>16.5</v>
      </c>
      <c r="L88">
        <v>1</v>
      </c>
      <c r="M88">
        <f t="shared" ca="1" si="7"/>
        <v>17.700000000000443</v>
      </c>
      <c r="N88">
        <f t="shared" ca="1" si="8"/>
        <v>16.5</v>
      </c>
      <c r="O88">
        <f t="shared" ca="1" si="9"/>
        <v>15</v>
      </c>
      <c r="P88">
        <f t="shared" ca="1" si="10"/>
        <v>17.850000000000449</v>
      </c>
      <c r="Q88">
        <f t="shared" ca="1" si="11"/>
        <v>17.25</v>
      </c>
      <c r="R88">
        <f t="shared" ca="1" si="12"/>
        <v>16.5</v>
      </c>
    </row>
    <row r="89" spans="1:18" x14ac:dyDescent="0.3">
      <c r="A89">
        <v>80</v>
      </c>
      <c r="B89">
        <v>1</v>
      </c>
      <c r="C89">
        <f t="shared" si="13"/>
        <v>18.000000000000455</v>
      </c>
      <c r="D89">
        <f t="shared" si="15"/>
        <v>18</v>
      </c>
      <c r="E89">
        <f t="shared" si="4"/>
        <v>18</v>
      </c>
      <c r="F89">
        <f t="shared" si="14"/>
        <v>18.15000000000046</v>
      </c>
      <c r="G89">
        <f t="shared" si="16"/>
        <v>18.75</v>
      </c>
      <c r="H89">
        <f t="shared" si="5"/>
        <v>19.5</v>
      </c>
      <c r="L89">
        <v>1</v>
      </c>
      <c r="M89">
        <f t="shared" ca="1" si="7"/>
        <v>18.000000000000455</v>
      </c>
      <c r="N89">
        <f t="shared" ca="1" si="8"/>
        <v>18</v>
      </c>
      <c r="O89">
        <f t="shared" ca="1" si="9"/>
        <v>18</v>
      </c>
      <c r="P89">
        <f t="shared" ca="1" si="10"/>
        <v>18.15000000000046</v>
      </c>
      <c r="Q89">
        <f t="shared" ca="1" si="11"/>
        <v>18.75</v>
      </c>
      <c r="R89">
        <f t="shared" ca="1" si="12"/>
        <v>19.5</v>
      </c>
    </row>
    <row r="90" spans="1:18" x14ac:dyDescent="0.3">
      <c r="A90">
        <v>81</v>
      </c>
      <c r="B90">
        <v>1</v>
      </c>
      <c r="C90">
        <f t="shared" si="13"/>
        <v>18.300000000000466</v>
      </c>
      <c r="D90">
        <f t="shared" si="15"/>
        <v>18</v>
      </c>
      <c r="E90">
        <f t="shared" si="4"/>
        <v>18</v>
      </c>
      <c r="F90">
        <f t="shared" si="14"/>
        <v>18.450000000000472</v>
      </c>
      <c r="G90">
        <f t="shared" si="16"/>
        <v>18.75</v>
      </c>
      <c r="H90">
        <f t="shared" si="5"/>
        <v>19.5</v>
      </c>
      <c r="L90">
        <v>1</v>
      </c>
      <c r="M90">
        <f t="shared" ca="1" si="7"/>
        <v>18.300000000000466</v>
      </c>
      <c r="N90">
        <f t="shared" ca="1" si="8"/>
        <v>18</v>
      </c>
      <c r="O90">
        <f t="shared" ca="1" si="9"/>
        <v>18</v>
      </c>
      <c r="P90">
        <f t="shared" ca="1" si="10"/>
        <v>18.450000000000472</v>
      </c>
      <c r="Q90">
        <f t="shared" ca="1" si="11"/>
        <v>18.75</v>
      </c>
      <c r="R90">
        <f t="shared" ca="1" si="12"/>
        <v>19.5</v>
      </c>
    </row>
    <row r="91" spans="1:18" x14ac:dyDescent="0.3">
      <c r="A91">
        <v>82</v>
      </c>
      <c r="B91">
        <v>1</v>
      </c>
      <c r="C91">
        <f t="shared" si="13"/>
        <v>18.600000000000477</v>
      </c>
      <c r="D91">
        <f t="shared" si="15"/>
        <v>18</v>
      </c>
      <c r="E91">
        <f t="shared" si="4"/>
        <v>18</v>
      </c>
      <c r="F91">
        <f t="shared" si="14"/>
        <v>18.750000000000483</v>
      </c>
      <c r="G91">
        <f t="shared" si="16"/>
        <v>18.75</v>
      </c>
      <c r="H91">
        <f t="shared" si="5"/>
        <v>19.5</v>
      </c>
      <c r="L91">
        <v>1</v>
      </c>
      <c r="M91">
        <f t="shared" ca="1" si="7"/>
        <v>18.600000000000477</v>
      </c>
      <c r="N91">
        <f t="shared" ca="1" si="8"/>
        <v>18</v>
      </c>
      <c r="O91">
        <f t="shared" ca="1" si="9"/>
        <v>18</v>
      </c>
      <c r="P91">
        <f t="shared" ca="1" si="10"/>
        <v>18.750000000000483</v>
      </c>
      <c r="Q91">
        <f t="shared" ca="1" si="11"/>
        <v>18.75</v>
      </c>
      <c r="R91">
        <f t="shared" ca="1" si="12"/>
        <v>19.5</v>
      </c>
    </row>
    <row r="92" spans="1:18" x14ac:dyDescent="0.3">
      <c r="A92">
        <v>83</v>
      </c>
      <c r="B92">
        <v>1</v>
      </c>
      <c r="C92">
        <f t="shared" si="13"/>
        <v>18.900000000000489</v>
      </c>
      <c r="D92">
        <f t="shared" si="15"/>
        <v>18</v>
      </c>
      <c r="E92">
        <f t="shared" si="4"/>
        <v>18</v>
      </c>
      <c r="F92">
        <f t="shared" si="14"/>
        <v>19.050000000000495</v>
      </c>
      <c r="G92">
        <f t="shared" si="16"/>
        <v>18.75</v>
      </c>
      <c r="H92">
        <f t="shared" si="5"/>
        <v>19.5</v>
      </c>
      <c r="L92">
        <v>1</v>
      </c>
      <c r="M92">
        <f t="shared" ca="1" si="7"/>
        <v>18.900000000000489</v>
      </c>
      <c r="N92">
        <f t="shared" ca="1" si="8"/>
        <v>18</v>
      </c>
      <c r="O92">
        <f t="shared" ca="1" si="9"/>
        <v>18</v>
      </c>
      <c r="P92">
        <f t="shared" ca="1" si="10"/>
        <v>19.050000000000495</v>
      </c>
      <c r="Q92">
        <f t="shared" ca="1" si="11"/>
        <v>18.75</v>
      </c>
      <c r="R92">
        <f t="shared" ca="1" si="12"/>
        <v>19.5</v>
      </c>
    </row>
    <row r="93" spans="1:18" x14ac:dyDescent="0.3">
      <c r="A93">
        <v>84</v>
      </c>
      <c r="B93">
        <v>1</v>
      </c>
      <c r="C93">
        <f t="shared" si="13"/>
        <v>19.2000000000005</v>
      </c>
      <c r="D93">
        <f t="shared" si="15"/>
        <v>18</v>
      </c>
      <c r="E93">
        <f t="shared" si="4"/>
        <v>18</v>
      </c>
      <c r="F93">
        <f t="shared" si="14"/>
        <v>19.350000000000506</v>
      </c>
      <c r="G93">
        <f t="shared" si="16"/>
        <v>18.75</v>
      </c>
      <c r="H93">
        <f t="shared" si="5"/>
        <v>19.5</v>
      </c>
      <c r="L93">
        <v>1</v>
      </c>
      <c r="M93">
        <f t="shared" ca="1" si="7"/>
        <v>19.2000000000005</v>
      </c>
      <c r="N93">
        <f t="shared" ca="1" si="8"/>
        <v>18</v>
      </c>
      <c r="O93">
        <f t="shared" ca="1" si="9"/>
        <v>18</v>
      </c>
      <c r="P93">
        <f t="shared" ca="1" si="10"/>
        <v>19.350000000000506</v>
      </c>
      <c r="Q93">
        <f t="shared" ca="1" si="11"/>
        <v>18.75</v>
      </c>
      <c r="R93">
        <f t="shared" ca="1" si="12"/>
        <v>19.5</v>
      </c>
    </row>
    <row r="94" spans="1:18" x14ac:dyDescent="0.3">
      <c r="A94">
        <v>85</v>
      </c>
      <c r="B94">
        <v>1</v>
      </c>
      <c r="C94">
        <f t="shared" si="13"/>
        <v>19.500000000000512</v>
      </c>
      <c r="D94">
        <f t="shared" si="15"/>
        <v>19.5</v>
      </c>
      <c r="E94">
        <f t="shared" ref="E94:E157" si="17">E84+F$3*$B94+F$4*$B84+F$5*$B74</f>
        <v>18</v>
      </c>
      <c r="F94">
        <f t="shared" si="14"/>
        <v>19.650000000000517</v>
      </c>
      <c r="G94">
        <f t="shared" si="16"/>
        <v>20.25</v>
      </c>
      <c r="H94">
        <f t="shared" ref="H94:H157" si="18">H84+I$3*$B94+I$4*$B84+I$5*$B74</f>
        <v>19.5</v>
      </c>
      <c r="L94">
        <v>1</v>
      </c>
      <c r="M94">
        <f t="shared" ca="1" si="7"/>
        <v>19.500000000000512</v>
      </c>
      <c r="N94">
        <f t="shared" ca="1" si="8"/>
        <v>19.5</v>
      </c>
      <c r="O94">
        <f t="shared" ca="1" si="9"/>
        <v>18</v>
      </c>
      <c r="P94">
        <f t="shared" ca="1" si="10"/>
        <v>19.650000000000517</v>
      </c>
      <c r="Q94">
        <f t="shared" ca="1" si="11"/>
        <v>20.25</v>
      </c>
      <c r="R94">
        <f t="shared" ca="1" si="12"/>
        <v>19.5</v>
      </c>
    </row>
    <row r="95" spans="1:18" x14ac:dyDescent="0.3">
      <c r="A95">
        <v>86</v>
      </c>
      <c r="B95">
        <v>1</v>
      </c>
      <c r="C95">
        <f t="shared" si="13"/>
        <v>19.800000000000523</v>
      </c>
      <c r="D95">
        <f t="shared" si="15"/>
        <v>19.5</v>
      </c>
      <c r="E95">
        <f t="shared" si="17"/>
        <v>18</v>
      </c>
      <c r="F95">
        <f t="shared" si="14"/>
        <v>19.950000000000529</v>
      </c>
      <c r="G95">
        <f t="shared" si="16"/>
        <v>20.25</v>
      </c>
      <c r="H95">
        <f t="shared" si="18"/>
        <v>19.5</v>
      </c>
      <c r="L95">
        <v>1</v>
      </c>
      <c r="M95">
        <f t="shared" ca="1" si="7"/>
        <v>19.800000000000523</v>
      </c>
      <c r="N95">
        <f t="shared" ca="1" si="8"/>
        <v>19.5</v>
      </c>
      <c r="O95">
        <f t="shared" ca="1" si="9"/>
        <v>18</v>
      </c>
      <c r="P95">
        <f t="shared" ca="1" si="10"/>
        <v>19.950000000000529</v>
      </c>
      <c r="Q95">
        <f t="shared" ca="1" si="11"/>
        <v>20.25</v>
      </c>
      <c r="R95">
        <f t="shared" ca="1" si="12"/>
        <v>19.5</v>
      </c>
    </row>
    <row r="96" spans="1:18" x14ac:dyDescent="0.3">
      <c r="A96">
        <v>87</v>
      </c>
      <c r="B96">
        <v>1</v>
      </c>
      <c r="C96">
        <f t="shared" si="13"/>
        <v>20.100000000000534</v>
      </c>
      <c r="D96">
        <f t="shared" si="15"/>
        <v>19.5</v>
      </c>
      <c r="E96">
        <f t="shared" si="17"/>
        <v>18</v>
      </c>
      <c r="F96">
        <f t="shared" si="14"/>
        <v>20.25000000000054</v>
      </c>
      <c r="G96">
        <f t="shared" si="16"/>
        <v>20.25</v>
      </c>
      <c r="H96">
        <f t="shared" si="18"/>
        <v>19.5</v>
      </c>
      <c r="L96">
        <v>1</v>
      </c>
      <c r="M96">
        <f t="shared" ca="1" si="7"/>
        <v>20.100000000000534</v>
      </c>
      <c r="N96">
        <f t="shared" ca="1" si="8"/>
        <v>19.5</v>
      </c>
      <c r="O96">
        <f t="shared" ca="1" si="9"/>
        <v>18</v>
      </c>
      <c r="P96">
        <f t="shared" ca="1" si="10"/>
        <v>20.25000000000054</v>
      </c>
      <c r="Q96">
        <f t="shared" ca="1" si="11"/>
        <v>20.25</v>
      </c>
      <c r="R96">
        <f t="shared" ca="1" si="12"/>
        <v>19.5</v>
      </c>
    </row>
    <row r="97" spans="1:18" x14ac:dyDescent="0.3">
      <c r="A97">
        <v>88</v>
      </c>
      <c r="B97">
        <v>1</v>
      </c>
      <c r="C97">
        <f t="shared" si="13"/>
        <v>20.400000000000546</v>
      </c>
      <c r="D97">
        <f t="shared" si="15"/>
        <v>19.5</v>
      </c>
      <c r="E97">
        <f t="shared" si="17"/>
        <v>18</v>
      </c>
      <c r="F97">
        <f t="shared" si="14"/>
        <v>20.550000000000551</v>
      </c>
      <c r="G97">
        <f t="shared" si="16"/>
        <v>20.25</v>
      </c>
      <c r="H97">
        <f t="shared" si="18"/>
        <v>19.5</v>
      </c>
      <c r="L97">
        <v>1</v>
      </c>
      <c r="M97">
        <f t="shared" ca="1" si="7"/>
        <v>20.400000000000546</v>
      </c>
      <c r="N97">
        <f t="shared" ca="1" si="8"/>
        <v>19.5</v>
      </c>
      <c r="O97">
        <f t="shared" ca="1" si="9"/>
        <v>18</v>
      </c>
      <c r="P97">
        <f t="shared" ca="1" si="10"/>
        <v>20.550000000000551</v>
      </c>
      <c r="Q97">
        <f t="shared" ca="1" si="11"/>
        <v>20.25</v>
      </c>
      <c r="R97">
        <f t="shared" ca="1" si="12"/>
        <v>19.5</v>
      </c>
    </row>
    <row r="98" spans="1:18" x14ac:dyDescent="0.3">
      <c r="A98">
        <v>89</v>
      </c>
      <c r="B98">
        <v>1</v>
      </c>
      <c r="C98">
        <f t="shared" si="13"/>
        <v>20.700000000000557</v>
      </c>
      <c r="D98">
        <f t="shared" si="15"/>
        <v>19.5</v>
      </c>
      <c r="E98">
        <f t="shared" si="17"/>
        <v>18</v>
      </c>
      <c r="F98">
        <f t="shared" si="14"/>
        <v>20.850000000000563</v>
      </c>
      <c r="G98">
        <f t="shared" si="16"/>
        <v>20.25</v>
      </c>
      <c r="H98">
        <f t="shared" si="18"/>
        <v>19.5</v>
      </c>
      <c r="L98">
        <v>1</v>
      </c>
      <c r="M98">
        <f t="shared" ca="1" si="7"/>
        <v>20.700000000000557</v>
      </c>
      <c r="N98">
        <f t="shared" ca="1" si="8"/>
        <v>19.5</v>
      </c>
      <c r="O98">
        <f t="shared" ca="1" si="9"/>
        <v>18</v>
      </c>
      <c r="P98">
        <f t="shared" ca="1" si="10"/>
        <v>20.850000000000563</v>
      </c>
      <c r="Q98">
        <f t="shared" ca="1" si="11"/>
        <v>20.25</v>
      </c>
      <c r="R98">
        <f t="shared" ca="1" si="12"/>
        <v>19.5</v>
      </c>
    </row>
    <row r="99" spans="1:18" x14ac:dyDescent="0.3">
      <c r="A99">
        <v>90</v>
      </c>
      <c r="B99">
        <v>1</v>
      </c>
      <c r="C99">
        <f t="shared" si="13"/>
        <v>21.000000000000568</v>
      </c>
      <c r="D99">
        <f t="shared" si="15"/>
        <v>21</v>
      </c>
      <c r="E99">
        <f t="shared" si="17"/>
        <v>21</v>
      </c>
      <c r="F99">
        <f t="shared" si="14"/>
        <v>21.150000000000574</v>
      </c>
      <c r="G99">
        <f t="shared" si="16"/>
        <v>21.75</v>
      </c>
      <c r="H99">
        <f t="shared" si="18"/>
        <v>22.5</v>
      </c>
      <c r="L99">
        <v>1</v>
      </c>
      <c r="M99">
        <f t="shared" ca="1" si="7"/>
        <v>21.000000000000568</v>
      </c>
      <c r="N99">
        <f t="shared" ca="1" si="8"/>
        <v>21</v>
      </c>
      <c r="O99">
        <f t="shared" ca="1" si="9"/>
        <v>21</v>
      </c>
      <c r="P99">
        <f t="shared" ca="1" si="10"/>
        <v>21.150000000000574</v>
      </c>
      <c r="Q99">
        <f t="shared" ca="1" si="11"/>
        <v>21.75</v>
      </c>
      <c r="R99">
        <f t="shared" ca="1" si="12"/>
        <v>22.5</v>
      </c>
    </row>
    <row r="100" spans="1:18" x14ac:dyDescent="0.3">
      <c r="A100">
        <v>91</v>
      </c>
      <c r="B100">
        <v>1</v>
      </c>
      <c r="C100">
        <f t="shared" si="13"/>
        <v>21.30000000000058</v>
      </c>
      <c r="D100">
        <f t="shared" si="15"/>
        <v>21</v>
      </c>
      <c r="E100">
        <f t="shared" si="17"/>
        <v>21</v>
      </c>
      <c r="F100">
        <f t="shared" si="14"/>
        <v>21.450000000000585</v>
      </c>
      <c r="G100">
        <f t="shared" si="16"/>
        <v>21.75</v>
      </c>
      <c r="H100">
        <f t="shared" si="18"/>
        <v>22.5</v>
      </c>
      <c r="L100">
        <v>1</v>
      </c>
      <c r="M100">
        <f t="shared" ca="1" si="7"/>
        <v>21.30000000000058</v>
      </c>
      <c r="N100">
        <f t="shared" ca="1" si="8"/>
        <v>21</v>
      </c>
      <c r="O100">
        <f t="shared" ca="1" si="9"/>
        <v>21</v>
      </c>
      <c r="P100">
        <f t="shared" ca="1" si="10"/>
        <v>21.450000000000585</v>
      </c>
      <c r="Q100">
        <f t="shared" ca="1" si="11"/>
        <v>21.75</v>
      </c>
      <c r="R100">
        <f t="shared" ca="1" si="12"/>
        <v>22.5</v>
      </c>
    </row>
    <row r="101" spans="1:18" x14ac:dyDescent="0.3">
      <c r="A101">
        <v>92</v>
      </c>
      <c r="B101">
        <v>1</v>
      </c>
      <c r="C101">
        <f t="shared" si="13"/>
        <v>21.600000000000591</v>
      </c>
      <c r="D101">
        <f t="shared" si="15"/>
        <v>21</v>
      </c>
      <c r="E101">
        <f t="shared" si="17"/>
        <v>21</v>
      </c>
      <c r="F101">
        <f t="shared" si="14"/>
        <v>21.750000000000597</v>
      </c>
      <c r="G101">
        <f t="shared" si="16"/>
        <v>21.75</v>
      </c>
      <c r="H101">
        <f t="shared" si="18"/>
        <v>22.5</v>
      </c>
      <c r="L101">
        <v>1</v>
      </c>
      <c r="M101">
        <f t="shared" ca="1" si="7"/>
        <v>21.600000000000591</v>
      </c>
      <c r="N101">
        <f t="shared" ca="1" si="8"/>
        <v>21</v>
      </c>
      <c r="O101">
        <f t="shared" ca="1" si="9"/>
        <v>21</v>
      </c>
      <c r="P101">
        <f t="shared" ca="1" si="10"/>
        <v>21.750000000000597</v>
      </c>
      <c r="Q101">
        <f t="shared" ca="1" si="11"/>
        <v>21.75</v>
      </c>
      <c r="R101">
        <f t="shared" ca="1" si="12"/>
        <v>22.5</v>
      </c>
    </row>
    <row r="102" spans="1:18" x14ac:dyDescent="0.3">
      <c r="A102">
        <v>93</v>
      </c>
      <c r="B102">
        <v>1</v>
      </c>
      <c r="C102">
        <f t="shared" si="13"/>
        <v>21.900000000000603</v>
      </c>
      <c r="D102">
        <f t="shared" si="15"/>
        <v>21</v>
      </c>
      <c r="E102">
        <f t="shared" si="17"/>
        <v>21</v>
      </c>
      <c r="F102">
        <f t="shared" si="14"/>
        <v>22.050000000000608</v>
      </c>
      <c r="G102">
        <f t="shared" si="16"/>
        <v>21.75</v>
      </c>
      <c r="H102">
        <f t="shared" si="18"/>
        <v>22.5</v>
      </c>
      <c r="L102">
        <v>1</v>
      </c>
      <c r="M102">
        <f t="shared" ca="1" si="7"/>
        <v>21.900000000000603</v>
      </c>
      <c r="N102">
        <f t="shared" ca="1" si="8"/>
        <v>21</v>
      </c>
      <c r="O102">
        <f t="shared" ca="1" si="9"/>
        <v>21</v>
      </c>
      <c r="P102">
        <f t="shared" ca="1" si="10"/>
        <v>22.050000000000608</v>
      </c>
      <c r="Q102">
        <f t="shared" ca="1" si="11"/>
        <v>21.75</v>
      </c>
      <c r="R102">
        <f t="shared" ca="1" si="12"/>
        <v>22.5</v>
      </c>
    </row>
    <row r="103" spans="1:18" x14ac:dyDescent="0.3">
      <c r="A103">
        <v>94</v>
      </c>
      <c r="B103">
        <v>1</v>
      </c>
      <c r="C103">
        <f t="shared" si="13"/>
        <v>22.200000000000614</v>
      </c>
      <c r="D103">
        <f t="shared" si="15"/>
        <v>21</v>
      </c>
      <c r="E103">
        <f t="shared" si="17"/>
        <v>21</v>
      </c>
      <c r="F103">
        <f t="shared" si="14"/>
        <v>22.35000000000062</v>
      </c>
      <c r="G103">
        <f t="shared" si="16"/>
        <v>21.75</v>
      </c>
      <c r="H103">
        <f t="shared" si="18"/>
        <v>22.5</v>
      </c>
      <c r="L103">
        <v>1</v>
      </c>
      <c r="M103">
        <f t="shared" ca="1" si="7"/>
        <v>22.200000000000614</v>
      </c>
      <c r="N103">
        <f t="shared" ca="1" si="8"/>
        <v>21</v>
      </c>
      <c r="O103">
        <f t="shared" ca="1" si="9"/>
        <v>21</v>
      </c>
      <c r="P103">
        <f t="shared" ca="1" si="10"/>
        <v>22.35000000000062</v>
      </c>
      <c r="Q103">
        <f t="shared" ca="1" si="11"/>
        <v>21.75</v>
      </c>
      <c r="R103">
        <f t="shared" ca="1" si="12"/>
        <v>22.5</v>
      </c>
    </row>
    <row r="104" spans="1:18" x14ac:dyDescent="0.3">
      <c r="A104">
        <v>95</v>
      </c>
      <c r="B104">
        <v>1</v>
      </c>
      <c r="C104">
        <f t="shared" si="13"/>
        <v>22.500000000000625</v>
      </c>
      <c r="D104">
        <f t="shared" si="15"/>
        <v>22.5</v>
      </c>
      <c r="E104">
        <f t="shared" si="17"/>
        <v>21</v>
      </c>
      <c r="F104">
        <f t="shared" si="14"/>
        <v>22.650000000000631</v>
      </c>
      <c r="G104">
        <f t="shared" si="16"/>
        <v>23.25</v>
      </c>
      <c r="H104">
        <f t="shared" si="18"/>
        <v>22.5</v>
      </c>
      <c r="L104">
        <v>1</v>
      </c>
      <c r="M104">
        <f t="shared" ca="1" si="7"/>
        <v>22.500000000000625</v>
      </c>
      <c r="N104">
        <f t="shared" ca="1" si="8"/>
        <v>22.5</v>
      </c>
      <c r="O104">
        <f t="shared" ca="1" si="9"/>
        <v>21</v>
      </c>
      <c r="P104">
        <f t="shared" ca="1" si="10"/>
        <v>22.650000000000631</v>
      </c>
      <c r="Q104">
        <f t="shared" ca="1" si="11"/>
        <v>23.25</v>
      </c>
      <c r="R104">
        <f t="shared" ca="1" si="12"/>
        <v>22.5</v>
      </c>
    </row>
    <row r="105" spans="1:18" x14ac:dyDescent="0.3">
      <c r="A105">
        <v>96</v>
      </c>
      <c r="B105">
        <v>1</v>
      </c>
      <c r="C105">
        <f t="shared" si="13"/>
        <v>22.800000000000637</v>
      </c>
      <c r="D105">
        <f t="shared" si="15"/>
        <v>22.5</v>
      </c>
      <c r="E105">
        <f t="shared" si="17"/>
        <v>21</v>
      </c>
      <c r="F105">
        <f t="shared" si="14"/>
        <v>22.950000000000642</v>
      </c>
      <c r="G105">
        <f t="shared" si="16"/>
        <v>23.25</v>
      </c>
      <c r="H105">
        <f t="shared" si="18"/>
        <v>22.5</v>
      </c>
      <c r="L105">
        <v>1</v>
      </c>
      <c r="M105">
        <f t="shared" ca="1" si="7"/>
        <v>22.800000000000637</v>
      </c>
      <c r="N105">
        <f t="shared" ca="1" si="8"/>
        <v>22.5</v>
      </c>
      <c r="O105">
        <f t="shared" ca="1" si="9"/>
        <v>21</v>
      </c>
      <c r="P105">
        <f t="shared" ca="1" si="10"/>
        <v>22.950000000000642</v>
      </c>
      <c r="Q105">
        <f t="shared" ca="1" si="11"/>
        <v>23.25</v>
      </c>
      <c r="R105">
        <f t="shared" ca="1" si="12"/>
        <v>22.5</v>
      </c>
    </row>
    <row r="106" spans="1:18" x14ac:dyDescent="0.3">
      <c r="A106">
        <v>97</v>
      </c>
      <c r="B106">
        <v>1</v>
      </c>
      <c r="C106">
        <f t="shared" si="13"/>
        <v>23.100000000000648</v>
      </c>
      <c r="D106">
        <f t="shared" si="15"/>
        <v>22.5</v>
      </c>
      <c r="E106">
        <f t="shared" si="17"/>
        <v>21</v>
      </c>
      <c r="F106">
        <f t="shared" si="14"/>
        <v>23.250000000000654</v>
      </c>
      <c r="G106">
        <f t="shared" si="16"/>
        <v>23.25</v>
      </c>
      <c r="H106">
        <f t="shared" si="18"/>
        <v>22.5</v>
      </c>
      <c r="L106">
        <v>1</v>
      </c>
      <c r="M106">
        <f t="shared" ca="1" si="7"/>
        <v>23.100000000000648</v>
      </c>
      <c r="N106">
        <f t="shared" ca="1" si="8"/>
        <v>22.5</v>
      </c>
      <c r="O106">
        <f t="shared" ca="1" si="9"/>
        <v>21</v>
      </c>
      <c r="P106">
        <f t="shared" ca="1" si="10"/>
        <v>23.250000000000654</v>
      </c>
      <c r="Q106">
        <f t="shared" ca="1" si="11"/>
        <v>23.25</v>
      </c>
      <c r="R106">
        <f t="shared" ca="1" si="12"/>
        <v>22.5</v>
      </c>
    </row>
    <row r="107" spans="1:18" x14ac:dyDescent="0.3">
      <c r="A107">
        <v>98</v>
      </c>
      <c r="B107">
        <v>1</v>
      </c>
      <c r="C107">
        <f t="shared" si="13"/>
        <v>23.400000000000659</v>
      </c>
      <c r="D107">
        <f t="shared" si="15"/>
        <v>22.5</v>
      </c>
      <c r="E107">
        <f t="shared" si="17"/>
        <v>21</v>
      </c>
      <c r="F107">
        <f t="shared" si="14"/>
        <v>23.550000000000665</v>
      </c>
      <c r="G107">
        <f t="shared" si="16"/>
        <v>23.25</v>
      </c>
      <c r="H107">
        <f t="shared" si="18"/>
        <v>22.5</v>
      </c>
      <c r="L107">
        <v>1</v>
      </c>
      <c r="M107">
        <f t="shared" ca="1" si="7"/>
        <v>23.400000000000659</v>
      </c>
      <c r="N107">
        <f t="shared" ca="1" si="8"/>
        <v>22.5</v>
      </c>
      <c r="O107">
        <f t="shared" ca="1" si="9"/>
        <v>21</v>
      </c>
      <c r="P107">
        <f t="shared" ca="1" si="10"/>
        <v>23.550000000000665</v>
      </c>
      <c r="Q107">
        <f t="shared" ca="1" si="11"/>
        <v>23.25</v>
      </c>
      <c r="R107">
        <f t="shared" ca="1" si="12"/>
        <v>22.5</v>
      </c>
    </row>
    <row r="108" spans="1:18" x14ac:dyDescent="0.3">
      <c r="A108">
        <v>99</v>
      </c>
      <c r="B108">
        <v>1</v>
      </c>
      <c r="C108">
        <f t="shared" si="13"/>
        <v>23.700000000000671</v>
      </c>
      <c r="D108">
        <f t="shared" si="15"/>
        <v>22.5</v>
      </c>
      <c r="E108">
        <f t="shared" si="17"/>
        <v>21</v>
      </c>
      <c r="F108">
        <f t="shared" si="14"/>
        <v>23.850000000000676</v>
      </c>
      <c r="G108">
        <f t="shared" si="16"/>
        <v>23.25</v>
      </c>
      <c r="H108">
        <f t="shared" si="18"/>
        <v>22.5</v>
      </c>
      <c r="L108">
        <v>1</v>
      </c>
      <c r="M108">
        <f t="shared" ca="1" si="7"/>
        <v>23.700000000000671</v>
      </c>
      <c r="N108">
        <f t="shared" ca="1" si="8"/>
        <v>22.5</v>
      </c>
      <c r="O108">
        <f t="shared" ca="1" si="9"/>
        <v>21</v>
      </c>
      <c r="P108">
        <f t="shared" ca="1" si="10"/>
        <v>23.850000000000676</v>
      </c>
      <c r="Q108">
        <f t="shared" ca="1" si="11"/>
        <v>23.25</v>
      </c>
      <c r="R108">
        <f t="shared" ca="1" si="12"/>
        <v>22.5</v>
      </c>
    </row>
    <row r="109" spans="1:18" x14ac:dyDescent="0.3">
      <c r="A109">
        <v>100</v>
      </c>
      <c r="B109">
        <v>1</v>
      </c>
      <c r="C109">
        <f t="shared" si="13"/>
        <v>24.000000000000682</v>
      </c>
      <c r="D109">
        <f t="shared" si="15"/>
        <v>24</v>
      </c>
      <c r="E109">
        <f t="shared" si="17"/>
        <v>24</v>
      </c>
      <c r="F109">
        <f t="shared" si="14"/>
        <v>24.150000000000688</v>
      </c>
      <c r="G109">
        <f t="shared" si="16"/>
        <v>24.75</v>
      </c>
      <c r="H109">
        <f t="shared" si="18"/>
        <v>25.5</v>
      </c>
      <c r="L109">
        <v>1</v>
      </c>
      <c r="M109">
        <f t="shared" ca="1" si="7"/>
        <v>24.000000000000682</v>
      </c>
      <c r="N109">
        <f t="shared" ca="1" si="8"/>
        <v>24</v>
      </c>
      <c r="O109">
        <f t="shared" ca="1" si="9"/>
        <v>24</v>
      </c>
      <c r="P109">
        <f t="shared" ca="1" si="10"/>
        <v>24.150000000000688</v>
      </c>
      <c r="Q109">
        <f t="shared" ca="1" si="11"/>
        <v>24.75</v>
      </c>
      <c r="R109">
        <f t="shared" ca="1" si="12"/>
        <v>25.5</v>
      </c>
    </row>
    <row r="110" spans="1:18" x14ac:dyDescent="0.3">
      <c r="A110">
        <v>101</v>
      </c>
      <c r="B110">
        <v>1</v>
      </c>
      <c r="C110">
        <f t="shared" si="13"/>
        <v>24.300000000000693</v>
      </c>
      <c r="D110">
        <f t="shared" si="15"/>
        <v>24</v>
      </c>
      <c r="E110">
        <f t="shared" si="17"/>
        <v>24</v>
      </c>
      <c r="F110">
        <f t="shared" si="14"/>
        <v>24.450000000000699</v>
      </c>
      <c r="G110">
        <f t="shared" si="16"/>
        <v>24.75</v>
      </c>
      <c r="H110">
        <f t="shared" si="18"/>
        <v>25.5</v>
      </c>
      <c r="L110">
        <v>1</v>
      </c>
      <c r="M110">
        <f t="shared" ca="1" si="7"/>
        <v>24.300000000000693</v>
      </c>
      <c r="N110">
        <f t="shared" ca="1" si="8"/>
        <v>24</v>
      </c>
      <c r="O110">
        <f t="shared" ca="1" si="9"/>
        <v>24</v>
      </c>
      <c r="P110">
        <f t="shared" ca="1" si="10"/>
        <v>24.450000000000699</v>
      </c>
      <c r="Q110">
        <f t="shared" ca="1" si="11"/>
        <v>24.75</v>
      </c>
      <c r="R110">
        <f t="shared" ca="1" si="12"/>
        <v>25.5</v>
      </c>
    </row>
    <row r="111" spans="1:18" x14ac:dyDescent="0.3">
      <c r="A111">
        <v>102</v>
      </c>
      <c r="B111">
        <v>1</v>
      </c>
      <c r="C111">
        <f t="shared" si="13"/>
        <v>24.600000000000705</v>
      </c>
      <c r="D111">
        <f t="shared" si="15"/>
        <v>24</v>
      </c>
      <c r="E111">
        <f t="shared" si="17"/>
        <v>24</v>
      </c>
      <c r="F111">
        <f t="shared" si="14"/>
        <v>24.750000000000711</v>
      </c>
      <c r="G111">
        <f t="shared" si="16"/>
        <v>24.75</v>
      </c>
      <c r="H111">
        <f t="shared" si="18"/>
        <v>25.5</v>
      </c>
      <c r="L111">
        <v>1</v>
      </c>
      <c r="M111">
        <f t="shared" ca="1" si="7"/>
        <v>24.600000000000705</v>
      </c>
      <c r="N111">
        <f t="shared" ca="1" si="8"/>
        <v>24</v>
      </c>
      <c r="O111">
        <f t="shared" ca="1" si="9"/>
        <v>24</v>
      </c>
      <c r="P111">
        <f t="shared" ca="1" si="10"/>
        <v>24.750000000000711</v>
      </c>
      <c r="Q111">
        <f t="shared" ca="1" si="11"/>
        <v>24.75</v>
      </c>
      <c r="R111">
        <f t="shared" ca="1" si="12"/>
        <v>25.5</v>
      </c>
    </row>
    <row r="112" spans="1:18" x14ac:dyDescent="0.3">
      <c r="A112">
        <v>103</v>
      </c>
      <c r="B112">
        <v>1</v>
      </c>
      <c r="C112">
        <f t="shared" si="13"/>
        <v>24.900000000000716</v>
      </c>
      <c r="D112">
        <f t="shared" si="15"/>
        <v>24</v>
      </c>
      <c r="E112">
        <f t="shared" si="17"/>
        <v>24</v>
      </c>
      <c r="F112">
        <f t="shared" si="14"/>
        <v>25.050000000000722</v>
      </c>
      <c r="G112">
        <f t="shared" si="16"/>
        <v>24.75</v>
      </c>
      <c r="H112">
        <f t="shared" si="18"/>
        <v>25.5</v>
      </c>
      <c r="L112">
        <v>1</v>
      </c>
      <c r="M112">
        <f t="shared" ca="1" si="7"/>
        <v>24.900000000000716</v>
      </c>
      <c r="N112">
        <f t="shared" ca="1" si="8"/>
        <v>24</v>
      </c>
      <c r="O112">
        <f t="shared" ca="1" si="9"/>
        <v>24</v>
      </c>
      <c r="P112">
        <f t="shared" ca="1" si="10"/>
        <v>25.050000000000722</v>
      </c>
      <c r="Q112">
        <f t="shared" ca="1" si="11"/>
        <v>24.75</v>
      </c>
      <c r="R112">
        <f t="shared" ca="1" si="12"/>
        <v>25.5</v>
      </c>
    </row>
    <row r="113" spans="1:18" x14ac:dyDescent="0.3">
      <c r="A113">
        <v>104</v>
      </c>
      <c r="B113">
        <v>1</v>
      </c>
      <c r="C113">
        <f t="shared" si="13"/>
        <v>25.200000000000728</v>
      </c>
      <c r="D113">
        <f t="shared" si="15"/>
        <v>24</v>
      </c>
      <c r="E113">
        <f t="shared" si="17"/>
        <v>24</v>
      </c>
      <c r="F113">
        <f t="shared" si="14"/>
        <v>25.350000000000733</v>
      </c>
      <c r="G113">
        <f t="shared" si="16"/>
        <v>24.75</v>
      </c>
      <c r="H113">
        <f t="shared" si="18"/>
        <v>25.5</v>
      </c>
      <c r="L113">
        <v>1</v>
      </c>
      <c r="M113">
        <f t="shared" ca="1" si="7"/>
        <v>25.200000000000728</v>
      </c>
      <c r="N113">
        <f t="shared" ca="1" si="8"/>
        <v>24</v>
      </c>
      <c r="O113">
        <f t="shared" ca="1" si="9"/>
        <v>24</v>
      </c>
      <c r="P113">
        <f t="shared" ca="1" si="10"/>
        <v>25.350000000000733</v>
      </c>
      <c r="Q113">
        <f t="shared" ca="1" si="11"/>
        <v>24.75</v>
      </c>
      <c r="R113">
        <f t="shared" ca="1" si="12"/>
        <v>25.5</v>
      </c>
    </row>
    <row r="114" spans="1:18" x14ac:dyDescent="0.3">
      <c r="A114">
        <v>105</v>
      </c>
      <c r="B114">
        <v>1</v>
      </c>
      <c r="C114">
        <f t="shared" si="13"/>
        <v>25.500000000000739</v>
      </c>
      <c r="D114">
        <f t="shared" si="15"/>
        <v>25.5</v>
      </c>
      <c r="E114">
        <f t="shared" si="17"/>
        <v>24</v>
      </c>
      <c r="F114">
        <f t="shared" si="14"/>
        <v>25.650000000000745</v>
      </c>
      <c r="G114">
        <f t="shared" si="16"/>
        <v>26.25</v>
      </c>
      <c r="H114">
        <f t="shared" si="18"/>
        <v>25.5</v>
      </c>
      <c r="L114">
        <v>1</v>
      </c>
      <c r="M114">
        <f t="shared" ref="M114:M159" ca="1" si="19">IF(MOD($A114,D$2)=0,OFFSET(M114,-D$2,0)+ D$3* $B114+D$4*OFFSET($B114,-D$2,0)+ D$5*OFFSET($B114,-2* D$2,0), M113)</f>
        <v>25.500000000000739</v>
      </c>
      <c r="N114">
        <f t="shared" ref="N114:N159" ca="1" si="20">IF(MOD($A114,E$2)=0,OFFSET(N114,-E$2,0)+ E$3* $B114+E$4*OFFSET($B114,-E$2,0)+ E$5*OFFSET($B114,-2* E$2,0), N113)</f>
        <v>25.5</v>
      </c>
      <c r="O114">
        <f t="shared" ref="O114:O159" ca="1" si="21">IF(MOD($A114,F$2)=0,OFFSET(O114,-F$2,0)+ F$3* $B114+F$4*OFFSET($B114,-F$2,0)+ F$5*OFFSET($B114,-2* F$2,0), O113)</f>
        <v>24</v>
      </c>
      <c r="P114">
        <f t="shared" ref="P114:P159" ca="1" si="22">IF(MOD($A114,G$2)=0,OFFSET(P114,-G$2,0)+ G$3* $B114+G$4*OFFSET($B114,-G$2,0)+ G$5*OFFSET($B114,-2* G$2,0), P113)</f>
        <v>25.650000000000745</v>
      </c>
      <c r="Q114">
        <f t="shared" ref="Q114:Q159" ca="1" si="23">IF(MOD($A114,H$2)=0,OFFSET(Q114,-H$2,0)+ H$3* $B114+H$4*OFFSET($B114,-H$2,0)+ H$5*OFFSET($B114,-2* H$2,0), Q113)</f>
        <v>26.25</v>
      </c>
      <c r="R114">
        <f t="shared" ref="R114:R159" ca="1" si="24">IF(MOD($A114,I$2)=0,OFFSET(R114,-I$2,0)+ I$3* $B114+I$4*OFFSET($B114,-I$2,0)+ I$5*OFFSET($B114,-2* I$2,0), R113)</f>
        <v>25.5</v>
      </c>
    </row>
    <row r="115" spans="1:18" x14ac:dyDescent="0.3">
      <c r="A115">
        <v>106</v>
      </c>
      <c r="B115">
        <v>1</v>
      </c>
      <c r="C115">
        <f t="shared" si="13"/>
        <v>25.80000000000075</v>
      </c>
      <c r="D115">
        <f t="shared" si="15"/>
        <v>25.5</v>
      </c>
      <c r="E115">
        <f t="shared" si="17"/>
        <v>24</v>
      </c>
      <c r="F115">
        <f t="shared" si="14"/>
        <v>25.950000000000756</v>
      </c>
      <c r="G115">
        <f t="shared" si="16"/>
        <v>26.25</v>
      </c>
      <c r="H115">
        <f t="shared" si="18"/>
        <v>25.5</v>
      </c>
      <c r="L115">
        <v>1</v>
      </c>
      <c r="M115">
        <f t="shared" ca="1" si="19"/>
        <v>25.80000000000075</v>
      </c>
      <c r="N115">
        <f t="shared" ca="1" si="20"/>
        <v>25.5</v>
      </c>
      <c r="O115">
        <f t="shared" ca="1" si="21"/>
        <v>24</v>
      </c>
      <c r="P115">
        <f t="shared" ca="1" si="22"/>
        <v>25.950000000000756</v>
      </c>
      <c r="Q115">
        <f t="shared" ca="1" si="23"/>
        <v>26.25</v>
      </c>
      <c r="R115">
        <f t="shared" ca="1" si="24"/>
        <v>25.5</v>
      </c>
    </row>
    <row r="116" spans="1:18" x14ac:dyDescent="0.3">
      <c r="A116">
        <v>107</v>
      </c>
      <c r="B116">
        <v>1</v>
      </c>
      <c r="C116">
        <f t="shared" si="13"/>
        <v>26.100000000000762</v>
      </c>
      <c r="D116">
        <f t="shared" si="15"/>
        <v>25.5</v>
      </c>
      <c r="E116">
        <f t="shared" si="17"/>
        <v>24</v>
      </c>
      <c r="F116">
        <f t="shared" si="14"/>
        <v>26.250000000000767</v>
      </c>
      <c r="G116">
        <f t="shared" si="16"/>
        <v>26.25</v>
      </c>
      <c r="H116">
        <f t="shared" si="18"/>
        <v>25.5</v>
      </c>
      <c r="L116">
        <v>1</v>
      </c>
      <c r="M116">
        <f t="shared" ca="1" si="19"/>
        <v>26.100000000000762</v>
      </c>
      <c r="N116">
        <f t="shared" ca="1" si="20"/>
        <v>25.5</v>
      </c>
      <c r="O116">
        <f t="shared" ca="1" si="21"/>
        <v>24</v>
      </c>
      <c r="P116">
        <f t="shared" ca="1" si="22"/>
        <v>26.250000000000767</v>
      </c>
      <c r="Q116">
        <f t="shared" ca="1" si="23"/>
        <v>26.25</v>
      </c>
      <c r="R116">
        <f t="shared" ca="1" si="24"/>
        <v>25.5</v>
      </c>
    </row>
    <row r="117" spans="1:18" x14ac:dyDescent="0.3">
      <c r="A117">
        <v>108</v>
      </c>
      <c r="B117">
        <v>1</v>
      </c>
      <c r="C117">
        <f t="shared" si="13"/>
        <v>26.400000000000773</v>
      </c>
      <c r="D117">
        <f t="shared" si="15"/>
        <v>25.5</v>
      </c>
      <c r="E117">
        <f t="shared" si="17"/>
        <v>24</v>
      </c>
      <c r="F117">
        <f t="shared" si="14"/>
        <v>26.550000000000779</v>
      </c>
      <c r="G117">
        <f t="shared" si="16"/>
        <v>26.25</v>
      </c>
      <c r="H117">
        <f t="shared" si="18"/>
        <v>25.5</v>
      </c>
      <c r="L117">
        <v>1</v>
      </c>
      <c r="M117">
        <f t="shared" ca="1" si="19"/>
        <v>26.400000000000773</v>
      </c>
      <c r="N117">
        <f t="shared" ca="1" si="20"/>
        <v>25.5</v>
      </c>
      <c r="O117">
        <f t="shared" ca="1" si="21"/>
        <v>24</v>
      </c>
      <c r="P117">
        <f t="shared" ca="1" si="22"/>
        <v>26.550000000000779</v>
      </c>
      <c r="Q117">
        <f t="shared" ca="1" si="23"/>
        <v>26.25</v>
      </c>
      <c r="R117">
        <f t="shared" ca="1" si="24"/>
        <v>25.5</v>
      </c>
    </row>
    <row r="118" spans="1:18" x14ac:dyDescent="0.3">
      <c r="A118">
        <v>109</v>
      </c>
      <c r="B118">
        <v>1</v>
      </c>
      <c r="C118">
        <f t="shared" si="13"/>
        <v>26.700000000000784</v>
      </c>
      <c r="D118">
        <f t="shared" si="15"/>
        <v>25.5</v>
      </c>
      <c r="E118">
        <f t="shared" si="17"/>
        <v>24</v>
      </c>
      <c r="F118">
        <f t="shared" si="14"/>
        <v>26.85000000000079</v>
      </c>
      <c r="G118">
        <f t="shared" si="16"/>
        <v>26.25</v>
      </c>
      <c r="H118">
        <f t="shared" si="18"/>
        <v>25.5</v>
      </c>
      <c r="L118">
        <v>1</v>
      </c>
      <c r="M118">
        <f t="shared" ca="1" si="19"/>
        <v>26.700000000000784</v>
      </c>
      <c r="N118">
        <f t="shared" ca="1" si="20"/>
        <v>25.5</v>
      </c>
      <c r="O118">
        <f t="shared" ca="1" si="21"/>
        <v>24</v>
      </c>
      <c r="P118">
        <f t="shared" ca="1" si="22"/>
        <v>26.85000000000079</v>
      </c>
      <c r="Q118">
        <f t="shared" ca="1" si="23"/>
        <v>26.25</v>
      </c>
      <c r="R118">
        <f t="shared" ca="1" si="24"/>
        <v>25.5</v>
      </c>
    </row>
    <row r="119" spans="1:18" x14ac:dyDescent="0.3">
      <c r="A119">
        <v>110</v>
      </c>
      <c r="B119">
        <v>1</v>
      </c>
      <c r="C119">
        <f t="shared" si="13"/>
        <v>27.000000000000796</v>
      </c>
      <c r="D119">
        <f t="shared" si="15"/>
        <v>27</v>
      </c>
      <c r="E119">
        <f t="shared" si="17"/>
        <v>27</v>
      </c>
      <c r="F119">
        <f t="shared" si="14"/>
        <v>27.150000000000801</v>
      </c>
      <c r="G119">
        <f t="shared" si="16"/>
        <v>27.75</v>
      </c>
      <c r="H119">
        <f t="shared" si="18"/>
        <v>28.5</v>
      </c>
      <c r="L119">
        <v>1</v>
      </c>
      <c r="M119">
        <f t="shared" ca="1" si="19"/>
        <v>27.000000000000796</v>
      </c>
      <c r="N119">
        <f t="shared" ca="1" si="20"/>
        <v>27</v>
      </c>
      <c r="O119">
        <f t="shared" ca="1" si="21"/>
        <v>27</v>
      </c>
      <c r="P119">
        <f t="shared" ca="1" si="22"/>
        <v>27.150000000000801</v>
      </c>
      <c r="Q119">
        <f t="shared" ca="1" si="23"/>
        <v>27.75</v>
      </c>
      <c r="R119">
        <f t="shared" ca="1" si="24"/>
        <v>28.5</v>
      </c>
    </row>
    <row r="120" spans="1:18" x14ac:dyDescent="0.3">
      <c r="A120">
        <v>111</v>
      </c>
      <c r="B120">
        <v>1</v>
      </c>
      <c r="C120">
        <f t="shared" si="13"/>
        <v>27.300000000000807</v>
      </c>
      <c r="D120">
        <f t="shared" si="15"/>
        <v>27</v>
      </c>
      <c r="E120">
        <f t="shared" si="17"/>
        <v>27</v>
      </c>
      <c r="F120">
        <f t="shared" si="14"/>
        <v>27.450000000000813</v>
      </c>
      <c r="G120">
        <f t="shared" si="16"/>
        <v>27.75</v>
      </c>
      <c r="H120">
        <f t="shared" si="18"/>
        <v>28.5</v>
      </c>
      <c r="L120">
        <v>1</v>
      </c>
      <c r="M120">
        <f t="shared" ca="1" si="19"/>
        <v>27.300000000000807</v>
      </c>
      <c r="N120">
        <f t="shared" ca="1" si="20"/>
        <v>27</v>
      </c>
      <c r="O120">
        <f t="shared" ca="1" si="21"/>
        <v>27</v>
      </c>
      <c r="P120">
        <f t="shared" ca="1" si="22"/>
        <v>27.450000000000813</v>
      </c>
      <c r="Q120">
        <f t="shared" ca="1" si="23"/>
        <v>27.75</v>
      </c>
      <c r="R120">
        <f t="shared" ca="1" si="24"/>
        <v>28.5</v>
      </c>
    </row>
    <row r="121" spans="1:18" x14ac:dyDescent="0.3">
      <c r="A121">
        <v>112</v>
      </c>
      <c r="B121">
        <v>1</v>
      </c>
      <c r="C121">
        <f t="shared" si="13"/>
        <v>27.600000000000819</v>
      </c>
      <c r="D121">
        <f t="shared" si="15"/>
        <v>27</v>
      </c>
      <c r="E121">
        <f t="shared" si="17"/>
        <v>27</v>
      </c>
      <c r="F121">
        <f t="shared" si="14"/>
        <v>27.750000000000824</v>
      </c>
      <c r="G121">
        <f t="shared" si="16"/>
        <v>27.75</v>
      </c>
      <c r="H121">
        <f t="shared" si="18"/>
        <v>28.5</v>
      </c>
      <c r="L121">
        <v>1</v>
      </c>
      <c r="M121">
        <f t="shared" ca="1" si="19"/>
        <v>27.600000000000819</v>
      </c>
      <c r="N121">
        <f t="shared" ca="1" si="20"/>
        <v>27</v>
      </c>
      <c r="O121">
        <f t="shared" ca="1" si="21"/>
        <v>27</v>
      </c>
      <c r="P121">
        <f t="shared" ca="1" si="22"/>
        <v>27.750000000000824</v>
      </c>
      <c r="Q121">
        <f t="shared" ca="1" si="23"/>
        <v>27.75</v>
      </c>
      <c r="R121">
        <f t="shared" ca="1" si="24"/>
        <v>28.5</v>
      </c>
    </row>
    <row r="122" spans="1:18" x14ac:dyDescent="0.3">
      <c r="A122">
        <v>113</v>
      </c>
      <c r="B122">
        <v>1</v>
      </c>
      <c r="C122">
        <f t="shared" si="13"/>
        <v>27.90000000000083</v>
      </c>
      <c r="D122">
        <f t="shared" si="15"/>
        <v>27</v>
      </c>
      <c r="E122">
        <f t="shared" si="17"/>
        <v>27</v>
      </c>
      <c r="F122">
        <f t="shared" si="14"/>
        <v>28.050000000000836</v>
      </c>
      <c r="G122">
        <f t="shared" si="16"/>
        <v>27.75</v>
      </c>
      <c r="H122">
        <f t="shared" si="18"/>
        <v>28.5</v>
      </c>
      <c r="L122">
        <v>1</v>
      </c>
      <c r="M122">
        <f t="shared" ca="1" si="19"/>
        <v>27.90000000000083</v>
      </c>
      <c r="N122">
        <f t="shared" ca="1" si="20"/>
        <v>27</v>
      </c>
      <c r="O122">
        <f t="shared" ca="1" si="21"/>
        <v>27</v>
      </c>
      <c r="P122">
        <f t="shared" ca="1" si="22"/>
        <v>28.050000000000836</v>
      </c>
      <c r="Q122">
        <f t="shared" ca="1" si="23"/>
        <v>27.75</v>
      </c>
      <c r="R122">
        <f t="shared" ca="1" si="24"/>
        <v>28.5</v>
      </c>
    </row>
    <row r="123" spans="1:18" x14ac:dyDescent="0.3">
      <c r="A123">
        <v>114</v>
      </c>
      <c r="B123">
        <v>1</v>
      </c>
      <c r="C123">
        <f t="shared" si="13"/>
        <v>28.200000000000841</v>
      </c>
      <c r="D123">
        <f t="shared" si="15"/>
        <v>27</v>
      </c>
      <c r="E123">
        <f t="shared" si="17"/>
        <v>27</v>
      </c>
      <c r="F123">
        <f t="shared" si="14"/>
        <v>28.350000000000847</v>
      </c>
      <c r="G123">
        <f t="shared" si="16"/>
        <v>27.75</v>
      </c>
      <c r="H123">
        <f t="shared" si="18"/>
        <v>28.5</v>
      </c>
      <c r="L123">
        <v>1</v>
      </c>
      <c r="M123">
        <f t="shared" ca="1" si="19"/>
        <v>28.200000000000841</v>
      </c>
      <c r="N123">
        <f t="shared" ca="1" si="20"/>
        <v>27</v>
      </c>
      <c r="O123">
        <f t="shared" ca="1" si="21"/>
        <v>27</v>
      </c>
      <c r="P123">
        <f t="shared" ca="1" si="22"/>
        <v>28.350000000000847</v>
      </c>
      <c r="Q123">
        <f t="shared" ca="1" si="23"/>
        <v>27.75</v>
      </c>
      <c r="R123">
        <f t="shared" ca="1" si="24"/>
        <v>28.5</v>
      </c>
    </row>
    <row r="124" spans="1:18" x14ac:dyDescent="0.3">
      <c r="A124">
        <v>115</v>
      </c>
      <c r="B124">
        <v>1</v>
      </c>
      <c r="C124">
        <f t="shared" si="13"/>
        <v>28.500000000000853</v>
      </c>
      <c r="D124">
        <f t="shared" si="15"/>
        <v>28.5</v>
      </c>
      <c r="E124">
        <f t="shared" si="17"/>
        <v>27</v>
      </c>
      <c r="F124">
        <f t="shared" si="14"/>
        <v>28.650000000000858</v>
      </c>
      <c r="G124">
        <f t="shared" si="16"/>
        <v>29.25</v>
      </c>
      <c r="H124">
        <f t="shared" si="18"/>
        <v>28.5</v>
      </c>
      <c r="L124">
        <v>1</v>
      </c>
      <c r="M124">
        <f t="shared" ca="1" si="19"/>
        <v>28.500000000000853</v>
      </c>
      <c r="N124">
        <f t="shared" ca="1" si="20"/>
        <v>28.5</v>
      </c>
      <c r="O124">
        <f t="shared" ca="1" si="21"/>
        <v>27</v>
      </c>
      <c r="P124">
        <f t="shared" ca="1" si="22"/>
        <v>28.650000000000858</v>
      </c>
      <c r="Q124">
        <f t="shared" ca="1" si="23"/>
        <v>29.25</v>
      </c>
      <c r="R124">
        <f t="shared" ca="1" si="24"/>
        <v>28.5</v>
      </c>
    </row>
    <row r="125" spans="1:18" x14ac:dyDescent="0.3">
      <c r="A125">
        <v>116</v>
      </c>
      <c r="B125">
        <v>1</v>
      </c>
      <c r="C125">
        <f t="shared" si="13"/>
        <v>28.800000000000864</v>
      </c>
      <c r="D125">
        <f t="shared" si="15"/>
        <v>28.5</v>
      </c>
      <c r="E125">
        <f t="shared" si="17"/>
        <v>27</v>
      </c>
      <c r="F125">
        <f t="shared" si="14"/>
        <v>28.95000000000087</v>
      </c>
      <c r="G125">
        <f t="shared" si="16"/>
        <v>29.25</v>
      </c>
      <c r="H125">
        <f t="shared" si="18"/>
        <v>28.5</v>
      </c>
      <c r="L125">
        <v>1</v>
      </c>
      <c r="M125">
        <f t="shared" ca="1" si="19"/>
        <v>28.800000000000864</v>
      </c>
      <c r="N125">
        <f t="shared" ca="1" si="20"/>
        <v>28.5</v>
      </c>
      <c r="O125">
        <f t="shared" ca="1" si="21"/>
        <v>27</v>
      </c>
      <c r="P125">
        <f t="shared" ca="1" si="22"/>
        <v>28.95000000000087</v>
      </c>
      <c r="Q125">
        <f t="shared" ca="1" si="23"/>
        <v>29.25</v>
      </c>
      <c r="R125">
        <f t="shared" ca="1" si="24"/>
        <v>28.5</v>
      </c>
    </row>
    <row r="126" spans="1:18" x14ac:dyDescent="0.3">
      <c r="A126">
        <v>117</v>
      </c>
      <c r="B126">
        <v>1</v>
      </c>
      <c r="C126">
        <f t="shared" si="13"/>
        <v>29.100000000000875</v>
      </c>
      <c r="D126">
        <f t="shared" si="15"/>
        <v>28.5</v>
      </c>
      <c r="E126">
        <f t="shared" si="17"/>
        <v>27</v>
      </c>
      <c r="F126">
        <f t="shared" si="14"/>
        <v>29.250000000000881</v>
      </c>
      <c r="G126">
        <f t="shared" si="16"/>
        <v>29.25</v>
      </c>
      <c r="H126">
        <f t="shared" si="18"/>
        <v>28.5</v>
      </c>
      <c r="L126">
        <v>1</v>
      </c>
      <c r="M126">
        <f t="shared" ca="1" si="19"/>
        <v>29.100000000000875</v>
      </c>
      <c r="N126">
        <f t="shared" ca="1" si="20"/>
        <v>28.5</v>
      </c>
      <c r="O126">
        <f t="shared" ca="1" si="21"/>
        <v>27</v>
      </c>
      <c r="P126">
        <f t="shared" ca="1" si="22"/>
        <v>29.250000000000881</v>
      </c>
      <c r="Q126">
        <f t="shared" ca="1" si="23"/>
        <v>29.25</v>
      </c>
      <c r="R126">
        <f t="shared" ca="1" si="24"/>
        <v>28.5</v>
      </c>
    </row>
    <row r="127" spans="1:18" x14ac:dyDescent="0.3">
      <c r="A127">
        <v>118</v>
      </c>
      <c r="B127">
        <v>1</v>
      </c>
      <c r="C127">
        <f t="shared" si="13"/>
        <v>29.400000000000887</v>
      </c>
      <c r="D127">
        <f t="shared" si="15"/>
        <v>28.5</v>
      </c>
      <c r="E127">
        <f t="shared" si="17"/>
        <v>27</v>
      </c>
      <c r="F127">
        <f t="shared" si="14"/>
        <v>29.550000000000892</v>
      </c>
      <c r="G127">
        <f t="shared" si="16"/>
        <v>29.25</v>
      </c>
      <c r="H127">
        <f t="shared" si="18"/>
        <v>28.5</v>
      </c>
      <c r="L127">
        <v>1</v>
      </c>
      <c r="M127">
        <f t="shared" ca="1" si="19"/>
        <v>29.400000000000887</v>
      </c>
      <c r="N127">
        <f t="shared" ca="1" si="20"/>
        <v>28.5</v>
      </c>
      <c r="O127">
        <f t="shared" ca="1" si="21"/>
        <v>27</v>
      </c>
      <c r="P127">
        <f t="shared" ca="1" si="22"/>
        <v>29.550000000000892</v>
      </c>
      <c r="Q127">
        <f t="shared" ca="1" si="23"/>
        <v>29.25</v>
      </c>
      <c r="R127">
        <f t="shared" ca="1" si="24"/>
        <v>28.5</v>
      </c>
    </row>
    <row r="128" spans="1:18" x14ac:dyDescent="0.3">
      <c r="A128">
        <v>119</v>
      </c>
      <c r="B128">
        <v>1</v>
      </c>
      <c r="C128">
        <f t="shared" si="13"/>
        <v>29.700000000000898</v>
      </c>
      <c r="D128">
        <f t="shared" si="15"/>
        <v>28.5</v>
      </c>
      <c r="E128">
        <f t="shared" si="17"/>
        <v>27</v>
      </c>
      <c r="F128">
        <f t="shared" si="14"/>
        <v>29.850000000000904</v>
      </c>
      <c r="G128">
        <f t="shared" si="16"/>
        <v>29.25</v>
      </c>
      <c r="H128">
        <f t="shared" si="18"/>
        <v>28.5</v>
      </c>
      <c r="L128">
        <v>1</v>
      </c>
      <c r="M128">
        <f t="shared" ca="1" si="19"/>
        <v>29.700000000000898</v>
      </c>
      <c r="N128">
        <f t="shared" ca="1" si="20"/>
        <v>28.5</v>
      </c>
      <c r="O128">
        <f t="shared" ca="1" si="21"/>
        <v>27</v>
      </c>
      <c r="P128">
        <f t="shared" ca="1" si="22"/>
        <v>29.850000000000904</v>
      </c>
      <c r="Q128">
        <f t="shared" ca="1" si="23"/>
        <v>29.25</v>
      </c>
      <c r="R128">
        <f t="shared" ca="1" si="24"/>
        <v>28.5</v>
      </c>
    </row>
    <row r="129" spans="1:18" x14ac:dyDescent="0.3">
      <c r="A129">
        <v>120</v>
      </c>
      <c r="B129">
        <v>1</v>
      </c>
      <c r="C129">
        <f t="shared" si="13"/>
        <v>30.000000000000909</v>
      </c>
      <c r="D129">
        <f t="shared" si="15"/>
        <v>30</v>
      </c>
      <c r="E129">
        <f t="shared" si="17"/>
        <v>30</v>
      </c>
      <c r="F129">
        <f t="shared" si="14"/>
        <v>30.150000000000915</v>
      </c>
      <c r="G129">
        <f t="shared" si="16"/>
        <v>30.75</v>
      </c>
      <c r="H129">
        <f t="shared" si="18"/>
        <v>31.5</v>
      </c>
      <c r="L129">
        <v>1</v>
      </c>
      <c r="M129">
        <f t="shared" ca="1" si="19"/>
        <v>30.000000000000909</v>
      </c>
      <c r="N129">
        <f t="shared" ca="1" si="20"/>
        <v>30</v>
      </c>
      <c r="O129">
        <f t="shared" ca="1" si="21"/>
        <v>30</v>
      </c>
      <c r="P129">
        <f t="shared" ca="1" si="22"/>
        <v>30.150000000000915</v>
      </c>
      <c r="Q129">
        <f t="shared" ca="1" si="23"/>
        <v>30.75</v>
      </c>
      <c r="R129">
        <f t="shared" ca="1" si="24"/>
        <v>31.5</v>
      </c>
    </row>
    <row r="130" spans="1:18" x14ac:dyDescent="0.3">
      <c r="A130">
        <v>121</v>
      </c>
      <c r="B130">
        <v>1</v>
      </c>
      <c r="C130">
        <f t="shared" si="13"/>
        <v>30.300000000000921</v>
      </c>
      <c r="D130">
        <f t="shared" si="15"/>
        <v>30</v>
      </c>
      <c r="E130">
        <f t="shared" si="17"/>
        <v>30</v>
      </c>
      <c r="F130">
        <f t="shared" si="14"/>
        <v>30.450000000000927</v>
      </c>
      <c r="G130">
        <f t="shared" si="16"/>
        <v>30.75</v>
      </c>
      <c r="H130">
        <f t="shared" si="18"/>
        <v>31.5</v>
      </c>
      <c r="L130">
        <v>1</v>
      </c>
      <c r="M130">
        <f t="shared" ca="1" si="19"/>
        <v>30.300000000000921</v>
      </c>
      <c r="N130">
        <f t="shared" ca="1" si="20"/>
        <v>30</v>
      </c>
      <c r="O130">
        <f t="shared" ca="1" si="21"/>
        <v>30</v>
      </c>
      <c r="P130">
        <f t="shared" ca="1" si="22"/>
        <v>30.450000000000927</v>
      </c>
      <c r="Q130">
        <f t="shared" ca="1" si="23"/>
        <v>30.75</v>
      </c>
      <c r="R130">
        <f t="shared" ca="1" si="24"/>
        <v>31.5</v>
      </c>
    </row>
    <row r="131" spans="1:18" x14ac:dyDescent="0.3">
      <c r="A131">
        <v>122</v>
      </c>
      <c r="B131">
        <v>1</v>
      </c>
      <c r="C131">
        <f t="shared" si="13"/>
        <v>30.600000000000932</v>
      </c>
      <c r="D131">
        <f t="shared" si="15"/>
        <v>30</v>
      </c>
      <c r="E131">
        <f t="shared" si="17"/>
        <v>30</v>
      </c>
      <c r="F131">
        <f t="shared" si="14"/>
        <v>30.750000000000938</v>
      </c>
      <c r="G131">
        <f t="shared" si="16"/>
        <v>30.75</v>
      </c>
      <c r="H131">
        <f t="shared" si="18"/>
        <v>31.5</v>
      </c>
      <c r="L131">
        <v>1</v>
      </c>
      <c r="M131">
        <f t="shared" ca="1" si="19"/>
        <v>30.600000000000932</v>
      </c>
      <c r="N131">
        <f t="shared" ca="1" si="20"/>
        <v>30</v>
      </c>
      <c r="O131">
        <f t="shared" ca="1" si="21"/>
        <v>30</v>
      </c>
      <c r="P131">
        <f t="shared" ca="1" si="22"/>
        <v>30.750000000000938</v>
      </c>
      <c r="Q131">
        <f t="shared" ca="1" si="23"/>
        <v>30.75</v>
      </c>
      <c r="R131">
        <f t="shared" ca="1" si="24"/>
        <v>31.5</v>
      </c>
    </row>
    <row r="132" spans="1:18" x14ac:dyDescent="0.3">
      <c r="A132">
        <v>123</v>
      </c>
      <c r="B132">
        <v>1</v>
      </c>
      <c r="C132">
        <f t="shared" si="13"/>
        <v>30.900000000000944</v>
      </c>
      <c r="D132">
        <f t="shared" si="15"/>
        <v>30</v>
      </c>
      <c r="E132">
        <f t="shared" si="17"/>
        <v>30</v>
      </c>
      <c r="F132">
        <f t="shared" si="14"/>
        <v>31.050000000000949</v>
      </c>
      <c r="G132">
        <f t="shared" si="16"/>
        <v>30.75</v>
      </c>
      <c r="H132">
        <f t="shared" si="18"/>
        <v>31.5</v>
      </c>
      <c r="L132">
        <v>1</v>
      </c>
      <c r="M132">
        <f t="shared" ca="1" si="19"/>
        <v>30.900000000000944</v>
      </c>
      <c r="N132">
        <f t="shared" ca="1" si="20"/>
        <v>30</v>
      </c>
      <c r="O132">
        <f t="shared" ca="1" si="21"/>
        <v>30</v>
      </c>
      <c r="P132">
        <f t="shared" ca="1" si="22"/>
        <v>31.050000000000949</v>
      </c>
      <c r="Q132">
        <f t="shared" ca="1" si="23"/>
        <v>30.75</v>
      </c>
      <c r="R132">
        <f t="shared" ca="1" si="24"/>
        <v>31.5</v>
      </c>
    </row>
    <row r="133" spans="1:18" x14ac:dyDescent="0.3">
      <c r="A133">
        <v>124</v>
      </c>
      <c r="B133">
        <v>1</v>
      </c>
      <c r="C133">
        <f t="shared" si="13"/>
        <v>31.200000000000955</v>
      </c>
      <c r="D133">
        <f t="shared" si="15"/>
        <v>30</v>
      </c>
      <c r="E133">
        <f t="shared" si="17"/>
        <v>30</v>
      </c>
      <c r="F133">
        <f t="shared" si="14"/>
        <v>31.350000000000961</v>
      </c>
      <c r="G133">
        <f t="shared" si="16"/>
        <v>30.75</v>
      </c>
      <c r="H133">
        <f t="shared" si="18"/>
        <v>31.5</v>
      </c>
      <c r="L133">
        <v>1</v>
      </c>
      <c r="M133">
        <f t="shared" ca="1" si="19"/>
        <v>31.200000000000955</v>
      </c>
      <c r="N133">
        <f t="shared" ca="1" si="20"/>
        <v>30</v>
      </c>
      <c r="O133">
        <f t="shared" ca="1" si="21"/>
        <v>30</v>
      </c>
      <c r="P133">
        <f t="shared" ca="1" si="22"/>
        <v>31.350000000000961</v>
      </c>
      <c r="Q133">
        <f t="shared" ca="1" si="23"/>
        <v>30.75</v>
      </c>
      <c r="R133">
        <f t="shared" ca="1" si="24"/>
        <v>31.5</v>
      </c>
    </row>
    <row r="134" spans="1:18" x14ac:dyDescent="0.3">
      <c r="A134">
        <v>125</v>
      </c>
      <c r="B134">
        <v>1</v>
      </c>
      <c r="C134">
        <f t="shared" si="13"/>
        <v>31.500000000000966</v>
      </c>
      <c r="D134">
        <f t="shared" si="15"/>
        <v>31.5</v>
      </c>
      <c r="E134">
        <f t="shared" si="17"/>
        <v>30</v>
      </c>
      <c r="F134">
        <f t="shared" si="14"/>
        <v>31.650000000000972</v>
      </c>
      <c r="G134">
        <f t="shared" si="16"/>
        <v>32.25</v>
      </c>
      <c r="H134">
        <f t="shared" si="18"/>
        <v>31.5</v>
      </c>
      <c r="L134">
        <v>1</v>
      </c>
      <c r="M134">
        <f t="shared" ca="1" si="19"/>
        <v>31.500000000000966</v>
      </c>
      <c r="N134">
        <f t="shared" ca="1" si="20"/>
        <v>31.5</v>
      </c>
      <c r="O134">
        <f t="shared" ca="1" si="21"/>
        <v>30</v>
      </c>
      <c r="P134">
        <f t="shared" ca="1" si="22"/>
        <v>31.650000000000972</v>
      </c>
      <c r="Q134">
        <f t="shared" ca="1" si="23"/>
        <v>32.25</v>
      </c>
      <c r="R134">
        <f t="shared" ca="1" si="24"/>
        <v>31.5</v>
      </c>
    </row>
    <row r="135" spans="1:18" x14ac:dyDescent="0.3">
      <c r="A135">
        <v>126</v>
      </c>
      <c r="B135">
        <v>1</v>
      </c>
      <c r="C135">
        <f t="shared" si="13"/>
        <v>31.800000000000978</v>
      </c>
      <c r="D135">
        <f t="shared" si="15"/>
        <v>31.5</v>
      </c>
      <c r="E135">
        <f t="shared" si="17"/>
        <v>30</v>
      </c>
      <c r="F135">
        <f t="shared" si="14"/>
        <v>31.950000000000983</v>
      </c>
      <c r="G135">
        <f t="shared" si="16"/>
        <v>32.25</v>
      </c>
      <c r="H135">
        <f t="shared" si="18"/>
        <v>31.5</v>
      </c>
      <c r="L135">
        <v>1</v>
      </c>
      <c r="M135">
        <f t="shared" ca="1" si="19"/>
        <v>31.800000000000978</v>
      </c>
      <c r="N135">
        <f t="shared" ca="1" si="20"/>
        <v>31.5</v>
      </c>
      <c r="O135">
        <f t="shared" ca="1" si="21"/>
        <v>30</v>
      </c>
      <c r="P135">
        <f t="shared" ca="1" si="22"/>
        <v>31.950000000000983</v>
      </c>
      <c r="Q135">
        <f t="shared" ca="1" si="23"/>
        <v>32.25</v>
      </c>
      <c r="R135">
        <f t="shared" ca="1" si="24"/>
        <v>31.5</v>
      </c>
    </row>
    <row r="136" spans="1:18" x14ac:dyDescent="0.3">
      <c r="A136">
        <v>127</v>
      </c>
      <c r="B136">
        <v>1</v>
      </c>
      <c r="C136">
        <f t="shared" si="13"/>
        <v>32.100000000000989</v>
      </c>
      <c r="D136">
        <f t="shared" si="15"/>
        <v>31.5</v>
      </c>
      <c r="E136">
        <f t="shared" si="17"/>
        <v>30</v>
      </c>
      <c r="F136">
        <f t="shared" si="14"/>
        <v>32.250000000000995</v>
      </c>
      <c r="G136">
        <f t="shared" si="16"/>
        <v>32.25</v>
      </c>
      <c r="H136">
        <f t="shared" si="18"/>
        <v>31.5</v>
      </c>
      <c r="L136">
        <v>1</v>
      </c>
      <c r="M136">
        <f t="shared" ca="1" si="19"/>
        <v>32.100000000000989</v>
      </c>
      <c r="N136">
        <f t="shared" ca="1" si="20"/>
        <v>31.5</v>
      </c>
      <c r="O136">
        <f t="shared" ca="1" si="21"/>
        <v>30</v>
      </c>
      <c r="P136">
        <f t="shared" ca="1" si="22"/>
        <v>32.250000000000995</v>
      </c>
      <c r="Q136">
        <f t="shared" ca="1" si="23"/>
        <v>32.25</v>
      </c>
      <c r="R136">
        <f t="shared" ca="1" si="24"/>
        <v>31.5</v>
      </c>
    </row>
    <row r="137" spans="1:18" x14ac:dyDescent="0.3">
      <c r="A137">
        <v>128</v>
      </c>
      <c r="B137">
        <v>1</v>
      </c>
      <c r="C137">
        <f t="shared" si="13"/>
        <v>32.400000000001</v>
      </c>
      <c r="D137">
        <f t="shared" si="15"/>
        <v>31.5</v>
      </c>
      <c r="E137">
        <f t="shared" si="17"/>
        <v>30</v>
      </c>
      <c r="F137">
        <f t="shared" si="14"/>
        <v>32.550000000001006</v>
      </c>
      <c r="G137">
        <f t="shared" si="16"/>
        <v>32.25</v>
      </c>
      <c r="H137">
        <f t="shared" si="18"/>
        <v>31.5</v>
      </c>
      <c r="L137">
        <v>1</v>
      </c>
      <c r="M137">
        <f t="shared" ca="1" si="19"/>
        <v>32.400000000001</v>
      </c>
      <c r="N137">
        <f t="shared" ca="1" si="20"/>
        <v>31.5</v>
      </c>
      <c r="O137">
        <f t="shared" ca="1" si="21"/>
        <v>30</v>
      </c>
      <c r="P137">
        <f t="shared" ca="1" si="22"/>
        <v>32.550000000001006</v>
      </c>
      <c r="Q137">
        <f t="shared" ca="1" si="23"/>
        <v>32.25</v>
      </c>
      <c r="R137">
        <f t="shared" ca="1" si="24"/>
        <v>31.5</v>
      </c>
    </row>
    <row r="138" spans="1:18" x14ac:dyDescent="0.3">
      <c r="A138">
        <v>129</v>
      </c>
      <c r="B138">
        <v>1</v>
      </c>
      <c r="C138">
        <f t="shared" si="13"/>
        <v>32.700000000001012</v>
      </c>
      <c r="D138">
        <f t="shared" si="15"/>
        <v>31.5</v>
      </c>
      <c r="E138">
        <f t="shared" si="17"/>
        <v>30</v>
      </c>
      <c r="F138">
        <f t="shared" si="14"/>
        <v>32.850000000001017</v>
      </c>
      <c r="G138">
        <f t="shared" si="16"/>
        <v>32.25</v>
      </c>
      <c r="H138">
        <f t="shared" si="18"/>
        <v>31.5</v>
      </c>
      <c r="L138">
        <v>1</v>
      </c>
      <c r="M138">
        <f t="shared" ca="1" si="19"/>
        <v>32.700000000001012</v>
      </c>
      <c r="N138">
        <f t="shared" ca="1" si="20"/>
        <v>31.5</v>
      </c>
      <c r="O138">
        <f t="shared" ca="1" si="21"/>
        <v>30</v>
      </c>
      <c r="P138">
        <f t="shared" ca="1" si="22"/>
        <v>32.850000000001017</v>
      </c>
      <c r="Q138">
        <f t="shared" ca="1" si="23"/>
        <v>32.25</v>
      </c>
      <c r="R138">
        <f t="shared" ca="1" si="24"/>
        <v>31.5</v>
      </c>
    </row>
    <row r="139" spans="1:18" x14ac:dyDescent="0.3">
      <c r="A139">
        <v>130</v>
      </c>
      <c r="B139">
        <v>1</v>
      </c>
      <c r="C139">
        <f t="shared" si="13"/>
        <v>33.000000000001023</v>
      </c>
      <c r="D139">
        <f t="shared" si="15"/>
        <v>33</v>
      </c>
      <c r="E139">
        <f t="shared" si="17"/>
        <v>33</v>
      </c>
      <c r="F139">
        <f t="shared" si="14"/>
        <v>33.150000000001029</v>
      </c>
      <c r="G139">
        <f t="shared" si="16"/>
        <v>33.75</v>
      </c>
      <c r="H139">
        <f t="shared" si="18"/>
        <v>34.5</v>
      </c>
      <c r="L139">
        <v>1</v>
      </c>
      <c r="M139">
        <f t="shared" ca="1" si="19"/>
        <v>33.000000000001023</v>
      </c>
      <c r="N139">
        <f t="shared" ca="1" si="20"/>
        <v>33</v>
      </c>
      <c r="O139">
        <f t="shared" ca="1" si="21"/>
        <v>33</v>
      </c>
      <c r="P139">
        <f t="shared" ca="1" si="22"/>
        <v>33.150000000001029</v>
      </c>
      <c r="Q139">
        <f t="shared" ca="1" si="23"/>
        <v>33.75</v>
      </c>
      <c r="R139">
        <f t="shared" ca="1" si="24"/>
        <v>34.5</v>
      </c>
    </row>
    <row r="140" spans="1:18" x14ac:dyDescent="0.3">
      <c r="A140">
        <v>131</v>
      </c>
      <c r="B140">
        <v>1</v>
      </c>
      <c r="C140">
        <f t="shared" ref="C140:C159" si="25">C139+D$3*$B140+D$4*$B139+D$5*$B138</f>
        <v>33.300000000001035</v>
      </c>
      <c r="D140">
        <f t="shared" si="15"/>
        <v>33</v>
      </c>
      <c r="E140">
        <f t="shared" si="17"/>
        <v>33</v>
      </c>
      <c r="F140">
        <f t="shared" ref="F140:F159" si="26">F139+G$3*$B140+G$4*$B139+G$5*$B138</f>
        <v>33.45000000000104</v>
      </c>
      <c r="G140">
        <f t="shared" si="16"/>
        <v>33.75</v>
      </c>
      <c r="H140">
        <f t="shared" si="18"/>
        <v>34.5</v>
      </c>
      <c r="L140">
        <v>1</v>
      </c>
      <c r="M140">
        <f t="shared" ca="1" si="19"/>
        <v>33.300000000001035</v>
      </c>
      <c r="N140">
        <f t="shared" ca="1" si="20"/>
        <v>33</v>
      </c>
      <c r="O140">
        <f t="shared" ca="1" si="21"/>
        <v>33</v>
      </c>
      <c r="P140">
        <f t="shared" ca="1" si="22"/>
        <v>33.45000000000104</v>
      </c>
      <c r="Q140">
        <f t="shared" ca="1" si="23"/>
        <v>33.75</v>
      </c>
      <c r="R140">
        <f t="shared" ca="1" si="24"/>
        <v>34.5</v>
      </c>
    </row>
    <row r="141" spans="1:18" x14ac:dyDescent="0.3">
      <c r="A141">
        <v>132</v>
      </c>
      <c r="B141">
        <v>1</v>
      </c>
      <c r="C141">
        <f t="shared" si="25"/>
        <v>33.600000000001046</v>
      </c>
      <c r="D141">
        <f t="shared" si="15"/>
        <v>33</v>
      </c>
      <c r="E141">
        <f t="shared" si="17"/>
        <v>33</v>
      </c>
      <c r="F141">
        <f t="shared" si="26"/>
        <v>33.750000000001052</v>
      </c>
      <c r="G141">
        <f t="shared" si="16"/>
        <v>33.75</v>
      </c>
      <c r="H141">
        <f t="shared" si="18"/>
        <v>34.5</v>
      </c>
      <c r="L141">
        <v>1</v>
      </c>
      <c r="M141">
        <f t="shared" ca="1" si="19"/>
        <v>33.600000000001046</v>
      </c>
      <c r="N141">
        <f t="shared" ca="1" si="20"/>
        <v>33</v>
      </c>
      <c r="O141">
        <f t="shared" ca="1" si="21"/>
        <v>33</v>
      </c>
      <c r="P141">
        <f t="shared" ca="1" si="22"/>
        <v>33.750000000001052</v>
      </c>
      <c r="Q141">
        <f t="shared" ca="1" si="23"/>
        <v>33.75</v>
      </c>
      <c r="R141">
        <f t="shared" ca="1" si="24"/>
        <v>34.5</v>
      </c>
    </row>
    <row r="142" spans="1:18" x14ac:dyDescent="0.3">
      <c r="A142">
        <v>133</v>
      </c>
      <c r="B142">
        <v>1</v>
      </c>
      <c r="C142">
        <f t="shared" si="25"/>
        <v>33.900000000001057</v>
      </c>
      <c r="D142">
        <f t="shared" si="15"/>
        <v>33</v>
      </c>
      <c r="E142">
        <f t="shared" si="17"/>
        <v>33</v>
      </c>
      <c r="F142">
        <f t="shared" si="26"/>
        <v>34.050000000001063</v>
      </c>
      <c r="G142">
        <f t="shared" si="16"/>
        <v>33.75</v>
      </c>
      <c r="H142">
        <f t="shared" si="18"/>
        <v>34.5</v>
      </c>
      <c r="L142">
        <v>1</v>
      </c>
      <c r="M142">
        <f t="shared" ca="1" si="19"/>
        <v>33.900000000001057</v>
      </c>
      <c r="N142">
        <f t="shared" ca="1" si="20"/>
        <v>33</v>
      </c>
      <c r="O142">
        <f t="shared" ca="1" si="21"/>
        <v>33</v>
      </c>
      <c r="P142">
        <f t="shared" ca="1" si="22"/>
        <v>34.050000000001063</v>
      </c>
      <c r="Q142">
        <f t="shared" ca="1" si="23"/>
        <v>33.75</v>
      </c>
      <c r="R142">
        <f t="shared" ca="1" si="24"/>
        <v>34.5</v>
      </c>
    </row>
    <row r="143" spans="1:18" x14ac:dyDescent="0.3">
      <c r="A143">
        <v>134</v>
      </c>
      <c r="B143">
        <v>1</v>
      </c>
      <c r="C143">
        <f t="shared" si="25"/>
        <v>34.200000000001069</v>
      </c>
      <c r="D143">
        <f t="shared" si="15"/>
        <v>33</v>
      </c>
      <c r="E143">
        <f t="shared" si="17"/>
        <v>33</v>
      </c>
      <c r="F143">
        <f t="shared" si="26"/>
        <v>34.350000000001074</v>
      </c>
      <c r="G143">
        <f t="shared" si="16"/>
        <v>33.75</v>
      </c>
      <c r="H143">
        <f t="shared" si="18"/>
        <v>34.5</v>
      </c>
      <c r="L143">
        <v>1</v>
      </c>
      <c r="M143">
        <f t="shared" ca="1" si="19"/>
        <v>34.200000000001069</v>
      </c>
      <c r="N143">
        <f t="shared" ca="1" si="20"/>
        <v>33</v>
      </c>
      <c r="O143">
        <f t="shared" ca="1" si="21"/>
        <v>33</v>
      </c>
      <c r="P143">
        <f t="shared" ca="1" si="22"/>
        <v>34.350000000001074</v>
      </c>
      <c r="Q143">
        <f t="shared" ca="1" si="23"/>
        <v>33.75</v>
      </c>
      <c r="R143">
        <f t="shared" ca="1" si="24"/>
        <v>34.5</v>
      </c>
    </row>
    <row r="144" spans="1:18" x14ac:dyDescent="0.3">
      <c r="A144">
        <v>135</v>
      </c>
      <c r="B144">
        <v>1</v>
      </c>
      <c r="C144">
        <f t="shared" si="25"/>
        <v>34.50000000000108</v>
      </c>
      <c r="D144">
        <f t="shared" si="15"/>
        <v>34.5</v>
      </c>
      <c r="E144">
        <f t="shared" si="17"/>
        <v>33</v>
      </c>
      <c r="F144">
        <f t="shared" si="26"/>
        <v>34.650000000001086</v>
      </c>
      <c r="G144">
        <f t="shared" si="16"/>
        <v>35.25</v>
      </c>
      <c r="H144">
        <f t="shared" si="18"/>
        <v>34.5</v>
      </c>
      <c r="L144">
        <v>1</v>
      </c>
      <c r="M144">
        <f t="shared" ca="1" si="19"/>
        <v>34.50000000000108</v>
      </c>
      <c r="N144">
        <f t="shared" ca="1" si="20"/>
        <v>34.5</v>
      </c>
      <c r="O144">
        <f t="shared" ca="1" si="21"/>
        <v>33</v>
      </c>
      <c r="P144">
        <f t="shared" ca="1" si="22"/>
        <v>34.650000000001086</v>
      </c>
      <c r="Q144">
        <f t="shared" ca="1" si="23"/>
        <v>35.25</v>
      </c>
      <c r="R144">
        <f t="shared" ca="1" si="24"/>
        <v>34.5</v>
      </c>
    </row>
    <row r="145" spans="1:18" x14ac:dyDescent="0.3">
      <c r="A145">
        <v>136</v>
      </c>
      <c r="B145">
        <v>1</v>
      </c>
      <c r="C145">
        <f t="shared" si="25"/>
        <v>34.800000000001091</v>
      </c>
      <c r="D145">
        <f t="shared" si="15"/>
        <v>34.5</v>
      </c>
      <c r="E145">
        <f t="shared" si="17"/>
        <v>33</v>
      </c>
      <c r="F145">
        <f t="shared" si="26"/>
        <v>34.950000000001097</v>
      </c>
      <c r="G145">
        <f t="shared" si="16"/>
        <v>35.25</v>
      </c>
      <c r="H145">
        <f t="shared" si="18"/>
        <v>34.5</v>
      </c>
      <c r="L145">
        <v>1</v>
      </c>
      <c r="M145">
        <f t="shared" ca="1" si="19"/>
        <v>34.800000000001091</v>
      </c>
      <c r="N145">
        <f t="shared" ca="1" si="20"/>
        <v>34.5</v>
      </c>
      <c r="O145">
        <f t="shared" ca="1" si="21"/>
        <v>33</v>
      </c>
      <c r="P145">
        <f t="shared" ca="1" si="22"/>
        <v>34.950000000001097</v>
      </c>
      <c r="Q145">
        <f t="shared" ca="1" si="23"/>
        <v>35.25</v>
      </c>
      <c r="R145">
        <f t="shared" ca="1" si="24"/>
        <v>34.5</v>
      </c>
    </row>
    <row r="146" spans="1:18" x14ac:dyDescent="0.3">
      <c r="A146">
        <v>137</v>
      </c>
      <c r="B146">
        <v>1</v>
      </c>
      <c r="C146">
        <f t="shared" si="25"/>
        <v>35.100000000001103</v>
      </c>
      <c r="D146">
        <f t="shared" si="15"/>
        <v>34.5</v>
      </c>
      <c r="E146">
        <f t="shared" si="17"/>
        <v>33</v>
      </c>
      <c r="F146">
        <f t="shared" si="26"/>
        <v>35.250000000001108</v>
      </c>
      <c r="G146">
        <f t="shared" si="16"/>
        <v>35.25</v>
      </c>
      <c r="H146">
        <f t="shared" si="18"/>
        <v>34.5</v>
      </c>
      <c r="L146">
        <v>1</v>
      </c>
      <c r="M146">
        <f t="shared" ca="1" si="19"/>
        <v>35.100000000001103</v>
      </c>
      <c r="N146">
        <f t="shared" ca="1" si="20"/>
        <v>34.5</v>
      </c>
      <c r="O146">
        <f t="shared" ca="1" si="21"/>
        <v>33</v>
      </c>
      <c r="P146">
        <f t="shared" ca="1" si="22"/>
        <v>35.250000000001108</v>
      </c>
      <c r="Q146">
        <f t="shared" ca="1" si="23"/>
        <v>35.25</v>
      </c>
      <c r="R146">
        <f t="shared" ca="1" si="24"/>
        <v>34.5</v>
      </c>
    </row>
    <row r="147" spans="1:18" x14ac:dyDescent="0.3">
      <c r="A147">
        <v>138</v>
      </c>
      <c r="B147">
        <v>1</v>
      </c>
      <c r="C147">
        <f t="shared" si="25"/>
        <v>35.400000000001114</v>
      </c>
      <c r="D147">
        <f t="shared" si="15"/>
        <v>34.5</v>
      </c>
      <c r="E147">
        <f t="shared" si="17"/>
        <v>33</v>
      </c>
      <c r="F147">
        <f t="shared" si="26"/>
        <v>35.55000000000112</v>
      </c>
      <c r="G147">
        <f t="shared" si="16"/>
        <v>35.25</v>
      </c>
      <c r="H147">
        <f t="shared" si="18"/>
        <v>34.5</v>
      </c>
      <c r="L147">
        <v>1</v>
      </c>
      <c r="M147">
        <f t="shared" ca="1" si="19"/>
        <v>35.400000000001114</v>
      </c>
      <c r="N147">
        <f t="shared" ca="1" si="20"/>
        <v>34.5</v>
      </c>
      <c r="O147">
        <f t="shared" ca="1" si="21"/>
        <v>33</v>
      </c>
      <c r="P147">
        <f t="shared" ca="1" si="22"/>
        <v>35.55000000000112</v>
      </c>
      <c r="Q147">
        <f t="shared" ca="1" si="23"/>
        <v>35.25</v>
      </c>
      <c r="R147">
        <f t="shared" ca="1" si="24"/>
        <v>34.5</v>
      </c>
    </row>
    <row r="148" spans="1:18" x14ac:dyDescent="0.3">
      <c r="A148">
        <v>139</v>
      </c>
      <c r="B148">
        <v>1</v>
      </c>
      <c r="C148">
        <f t="shared" si="25"/>
        <v>35.700000000001125</v>
      </c>
      <c r="D148">
        <f t="shared" ref="D148:D159" si="27">D143+E$3*$B148+E$4*$B143+E$5*$B138</f>
        <v>34.5</v>
      </c>
      <c r="E148">
        <f t="shared" si="17"/>
        <v>33</v>
      </c>
      <c r="F148">
        <f t="shared" si="26"/>
        <v>35.850000000001131</v>
      </c>
      <c r="G148">
        <f t="shared" ref="G148:G159" si="28">G143+H$3*$B148+H$4*$B143+H$5*$B138</f>
        <v>35.25</v>
      </c>
      <c r="H148">
        <f t="shared" si="18"/>
        <v>34.5</v>
      </c>
      <c r="L148">
        <v>1</v>
      </c>
      <c r="M148">
        <f t="shared" ca="1" si="19"/>
        <v>35.700000000001125</v>
      </c>
      <c r="N148">
        <f t="shared" ca="1" si="20"/>
        <v>34.5</v>
      </c>
      <c r="O148">
        <f t="shared" ca="1" si="21"/>
        <v>33</v>
      </c>
      <c r="P148">
        <f t="shared" ca="1" si="22"/>
        <v>35.850000000001131</v>
      </c>
      <c r="Q148">
        <f t="shared" ca="1" si="23"/>
        <v>35.25</v>
      </c>
      <c r="R148">
        <f t="shared" ca="1" si="24"/>
        <v>34.5</v>
      </c>
    </row>
    <row r="149" spans="1:18" x14ac:dyDescent="0.3">
      <c r="A149">
        <v>140</v>
      </c>
      <c r="B149">
        <v>1</v>
      </c>
      <c r="C149">
        <f t="shared" si="25"/>
        <v>36.000000000001137</v>
      </c>
      <c r="D149">
        <f t="shared" si="27"/>
        <v>36</v>
      </c>
      <c r="E149">
        <f t="shared" si="17"/>
        <v>36</v>
      </c>
      <c r="F149">
        <f t="shared" si="26"/>
        <v>36.150000000001143</v>
      </c>
      <c r="G149">
        <f t="shared" si="28"/>
        <v>36.75</v>
      </c>
      <c r="H149">
        <f t="shared" si="18"/>
        <v>37.5</v>
      </c>
      <c r="L149">
        <v>1</v>
      </c>
      <c r="M149">
        <f t="shared" ca="1" si="19"/>
        <v>36.000000000001137</v>
      </c>
      <c r="N149">
        <f t="shared" ca="1" si="20"/>
        <v>36</v>
      </c>
      <c r="O149">
        <f t="shared" ca="1" si="21"/>
        <v>36</v>
      </c>
      <c r="P149">
        <f t="shared" ca="1" si="22"/>
        <v>36.150000000001143</v>
      </c>
      <c r="Q149">
        <f t="shared" ca="1" si="23"/>
        <v>36.75</v>
      </c>
      <c r="R149">
        <f t="shared" ca="1" si="24"/>
        <v>37.5</v>
      </c>
    </row>
    <row r="150" spans="1:18" x14ac:dyDescent="0.3">
      <c r="A150">
        <v>141</v>
      </c>
      <c r="B150">
        <v>1</v>
      </c>
      <c r="C150">
        <f t="shared" si="25"/>
        <v>36.300000000001148</v>
      </c>
      <c r="D150">
        <f t="shared" si="27"/>
        <v>36</v>
      </c>
      <c r="E150">
        <f t="shared" si="17"/>
        <v>36</v>
      </c>
      <c r="F150">
        <f t="shared" si="26"/>
        <v>36.450000000001154</v>
      </c>
      <c r="G150">
        <f t="shared" si="28"/>
        <v>36.75</v>
      </c>
      <c r="H150">
        <f t="shared" si="18"/>
        <v>37.5</v>
      </c>
      <c r="L150">
        <v>1</v>
      </c>
      <c r="M150">
        <f t="shared" ca="1" si="19"/>
        <v>36.300000000001148</v>
      </c>
      <c r="N150">
        <f t="shared" ca="1" si="20"/>
        <v>36</v>
      </c>
      <c r="O150">
        <f t="shared" ca="1" si="21"/>
        <v>36</v>
      </c>
      <c r="P150">
        <f t="shared" ca="1" si="22"/>
        <v>36.450000000001154</v>
      </c>
      <c r="Q150">
        <f t="shared" ca="1" si="23"/>
        <v>36.75</v>
      </c>
      <c r="R150">
        <f t="shared" ca="1" si="24"/>
        <v>37.5</v>
      </c>
    </row>
    <row r="151" spans="1:18" x14ac:dyDescent="0.3">
      <c r="A151">
        <v>142</v>
      </c>
      <c r="B151">
        <v>1</v>
      </c>
      <c r="C151">
        <f t="shared" si="25"/>
        <v>36.60000000000116</v>
      </c>
      <c r="D151">
        <f t="shared" si="27"/>
        <v>36</v>
      </c>
      <c r="E151">
        <f t="shared" si="17"/>
        <v>36</v>
      </c>
      <c r="F151">
        <f t="shared" si="26"/>
        <v>36.750000000001165</v>
      </c>
      <c r="G151">
        <f t="shared" si="28"/>
        <v>36.75</v>
      </c>
      <c r="H151">
        <f t="shared" si="18"/>
        <v>37.5</v>
      </c>
      <c r="L151">
        <v>1</v>
      </c>
      <c r="M151">
        <f t="shared" ca="1" si="19"/>
        <v>36.60000000000116</v>
      </c>
      <c r="N151">
        <f t="shared" ca="1" si="20"/>
        <v>36</v>
      </c>
      <c r="O151">
        <f t="shared" ca="1" si="21"/>
        <v>36</v>
      </c>
      <c r="P151">
        <f t="shared" ca="1" si="22"/>
        <v>36.750000000001165</v>
      </c>
      <c r="Q151">
        <f t="shared" ca="1" si="23"/>
        <v>36.75</v>
      </c>
      <c r="R151">
        <f t="shared" ca="1" si="24"/>
        <v>37.5</v>
      </c>
    </row>
    <row r="152" spans="1:18" x14ac:dyDescent="0.3">
      <c r="A152">
        <v>143</v>
      </c>
      <c r="B152">
        <v>1</v>
      </c>
      <c r="C152">
        <f t="shared" si="25"/>
        <v>36.900000000001171</v>
      </c>
      <c r="D152">
        <f t="shared" si="27"/>
        <v>36</v>
      </c>
      <c r="E152">
        <f t="shared" si="17"/>
        <v>36</v>
      </c>
      <c r="F152">
        <f t="shared" si="26"/>
        <v>37.050000000001177</v>
      </c>
      <c r="G152">
        <f t="shared" si="28"/>
        <v>36.75</v>
      </c>
      <c r="H152">
        <f t="shared" si="18"/>
        <v>37.5</v>
      </c>
      <c r="L152">
        <v>1</v>
      </c>
      <c r="M152">
        <f t="shared" ca="1" si="19"/>
        <v>36.900000000001171</v>
      </c>
      <c r="N152">
        <f t="shared" ca="1" si="20"/>
        <v>36</v>
      </c>
      <c r="O152">
        <f t="shared" ca="1" si="21"/>
        <v>36</v>
      </c>
      <c r="P152">
        <f t="shared" ca="1" si="22"/>
        <v>37.050000000001177</v>
      </c>
      <c r="Q152">
        <f t="shared" ca="1" si="23"/>
        <v>36.75</v>
      </c>
      <c r="R152">
        <f t="shared" ca="1" si="24"/>
        <v>37.5</v>
      </c>
    </row>
    <row r="153" spans="1:18" x14ac:dyDescent="0.3">
      <c r="A153">
        <v>144</v>
      </c>
      <c r="B153">
        <v>1</v>
      </c>
      <c r="C153">
        <f t="shared" si="25"/>
        <v>37.200000000001182</v>
      </c>
      <c r="D153">
        <f t="shared" si="27"/>
        <v>36</v>
      </c>
      <c r="E153">
        <f t="shared" si="17"/>
        <v>36</v>
      </c>
      <c r="F153">
        <f t="shared" si="26"/>
        <v>37.350000000001188</v>
      </c>
      <c r="G153">
        <f t="shared" si="28"/>
        <v>36.75</v>
      </c>
      <c r="H153">
        <f t="shared" si="18"/>
        <v>37.5</v>
      </c>
      <c r="L153">
        <v>1</v>
      </c>
      <c r="M153">
        <f t="shared" ca="1" si="19"/>
        <v>37.200000000001182</v>
      </c>
      <c r="N153">
        <f t="shared" ca="1" si="20"/>
        <v>36</v>
      </c>
      <c r="O153">
        <f t="shared" ca="1" si="21"/>
        <v>36</v>
      </c>
      <c r="P153">
        <f t="shared" ca="1" si="22"/>
        <v>37.350000000001188</v>
      </c>
      <c r="Q153">
        <f t="shared" ca="1" si="23"/>
        <v>36.75</v>
      </c>
      <c r="R153">
        <f t="shared" ca="1" si="24"/>
        <v>37.5</v>
      </c>
    </row>
    <row r="154" spans="1:18" x14ac:dyDescent="0.3">
      <c r="A154">
        <v>145</v>
      </c>
      <c r="B154">
        <v>1</v>
      </c>
      <c r="C154">
        <f t="shared" si="25"/>
        <v>37.500000000001194</v>
      </c>
      <c r="D154">
        <f t="shared" si="27"/>
        <v>37.5</v>
      </c>
      <c r="E154">
        <f t="shared" si="17"/>
        <v>36</v>
      </c>
      <c r="F154">
        <f t="shared" si="26"/>
        <v>37.650000000001199</v>
      </c>
      <c r="G154">
        <f t="shared" si="28"/>
        <v>38.25</v>
      </c>
      <c r="H154">
        <f t="shared" si="18"/>
        <v>37.5</v>
      </c>
      <c r="L154">
        <v>1</v>
      </c>
      <c r="M154">
        <f t="shared" ca="1" si="19"/>
        <v>37.500000000001194</v>
      </c>
      <c r="N154">
        <f t="shared" ca="1" si="20"/>
        <v>37.5</v>
      </c>
      <c r="O154">
        <f t="shared" ca="1" si="21"/>
        <v>36</v>
      </c>
      <c r="P154">
        <f t="shared" ca="1" si="22"/>
        <v>37.650000000001199</v>
      </c>
      <c r="Q154">
        <f t="shared" ca="1" si="23"/>
        <v>38.25</v>
      </c>
      <c r="R154">
        <f t="shared" ca="1" si="24"/>
        <v>37.5</v>
      </c>
    </row>
    <row r="155" spans="1:18" x14ac:dyDescent="0.3">
      <c r="A155">
        <v>146</v>
      </c>
      <c r="B155">
        <v>1</v>
      </c>
      <c r="C155">
        <f t="shared" si="25"/>
        <v>37.800000000001205</v>
      </c>
      <c r="D155">
        <f t="shared" si="27"/>
        <v>37.5</v>
      </c>
      <c r="E155">
        <f t="shared" si="17"/>
        <v>36</v>
      </c>
      <c r="F155">
        <f t="shared" si="26"/>
        <v>37.950000000001211</v>
      </c>
      <c r="G155">
        <f t="shared" si="28"/>
        <v>38.25</v>
      </c>
      <c r="H155">
        <f t="shared" si="18"/>
        <v>37.5</v>
      </c>
      <c r="L155">
        <v>1</v>
      </c>
      <c r="M155">
        <f t="shared" ca="1" si="19"/>
        <v>37.800000000001205</v>
      </c>
      <c r="N155">
        <f t="shared" ca="1" si="20"/>
        <v>37.5</v>
      </c>
      <c r="O155">
        <f t="shared" ca="1" si="21"/>
        <v>36</v>
      </c>
      <c r="P155">
        <f t="shared" ca="1" si="22"/>
        <v>37.950000000001211</v>
      </c>
      <c r="Q155">
        <f t="shared" ca="1" si="23"/>
        <v>38.25</v>
      </c>
      <c r="R155">
        <f t="shared" ca="1" si="24"/>
        <v>37.5</v>
      </c>
    </row>
    <row r="156" spans="1:18" x14ac:dyDescent="0.3">
      <c r="A156">
        <v>147</v>
      </c>
      <c r="B156">
        <v>1</v>
      </c>
      <c r="C156">
        <f t="shared" si="25"/>
        <v>38.100000000001216</v>
      </c>
      <c r="D156">
        <f t="shared" si="27"/>
        <v>37.5</v>
      </c>
      <c r="E156">
        <f t="shared" si="17"/>
        <v>36</v>
      </c>
      <c r="F156">
        <f t="shared" si="26"/>
        <v>38.250000000001222</v>
      </c>
      <c r="G156">
        <f t="shared" si="28"/>
        <v>38.25</v>
      </c>
      <c r="H156">
        <f t="shared" si="18"/>
        <v>37.5</v>
      </c>
      <c r="L156">
        <v>1</v>
      </c>
      <c r="M156">
        <f t="shared" ca="1" si="19"/>
        <v>38.100000000001216</v>
      </c>
      <c r="N156">
        <f t="shared" ca="1" si="20"/>
        <v>37.5</v>
      </c>
      <c r="O156">
        <f t="shared" ca="1" si="21"/>
        <v>36</v>
      </c>
      <c r="P156">
        <f t="shared" ca="1" si="22"/>
        <v>38.250000000001222</v>
      </c>
      <c r="Q156">
        <f t="shared" ca="1" si="23"/>
        <v>38.25</v>
      </c>
      <c r="R156">
        <f t="shared" ca="1" si="24"/>
        <v>37.5</v>
      </c>
    </row>
    <row r="157" spans="1:18" x14ac:dyDescent="0.3">
      <c r="A157">
        <v>148</v>
      </c>
      <c r="B157">
        <v>1</v>
      </c>
      <c r="C157">
        <f t="shared" si="25"/>
        <v>38.400000000001228</v>
      </c>
      <c r="D157">
        <f t="shared" si="27"/>
        <v>37.5</v>
      </c>
      <c r="E157">
        <f t="shared" si="17"/>
        <v>36</v>
      </c>
      <c r="F157">
        <f t="shared" si="26"/>
        <v>38.550000000001234</v>
      </c>
      <c r="G157">
        <f t="shared" si="28"/>
        <v>38.25</v>
      </c>
      <c r="H157">
        <f t="shared" si="18"/>
        <v>37.5</v>
      </c>
      <c r="L157">
        <v>1</v>
      </c>
      <c r="M157">
        <f t="shared" ca="1" si="19"/>
        <v>38.400000000001228</v>
      </c>
      <c r="N157">
        <f t="shared" ca="1" si="20"/>
        <v>37.5</v>
      </c>
      <c r="O157">
        <f t="shared" ca="1" si="21"/>
        <v>36</v>
      </c>
      <c r="P157">
        <f t="shared" ca="1" si="22"/>
        <v>38.550000000001234</v>
      </c>
      <c r="Q157">
        <f t="shared" ca="1" si="23"/>
        <v>38.25</v>
      </c>
      <c r="R157">
        <f t="shared" ca="1" si="24"/>
        <v>37.5</v>
      </c>
    </row>
    <row r="158" spans="1:18" x14ac:dyDescent="0.3">
      <c r="A158">
        <v>149</v>
      </c>
      <c r="B158">
        <v>1</v>
      </c>
      <c r="C158">
        <f t="shared" si="25"/>
        <v>38.700000000001239</v>
      </c>
      <c r="D158">
        <f t="shared" si="27"/>
        <v>37.5</v>
      </c>
      <c r="E158">
        <f>E148+F$3*$B158+F$4*$B148+F$5*$B138</f>
        <v>36</v>
      </c>
      <c r="F158">
        <f t="shared" si="26"/>
        <v>38.850000000001245</v>
      </c>
      <c r="G158">
        <f t="shared" si="28"/>
        <v>38.25</v>
      </c>
      <c r="H158">
        <f>H148+I$3*$B158+I$4*$B148+I$5*$B138</f>
        <v>37.5</v>
      </c>
      <c r="L158">
        <v>1</v>
      </c>
      <c r="M158">
        <f t="shared" ca="1" si="19"/>
        <v>38.700000000001239</v>
      </c>
      <c r="N158">
        <f t="shared" ca="1" si="20"/>
        <v>37.5</v>
      </c>
      <c r="O158">
        <f t="shared" ca="1" si="21"/>
        <v>36</v>
      </c>
      <c r="P158">
        <f t="shared" ca="1" si="22"/>
        <v>38.850000000001245</v>
      </c>
      <c r="Q158">
        <f t="shared" ca="1" si="23"/>
        <v>38.25</v>
      </c>
      <c r="R158">
        <f t="shared" ca="1" si="24"/>
        <v>37.5</v>
      </c>
    </row>
    <row r="159" spans="1:18" x14ac:dyDescent="0.3">
      <c r="A159">
        <v>150</v>
      </c>
      <c r="B159">
        <v>1</v>
      </c>
      <c r="C159">
        <f t="shared" si="25"/>
        <v>39.000000000001251</v>
      </c>
      <c r="D159">
        <f t="shared" si="27"/>
        <v>39</v>
      </c>
      <c r="E159">
        <f>E149+F$3*$B159+F$4*$B149+F$5*$B139</f>
        <v>39</v>
      </c>
      <c r="F159">
        <f t="shared" si="26"/>
        <v>39.150000000001256</v>
      </c>
      <c r="G159">
        <f t="shared" si="28"/>
        <v>39.75</v>
      </c>
      <c r="H159">
        <f>H149+I$3*$B159+I$4*$B149+I$5*$B139</f>
        <v>40.5</v>
      </c>
      <c r="L159">
        <v>1</v>
      </c>
      <c r="M159">
        <f t="shared" ca="1" si="19"/>
        <v>39.000000000001251</v>
      </c>
      <c r="N159">
        <f t="shared" ca="1" si="20"/>
        <v>39</v>
      </c>
      <c r="O159">
        <f t="shared" ca="1" si="21"/>
        <v>39</v>
      </c>
      <c r="P159">
        <f t="shared" ca="1" si="22"/>
        <v>39.150000000001256</v>
      </c>
      <c r="Q159">
        <f t="shared" ca="1" si="23"/>
        <v>39.75</v>
      </c>
      <c r="R159">
        <f t="shared" ca="1" si="24"/>
        <v>40.5</v>
      </c>
    </row>
  </sheetData>
  <mergeCells count="7">
    <mergeCell ref="M7:O7"/>
    <mergeCell ref="P7:R7"/>
    <mergeCell ref="A1:B1"/>
    <mergeCell ref="D1:F1"/>
    <mergeCell ref="G1:I1"/>
    <mergeCell ref="C7:E7"/>
    <mergeCell ref="F7:H7"/>
  </mergeCells>
  <pageMargins left="0.7" right="0.7" top="0.75" bottom="0.75" header="0.3" footer="0.3"/>
  <pageSetup paperSize="0" orientation="portrait" horizontalDpi="0" verticalDpi="0" copie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ACE6-F93A-475C-85B3-E89493C8202A}">
  <dimension ref="A1:AC1002"/>
  <sheetViews>
    <sheetView tabSelected="1" zoomScale="70" zoomScaleNormal="70" workbookViewId="0">
      <selection activeCell="J17" sqref="J17"/>
    </sheetView>
  </sheetViews>
  <sheetFormatPr defaultColWidth="9.109375" defaultRowHeight="14.4" x14ac:dyDescent="0.3"/>
  <cols>
    <col min="1" max="1" width="12.33203125" style="15" customWidth="1"/>
    <col min="2" max="2" width="14.33203125" style="15" customWidth="1"/>
    <col min="3" max="4" width="9.109375" style="15"/>
    <col min="5" max="5" width="9.44140625" style="15" bestFit="1" customWidth="1"/>
    <col min="6" max="22" width="9.109375" style="15"/>
    <col min="23" max="23" width="9.109375" style="29"/>
    <col min="24" max="24" width="13.44140625" style="15" customWidth="1"/>
    <col min="25" max="25" width="12.88671875" style="15" customWidth="1"/>
    <col min="26" max="26" width="10.33203125" style="15" bestFit="1" customWidth="1"/>
    <col min="27" max="27" width="21.77734375" style="15" customWidth="1"/>
    <col min="28" max="28" width="19.21875" style="15" bestFit="1" customWidth="1"/>
    <col min="29" max="29" width="9.109375" style="15"/>
    <col min="30" max="30" width="10.33203125" style="15" bestFit="1" customWidth="1"/>
    <col min="31" max="34" width="9.109375" style="15"/>
    <col min="35" max="35" width="10.33203125" style="15" bestFit="1" customWidth="1"/>
    <col min="36" max="16384" width="9.109375" style="15"/>
  </cols>
  <sheetData>
    <row r="1" spans="1:28" ht="15" thickBot="1" x14ac:dyDescent="0.35">
      <c r="A1" s="44" t="s">
        <v>37</v>
      </c>
      <c r="B1" s="45"/>
      <c r="D1" s="28" t="s">
        <v>38</v>
      </c>
      <c r="E1" s="16">
        <v>1</v>
      </c>
      <c r="H1" s="17" t="s">
        <v>0</v>
      </c>
      <c r="I1" s="18">
        <f>EXP(-B$6/$B$4)+EXP(-B$6/$B$5)</f>
        <v>1.868834222497191</v>
      </c>
      <c r="L1" s="15" t="s">
        <v>10</v>
      </c>
      <c r="M1" s="15" t="s">
        <v>39</v>
      </c>
      <c r="N1" s="15" t="s">
        <v>40</v>
      </c>
      <c r="O1" s="15" t="s">
        <v>41</v>
      </c>
      <c r="P1" s="15" t="s">
        <v>42</v>
      </c>
      <c r="Q1" s="15" t="s">
        <v>43</v>
      </c>
      <c r="R1" s="15" t="s">
        <v>11</v>
      </c>
      <c r="S1" s="15" t="s">
        <v>44</v>
      </c>
      <c r="T1" s="15" t="s">
        <v>45</v>
      </c>
      <c r="U1" s="15" t="s">
        <v>12</v>
      </c>
      <c r="V1" s="15" t="s">
        <v>46</v>
      </c>
      <c r="X1" s="15" t="s">
        <v>58</v>
      </c>
      <c r="Y1" s="15" t="s">
        <v>57</v>
      </c>
      <c r="Z1" s="15" t="s">
        <v>59</v>
      </c>
      <c r="AA1" s="15" t="s">
        <v>60</v>
      </c>
      <c r="AB1" s="15" t="s">
        <v>61</v>
      </c>
    </row>
    <row r="2" spans="1:28" x14ac:dyDescent="0.3">
      <c r="A2" s="19" t="s">
        <v>6</v>
      </c>
      <c r="B2" s="20">
        <v>4</v>
      </c>
      <c r="D2" s="21" t="s">
        <v>29</v>
      </c>
      <c r="E2" s="18">
        <f>$B$8*(1+B11/(2*$B$9)+B10/B11)</f>
        <v>0.78981818181818175</v>
      </c>
      <c r="H2" s="22" t="s">
        <v>1</v>
      </c>
      <c r="I2" s="20">
        <f>EXP(-B$6/$B$4)*EXP(-B$6/$B$5)</f>
        <v>0.87306383330673165</v>
      </c>
      <c r="L2" s="15">
        <v>0</v>
      </c>
      <c r="M2" s="15">
        <f>IF(L2&lt;$D$16,$D$13,IF(L2&lt;$E$16,$E$13,$F$13))</f>
        <v>1</v>
      </c>
      <c r="N2" s="15">
        <f ca="1">M2-V2</f>
        <v>-3.1845190104060617E-3</v>
      </c>
      <c r="O2" s="15">
        <v>0</v>
      </c>
      <c r="P2" s="15">
        <f t="shared" ref="P2:P11" si="0">INT((2^$J$12-1)*O2/100)/(2^$J$12-1)*100</f>
        <v>0</v>
      </c>
      <c r="Q2" s="15">
        <v>0</v>
      </c>
      <c r="R2" s="15">
        <f>P2+Q2</f>
        <v>0</v>
      </c>
      <c r="S2" s="15">
        <f>$D$13</f>
        <v>1</v>
      </c>
      <c r="T2" s="15">
        <f ca="1">RAND()*$G$12</f>
        <v>3.1845197276298364E-3</v>
      </c>
      <c r="U2" s="15">
        <f ca="1">S2+T2</f>
        <v>1.0031845197276299</v>
      </c>
      <c r="V2" s="15">
        <f ca="1">INT((2^$J$12-1)*U2/100)/(2^$J$12-1)*100</f>
        <v>1.0031845190104061</v>
      </c>
      <c r="X2" s="15">
        <f>M2 * 1.05</f>
        <v>1.05</v>
      </c>
      <c r="Y2" s="15">
        <f>M2 * 0.95</f>
        <v>0.95</v>
      </c>
      <c r="Z2" s="15">
        <f ca="1">IF(AND(V2 &lt;= X2, V2 &gt;= Y2), 1, 0)</f>
        <v>1</v>
      </c>
      <c r="AA2" s="15">
        <f ca="1">INDEX(L42:L300, IFERROR(LOOKUP(2,1/(Z42:Z300=0),ROW(Z42:Z300))-40,1))</f>
        <v>113</v>
      </c>
      <c r="AB2" s="15">
        <f ca="1">MAX(V2:V322)</f>
        <v>10.484780303781102</v>
      </c>
    </row>
    <row r="3" spans="1:28" x14ac:dyDescent="0.3">
      <c r="A3" s="19" t="s">
        <v>47</v>
      </c>
      <c r="B3" s="20">
        <v>40</v>
      </c>
      <c r="D3" s="19" t="s">
        <v>30</v>
      </c>
      <c r="E3" s="20">
        <f>$B$8*(B11/(2*$B$9)-1-2*$B$10/B11)</f>
        <v>-1.3701818181818182</v>
      </c>
      <c r="H3" s="22" t="s">
        <v>2</v>
      </c>
      <c r="I3" s="20">
        <f>$B$2*(1+$B$4/($B$5-$B$4)*EXP(-B6/$B$4)-$B$5/($B$5-$B$4)*EXP(-B6/$B$5))</f>
        <v>8.6505768172333575E-3</v>
      </c>
      <c r="L3" s="15">
        <v>1</v>
      </c>
      <c r="M3" s="15">
        <f t="shared" ref="M3:M66" si="1">IF(L3&lt;$D$16,$D$13,IF(L3&lt;$E$16,$E$13,$F$13))</f>
        <v>1</v>
      </c>
      <c r="N3" s="15">
        <f t="shared" ref="N3:N66" ca="1" si="2">M3-V3</f>
        <v>-5.5057473959181369E-3</v>
      </c>
      <c r="O3" s="15">
        <v>0</v>
      </c>
      <c r="P3" s="15">
        <f t="shared" si="0"/>
        <v>0</v>
      </c>
      <c r="Q3" s="15">
        <v>0</v>
      </c>
      <c r="R3" s="15">
        <f t="shared" ref="R3:R66" si="3">P3+Q3</f>
        <v>0</v>
      </c>
      <c r="S3" s="15">
        <f t="shared" ref="S3:S43" si="4">$D$13</f>
        <v>1</v>
      </c>
      <c r="T3" s="15">
        <f t="shared" ref="T3:T66" ca="1" si="5">RAND()*$G$12</f>
        <v>5.5057660298820019E-3</v>
      </c>
      <c r="U3" s="15">
        <f t="shared" ref="U3:U66" ca="1" si="6">S3+T3</f>
        <v>1.0055057660298821</v>
      </c>
      <c r="V3" s="15">
        <f t="shared" ref="V3:V66" ca="1" si="7">INT((2^$J$12-1)*U3/100)/(2^$J$12-1)*100</f>
        <v>1.0055057473959181</v>
      </c>
      <c r="X3" s="15">
        <f t="shared" ref="X3:X66" si="8">M3 * 1.05</f>
        <v>1.05</v>
      </c>
      <c r="Y3" s="15">
        <f t="shared" ref="Y3:Y66" si="9">M3 * 0.95</f>
        <v>0.95</v>
      </c>
      <c r="Z3" s="15">
        <f t="shared" ref="Z3:Z66" ca="1" si="10">IF(AND(V3 &lt;= X3, V3 &gt;= Y3), 1, 0)</f>
        <v>1</v>
      </c>
      <c r="AB3" s="15">
        <f ca="1">AB2-E13</f>
        <v>0.48478030378110226</v>
      </c>
    </row>
    <row r="4" spans="1:28" ht="15" thickBot="1" x14ac:dyDescent="0.35">
      <c r="A4" s="19" t="s">
        <v>8</v>
      </c>
      <c r="B4" s="20">
        <v>17</v>
      </c>
      <c r="D4" s="23" t="s">
        <v>31</v>
      </c>
      <c r="E4" s="24">
        <f>$B$8*$B$10/B11</f>
        <v>0.6</v>
      </c>
      <c r="H4" s="25" t="s">
        <v>3</v>
      </c>
      <c r="I4" s="24">
        <f>$B$2*(EXP(-B6/$B$4)*EXP(-B6/$B$5)+$B$4/($B$5-$B$4)*EXP(-B6/$B$5)-$B$5/($B$5-$B$4)*EXP(-B6/$B$4))</f>
        <v>8.2678664209279162E-3</v>
      </c>
      <c r="L4" s="15">
        <v>2</v>
      </c>
      <c r="M4" s="15">
        <f t="shared" si="1"/>
        <v>1</v>
      </c>
      <c r="N4" s="15">
        <f t="shared" ca="1" si="2"/>
        <v>-6.0265429797643488E-3</v>
      </c>
      <c r="O4" s="15">
        <v>0</v>
      </c>
      <c r="P4" s="15">
        <f t="shared" si="0"/>
        <v>0</v>
      </c>
      <c r="Q4" s="15">
        <v>0</v>
      </c>
      <c r="R4" s="15">
        <f t="shared" si="3"/>
        <v>0</v>
      </c>
      <c r="S4" s="15">
        <f t="shared" si="4"/>
        <v>1</v>
      </c>
      <c r="T4" s="15">
        <f t="shared" ca="1" si="5"/>
        <v>6.026550057528484E-3</v>
      </c>
      <c r="U4" s="15">
        <f t="shared" ca="1" si="6"/>
        <v>1.0060265500575285</v>
      </c>
      <c r="V4" s="15">
        <f t="shared" ca="1" si="7"/>
        <v>1.0060265429797643</v>
      </c>
      <c r="X4" s="15">
        <f t="shared" si="8"/>
        <v>1.05</v>
      </c>
      <c r="Y4" s="15">
        <f t="shared" si="9"/>
        <v>0.95</v>
      </c>
      <c r="Z4" s="15">
        <f t="shared" ca="1" si="10"/>
        <v>1</v>
      </c>
      <c r="AB4" s="15">
        <f ca="1">AB3/E13</f>
        <v>4.8478030378110229E-2</v>
      </c>
    </row>
    <row r="5" spans="1:28" ht="15" thickBot="1" x14ac:dyDescent="0.35">
      <c r="A5" s="23" t="s">
        <v>9</v>
      </c>
      <c r="B5" s="24">
        <v>13</v>
      </c>
      <c r="L5" s="15">
        <v>3</v>
      </c>
      <c r="M5" s="15">
        <f t="shared" si="1"/>
        <v>1</v>
      </c>
      <c r="N5" s="15">
        <f t="shared" ca="1" si="2"/>
        <v>-5.8843300225874806E-3</v>
      </c>
      <c r="O5" s="15">
        <v>0</v>
      </c>
      <c r="P5" s="15">
        <f t="shared" si="0"/>
        <v>0</v>
      </c>
      <c r="Q5" s="15">
        <v>0</v>
      </c>
      <c r="R5" s="15">
        <f t="shared" si="3"/>
        <v>0</v>
      </c>
      <c r="S5" s="15">
        <f t="shared" si="4"/>
        <v>1</v>
      </c>
      <c r="T5" s="15">
        <f t="shared" ca="1" si="5"/>
        <v>5.8843415740954166E-3</v>
      </c>
      <c r="U5" s="15">
        <f t="shared" ca="1" si="6"/>
        <v>1.0058843415740955</v>
      </c>
      <c r="V5" s="15">
        <f t="shared" ca="1" si="7"/>
        <v>1.0058843300225875</v>
      </c>
      <c r="X5" s="15">
        <f t="shared" si="8"/>
        <v>1.05</v>
      </c>
      <c r="Y5" s="15">
        <f t="shared" si="9"/>
        <v>0.95</v>
      </c>
      <c r="Z5" s="15">
        <f t="shared" ca="1" si="10"/>
        <v>1</v>
      </c>
      <c r="AB5" s="15">
        <f ca="1">AB4*100</f>
        <v>4.8478030378110226</v>
      </c>
    </row>
    <row r="6" spans="1:28" x14ac:dyDescent="0.3">
      <c r="A6" s="26" t="s">
        <v>48</v>
      </c>
      <c r="B6" s="26">
        <v>1</v>
      </c>
      <c r="L6" s="15">
        <v>4</v>
      </c>
      <c r="M6" s="15">
        <f t="shared" si="1"/>
        <v>1</v>
      </c>
      <c r="N6" s="15">
        <f t="shared" ca="1" si="2"/>
        <v>-8.8913482634578322E-4</v>
      </c>
      <c r="O6" s="15">
        <v>0</v>
      </c>
      <c r="P6" s="15">
        <f t="shared" si="0"/>
        <v>0</v>
      </c>
      <c r="Q6" s="15">
        <v>0</v>
      </c>
      <c r="R6" s="15">
        <f t="shared" si="3"/>
        <v>0</v>
      </c>
      <c r="S6" s="15">
        <f t="shared" si="4"/>
        <v>1</v>
      </c>
      <c r="T6" s="15">
        <f t="shared" ca="1" si="5"/>
        <v>8.8913741726088906E-4</v>
      </c>
      <c r="U6" s="15">
        <f t="shared" ca="1" si="6"/>
        <v>1.0008891374172608</v>
      </c>
      <c r="V6" s="15">
        <f t="shared" ca="1" si="7"/>
        <v>1.0008891348263458</v>
      </c>
      <c r="X6" s="15">
        <f t="shared" si="8"/>
        <v>1.05</v>
      </c>
      <c r="Y6" s="15">
        <f t="shared" si="9"/>
        <v>0.95</v>
      </c>
      <c r="Z6" s="15">
        <f t="shared" ca="1" si="10"/>
        <v>1</v>
      </c>
    </row>
    <row r="7" spans="1:28" x14ac:dyDescent="0.3">
      <c r="A7" s="46" t="s">
        <v>49</v>
      </c>
      <c r="B7" s="47"/>
      <c r="L7" s="15">
        <v>5</v>
      </c>
      <c r="M7" s="15">
        <f t="shared" si="1"/>
        <v>1</v>
      </c>
      <c r="N7" s="15">
        <f t="shared" ca="1" si="2"/>
        <v>-1.4863221443923713E-3</v>
      </c>
      <c r="O7" s="15">
        <v>0</v>
      </c>
      <c r="P7" s="15">
        <f t="shared" si="0"/>
        <v>0</v>
      </c>
      <c r="Q7" s="15">
        <v>0</v>
      </c>
      <c r="R7" s="15">
        <f t="shared" si="3"/>
        <v>0</v>
      </c>
      <c r="S7" s="15">
        <f t="shared" si="4"/>
        <v>1</v>
      </c>
      <c r="T7" s="15">
        <f t="shared" ca="1" si="5"/>
        <v>1.4863428385244438E-3</v>
      </c>
      <c r="U7" s="15">
        <f t="shared" ca="1" si="6"/>
        <v>1.0014863428385243</v>
      </c>
      <c r="V7" s="15">
        <f t="shared" ca="1" si="7"/>
        <v>1.0014863221443924</v>
      </c>
      <c r="X7" s="15">
        <f t="shared" si="8"/>
        <v>1.05</v>
      </c>
      <c r="Y7" s="15">
        <f t="shared" si="9"/>
        <v>0.95</v>
      </c>
      <c r="Z7" s="15">
        <f t="shared" ca="1" si="10"/>
        <v>1</v>
      </c>
    </row>
    <row r="8" spans="1:28" x14ac:dyDescent="0.3">
      <c r="A8" s="19" t="s">
        <v>50</v>
      </c>
      <c r="B8" s="20">
        <v>0.18</v>
      </c>
      <c r="E8" s="20">
        <v>0.18</v>
      </c>
      <c r="G8" s="20">
        <v>0.22803000000000001</v>
      </c>
      <c r="L8" s="15">
        <v>6</v>
      </c>
      <c r="M8" s="15">
        <f t="shared" si="1"/>
        <v>1</v>
      </c>
      <c r="N8" s="15">
        <f t="shared" ca="1" si="2"/>
        <v>-5.3565495194300983E-3</v>
      </c>
      <c r="O8" s="15">
        <v>0</v>
      </c>
      <c r="P8" s="15">
        <f t="shared" si="0"/>
        <v>0</v>
      </c>
      <c r="Q8" s="15">
        <v>0</v>
      </c>
      <c r="R8" s="15">
        <f t="shared" si="3"/>
        <v>0</v>
      </c>
      <c r="S8" s="15">
        <f t="shared" si="4"/>
        <v>1</v>
      </c>
      <c r="T8" s="15">
        <f t="shared" ca="1" si="5"/>
        <v>5.3565689944125817E-3</v>
      </c>
      <c r="U8" s="15">
        <f t="shared" ca="1" si="6"/>
        <v>1.0053565689944126</v>
      </c>
      <c r="V8" s="15">
        <f t="shared" ca="1" si="7"/>
        <v>1.0053565495194301</v>
      </c>
      <c r="X8" s="15">
        <f t="shared" si="8"/>
        <v>1.05</v>
      </c>
      <c r="Y8" s="15">
        <f t="shared" si="9"/>
        <v>0.95</v>
      </c>
      <c r="Z8" s="15">
        <f t="shared" ca="1" si="10"/>
        <v>1</v>
      </c>
    </row>
    <row r="9" spans="1:28" x14ac:dyDescent="0.3">
      <c r="A9" s="19" t="s">
        <v>24</v>
      </c>
      <c r="B9" s="20">
        <v>27.5</v>
      </c>
      <c r="E9" s="20">
        <v>27.5</v>
      </c>
      <c r="G9" s="20">
        <v>36.183999999999997</v>
      </c>
      <c r="L9" s="15">
        <v>7</v>
      </c>
      <c r="M9" s="15">
        <f t="shared" si="1"/>
        <v>1</v>
      </c>
      <c r="N9" s="15">
        <f t="shared" ca="1" si="2"/>
        <v>-1.8128671221930848E-3</v>
      </c>
      <c r="O9" s="15">
        <v>0</v>
      </c>
      <c r="P9" s="15">
        <f t="shared" si="0"/>
        <v>0</v>
      </c>
      <c r="Q9" s="15">
        <v>0</v>
      </c>
      <c r="R9" s="15">
        <f t="shared" si="3"/>
        <v>0</v>
      </c>
      <c r="S9" s="15">
        <f>$D$13</f>
        <v>1</v>
      </c>
      <c r="T9" s="15">
        <f t="shared" ca="1" si="5"/>
        <v>1.8128802157803892E-3</v>
      </c>
      <c r="U9" s="15">
        <f t="shared" ca="1" si="6"/>
        <v>1.0018128802157804</v>
      </c>
      <c r="V9" s="15">
        <f t="shared" ca="1" si="7"/>
        <v>1.0018128671221931</v>
      </c>
      <c r="X9" s="15">
        <f t="shared" si="8"/>
        <v>1.05</v>
      </c>
      <c r="Y9" s="15">
        <f t="shared" si="9"/>
        <v>0.95</v>
      </c>
      <c r="Z9" s="15">
        <f t="shared" ca="1" si="10"/>
        <v>1</v>
      </c>
    </row>
    <row r="10" spans="1:28" ht="15" thickBot="1" x14ac:dyDescent="0.35">
      <c r="A10" s="23" t="s">
        <v>25</v>
      </c>
      <c r="B10" s="24">
        <v>10</v>
      </c>
      <c r="E10" s="24">
        <v>10</v>
      </c>
      <c r="G10" s="24">
        <v>11.157</v>
      </c>
      <c r="L10" s="15">
        <v>8</v>
      </c>
      <c r="M10" s="15">
        <f t="shared" si="1"/>
        <v>1</v>
      </c>
      <c r="N10" s="15">
        <f t="shared" ca="1" si="2"/>
        <v>-6.8211939667401911E-3</v>
      </c>
      <c r="O10" s="15">
        <v>0</v>
      </c>
      <c r="P10" s="15">
        <f t="shared" si="0"/>
        <v>0</v>
      </c>
      <c r="Q10" s="15">
        <v>0</v>
      </c>
      <c r="R10" s="15">
        <f t="shared" si="3"/>
        <v>0</v>
      </c>
      <c r="S10" s="15">
        <f t="shared" si="4"/>
        <v>1</v>
      </c>
      <c r="T10" s="15">
        <f t="shared" ca="1" si="5"/>
        <v>6.8212105858246894E-3</v>
      </c>
      <c r="U10" s="15">
        <f t="shared" ca="1" si="6"/>
        <v>1.0068212105858247</v>
      </c>
      <c r="V10" s="15">
        <f t="shared" ca="1" si="7"/>
        <v>1.0068211939667402</v>
      </c>
      <c r="X10" s="15">
        <f t="shared" si="8"/>
        <v>1.05</v>
      </c>
      <c r="Y10" s="15">
        <f t="shared" si="9"/>
        <v>0.95</v>
      </c>
      <c r="Z10" s="15">
        <f t="shared" ca="1" si="10"/>
        <v>1</v>
      </c>
    </row>
    <row r="11" spans="1:28" x14ac:dyDescent="0.3">
      <c r="A11" s="15" t="s">
        <v>48</v>
      </c>
      <c r="B11" s="15">
        <v>3</v>
      </c>
      <c r="D11" s="15" t="s">
        <v>39</v>
      </c>
      <c r="E11" s="15" t="s">
        <v>51</v>
      </c>
      <c r="F11" s="15" t="s">
        <v>52</v>
      </c>
      <c r="G11" s="15" t="s">
        <v>53</v>
      </c>
      <c r="H11" s="15" t="s">
        <v>54</v>
      </c>
      <c r="I11" s="15" t="s">
        <v>48</v>
      </c>
      <c r="J11" s="15" t="s">
        <v>55</v>
      </c>
      <c r="L11" s="15">
        <v>9</v>
      </c>
      <c r="M11" s="15">
        <f t="shared" si="1"/>
        <v>1</v>
      </c>
      <c r="N11" s="15">
        <f t="shared" ca="1" si="2"/>
        <v>-2.6044913108005385E-3</v>
      </c>
      <c r="O11" s="15">
        <v>0</v>
      </c>
      <c r="P11" s="15">
        <f t="shared" si="0"/>
        <v>0</v>
      </c>
      <c r="Q11" s="15">
        <v>0</v>
      </c>
      <c r="R11" s="15">
        <f t="shared" si="3"/>
        <v>0</v>
      </c>
      <c r="S11" s="15">
        <f t="shared" si="4"/>
        <v>1</v>
      </c>
      <c r="T11" s="15">
        <f t="shared" ca="1" si="5"/>
        <v>2.6044985986792301E-3</v>
      </c>
      <c r="U11" s="15">
        <f t="shared" ca="1" si="6"/>
        <v>1.0026044985986793</v>
      </c>
      <c r="V11" s="15">
        <f t="shared" ca="1" si="7"/>
        <v>1.0026044913108005</v>
      </c>
      <c r="X11" s="15">
        <f t="shared" si="8"/>
        <v>1.05</v>
      </c>
      <c r="Y11" s="15">
        <f t="shared" si="9"/>
        <v>0.95</v>
      </c>
      <c r="Z11" s="15">
        <f t="shared" ca="1" si="10"/>
        <v>1</v>
      </c>
    </row>
    <row r="12" spans="1:28" x14ac:dyDescent="0.3">
      <c r="D12" s="15">
        <v>0</v>
      </c>
      <c r="E12" s="15">
        <v>1</v>
      </c>
      <c r="F12" s="15">
        <v>0</v>
      </c>
      <c r="G12" s="15">
        <v>0.01</v>
      </c>
      <c r="H12" s="15">
        <v>0.1</v>
      </c>
      <c r="I12" s="15">
        <f>B11</f>
        <v>3</v>
      </c>
      <c r="J12" s="15">
        <v>32</v>
      </c>
      <c r="L12" s="15">
        <v>10</v>
      </c>
      <c r="M12" s="15">
        <f t="shared" si="1"/>
        <v>1</v>
      </c>
      <c r="N12" s="15">
        <f t="shared" ca="1" si="2"/>
        <v>-8.5860968121760362E-3</v>
      </c>
      <c r="O12" s="15">
        <v>0</v>
      </c>
      <c r="P12" s="15">
        <f>INT((2^$J$12-1)*O12/100)/(2^$J$12-1)*100</f>
        <v>0</v>
      </c>
      <c r="Q12" s="15">
        <v>0</v>
      </c>
      <c r="R12" s="15">
        <f t="shared" si="3"/>
        <v>0</v>
      </c>
      <c r="S12" s="15">
        <f t="shared" si="4"/>
        <v>1</v>
      </c>
      <c r="T12" s="15">
        <f t="shared" ca="1" si="5"/>
        <v>8.5861075237207915E-3</v>
      </c>
      <c r="U12" s="15">
        <f t="shared" ca="1" si="6"/>
        <v>1.0085861075237208</v>
      </c>
      <c r="V12" s="15">
        <f t="shared" ca="1" si="7"/>
        <v>1.008586096812176</v>
      </c>
      <c r="X12" s="15">
        <f t="shared" si="8"/>
        <v>1.05</v>
      </c>
      <c r="Y12" s="15">
        <f t="shared" si="9"/>
        <v>0.95</v>
      </c>
      <c r="Z12" s="15">
        <f t="shared" ca="1" si="10"/>
        <v>1</v>
      </c>
    </row>
    <row r="13" spans="1:28" x14ac:dyDescent="0.3">
      <c r="D13" s="15">
        <v>1</v>
      </c>
      <c r="E13" s="15">
        <v>10</v>
      </c>
      <c r="F13" s="15">
        <v>1</v>
      </c>
      <c r="H13" s="15" t="s">
        <v>56</v>
      </c>
      <c r="L13" s="15">
        <v>11</v>
      </c>
      <c r="M13" s="15">
        <f t="shared" si="1"/>
        <v>1</v>
      </c>
      <c r="N13" s="15">
        <f t="shared" ca="1" si="2"/>
        <v>-1.2136774606101852E-3</v>
      </c>
      <c r="O13" s="15">
        <v>0</v>
      </c>
      <c r="P13" s="15">
        <f t="shared" ref="P13:P76" si="11">INT((2^$J$12-1)*O13/100)/(2^$J$12-1)*100</f>
        <v>0</v>
      </c>
      <c r="Q13" s="15">
        <v>0</v>
      </c>
      <c r="R13" s="15">
        <f t="shared" si="3"/>
        <v>0</v>
      </c>
      <c r="S13" s="15">
        <f t="shared" si="4"/>
        <v>1</v>
      </c>
      <c r="T13" s="15">
        <f t="shared" ca="1" si="5"/>
        <v>1.2136863853247138E-3</v>
      </c>
      <c r="U13" s="15">
        <f t="shared" ca="1" si="6"/>
        <v>1.0012136863853247</v>
      </c>
      <c r="V13" s="15">
        <f t="shared" ca="1" si="7"/>
        <v>1.0012136774606102</v>
      </c>
      <c r="X13" s="15">
        <f t="shared" si="8"/>
        <v>1.05</v>
      </c>
      <c r="Y13" s="15">
        <f t="shared" si="9"/>
        <v>0.95</v>
      </c>
      <c r="Z13" s="15">
        <f t="shared" ca="1" si="10"/>
        <v>1</v>
      </c>
    </row>
    <row r="14" spans="1:28" x14ac:dyDescent="0.3">
      <c r="L14" s="15">
        <v>12</v>
      </c>
      <c r="M14" s="15">
        <f t="shared" si="1"/>
        <v>1</v>
      </c>
      <c r="N14" s="15">
        <f t="shared" ca="1" si="2"/>
        <v>-3.9118353752214396E-3</v>
      </c>
      <c r="O14" s="15">
        <v>0</v>
      </c>
      <c r="P14" s="15">
        <f t="shared" si="11"/>
        <v>0</v>
      </c>
      <c r="Q14" s="15">
        <v>0</v>
      </c>
      <c r="R14" s="15">
        <f t="shared" si="3"/>
        <v>0</v>
      </c>
      <c r="S14" s="15">
        <f t="shared" si="4"/>
        <v>1</v>
      </c>
      <c r="T14" s="15">
        <f t="shared" ca="1" si="5"/>
        <v>3.9118386296560902E-3</v>
      </c>
      <c r="U14" s="15">
        <f t="shared" ca="1" si="6"/>
        <v>1.0039118386296562</v>
      </c>
      <c r="V14" s="15">
        <f t="shared" ca="1" si="7"/>
        <v>1.0039118353752214</v>
      </c>
      <c r="X14" s="15">
        <f t="shared" si="8"/>
        <v>1.05</v>
      </c>
      <c r="Y14" s="15">
        <f t="shared" si="9"/>
        <v>0.95</v>
      </c>
      <c r="Z14" s="15">
        <f t="shared" ca="1" si="10"/>
        <v>1</v>
      </c>
    </row>
    <row r="15" spans="1:28" x14ac:dyDescent="0.3">
      <c r="L15" s="15">
        <v>13</v>
      </c>
      <c r="M15" s="15">
        <f t="shared" si="1"/>
        <v>1</v>
      </c>
      <c r="N15" s="15">
        <f t="shared" ca="1" si="2"/>
        <v>-8.7347824612480363E-3</v>
      </c>
      <c r="O15" s="15">
        <v>0</v>
      </c>
      <c r="P15" s="15">
        <f t="shared" si="11"/>
        <v>0</v>
      </c>
      <c r="Q15" s="15">
        <v>0</v>
      </c>
      <c r="R15" s="15">
        <f t="shared" si="3"/>
        <v>0</v>
      </c>
      <c r="S15" s="15">
        <f t="shared" si="4"/>
        <v>1</v>
      </c>
      <c r="T15" s="15">
        <f t="shared" ca="1" si="5"/>
        <v>8.7348046621539988E-3</v>
      </c>
      <c r="U15" s="15">
        <f t="shared" ca="1" si="6"/>
        <v>1.008734804662154</v>
      </c>
      <c r="V15" s="15">
        <f t="shared" ca="1" si="7"/>
        <v>1.008734782461248</v>
      </c>
      <c r="X15" s="15">
        <f t="shared" si="8"/>
        <v>1.05</v>
      </c>
      <c r="Y15" s="15">
        <f t="shared" si="9"/>
        <v>0.95</v>
      </c>
      <c r="Z15" s="15">
        <f t="shared" ca="1" si="10"/>
        <v>1</v>
      </c>
    </row>
    <row r="16" spans="1:28" x14ac:dyDescent="0.3">
      <c r="D16" s="15">
        <v>40</v>
      </c>
      <c r="E16" s="15">
        <v>600</v>
      </c>
      <c r="L16" s="15">
        <v>14</v>
      </c>
      <c r="M16" s="15">
        <f t="shared" si="1"/>
        <v>1</v>
      </c>
      <c r="N16" s="15">
        <f t="shared" ca="1" si="2"/>
        <v>-7.0303224509187245E-3</v>
      </c>
      <c r="O16" s="15">
        <v>0</v>
      </c>
      <c r="P16" s="15">
        <f t="shared" si="11"/>
        <v>0</v>
      </c>
      <c r="Q16" s="15">
        <v>0</v>
      </c>
      <c r="R16" s="15">
        <f t="shared" si="3"/>
        <v>0</v>
      </c>
      <c r="S16" s="15">
        <f t="shared" si="4"/>
        <v>1</v>
      </c>
      <c r="T16" s="15">
        <f t="shared" ca="1" si="5"/>
        <v>7.0303326652675869E-3</v>
      </c>
      <c r="U16" s="15">
        <f t="shared" ca="1" si="6"/>
        <v>1.0070303326652676</v>
      </c>
      <c r="V16" s="15">
        <f t="shared" ca="1" si="7"/>
        <v>1.0070303224509187</v>
      </c>
      <c r="X16" s="15">
        <f t="shared" si="8"/>
        <v>1.05</v>
      </c>
      <c r="Y16" s="15">
        <f t="shared" si="9"/>
        <v>0.95</v>
      </c>
      <c r="Z16" s="15">
        <f t="shared" ca="1" si="10"/>
        <v>1</v>
      </c>
    </row>
    <row r="17" spans="12:26" x14ac:dyDescent="0.3">
      <c r="L17" s="15">
        <v>15</v>
      </c>
      <c r="M17" s="15">
        <f t="shared" si="1"/>
        <v>1</v>
      </c>
      <c r="N17" s="15">
        <f t="shared" ca="1" si="2"/>
        <v>-5.1943829760874305E-3</v>
      </c>
      <c r="O17" s="15">
        <v>0</v>
      </c>
      <c r="P17" s="15">
        <f t="shared" si="11"/>
        <v>0</v>
      </c>
      <c r="Q17" s="15">
        <v>0</v>
      </c>
      <c r="R17" s="15">
        <f t="shared" si="3"/>
        <v>0</v>
      </c>
      <c r="S17" s="15">
        <f t="shared" si="4"/>
        <v>1</v>
      </c>
      <c r="T17" s="15">
        <f t="shared" ca="1" si="5"/>
        <v>5.194405265329485E-3</v>
      </c>
      <c r="U17" s="15">
        <f t="shared" ca="1" si="6"/>
        <v>1.0051944052653294</v>
      </c>
      <c r="V17" s="15">
        <f t="shared" ca="1" si="7"/>
        <v>1.0051943829760874</v>
      </c>
      <c r="X17" s="15">
        <f t="shared" si="8"/>
        <v>1.05</v>
      </c>
      <c r="Y17" s="15">
        <f t="shared" si="9"/>
        <v>0.95</v>
      </c>
      <c r="Z17" s="15">
        <f t="shared" ca="1" si="10"/>
        <v>1</v>
      </c>
    </row>
    <row r="18" spans="12:26" x14ac:dyDescent="0.3">
      <c r="L18" s="15">
        <v>16</v>
      </c>
      <c r="M18" s="15">
        <f t="shared" si="1"/>
        <v>1</v>
      </c>
      <c r="N18" s="15">
        <f t="shared" ca="1" si="2"/>
        <v>-3.7859205631041171E-3</v>
      </c>
      <c r="O18" s="15">
        <v>0</v>
      </c>
      <c r="P18" s="15">
        <f t="shared" si="11"/>
        <v>0</v>
      </c>
      <c r="Q18" s="15">
        <v>0</v>
      </c>
      <c r="R18" s="15">
        <f t="shared" si="3"/>
        <v>0</v>
      </c>
      <c r="S18" s="15">
        <f t="shared" si="4"/>
        <v>1</v>
      </c>
      <c r="T18" s="15">
        <f t="shared" ca="1" si="5"/>
        <v>3.7859231265530823E-3</v>
      </c>
      <c r="U18" s="15">
        <f t="shared" ca="1" si="6"/>
        <v>1.0037859231265531</v>
      </c>
      <c r="V18" s="15">
        <f t="shared" ca="1" si="7"/>
        <v>1.0037859205631041</v>
      </c>
      <c r="X18" s="15">
        <f t="shared" si="8"/>
        <v>1.05</v>
      </c>
      <c r="Y18" s="15">
        <f t="shared" si="9"/>
        <v>0.95</v>
      </c>
      <c r="Z18" s="15">
        <f t="shared" ca="1" si="10"/>
        <v>1</v>
      </c>
    </row>
    <row r="19" spans="12:26" x14ac:dyDescent="0.3">
      <c r="L19" s="15">
        <v>17</v>
      </c>
      <c r="M19" s="15">
        <f t="shared" si="1"/>
        <v>1</v>
      </c>
      <c r="N19" s="15">
        <f t="shared" ca="1" si="2"/>
        <v>-8.7874953189837068E-3</v>
      </c>
      <c r="O19" s="15">
        <v>0</v>
      </c>
      <c r="P19" s="15">
        <f t="shared" si="11"/>
        <v>0</v>
      </c>
      <c r="Q19" s="15">
        <v>0</v>
      </c>
      <c r="R19" s="15">
        <f t="shared" si="3"/>
        <v>0</v>
      </c>
      <c r="S19" s="15">
        <f t="shared" si="4"/>
        <v>1</v>
      </c>
      <c r="T19" s="15">
        <f t="shared" ca="1" si="5"/>
        <v>8.787516009271315E-3</v>
      </c>
      <c r="U19" s="15">
        <f t="shared" ca="1" si="6"/>
        <v>1.0087875160092714</v>
      </c>
      <c r="V19" s="15">
        <f t="shared" ca="1" si="7"/>
        <v>1.0087874953189837</v>
      </c>
      <c r="X19" s="15">
        <f t="shared" si="8"/>
        <v>1.05</v>
      </c>
      <c r="Y19" s="15">
        <f t="shared" si="9"/>
        <v>0.95</v>
      </c>
      <c r="Z19" s="15">
        <f t="shared" ca="1" si="10"/>
        <v>1</v>
      </c>
    </row>
    <row r="20" spans="12:26" x14ac:dyDescent="0.3">
      <c r="L20" s="15">
        <v>18</v>
      </c>
      <c r="M20" s="15">
        <f t="shared" si="1"/>
        <v>1</v>
      </c>
      <c r="N20" s="15">
        <f t="shared" ca="1" si="2"/>
        <v>-9.3068007867100899E-3</v>
      </c>
      <c r="O20" s="15">
        <v>0</v>
      </c>
      <c r="P20" s="15">
        <f t="shared" si="11"/>
        <v>0</v>
      </c>
      <c r="Q20" s="15">
        <v>0</v>
      </c>
      <c r="R20" s="15">
        <f t="shared" si="3"/>
        <v>0</v>
      </c>
      <c r="S20" s="15">
        <f t="shared" si="4"/>
        <v>1</v>
      </c>
      <c r="T20" s="15">
        <f t="shared" ca="1" si="5"/>
        <v>9.3068090074212156E-3</v>
      </c>
      <c r="U20" s="15">
        <f t="shared" ca="1" si="6"/>
        <v>1.0093068090074213</v>
      </c>
      <c r="V20" s="15">
        <f t="shared" ca="1" si="7"/>
        <v>1.0093068007867101</v>
      </c>
      <c r="X20" s="15">
        <f t="shared" si="8"/>
        <v>1.05</v>
      </c>
      <c r="Y20" s="15">
        <f t="shared" si="9"/>
        <v>0.95</v>
      </c>
      <c r="Z20" s="15">
        <f t="shared" ca="1" si="10"/>
        <v>1</v>
      </c>
    </row>
    <row r="21" spans="12:26" x14ac:dyDescent="0.3">
      <c r="L21" s="15">
        <v>19</v>
      </c>
      <c r="M21" s="15">
        <f t="shared" si="1"/>
        <v>1</v>
      </c>
      <c r="N21" s="15">
        <f t="shared" ca="1" si="2"/>
        <v>-6.2120857197354162E-3</v>
      </c>
      <c r="O21" s="15">
        <v>0</v>
      </c>
      <c r="P21" s="15">
        <f t="shared" si="11"/>
        <v>0</v>
      </c>
      <c r="Q21" s="15">
        <v>0</v>
      </c>
      <c r="R21" s="15">
        <f t="shared" si="3"/>
        <v>0</v>
      </c>
      <c r="S21" s="15">
        <f t="shared" si="4"/>
        <v>1</v>
      </c>
      <c r="T21" s="15">
        <f t="shared" ca="1" si="5"/>
        <v>6.2121010391738198E-3</v>
      </c>
      <c r="U21" s="15">
        <f t="shared" ca="1" si="6"/>
        <v>1.0062121010391738</v>
      </c>
      <c r="V21" s="15">
        <f t="shared" ca="1" si="7"/>
        <v>1.0062120857197354</v>
      </c>
      <c r="X21" s="15">
        <f t="shared" si="8"/>
        <v>1.05</v>
      </c>
      <c r="Y21" s="15">
        <f t="shared" si="9"/>
        <v>0.95</v>
      </c>
      <c r="Z21" s="15">
        <f t="shared" ca="1" si="10"/>
        <v>1</v>
      </c>
    </row>
    <row r="22" spans="12:26" x14ac:dyDescent="0.3">
      <c r="L22" s="15">
        <v>20</v>
      </c>
      <c r="M22" s="15">
        <v>1</v>
      </c>
      <c r="N22" s="15">
        <f t="shared" ca="1" si="2"/>
        <v>-2.6485195855256993E-3</v>
      </c>
      <c r="O22" s="15">
        <v>0</v>
      </c>
      <c r="P22" s="15">
        <f t="shared" si="11"/>
        <v>0</v>
      </c>
      <c r="Q22" s="15">
        <v>0</v>
      </c>
      <c r="R22" s="15">
        <f t="shared" si="3"/>
        <v>0</v>
      </c>
      <c r="S22" s="15">
        <f t="shared" si="4"/>
        <v>1</v>
      </c>
      <c r="T22" s="15">
        <f t="shared" ca="1" si="5"/>
        <v>2.6485413531523315E-3</v>
      </c>
      <c r="U22" s="15">
        <f t="shared" ca="1" si="6"/>
        <v>1.0026485413531523</v>
      </c>
      <c r="V22" s="15">
        <f t="shared" ca="1" si="7"/>
        <v>1.0026485195855257</v>
      </c>
      <c r="X22" s="15">
        <f t="shared" si="8"/>
        <v>1.05</v>
      </c>
      <c r="Y22" s="15">
        <f t="shared" si="9"/>
        <v>0.95</v>
      </c>
      <c r="Z22" s="15">
        <f t="shared" ca="1" si="10"/>
        <v>1</v>
      </c>
    </row>
    <row r="23" spans="12:26" x14ac:dyDescent="0.3">
      <c r="L23" s="15">
        <v>21</v>
      </c>
      <c r="M23" s="15">
        <v>1</v>
      </c>
      <c r="N23" s="15">
        <f t="shared" ca="1" si="2"/>
        <v>-1.2464134491156909E-3</v>
      </c>
      <c r="O23" s="15">
        <v>0</v>
      </c>
      <c r="P23" s="15">
        <f t="shared" si="11"/>
        <v>0</v>
      </c>
      <c r="Q23" s="15">
        <v>0</v>
      </c>
      <c r="R23" s="15">
        <f t="shared" si="3"/>
        <v>0</v>
      </c>
      <c r="S23" s="15">
        <f t="shared" si="4"/>
        <v>1</v>
      </c>
      <c r="T23" s="15">
        <f t="shared" ca="1" si="5"/>
        <v>1.2464213135547964E-3</v>
      </c>
      <c r="U23" s="15">
        <f t="shared" ca="1" si="6"/>
        <v>1.0012464213135548</v>
      </c>
      <c r="V23" s="15">
        <f t="shared" ca="1" si="7"/>
        <v>1.0012464134491157</v>
      </c>
      <c r="X23" s="15">
        <f t="shared" si="8"/>
        <v>1.05</v>
      </c>
      <c r="Y23" s="15">
        <f t="shared" si="9"/>
        <v>0.95</v>
      </c>
      <c r="Z23" s="15">
        <f t="shared" ca="1" si="10"/>
        <v>1</v>
      </c>
    </row>
    <row r="24" spans="12:26" x14ac:dyDescent="0.3">
      <c r="L24" s="15">
        <v>22</v>
      </c>
      <c r="M24" s="15">
        <v>1</v>
      </c>
      <c r="N24" s="15">
        <f t="shared" ca="1" si="2"/>
        <v>-4.8243918001706909E-3</v>
      </c>
      <c r="O24" s="15">
        <v>0</v>
      </c>
      <c r="P24" s="15">
        <f t="shared" si="11"/>
        <v>0</v>
      </c>
      <c r="Q24" s="15">
        <v>0</v>
      </c>
      <c r="R24" s="15">
        <f t="shared" si="3"/>
        <v>0</v>
      </c>
      <c r="S24" s="15">
        <f t="shared" si="4"/>
        <v>1</v>
      </c>
      <c r="T24" s="15">
        <f t="shared" ca="1" si="5"/>
        <v>4.8244098249719146E-3</v>
      </c>
      <c r="U24" s="15">
        <f t="shared" ca="1" si="6"/>
        <v>1.0048244098249719</v>
      </c>
      <c r="V24" s="15">
        <f t="shared" ca="1" si="7"/>
        <v>1.0048243918001707</v>
      </c>
      <c r="X24" s="15">
        <f t="shared" si="8"/>
        <v>1.05</v>
      </c>
      <c r="Y24" s="15">
        <f t="shared" si="9"/>
        <v>0.95</v>
      </c>
      <c r="Z24" s="15">
        <f t="shared" ca="1" si="10"/>
        <v>1</v>
      </c>
    </row>
    <row r="25" spans="12:26" x14ac:dyDescent="0.3">
      <c r="L25" s="15">
        <v>23</v>
      </c>
      <c r="M25" s="15">
        <v>1</v>
      </c>
      <c r="N25" s="15">
        <f t="shared" ca="1" si="2"/>
        <v>-3.8884824616574054E-3</v>
      </c>
      <c r="O25" s="15">
        <v>0</v>
      </c>
      <c r="P25" s="15">
        <f t="shared" si="11"/>
        <v>0</v>
      </c>
      <c r="Q25" s="15">
        <v>0</v>
      </c>
      <c r="R25" s="15">
        <f t="shared" si="3"/>
        <v>0</v>
      </c>
      <c r="S25" s="15">
        <f t="shared" si="4"/>
        <v>1</v>
      </c>
      <c r="T25" s="15">
        <f t="shared" ca="1" si="5"/>
        <v>3.8885027671898597E-3</v>
      </c>
      <c r="U25" s="15">
        <f t="shared" ca="1" si="6"/>
        <v>1.0038885027671898</v>
      </c>
      <c r="V25" s="15">
        <f t="shared" ca="1" si="7"/>
        <v>1.0038884824616574</v>
      </c>
      <c r="X25" s="15">
        <f t="shared" si="8"/>
        <v>1.05</v>
      </c>
      <c r="Y25" s="15">
        <f t="shared" si="9"/>
        <v>0.95</v>
      </c>
      <c r="Z25" s="15">
        <f t="shared" ca="1" si="10"/>
        <v>1</v>
      </c>
    </row>
    <row r="26" spans="12:26" x14ac:dyDescent="0.3">
      <c r="L26" s="15">
        <v>24</v>
      </c>
      <c r="M26" s="15">
        <v>1</v>
      </c>
      <c r="N26" s="15">
        <f t="shared" ca="1" si="2"/>
        <v>-6.4386765021919867E-3</v>
      </c>
      <c r="O26" s="15">
        <v>0</v>
      </c>
      <c r="P26" s="15">
        <f t="shared" si="11"/>
        <v>0</v>
      </c>
      <c r="Q26" s="15">
        <v>0</v>
      </c>
      <c r="R26" s="15">
        <f t="shared" si="3"/>
        <v>0</v>
      </c>
      <c r="S26" s="15">
        <f t="shared" si="4"/>
        <v>1</v>
      </c>
      <c r="T26" s="15">
        <f t="shared" ca="1" si="5"/>
        <v>6.4386947111751197E-3</v>
      </c>
      <c r="U26" s="15">
        <f t="shared" ca="1" si="6"/>
        <v>1.0064386947111752</v>
      </c>
      <c r="V26" s="15">
        <f t="shared" ca="1" si="7"/>
        <v>1.006438676502192</v>
      </c>
      <c r="X26" s="15">
        <f t="shared" si="8"/>
        <v>1.05</v>
      </c>
      <c r="Y26" s="15">
        <f t="shared" si="9"/>
        <v>0.95</v>
      </c>
      <c r="Z26" s="15">
        <f t="shared" ca="1" si="10"/>
        <v>1</v>
      </c>
    </row>
    <row r="27" spans="12:26" x14ac:dyDescent="0.3">
      <c r="L27" s="15">
        <v>25</v>
      </c>
      <c r="M27" s="15">
        <v>1</v>
      </c>
      <c r="N27" s="15">
        <f t="shared" ca="1" si="2"/>
        <v>-8.2379218675749932E-3</v>
      </c>
      <c r="O27" s="15">
        <v>0</v>
      </c>
      <c r="P27" s="15">
        <f t="shared" si="11"/>
        <v>0</v>
      </c>
      <c r="Q27" s="15">
        <v>0</v>
      </c>
      <c r="R27" s="15">
        <f t="shared" si="3"/>
        <v>0</v>
      </c>
      <c r="S27" s="15">
        <f t="shared" si="4"/>
        <v>1</v>
      </c>
      <c r="T27" s="15">
        <f t="shared" ca="1" si="5"/>
        <v>8.2379440346219794E-3</v>
      </c>
      <c r="U27" s="15">
        <f t="shared" ca="1" si="6"/>
        <v>1.0082379440346221</v>
      </c>
      <c r="V27" s="15">
        <f t="shared" ca="1" si="7"/>
        <v>1.008237921867575</v>
      </c>
      <c r="X27" s="15">
        <f t="shared" si="8"/>
        <v>1.05</v>
      </c>
      <c r="Y27" s="15">
        <f t="shared" si="9"/>
        <v>0.95</v>
      </c>
      <c r="Z27" s="15">
        <f t="shared" ca="1" si="10"/>
        <v>1</v>
      </c>
    </row>
    <row r="28" spans="12:26" x14ac:dyDescent="0.3">
      <c r="L28" s="15">
        <v>26</v>
      </c>
      <c r="M28" s="15">
        <v>1</v>
      </c>
      <c r="N28" s="15">
        <f t="shared" ca="1" si="2"/>
        <v>-1.8791307233922971E-3</v>
      </c>
      <c r="O28" s="15">
        <v>0</v>
      </c>
      <c r="P28" s="15">
        <f t="shared" si="11"/>
        <v>0</v>
      </c>
      <c r="Q28" s="15">
        <v>0</v>
      </c>
      <c r="R28" s="15">
        <f t="shared" si="3"/>
        <v>0</v>
      </c>
      <c r="S28" s="15">
        <f t="shared" si="4"/>
        <v>1</v>
      </c>
      <c r="T28" s="15">
        <f t="shared" ca="1" si="5"/>
        <v>1.8791325873442756E-3</v>
      </c>
      <c r="U28" s="15">
        <f t="shared" ca="1" si="6"/>
        <v>1.0018791325873442</v>
      </c>
      <c r="V28" s="15">
        <f t="shared" ca="1" si="7"/>
        <v>1.0018791307233923</v>
      </c>
      <c r="X28" s="15">
        <f t="shared" si="8"/>
        <v>1.05</v>
      </c>
      <c r="Y28" s="15">
        <f t="shared" si="9"/>
        <v>0.95</v>
      </c>
      <c r="Z28" s="15">
        <f t="shared" ca="1" si="10"/>
        <v>1</v>
      </c>
    </row>
    <row r="29" spans="12:26" x14ac:dyDescent="0.3">
      <c r="L29" s="15">
        <v>27</v>
      </c>
      <c r="M29" s="15">
        <v>1</v>
      </c>
      <c r="N29" s="15">
        <f t="shared" ca="1" si="2"/>
        <v>-1.229124609667398E-4</v>
      </c>
      <c r="O29" s="15">
        <v>0</v>
      </c>
      <c r="P29" s="15">
        <f t="shared" si="11"/>
        <v>0</v>
      </c>
      <c r="Q29" s="15">
        <v>0</v>
      </c>
      <c r="R29" s="15">
        <f t="shared" si="3"/>
        <v>0</v>
      </c>
      <c r="S29" s="15">
        <f t="shared" si="4"/>
        <v>1</v>
      </c>
      <c r="T29" s="15">
        <f t="shared" ca="1" si="5"/>
        <v>1.2291724876947074E-4</v>
      </c>
      <c r="U29" s="15">
        <f t="shared" ca="1" si="6"/>
        <v>1.0001229172487696</v>
      </c>
      <c r="V29" s="15">
        <f t="shared" ca="1" si="7"/>
        <v>1.0001229124609667</v>
      </c>
      <c r="X29" s="15">
        <f t="shared" si="8"/>
        <v>1.05</v>
      </c>
      <c r="Y29" s="15">
        <f t="shared" si="9"/>
        <v>0.95</v>
      </c>
      <c r="Z29" s="15">
        <f t="shared" ca="1" si="10"/>
        <v>1</v>
      </c>
    </row>
    <row r="30" spans="12:26" x14ac:dyDescent="0.3">
      <c r="L30" s="15">
        <v>28</v>
      </c>
      <c r="M30" s="15">
        <v>1</v>
      </c>
      <c r="N30" s="15">
        <f t="shared" ca="1" si="2"/>
        <v>-3.8719747690185713E-3</v>
      </c>
      <c r="O30" s="15">
        <v>0</v>
      </c>
      <c r="P30" s="15">
        <f t="shared" si="11"/>
        <v>0</v>
      </c>
      <c r="Q30" s="15">
        <v>0</v>
      </c>
      <c r="R30" s="15">
        <f t="shared" si="3"/>
        <v>0</v>
      </c>
      <c r="S30" s="15">
        <f t="shared" si="4"/>
        <v>1</v>
      </c>
      <c r="T30" s="15">
        <f t="shared" ca="1" si="5"/>
        <v>3.8719969183003645E-3</v>
      </c>
      <c r="U30" s="15">
        <f t="shared" ca="1" si="6"/>
        <v>1.0038719969183003</v>
      </c>
      <c r="V30" s="15">
        <f t="shared" ca="1" si="7"/>
        <v>1.0038719747690186</v>
      </c>
      <c r="X30" s="15">
        <f t="shared" si="8"/>
        <v>1.05</v>
      </c>
      <c r="Y30" s="15">
        <f t="shared" si="9"/>
        <v>0.95</v>
      </c>
      <c r="Z30" s="15">
        <f t="shared" ca="1" si="10"/>
        <v>1</v>
      </c>
    </row>
    <row r="31" spans="12:26" x14ac:dyDescent="0.3">
      <c r="L31" s="15">
        <v>29</v>
      </c>
      <c r="M31" s="15">
        <v>1</v>
      </c>
      <c r="N31" s="15">
        <f t="shared" ca="1" si="2"/>
        <v>-4.5184756174028173E-3</v>
      </c>
      <c r="O31" s="15">
        <v>0</v>
      </c>
      <c r="P31" s="15">
        <f t="shared" si="11"/>
        <v>0</v>
      </c>
      <c r="Q31" s="15">
        <v>0</v>
      </c>
      <c r="R31" s="15">
        <f t="shared" si="3"/>
        <v>0</v>
      </c>
      <c r="S31" s="15">
        <f t="shared" si="4"/>
        <v>1</v>
      </c>
      <c r="T31" s="15">
        <f t="shared" ca="1" si="5"/>
        <v>4.5184759301740898E-3</v>
      </c>
      <c r="U31" s="15">
        <f t="shared" ca="1" si="6"/>
        <v>1.0045184759301742</v>
      </c>
      <c r="V31" s="15">
        <f t="shared" ca="1" si="7"/>
        <v>1.0045184756174028</v>
      </c>
      <c r="X31" s="15">
        <f t="shared" si="8"/>
        <v>1.05</v>
      </c>
      <c r="Y31" s="15">
        <f t="shared" si="9"/>
        <v>0.95</v>
      </c>
      <c r="Z31" s="15">
        <f t="shared" ca="1" si="10"/>
        <v>1</v>
      </c>
    </row>
    <row r="32" spans="12:26" x14ac:dyDescent="0.3">
      <c r="L32" s="15">
        <v>30</v>
      </c>
      <c r="M32" s="15">
        <v>1</v>
      </c>
      <c r="N32" s="15">
        <f t="shared" ca="1" si="2"/>
        <v>-3.6470708445768274E-4</v>
      </c>
      <c r="O32" s="15">
        <v>0</v>
      </c>
      <c r="P32" s="15">
        <f t="shared" si="11"/>
        <v>0</v>
      </c>
      <c r="Q32" s="15">
        <v>0</v>
      </c>
      <c r="R32" s="15">
        <f t="shared" si="3"/>
        <v>0</v>
      </c>
      <c r="S32" s="15">
        <f t="shared" si="4"/>
        <v>1</v>
      </c>
      <c r="T32" s="15">
        <f t="shared" ca="1" si="5"/>
        <v>3.6472418524822526E-4</v>
      </c>
      <c r="U32" s="15">
        <f t="shared" ca="1" si="6"/>
        <v>1.0003647241852482</v>
      </c>
      <c r="V32" s="15">
        <f t="shared" ca="1" si="7"/>
        <v>1.0003647070844577</v>
      </c>
      <c r="X32" s="15">
        <f t="shared" si="8"/>
        <v>1.05</v>
      </c>
      <c r="Y32" s="15">
        <f t="shared" si="9"/>
        <v>0.95</v>
      </c>
      <c r="Z32" s="15">
        <f t="shared" ca="1" si="10"/>
        <v>1</v>
      </c>
    </row>
    <row r="33" spans="12:26" x14ac:dyDescent="0.3">
      <c r="L33" s="15">
        <v>31</v>
      </c>
      <c r="M33" s="15">
        <v>1</v>
      </c>
      <c r="N33" s="15">
        <f t="shared" ca="1" si="2"/>
        <v>-9.2259619872145926E-3</v>
      </c>
      <c r="O33" s="15">
        <v>0</v>
      </c>
      <c r="P33" s="15">
        <f t="shared" si="11"/>
        <v>0</v>
      </c>
      <c r="Q33" s="15">
        <v>0</v>
      </c>
      <c r="R33" s="15">
        <f t="shared" si="3"/>
        <v>0</v>
      </c>
      <c r="S33" s="15">
        <f t="shared" si="4"/>
        <v>1</v>
      </c>
      <c r="T33" s="15">
        <f t="shared" ca="1" si="5"/>
        <v>9.2259645296062804E-3</v>
      </c>
      <c r="U33" s="15">
        <f t="shared" ca="1" si="6"/>
        <v>1.0092259645296062</v>
      </c>
      <c r="V33" s="15">
        <f t="shared" ca="1" si="7"/>
        <v>1.0092259619872146</v>
      </c>
      <c r="X33" s="15">
        <f t="shared" si="8"/>
        <v>1.05</v>
      </c>
      <c r="Y33" s="15">
        <f t="shared" si="9"/>
        <v>0.95</v>
      </c>
      <c r="Z33" s="15">
        <f t="shared" ca="1" si="10"/>
        <v>1</v>
      </c>
    </row>
    <row r="34" spans="12:26" x14ac:dyDescent="0.3">
      <c r="L34" s="15">
        <v>32</v>
      </c>
      <c r="M34" s="15">
        <v>1</v>
      </c>
      <c r="N34" s="15">
        <f t="shared" ca="1" si="2"/>
        <v>-4.8778497159662759E-3</v>
      </c>
      <c r="O34" s="15">
        <v>0</v>
      </c>
      <c r="P34" s="15">
        <f t="shared" si="11"/>
        <v>0</v>
      </c>
      <c r="Q34" s="15">
        <v>0</v>
      </c>
      <c r="R34" s="15">
        <f t="shared" si="3"/>
        <v>0</v>
      </c>
      <c r="S34" s="15">
        <f t="shared" si="4"/>
        <v>1</v>
      </c>
      <c r="T34" s="15">
        <f t="shared" ca="1" si="5"/>
        <v>4.8778546982306548E-3</v>
      </c>
      <c r="U34" s="15">
        <f t="shared" ca="1" si="6"/>
        <v>1.0048778546982307</v>
      </c>
      <c r="V34" s="15">
        <f t="shared" ca="1" si="7"/>
        <v>1.0048778497159663</v>
      </c>
      <c r="X34" s="15">
        <f t="shared" si="8"/>
        <v>1.05</v>
      </c>
      <c r="Y34" s="15">
        <f t="shared" si="9"/>
        <v>0.95</v>
      </c>
      <c r="Z34" s="15">
        <f t="shared" ca="1" si="10"/>
        <v>1</v>
      </c>
    </row>
    <row r="35" spans="12:26" x14ac:dyDescent="0.3">
      <c r="L35" s="15">
        <v>33</v>
      </c>
      <c r="M35" s="15">
        <v>1</v>
      </c>
      <c r="N35" s="15">
        <f t="shared" ca="1" si="2"/>
        <v>-6.6639867161084609E-3</v>
      </c>
      <c r="O35" s="15">
        <v>0</v>
      </c>
      <c r="P35" s="15">
        <f t="shared" si="11"/>
        <v>0</v>
      </c>
      <c r="Q35" s="15">
        <v>0</v>
      </c>
      <c r="R35" s="15">
        <f t="shared" si="3"/>
        <v>0</v>
      </c>
      <c r="S35" s="15">
        <f t="shared" si="4"/>
        <v>1</v>
      </c>
      <c r="T35" s="15">
        <f t="shared" ca="1" si="5"/>
        <v>6.6639869646536566E-3</v>
      </c>
      <c r="U35" s="15">
        <f t="shared" ca="1" si="6"/>
        <v>1.0066639869646536</v>
      </c>
      <c r="V35" s="15">
        <f t="shared" ca="1" si="7"/>
        <v>1.0066639867161085</v>
      </c>
      <c r="X35" s="15">
        <f t="shared" si="8"/>
        <v>1.05</v>
      </c>
      <c r="Y35" s="15">
        <f t="shared" si="9"/>
        <v>0.95</v>
      </c>
      <c r="Z35" s="15">
        <f t="shared" ca="1" si="10"/>
        <v>1</v>
      </c>
    </row>
    <row r="36" spans="12:26" x14ac:dyDescent="0.3">
      <c r="L36" s="15">
        <v>34</v>
      </c>
      <c r="M36" s="15">
        <v>1</v>
      </c>
      <c r="N36" s="15">
        <f t="shared" ca="1" si="2"/>
        <v>-6.2384188655386641E-3</v>
      </c>
      <c r="O36" s="15">
        <v>0</v>
      </c>
      <c r="P36" s="15">
        <f t="shared" si="11"/>
        <v>0</v>
      </c>
      <c r="Q36" s="15">
        <v>0</v>
      </c>
      <c r="R36" s="15">
        <f t="shared" si="3"/>
        <v>0</v>
      </c>
      <c r="S36" s="15">
        <f t="shared" si="4"/>
        <v>1</v>
      </c>
      <c r="T36" s="15">
        <f t="shared" ca="1" si="5"/>
        <v>6.2384291904255722E-3</v>
      </c>
      <c r="U36" s="15">
        <f t="shared" ca="1" si="6"/>
        <v>1.0062384291904256</v>
      </c>
      <c r="V36" s="15">
        <f t="shared" ca="1" si="7"/>
        <v>1.0062384188655387</v>
      </c>
      <c r="X36" s="15">
        <f t="shared" si="8"/>
        <v>1.05</v>
      </c>
      <c r="Y36" s="15">
        <f t="shared" si="9"/>
        <v>0.95</v>
      </c>
      <c r="Z36" s="15">
        <f t="shared" ca="1" si="10"/>
        <v>1</v>
      </c>
    </row>
    <row r="37" spans="12:26" x14ac:dyDescent="0.3">
      <c r="L37" s="15">
        <v>35</v>
      </c>
      <c r="M37" s="15">
        <v>1</v>
      </c>
      <c r="N37" s="15">
        <f t="shared" ca="1" si="2"/>
        <v>-1.2893707028798218E-3</v>
      </c>
      <c r="O37" s="15">
        <v>0</v>
      </c>
      <c r="P37" s="15">
        <f t="shared" si="11"/>
        <v>0</v>
      </c>
      <c r="Q37" s="15">
        <v>0</v>
      </c>
      <c r="R37" s="15">
        <f t="shared" si="3"/>
        <v>0</v>
      </c>
      <c r="S37" s="15">
        <f t="shared" si="4"/>
        <v>1</v>
      </c>
      <c r="T37" s="15">
        <f t="shared" ca="1" si="5"/>
        <v>1.2893796753676468E-3</v>
      </c>
      <c r="U37" s="15">
        <f t="shared" ca="1" si="6"/>
        <v>1.0012893796753677</v>
      </c>
      <c r="V37" s="15">
        <f t="shared" ca="1" si="7"/>
        <v>1.0012893707028798</v>
      </c>
      <c r="X37" s="15">
        <f t="shared" si="8"/>
        <v>1.05</v>
      </c>
      <c r="Y37" s="15">
        <f t="shared" si="9"/>
        <v>0.95</v>
      </c>
      <c r="Z37" s="15">
        <f t="shared" ca="1" si="10"/>
        <v>1</v>
      </c>
    </row>
    <row r="38" spans="12:26" x14ac:dyDescent="0.3">
      <c r="L38" s="15">
        <v>36</v>
      </c>
      <c r="M38" s="15">
        <v>1</v>
      </c>
      <c r="N38" s="15">
        <f t="shared" ca="1" si="2"/>
        <v>-1.8830422782067924E-3</v>
      </c>
      <c r="O38" s="15">
        <v>0</v>
      </c>
      <c r="P38" s="15">
        <f t="shared" si="11"/>
        <v>0</v>
      </c>
      <c r="Q38" s="15">
        <v>0</v>
      </c>
      <c r="R38" s="15">
        <f>P38+Q38</f>
        <v>0</v>
      </c>
      <c r="S38" s="15">
        <f t="shared" si="4"/>
        <v>1</v>
      </c>
      <c r="T38" s="15">
        <f t="shared" ca="1" si="5"/>
        <v>1.8830601627602306E-3</v>
      </c>
      <c r="U38" s="15">
        <f t="shared" ca="1" si="6"/>
        <v>1.0018830601627602</v>
      </c>
      <c r="V38" s="15">
        <f t="shared" ca="1" si="7"/>
        <v>1.0018830422782068</v>
      </c>
      <c r="X38" s="15">
        <f t="shared" si="8"/>
        <v>1.05</v>
      </c>
      <c r="Y38" s="15">
        <f t="shared" si="9"/>
        <v>0.95</v>
      </c>
      <c r="Z38" s="15">
        <f t="shared" ca="1" si="10"/>
        <v>1</v>
      </c>
    </row>
    <row r="39" spans="12:26" x14ac:dyDescent="0.3">
      <c r="L39" s="15">
        <v>37</v>
      </c>
      <c r="M39" s="15">
        <v>1</v>
      </c>
      <c r="N39" s="15">
        <f ca="1">M39-V39</f>
        <v>-3.3734377947107763E-3</v>
      </c>
      <c r="O39" s="15">
        <v>0</v>
      </c>
      <c r="P39" s="15">
        <f t="shared" si="11"/>
        <v>0</v>
      </c>
      <c r="Q39" s="15">
        <v>0</v>
      </c>
      <c r="R39" s="15">
        <f t="shared" si="3"/>
        <v>0</v>
      </c>
      <c r="S39" s="15">
        <f t="shared" si="4"/>
        <v>1</v>
      </c>
      <c r="T39" s="15">
        <f t="shared" ca="1" si="5"/>
        <v>3.3734471803006805E-3</v>
      </c>
      <c r="U39" s="15">
        <f t="shared" ca="1" si="6"/>
        <v>1.0033734471803006</v>
      </c>
      <c r="V39" s="15">
        <f t="shared" ca="1" si="7"/>
        <v>1.0033734377947108</v>
      </c>
      <c r="X39" s="15">
        <f t="shared" si="8"/>
        <v>1.05</v>
      </c>
      <c r="Y39" s="15">
        <f t="shared" si="9"/>
        <v>0.95</v>
      </c>
      <c r="Z39" s="15">
        <f t="shared" ca="1" si="10"/>
        <v>1</v>
      </c>
    </row>
    <row r="40" spans="12:26" x14ac:dyDescent="0.3">
      <c r="L40" s="15">
        <v>38</v>
      </c>
      <c r="M40" s="15">
        <v>1</v>
      </c>
      <c r="N40" s="15">
        <f t="shared" ca="1" si="2"/>
        <v>-6.6356512267691237E-3</v>
      </c>
      <c r="O40" s="15">
        <v>0</v>
      </c>
      <c r="P40" s="15">
        <f t="shared" si="11"/>
        <v>0</v>
      </c>
      <c r="Q40" s="15">
        <v>0</v>
      </c>
      <c r="R40" s="15">
        <f t="shared" si="3"/>
        <v>0</v>
      </c>
      <c r="S40" s="15">
        <f t="shared" si="4"/>
        <v>1</v>
      </c>
      <c r="T40" s="15">
        <f t="shared" ca="1" si="5"/>
        <v>6.6356686937342826E-3</v>
      </c>
      <c r="U40" s="15">
        <f t="shared" ca="1" si="6"/>
        <v>1.0066356686937343</v>
      </c>
      <c r="V40" s="15">
        <f t="shared" ca="1" si="7"/>
        <v>1.0066356512267691</v>
      </c>
      <c r="X40" s="15">
        <f t="shared" si="8"/>
        <v>1.05</v>
      </c>
      <c r="Y40" s="15">
        <f t="shared" si="9"/>
        <v>0.95</v>
      </c>
      <c r="Z40" s="15">
        <f t="shared" ca="1" si="10"/>
        <v>1</v>
      </c>
    </row>
    <row r="41" spans="12:26" x14ac:dyDescent="0.3">
      <c r="L41" s="15">
        <v>39</v>
      </c>
      <c r="M41" s="15">
        <v>1</v>
      </c>
      <c r="N41" s="15">
        <f t="shared" ca="1" si="2"/>
        <v>-8.5930118822943324E-3</v>
      </c>
      <c r="O41" s="15">
        <v>0</v>
      </c>
      <c r="P41" s="15">
        <f t="shared" si="11"/>
        <v>0</v>
      </c>
      <c r="Q41" s="15">
        <v>0</v>
      </c>
      <c r="R41" s="15">
        <f t="shared" si="3"/>
        <v>0</v>
      </c>
      <c r="S41" s="15">
        <f t="shared" si="4"/>
        <v>1</v>
      </c>
      <c r="T41" s="15">
        <f t="shared" ca="1" si="5"/>
        <v>8.5930240778224354E-3</v>
      </c>
      <c r="U41" s="15">
        <f t="shared" ca="1" si="6"/>
        <v>1.0085930240778225</v>
      </c>
      <c r="V41" s="15">
        <f t="shared" ca="1" si="7"/>
        <v>1.0085930118822943</v>
      </c>
      <c r="X41" s="15">
        <f t="shared" si="8"/>
        <v>1.05</v>
      </c>
      <c r="Y41" s="15">
        <f t="shared" si="9"/>
        <v>0.95</v>
      </c>
      <c r="Z41" s="15">
        <f t="shared" ca="1" si="10"/>
        <v>1</v>
      </c>
    </row>
    <row r="42" spans="12:26" x14ac:dyDescent="0.3">
      <c r="L42" s="15">
        <v>40</v>
      </c>
      <c r="M42" s="15">
        <f t="shared" si="1"/>
        <v>10</v>
      </c>
      <c r="N42" s="15">
        <f t="shared" ca="1" si="2"/>
        <v>8.9994218570644549</v>
      </c>
      <c r="O42" s="15">
        <f ca="1">IF(MOD(L42,$B$11)=0,OFFSET(O42,-$B$11,0)+ $E$2*N42+$E$3*OFFSET(N42,-$B$11,0)+ $E$4*OFFSET(N42,-2* $B$11,0), O41)</f>
        <v>0</v>
      </c>
      <c r="P42" s="15">
        <f t="shared" ca="1" si="11"/>
        <v>0</v>
      </c>
      <c r="Q42" s="15">
        <v>0</v>
      </c>
      <c r="R42" s="15">
        <f t="shared" ca="1" si="3"/>
        <v>0</v>
      </c>
      <c r="S42" s="15">
        <f t="shared" si="4"/>
        <v>1</v>
      </c>
      <c r="T42" s="15">
        <f t="shared" ca="1" si="5"/>
        <v>5.7814456179551836E-4</v>
      </c>
      <c r="U42" s="15">
        <f t="shared" ca="1" si="6"/>
        <v>1.0005781445617956</v>
      </c>
      <c r="V42" s="15">
        <f t="shared" ca="1" si="7"/>
        <v>1.0005781429355447</v>
      </c>
      <c r="X42" s="15">
        <f>M42 * 1.05</f>
        <v>10.5</v>
      </c>
      <c r="Y42" s="15">
        <f t="shared" si="9"/>
        <v>9.5</v>
      </c>
      <c r="Z42" s="15">
        <f t="shared" ca="1" si="10"/>
        <v>0</v>
      </c>
    </row>
    <row r="43" spans="12:26" x14ac:dyDescent="0.3">
      <c r="L43" s="15">
        <v>41</v>
      </c>
      <c r="M43" s="15">
        <f t="shared" si="1"/>
        <v>10</v>
      </c>
      <c r="N43" s="15">
        <f ca="1">M43-V43</f>
        <v>8.9938564596217727</v>
      </c>
      <c r="O43" s="15">
        <f t="shared" ref="O43:O86" ca="1" si="12">IF(MOD(L43,$B$11)=0,OFFSET(O43,-$B$11,0)+ $E$2*N43+$E$3*OFFSET(N43,-$B$11,0)+ $E$4*OFFSET(N43,-2* $B$11,0), O42)</f>
        <v>0</v>
      </c>
      <c r="P43" s="15">
        <f t="shared" ca="1" si="11"/>
        <v>0</v>
      </c>
      <c r="Q43" s="15">
        <v>0</v>
      </c>
      <c r="R43" s="15">
        <f t="shared" ca="1" si="3"/>
        <v>0</v>
      </c>
      <c r="S43" s="15">
        <f t="shared" si="4"/>
        <v>1</v>
      </c>
      <c r="T43" s="15">
        <f t="shared" ca="1" si="5"/>
        <v>6.1435587463775096E-3</v>
      </c>
      <c r="U43" s="15">
        <f t="shared" ca="1" si="6"/>
        <v>1.0061435587463776</v>
      </c>
      <c r="V43" s="15">
        <f t="shared" ca="1" si="7"/>
        <v>1.0061435403782277</v>
      </c>
      <c r="X43" s="15">
        <f t="shared" si="8"/>
        <v>10.5</v>
      </c>
      <c r="Y43" s="15">
        <f t="shared" si="9"/>
        <v>9.5</v>
      </c>
      <c r="Z43" s="15">
        <f t="shared" ca="1" si="10"/>
        <v>0</v>
      </c>
    </row>
    <row r="44" spans="12:26" x14ac:dyDescent="0.3">
      <c r="L44" s="15">
        <v>42</v>
      </c>
      <c r="M44" s="15">
        <f t="shared" si="1"/>
        <v>10</v>
      </c>
      <c r="N44" s="15">
        <f t="shared" ca="1" si="2"/>
        <v>8.9983859469644685</v>
      </c>
      <c r="O44" s="15">
        <f t="shared" ca="1" si="12"/>
        <v>7.1177329912073706</v>
      </c>
      <c r="P44" s="15">
        <f ca="1">INT((2^$J$12-1)*O44/100)/(2^$J$12-1)*100</f>
        <v>7.1177329884650486</v>
      </c>
      <c r="Q44" s="15">
        <v>0</v>
      </c>
      <c r="R44" s="15">
        <f t="shared" ca="1" si="3"/>
        <v>7.1177329884650486</v>
      </c>
      <c r="S44" s="15">
        <f>$I$1*S43-$I$2*S42+$I$3*R3+$I$4*R2</f>
        <v>0.99577038919045935</v>
      </c>
      <c r="T44" s="15">
        <f t="shared" ca="1" si="5"/>
        <v>5.8436814562915721E-3</v>
      </c>
      <c r="U44" s="15">
        <f t="shared" ca="1" si="6"/>
        <v>1.0016140706467509</v>
      </c>
      <c r="V44" s="15">
        <f t="shared" ca="1" si="7"/>
        <v>1.0016140530355309</v>
      </c>
      <c r="X44" s="15">
        <f t="shared" si="8"/>
        <v>10.5</v>
      </c>
      <c r="Y44" s="15">
        <f t="shared" si="9"/>
        <v>9.5</v>
      </c>
      <c r="Z44" s="15">
        <f t="shared" ca="1" si="10"/>
        <v>0</v>
      </c>
    </row>
    <row r="45" spans="12:26" x14ac:dyDescent="0.3">
      <c r="L45" s="15">
        <v>43</v>
      </c>
      <c r="M45" s="15">
        <f t="shared" si="1"/>
        <v>10</v>
      </c>
      <c r="N45" s="15">
        <f t="shared" ca="1" si="2"/>
        <v>9.009315552890607</v>
      </c>
      <c r="O45" s="15">
        <f ca="1">IF(MOD(L45,$B$11)=0,OFFSET(O45,-$B$11,0)+ $E$2*N45+$E$3*OFFSET(N45,-$B$11,0)+ $E$4*OFFSET(N45,-2* $B$11,0), O44)</f>
        <v>7.1177329912073706</v>
      </c>
      <c r="P45" s="15">
        <f t="shared" ca="1" si="11"/>
        <v>7.1177329884650486</v>
      </c>
      <c r="Q45" s="15">
        <v>0</v>
      </c>
      <c r="R45" s="15">
        <f t="shared" ca="1" si="3"/>
        <v>7.1177329884650486</v>
      </c>
      <c r="S45" s="15">
        <f>$I$1*S44-$I$2*S43+$I$3*R24+$I$4*R23</f>
        <v>0.98786594776174563</v>
      </c>
      <c r="T45" s="15">
        <f t="shared" ca="1" si="5"/>
        <v>2.8185193404085328E-3</v>
      </c>
      <c r="U45" s="15">
        <f t="shared" ca="1" si="6"/>
        <v>0.99068446710215419</v>
      </c>
      <c r="V45" s="15">
        <f t="shared" ca="1" si="7"/>
        <v>0.99068444710939296</v>
      </c>
      <c r="X45" s="15">
        <f t="shared" si="8"/>
        <v>10.5</v>
      </c>
      <c r="Y45" s="15">
        <f t="shared" si="9"/>
        <v>9.5</v>
      </c>
      <c r="Z45" s="15">
        <f t="shared" ca="1" si="10"/>
        <v>0</v>
      </c>
    </row>
    <row r="46" spans="12:26" x14ac:dyDescent="0.3">
      <c r="L46" s="15">
        <v>44</v>
      </c>
      <c r="M46" s="15">
        <f t="shared" si="1"/>
        <v>10</v>
      </c>
      <c r="N46" s="15">
        <f t="shared" ca="1" si="2"/>
        <v>9.0185051222840578</v>
      </c>
      <c r="O46" s="15">
        <f t="shared" ca="1" si="12"/>
        <v>7.1177329912073706</v>
      </c>
      <c r="P46" s="15">
        <f t="shared" ca="1" si="11"/>
        <v>7.1177329884650486</v>
      </c>
      <c r="Q46" s="15">
        <v>0</v>
      </c>
      <c r="R46" s="15">
        <f t="shared" ca="1" si="3"/>
        <v>7.1177329884650486</v>
      </c>
      <c r="S46" s="15">
        <f>$I$1*S45-$I$2*S44+$I$3*R25+$I$4*R24</f>
        <v>0.97678657733681418</v>
      </c>
      <c r="T46" s="15">
        <f t="shared" ca="1" si="5"/>
        <v>4.7083155372016237E-3</v>
      </c>
      <c r="U46" s="15">
        <f t="shared" ca="1" si="6"/>
        <v>0.98149489287401581</v>
      </c>
      <c r="V46" s="15">
        <f t="shared" ca="1" si="7"/>
        <v>0.98149487771594313</v>
      </c>
      <c r="X46" s="15">
        <f t="shared" si="8"/>
        <v>10.5</v>
      </c>
      <c r="Y46" s="15">
        <f t="shared" si="9"/>
        <v>9.5</v>
      </c>
      <c r="Z46" s="15">
        <f t="shared" ca="1" si="10"/>
        <v>0</v>
      </c>
    </row>
    <row r="47" spans="12:26" x14ac:dyDescent="0.3">
      <c r="L47" s="15">
        <v>45</v>
      </c>
      <c r="M47" s="15">
        <f t="shared" si="1"/>
        <v>10</v>
      </c>
      <c r="N47" s="15">
        <f t="shared" ca="1" si="2"/>
        <v>9.0279322953494106</v>
      </c>
      <c r="O47" s="15">
        <f t="shared" ca="1" si="12"/>
        <v>1.913577437655013</v>
      </c>
      <c r="P47" s="15">
        <f t="shared" ca="1" si="11"/>
        <v>1.9135774350523895</v>
      </c>
      <c r="Q47" s="15">
        <v>0</v>
      </c>
      <c r="R47" s="15">
        <f t="shared" ca="1" si="3"/>
        <v>1.9135774350523895</v>
      </c>
      <c r="S47" s="15">
        <f>$I$1*S46-$I$2*S45+$I$3*R26+$I$4*R25</f>
        <v>0.96298215265688025</v>
      </c>
      <c r="T47" s="15">
        <f t="shared" ca="1" si="5"/>
        <v>9.0855625287712214E-3</v>
      </c>
      <c r="U47" s="15">
        <f t="shared" ca="1" si="6"/>
        <v>0.97206771518565149</v>
      </c>
      <c r="V47" s="15">
        <f t="shared" ca="1" si="7"/>
        <v>0.97206770465058912</v>
      </c>
      <c r="X47" s="15">
        <f t="shared" si="8"/>
        <v>10.5</v>
      </c>
      <c r="Y47" s="15">
        <f t="shared" si="9"/>
        <v>9.5</v>
      </c>
      <c r="Z47" s="15">
        <f t="shared" ca="1" si="10"/>
        <v>0</v>
      </c>
    </row>
    <row r="48" spans="12:26" x14ac:dyDescent="0.3">
      <c r="L48" s="15">
        <v>46</v>
      </c>
      <c r="M48" s="15">
        <f t="shared" si="1"/>
        <v>10</v>
      </c>
      <c r="N48" s="15">
        <f t="shared" ca="1" si="2"/>
        <v>9.0449931935977634</v>
      </c>
      <c r="O48" s="15">
        <f t="shared" ca="1" si="12"/>
        <v>1.913577437655013</v>
      </c>
      <c r="P48" s="15">
        <f t="shared" ca="1" si="11"/>
        <v>1.9135774350523895</v>
      </c>
      <c r="Q48" s="15">
        <v>0</v>
      </c>
      <c r="R48" s="15">
        <f t="shared" ca="1" si="3"/>
        <v>1.9135774350523895</v>
      </c>
      <c r="S48" s="15">
        <f t="shared" ref="S48:S88" si="13">$I$1*S47-$I$2*S46+$I$3*R27+$I$4*R26</f>
        <v>0.94685696900695082</v>
      </c>
      <c r="T48" s="15">
        <f t="shared" ca="1" si="5"/>
        <v>8.1498485595378964E-3</v>
      </c>
      <c r="U48" s="15">
        <f t="shared" ca="1" si="6"/>
        <v>0.95500681756648875</v>
      </c>
      <c r="V48" s="15">
        <f t="shared" ca="1" si="7"/>
        <v>0.9550068064022359</v>
      </c>
      <c r="X48" s="15">
        <f t="shared" si="8"/>
        <v>10.5</v>
      </c>
      <c r="Y48" s="15">
        <f t="shared" si="9"/>
        <v>9.5</v>
      </c>
      <c r="Z48" s="15">
        <f t="shared" ca="1" si="10"/>
        <v>0</v>
      </c>
    </row>
    <row r="49" spans="12:26" x14ac:dyDescent="0.3">
      <c r="L49" s="15">
        <v>47</v>
      </c>
      <c r="M49" s="15">
        <f t="shared" si="1"/>
        <v>10</v>
      </c>
      <c r="N49" s="15">
        <f t="shared" ca="1" si="2"/>
        <v>9.0707629590925674</v>
      </c>
      <c r="O49" s="15">
        <f t="shared" ca="1" si="12"/>
        <v>1.913577437655013</v>
      </c>
      <c r="P49" s="15">
        <f t="shared" ca="1" si="11"/>
        <v>1.9135774350523895</v>
      </c>
      <c r="Q49" s="15">
        <v>0</v>
      </c>
      <c r="R49" s="15">
        <f t="shared" ca="1" si="3"/>
        <v>1.9135774350523895</v>
      </c>
      <c r="S49" s="15">
        <f t="shared" si="13"/>
        <v>0.92877381788556757</v>
      </c>
      <c r="T49" s="15">
        <f t="shared" ca="1" si="5"/>
        <v>4.6322704206267829E-4</v>
      </c>
      <c r="U49" s="15">
        <f t="shared" ca="1" si="6"/>
        <v>0.92923704492763026</v>
      </c>
      <c r="V49" s="15">
        <f t="shared" ca="1" si="7"/>
        <v>0.92923704090743264</v>
      </c>
      <c r="X49" s="15">
        <f t="shared" si="8"/>
        <v>10.5</v>
      </c>
      <c r="Y49" s="15">
        <f t="shared" si="9"/>
        <v>9.5</v>
      </c>
      <c r="Z49" s="15">
        <f t="shared" ca="1" si="10"/>
        <v>0</v>
      </c>
    </row>
    <row r="50" spans="12:26" x14ac:dyDescent="0.3">
      <c r="L50" s="15">
        <v>48</v>
      </c>
      <c r="M50" s="15">
        <f t="shared" si="1"/>
        <v>10</v>
      </c>
      <c r="N50" s="15">
        <f ca="1">M50-V50</f>
        <v>9.0862320175129536</v>
      </c>
      <c r="O50" s="15">
        <f t="shared" ca="1" si="12"/>
        <v>2.1191715706197138</v>
      </c>
      <c r="P50" s="15">
        <f t="shared" ca="1" si="11"/>
        <v>2.1191715500594981</v>
      </c>
      <c r="Q50" s="15">
        <v>0</v>
      </c>
      <c r="R50" s="15">
        <f t="shared" ca="1" si="3"/>
        <v>2.1191715500594981</v>
      </c>
      <c r="S50" s="15">
        <f t="shared" si="13"/>
        <v>0.90905772086952064</v>
      </c>
      <c r="T50" s="15">
        <f t="shared" ca="1" si="5"/>
        <v>4.7102832081000251E-3</v>
      </c>
      <c r="U50" s="15">
        <f t="shared" ca="1" si="6"/>
        <v>0.91376800407762071</v>
      </c>
      <c r="V50" s="15">
        <f t="shared" ca="1" si="7"/>
        <v>0.91376798248704716</v>
      </c>
      <c r="X50" s="15">
        <f t="shared" si="8"/>
        <v>10.5</v>
      </c>
      <c r="Y50" s="15">
        <f t="shared" si="9"/>
        <v>9.5</v>
      </c>
      <c r="Z50" s="15">
        <f t="shared" ca="1" si="10"/>
        <v>0</v>
      </c>
    </row>
    <row r="51" spans="12:26" x14ac:dyDescent="0.3">
      <c r="L51" s="15">
        <v>49</v>
      </c>
      <c r="M51" s="15">
        <f t="shared" si="1"/>
        <v>10</v>
      </c>
      <c r="N51" s="15">
        <f t="shared" ca="1" si="2"/>
        <v>9.1038031175508642</v>
      </c>
      <c r="O51" s="15">
        <f t="shared" ca="1" si="12"/>
        <v>2.1191715706197138</v>
      </c>
      <c r="P51" s="15">
        <f t="shared" ca="1" si="11"/>
        <v>2.1191715500594981</v>
      </c>
      <c r="Q51" s="15">
        <v>0</v>
      </c>
      <c r="R51" s="15">
        <f t="shared" ca="1" si="3"/>
        <v>2.1191715500594981</v>
      </c>
      <c r="S51" s="15">
        <f t="shared" si="13"/>
        <v>0.88799934926815716</v>
      </c>
      <c r="T51" s="15">
        <f t="shared" ca="1" si="5"/>
        <v>8.1975465254950503E-3</v>
      </c>
      <c r="U51" s="15">
        <f t="shared" ca="1" si="6"/>
        <v>0.89619689579365225</v>
      </c>
      <c r="V51" s="15">
        <f t="shared" ca="1" si="7"/>
        <v>0.89619688244913631</v>
      </c>
      <c r="X51" s="15">
        <f t="shared" si="8"/>
        <v>10.5</v>
      </c>
      <c r="Y51" s="15">
        <f t="shared" si="9"/>
        <v>9.5</v>
      </c>
      <c r="Z51" s="15">
        <f t="shared" ca="1" si="10"/>
        <v>0</v>
      </c>
    </row>
    <row r="52" spans="12:26" x14ac:dyDescent="0.3">
      <c r="L52" s="15">
        <v>50</v>
      </c>
      <c r="M52" s="15">
        <f t="shared" si="1"/>
        <v>10</v>
      </c>
      <c r="N52" s="15">
        <f t="shared" ca="1" si="2"/>
        <v>9.1253725483839805</v>
      </c>
      <c r="O52" s="15">
        <f ca="1">IF(MOD(L52,$B$11)=0,OFFSET(O52,-$B$11,0)+ $E$2*N52+$E$3*OFFSET(N52,-$B$11,0)+ $E$4*OFFSET(N52,-2* $B$11,0), O51)</f>
        <v>2.1191715706197138</v>
      </c>
      <c r="P52" s="15">
        <f ca="1">INT((2^$J$12-1)*O52/100)/(2^$J$12-1)*100</f>
        <v>2.1191715500594981</v>
      </c>
      <c r="Q52" s="15">
        <v>0</v>
      </c>
      <c r="R52" s="15">
        <f t="shared" ca="1" si="3"/>
        <v>2.1191715500594981</v>
      </c>
      <c r="S52" s="15">
        <f>$I$1*S51-$I$2*S50+$I$3*R31+$I$4*R30</f>
        <v>0.86585815498814345</v>
      </c>
      <c r="T52" s="15">
        <f ca="1">RAND()*$G$12</f>
        <v>8.7693177710798046E-3</v>
      </c>
      <c r="U52" s="15">
        <f t="shared" ca="1" si="6"/>
        <v>0.87462747275922326</v>
      </c>
      <c r="V52" s="15">
        <f t="shared" ca="1" si="7"/>
        <v>0.87462745161601985</v>
      </c>
      <c r="X52" s="15">
        <f t="shared" si="8"/>
        <v>10.5</v>
      </c>
      <c r="Y52" s="15">
        <f t="shared" si="9"/>
        <v>9.5</v>
      </c>
      <c r="Z52" s="15">
        <f t="shared" ca="1" si="10"/>
        <v>0</v>
      </c>
    </row>
    <row r="53" spans="12:26" x14ac:dyDescent="0.3">
      <c r="L53" s="15">
        <v>51</v>
      </c>
      <c r="M53" s="15">
        <f t="shared" si="1"/>
        <v>10</v>
      </c>
      <c r="N53" s="15">
        <f t="shared" ca="1" si="2"/>
        <v>9.1521514018886148</v>
      </c>
      <c r="O53" s="15">
        <f t="shared" ca="1" si="12"/>
        <v>2.3146766216160009</v>
      </c>
      <c r="P53" s="15">
        <f t="shared" ca="1" si="11"/>
        <v>2.3146766010473194</v>
      </c>
      <c r="Q53" s="15">
        <v>0</v>
      </c>
      <c r="R53" s="15">
        <f ca="1">P53+Q53</f>
        <v>2.3146766010473194</v>
      </c>
      <c r="S53" s="15">
        <f t="shared" si="13"/>
        <v>0.84286523602417884</v>
      </c>
      <c r="T53" s="15">
        <f t="shared" ca="1" si="5"/>
        <v>4.9833686980419777E-3</v>
      </c>
      <c r="U53" s="15">
        <f t="shared" ca="1" si="6"/>
        <v>0.84784860472222079</v>
      </c>
      <c r="V53" s="15">
        <f t="shared" ca="1" si="7"/>
        <v>0.84784859811138558</v>
      </c>
      <c r="X53" s="15">
        <f t="shared" si="8"/>
        <v>10.5</v>
      </c>
      <c r="Y53" s="15">
        <f t="shared" si="9"/>
        <v>9.5</v>
      </c>
      <c r="Z53" s="15">
        <f t="shared" ca="1" si="10"/>
        <v>0</v>
      </c>
    </row>
    <row r="54" spans="12:26" x14ac:dyDescent="0.3">
      <c r="L54" s="15">
        <v>52</v>
      </c>
      <c r="M54" s="15">
        <f t="shared" si="1"/>
        <v>10</v>
      </c>
      <c r="N54" s="15">
        <f t="shared" ca="1" si="2"/>
        <v>9.1711384149201081</v>
      </c>
      <c r="O54" s="15">
        <f t="shared" ca="1" si="12"/>
        <v>2.3146766216160009</v>
      </c>
      <c r="P54" s="15">
        <f t="shared" ca="1" si="11"/>
        <v>2.3146766010473194</v>
      </c>
      <c r="Q54" s="15">
        <v>0</v>
      </c>
      <c r="R54" s="15">
        <f t="shared" ca="1" si="3"/>
        <v>2.3146766010473194</v>
      </c>
      <c r="S54" s="15">
        <f t="shared" si="13"/>
        <v>0.81922595814131505</v>
      </c>
      <c r="T54" s="15">
        <f t="shared" ca="1" si="5"/>
        <v>9.6356389795431829E-3</v>
      </c>
      <c r="U54" s="15">
        <f t="shared" ca="1" si="6"/>
        <v>0.82886159712085827</v>
      </c>
      <c r="V54" s="15">
        <f t="shared" ca="1" si="7"/>
        <v>0.82886158507989283</v>
      </c>
      <c r="X54" s="15">
        <f t="shared" si="8"/>
        <v>10.5</v>
      </c>
      <c r="Y54" s="15">
        <f t="shared" si="9"/>
        <v>9.5</v>
      </c>
      <c r="Z54" s="15">
        <f t="shared" ca="1" si="10"/>
        <v>0</v>
      </c>
    </row>
    <row r="55" spans="12:26" x14ac:dyDescent="0.3">
      <c r="L55" s="15">
        <v>53</v>
      </c>
      <c r="M55" s="15">
        <f t="shared" si="1"/>
        <v>10</v>
      </c>
      <c r="N55" s="15">
        <f t="shared" ca="1" si="2"/>
        <v>9.1996915310620544</v>
      </c>
      <c r="O55" s="15">
        <f t="shared" ca="1" si="12"/>
        <v>2.3146766216160009</v>
      </c>
      <c r="P55" s="15">
        <f t="shared" ca="1" si="11"/>
        <v>2.3146766010473194</v>
      </c>
      <c r="Q55" s="15">
        <v>0</v>
      </c>
      <c r="R55" s="15">
        <f t="shared" ca="1" si="3"/>
        <v>2.3146766010473194</v>
      </c>
      <c r="S55" s="15">
        <f t="shared" si="13"/>
        <v>0.79512235260828801</v>
      </c>
      <c r="T55" s="15">
        <f t="shared" ca="1" si="5"/>
        <v>5.1861358450513238E-3</v>
      </c>
      <c r="U55" s="15">
        <f t="shared" ca="1" si="6"/>
        <v>0.80030848845333935</v>
      </c>
      <c r="V55" s="15">
        <f t="shared" ca="1" si="7"/>
        <v>0.80030846893794572</v>
      </c>
      <c r="X55" s="15">
        <f t="shared" si="8"/>
        <v>10.5</v>
      </c>
      <c r="Y55" s="15">
        <f t="shared" si="9"/>
        <v>9.5</v>
      </c>
      <c r="Z55" s="15">
        <f t="shared" ca="1" si="10"/>
        <v>0</v>
      </c>
    </row>
    <row r="56" spans="12:26" x14ac:dyDescent="0.3">
      <c r="L56" s="15">
        <v>54</v>
      </c>
      <c r="M56" s="15">
        <f t="shared" si="1"/>
        <v>10</v>
      </c>
      <c r="N56" s="15">
        <f t="shared" ca="1" si="2"/>
        <v>9.2267564868616763</v>
      </c>
      <c r="O56" s="15">
        <f t="shared" ca="1" si="12"/>
        <v>2.5137644165409574</v>
      </c>
      <c r="P56" s="15">
        <f t="shared" ca="1" si="11"/>
        <v>2.5137644034143922</v>
      </c>
      <c r="Q56" s="15">
        <v>0</v>
      </c>
      <c r="R56" s="15">
        <f t="shared" ca="1" si="3"/>
        <v>2.5137644034143922</v>
      </c>
      <c r="S56" s="15">
        <f t="shared" si="13"/>
        <v>0.77071530826761059</v>
      </c>
      <c r="T56" s="15">
        <f t="shared" ca="1" si="5"/>
        <v>2.5282074554352943E-3</v>
      </c>
      <c r="U56" s="15">
        <f t="shared" ca="1" si="6"/>
        <v>0.77324351572304584</v>
      </c>
      <c r="V56" s="15">
        <f t="shared" ca="1" si="7"/>
        <v>0.77324351313832296</v>
      </c>
      <c r="X56" s="15">
        <f t="shared" si="8"/>
        <v>10.5</v>
      </c>
      <c r="Y56" s="15">
        <f t="shared" si="9"/>
        <v>9.5</v>
      </c>
      <c r="Z56" s="15">
        <f t="shared" ca="1" si="10"/>
        <v>0</v>
      </c>
    </row>
    <row r="57" spans="12:26" x14ac:dyDescent="0.3">
      <c r="L57" s="15">
        <v>55</v>
      </c>
      <c r="M57" s="15">
        <f t="shared" si="1"/>
        <v>10</v>
      </c>
      <c r="N57" s="15">
        <f t="shared" ca="1" si="2"/>
        <v>9.2533971320962056</v>
      </c>
      <c r="O57" s="15">
        <f t="shared" ca="1" si="12"/>
        <v>2.5137644165409574</v>
      </c>
      <c r="P57" s="15">
        <f t="shared" ca="1" si="11"/>
        <v>2.5137644034143922</v>
      </c>
      <c r="Q57" s="15">
        <v>0</v>
      </c>
      <c r="R57" s="15">
        <f t="shared" ca="1" si="3"/>
        <v>2.5137644034143922</v>
      </c>
      <c r="S57" s="15">
        <f t="shared" si="13"/>
        <v>0.74614657477692425</v>
      </c>
      <c r="T57" s="15">
        <f t="shared" ca="1" si="5"/>
        <v>4.5631535110404856E-4</v>
      </c>
      <c r="U57" s="15">
        <f t="shared" ca="1" si="6"/>
        <v>0.74660289012802827</v>
      </c>
      <c r="V57" s="15">
        <f t="shared" ca="1" si="7"/>
        <v>0.74660286790379393</v>
      </c>
      <c r="X57" s="15">
        <f t="shared" si="8"/>
        <v>10.5</v>
      </c>
      <c r="Y57" s="15">
        <f t="shared" si="9"/>
        <v>9.5</v>
      </c>
      <c r="Z57" s="15">
        <f t="shared" ca="1" si="10"/>
        <v>0</v>
      </c>
    </row>
    <row r="58" spans="12:26" x14ac:dyDescent="0.3">
      <c r="L58" s="15">
        <v>56</v>
      </c>
      <c r="M58" s="15">
        <f t="shared" si="1"/>
        <v>10</v>
      </c>
      <c r="N58" s="15">
        <f t="shared" ca="1" si="2"/>
        <v>9.270214396358984</v>
      </c>
      <c r="O58" s="15">
        <f t="shared" ca="1" si="12"/>
        <v>2.5137644165409574</v>
      </c>
      <c r="P58" s="15">
        <f t="shared" ca="1" si="11"/>
        <v>2.5137644034143922</v>
      </c>
      <c r="Q58" s="15">
        <v>0</v>
      </c>
      <c r="R58" s="15">
        <f t="shared" ca="1" si="3"/>
        <v>2.5137644034143922</v>
      </c>
      <c r="S58" s="15">
        <f t="shared" si="13"/>
        <v>0.72154059251787594</v>
      </c>
      <c r="T58" s="15">
        <f t="shared" ca="1" si="5"/>
        <v>8.2450327460312327E-3</v>
      </c>
      <c r="U58" s="15">
        <f t="shared" ca="1" si="6"/>
        <v>0.72978562526390722</v>
      </c>
      <c r="V58" s="15">
        <f t="shared" ca="1" si="7"/>
        <v>0.72978560364101674</v>
      </c>
      <c r="X58" s="15">
        <f t="shared" si="8"/>
        <v>10.5</v>
      </c>
      <c r="Y58" s="15">
        <f t="shared" si="9"/>
        <v>9.5</v>
      </c>
      <c r="Z58" s="15">
        <f t="shared" ca="1" si="10"/>
        <v>0</v>
      </c>
    </row>
    <row r="59" spans="12:26" x14ac:dyDescent="0.3">
      <c r="L59" s="15">
        <v>57</v>
      </c>
      <c r="M59" s="15">
        <f t="shared" si="1"/>
        <v>10</v>
      </c>
      <c r="N59" s="15">
        <f t="shared" ca="1" si="2"/>
        <v>9.3002791887382692</v>
      </c>
      <c r="O59" s="15">
        <f t="shared" ca="1" si="12"/>
        <v>2.7082508778358436</v>
      </c>
      <c r="P59" s="15">
        <f t="shared" ca="1" si="11"/>
        <v>2.708250866902119</v>
      </c>
      <c r="Q59" s="15">
        <v>0</v>
      </c>
      <c r="R59" s="15">
        <f t="shared" ca="1" si="3"/>
        <v>2.708250866902119</v>
      </c>
      <c r="S59" s="15">
        <f t="shared" si="13"/>
        <v>0.69700616343487776</v>
      </c>
      <c r="T59" s="15">
        <f t="shared" ca="1" si="5"/>
        <v>2.7146519108301225E-3</v>
      </c>
      <c r="U59" s="15">
        <f t="shared" ca="1" si="6"/>
        <v>0.69972081534570785</v>
      </c>
      <c r="V59" s="15">
        <f t="shared" ca="1" si="7"/>
        <v>0.69972081126173047</v>
      </c>
      <c r="X59" s="15">
        <f t="shared" si="8"/>
        <v>10.5</v>
      </c>
      <c r="Y59" s="15">
        <f t="shared" si="9"/>
        <v>9.5</v>
      </c>
      <c r="Z59" s="15">
        <f t="shared" ca="1" si="10"/>
        <v>0</v>
      </c>
    </row>
    <row r="60" spans="12:26" x14ac:dyDescent="0.3">
      <c r="L60" s="15">
        <v>58</v>
      </c>
      <c r="M60" s="15">
        <f t="shared" si="1"/>
        <v>10</v>
      </c>
      <c r="N60" s="15">
        <f t="shared" ca="1" si="2"/>
        <v>9.3251705540635559</v>
      </c>
      <c r="O60" s="15">
        <f t="shared" ca="1" si="12"/>
        <v>2.7082508778358436</v>
      </c>
      <c r="P60" s="15">
        <f t="shared" ca="1" si="11"/>
        <v>2.708250866902119</v>
      </c>
      <c r="Q60" s="15">
        <v>0</v>
      </c>
      <c r="R60" s="15">
        <f t="shared" ca="1" si="3"/>
        <v>2.708250866902119</v>
      </c>
      <c r="S60" s="15">
        <f t="shared" si="13"/>
        <v>0.67263797592850261</v>
      </c>
      <c r="T60" s="15">
        <f t="shared" ca="1" si="5"/>
        <v>2.1914898614801481E-3</v>
      </c>
      <c r="U60" s="15">
        <f t="shared" ca="1" si="6"/>
        <v>0.67482946578998271</v>
      </c>
      <c r="V60" s="15">
        <f t="shared" ca="1" si="7"/>
        <v>0.67482944593644456</v>
      </c>
      <c r="X60" s="15">
        <f t="shared" si="8"/>
        <v>10.5</v>
      </c>
      <c r="Y60" s="15">
        <f t="shared" si="9"/>
        <v>9.5</v>
      </c>
      <c r="Z60" s="15">
        <f t="shared" ca="1" si="10"/>
        <v>0</v>
      </c>
    </row>
    <row r="61" spans="12:26" x14ac:dyDescent="0.3">
      <c r="L61" s="15">
        <v>59</v>
      </c>
      <c r="M61" s="15">
        <f t="shared" si="1"/>
        <v>10</v>
      </c>
      <c r="N61" s="15">
        <f t="shared" ca="1" si="2"/>
        <v>9.3455357615243493</v>
      </c>
      <c r="O61" s="15">
        <f t="shared" ca="1" si="12"/>
        <v>2.7082508778358436</v>
      </c>
      <c r="P61" s="15">
        <f t="shared" ca="1" si="11"/>
        <v>2.708250866902119</v>
      </c>
      <c r="Q61" s="15">
        <v>0</v>
      </c>
      <c r="R61" s="15">
        <f t="shared" ca="1" si="3"/>
        <v>2.708250866902119</v>
      </c>
      <c r="S61" s="15">
        <f t="shared" si="13"/>
        <v>0.64851799587955472</v>
      </c>
      <c r="T61" s="15">
        <f t="shared" ca="1" si="5"/>
        <v>5.9462628987449829E-3</v>
      </c>
      <c r="U61" s="15">
        <f t="shared" ca="1" si="6"/>
        <v>0.65446425877829972</v>
      </c>
      <c r="V61" s="15">
        <f t="shared" ca="1" si="7"/>
        <v>0.65446423847565061</v>
      </c>
      <c r="X61" s="15">
        <f t="shared" si="8"/>
        <v>10.5</v>
      </c>
      <c r="Y61" s="15">
        <f t="shared" si="9"/>
        <v>9.5</v>
      </c>
      <c r="Z61" s="15">
        <f t="shared" ca="1" si="10"/>
        <v>0</v>
      </c>
    </row>
    <row r="62" spans="12:26" x14ac:dyDescent="0.3">
      <c r="L62" s="15">
        <v>60</v>
      </c>
      <c r="M62" s="15">
        <f t="shared" si="1"/>
        <v>10</v>
      </c>
      <c r="N62" s="15">
        <f t="shared" ca="1" si="2"/>
        <v>9.3654035495979251</v>
      </c>
      <c r="O62" s="15">
        <f t="shared" ca="1" si="12"/>
        <v>2.8981973250659019</v>
      </c>
      <c r="P62" s="15">
        <f t="shared" ca="1" si="11"/>
        <v>2.8981973191020538</v>
      </c>
      <c r="Q62" s="15">
        <v>0</v>
      </c>
      <c r="R62" s="15">
        <f t="shared" ca="1" si="3"/>
        <v>2.8981973191020538</v>
      </c>
      <c r="S62" s="15">
        <f t="shared" si="13"/>
        <v>0.62471673491318458</v>
      </c>
      <c r="T62" s="15">
        <f t="shared" ca="1" si="5"/>
        <v>9.8797380868341673E-3</v>
      </c>
      <c r="U62" s="15">
        <f t="shared" ca="1" si="6"/>
        <v>0.63459647300001876</v>
      </c>
      <c r="V62" s="15">
        <f t="shared" ca="1" si="7"/>
        <v>0.63459645040207457</v>
      </c>
      <c r="X62" s="15">
        <f t="shared" si="8"/>
        <v>10.5</v>
      </c>
      <c r="Y62" s="15">
        <f t="shared" si="9"/>
        <v>9.5</v>
      </c>
      <c r="Z62" s="15">
        <f t="shared" ca="1" si="10"/>
        <v>0</v>
      </c>
    </row>
    <row r="63" spans="12:26" x14ac:dyDescent="0.3">
      <c r="L63" s="15">
        <v>61</v>
      </c>
      <c r="M63" s="15">
        <f t="shared" si="1"/>
        <v>10</v>
      </c>
      <c r="N63" s="15">
        <f t="shared" ca="1" si="2"/>
        <v>9.3947831679589076</v>
      </c>
      <c r="O63" s="15">
        <f t="shared" ca="1" si="12"/>
        <v>2.8981973250659019</v>
      </c>
      <c r="P63" s="15">
        <f t="shared" ca="1" si="11"/>
        <v>2.8981973191020538</v>
      </c>
      <c r="Q63" s="15">
        <v>0</v>
      </c>
      <c r="R63" s="15">
        <f t="shared" ca="1" si="3"/>
        <v>2.8981973191020538</v>
      </c>
      <c r="S63" s="15">
        <f t="shared" ca="1" si="13"/>
        <v>0.6012944061214619</v>
      </c>
      <c r="T63" s="15">
        <f t="shared" ca="1" si="5"/>
        <v>3.9224401072813064E-3</v>
      </c>
      <c r="U63" s="15">
        <f t="shared" ca="1" si="6"/>
        <v>0.60521684622874317</v>
      </c>
      <c r="V63" s="15">
        <f t="shared" ca="1" si="7"/>
        <v>0.60521683204109245</v>
      </c>
      <c r="X63" s="15">
        <f t="shared" si="8"/>
        <v>10.5</v>
      </c>
      <c r="Y63" s="15">
        <f t="shared" si="9"/>
        <v>9.5</v>
      </c>
      <c r="Z63" s="15">
        <f t="shared" ca="1" si="10"/>
        <v>0</v>
      </c>
    </row>
    <row r="64" spans="12:26" x14ac:dyDescent="0.3">
      <c r="L64" s="15">
        <v>62</v>
      </c>
      <c r="M64" s="15">
        <f t="shared" si="1"/>
        <v>10</v>
      </c>
      <c r="N64" s="15">
        <f t="shared" ca="1" si="2"/>
        <v>9.4129206751037664</v>
      </c>
      <c r="O64" s="15">
        <f t="shared" ca="1" si="12"/>
        <v>2.8981973250659019</v>
      </c>
      <c r="P64" s="15">
        <f t="shared" ca="1" si="11"/>
        <v>2.8981973191020538</v>
      </c>
      <c r="Q64" s="15">
        <v>0</v>
      </c>
      <c r="R64" s="15">
        <f t="shared" ca="1" si="3"/>
        <v>2.8981973191020538</v>
      </c>
      <c r="S64" s="15">
        <f t="shared" ca="1" si="13"/>
        <v>0.57830197664174232</v>
      </c>
      <c r="T64" s="15">
        <f t="shared" ca="1" si="5"/>
        <v>8.777369917266107E-3</v>
      </c>
      <c r="U64" s="15">
        <f t="shared" ca="1" si="6"/>
        <v>0.5870793465590084</v>
      </c>
      <c r="V64" s="15">
        <f t="shared" ca="1" si="7"/>
        <v>0.58707932489623305</v>
      </c>
      <c r="X64" s="15">
        <f t="shared" si="8"/>
        <v>10.5</v>
      </c>
      <c r="Y64" s="15">
        <f t="shared" si="9"/>
        <v>9.5</v>
      </c>
      <c r="Z64" s="15">
        <f t="shared" ca="1" si="10"/>
        <v>0</v>
      </c>
    </row>
    <row r="65" spans="12:26" x14ac:dyDescent="0.3">
      <c r="L65" s="15">
        <v>63</v>
      </c>
      <c r="M65" s="15">
        <f t="shared" si="1"/>
        <v>10</v>
      </c>
      <c r="N65" s="15">
        <f t="shared" ca="1" si="2"/>
        <v>9.3727240244328804</v>
      </c>
      <c r="O65" s="15">
        <f t="shared" ca="1" si="12"/>
        <v>3.0488070223754926</v>
      </c>
      <c r="P65" s="15">
        <f t="shared" ca="1" si="11"/>
        <v>3.048807010764444</v>
      </c>
      <c r="Q65" s="15">
        <v>0</v>
      </c>
      <c r="R65" s="15">
        <f t="shared" ca="1" si="3"/>
        <v>3.048807010764444</v>
      </c>
      <c r="S65" s="15">
        <f t="shared" ca="1" si="13"/>
        <v>0.61735462171283395</v>
      </c>
      <c r="T65" s="15">
        <f t="shared" ca="1" si="5"/>
        <v>9.9213538966847967E-3</v>
      </c>
      <c r="U65" s="15">
        <f t="shared" ca="1" si="6"/>
        <v>0.62727597560951875</v>
      </c>
      <c r="V65" s="15">
        <f t="shared" ca="1" si="7"/>
        <v>0.62727597556712011</v>
      </c>
      <c r="X65" s="15">
        <f t="shared" si="8"/>
        <v>10.5</v>
      </c>
      <c r="Y65" s="15">
        <f t="shared" si="9"/>
        <v>9.5</v>
      </c>
      <c r="Z65" s="15">
        <f t="shared" ca="1" si="10"/>
        <v>0</v>
      </c>
    </row>
    <row r="66" spans="12:26" x14ac:dyDescent="0.3">
      <c r="L66" s="15">
        <v>64</v>
      </c>
      <c r="M66" s="15">
        <f t="shared" si="1"/>
        <v>10</v>
      </c>
      <c r="N66" s="15">
        <f t="shared" ca="1" si="2"/>
        <v>9.2219914214736765</v>
      </c>
      <c r="O66" s="15">
        <f t="shared" ca="1" si="12"/>
        <v>3.0488070223754926</v>
      </c>
      <c r="P66" s="15">
        <f t="shared" ca="1" si="11"/>
        <v>3.048807010764444</v>
      </c>
      <c r="Q66" s="15">
        <v>0</v>
      </c>
      <c r="R66" s="15">
        <f t="shared" ca="1" si="3"/>
        <v>3.048807010764444</v>
      </c>
      <c r="S66" s="15">
        <f t="shared" ca="1" si="13"/>
        <v>0.76925986548778602</v>
      </c>
      <c r="T66" s="15">
        <f t="shared" ca="1" si="5"/>
        <v>8.7487345546010883E-3</v>
      </c>
      <c r="U66" s="15">
        <f t="shared" ca="1" si="6"/>
        <v>0.77800860004238714</v>
      </c>
      <c r="V66" s="15">
        <f t="shared" ca="1" si="7"/>
        <v>0.77800857852632377</v>
      </c>
      <c r="X66" s="15">
        <f t="shared" si="8"/>
        <v>10.5</v>
      </c>
      <c r="Y66" s="15">
        <f t="shared" si="9"/>
        <v>9.5</v>
      </c>
      <c r="Z66" s="15">
        <f t="shared" ca="1" si="10"/>
        <v>0</v>
      </c>
    </row>
    <row r="67" spans="12:26" x14ac:dyDescent="0.3">
      <c r="L67" s="15">
        <v>65</v>
      </c>
      <c r="M67" s="15">
        <f t="shared" ref="M67:M130" si="14">IF(L67&lt;$D$16,$D$13,IF(L67&lt;$E$16,$E$13,$F$13))</f>
        <v>10</v>
      </c>
      <c r="N67" s="15">
        <f t="shared" ref="N67:N130" ca="1" si="15">M67-V67</f>
        <v>8.9784655391654162</v>
      </c>
      <c r="O67" s="15">
        <f t="shared" ca="1" si="12"/>
        <v>3.0488070223754926</v>
      </c>
      <c r="P67" s="15">
        <f t="shared" ca="1" si="11"/>
        <v>3.048807010764444</v>
      </c>
      <c r="Q67" s="15">
        <v>0</v>
      </c>
      <c r="R67" s="15">
        <f t="shared" ref="R67:R130" ca="1" si="16">P67+Q67</f>
        <v>3.048807010764444</v>
      </c>
      <c r="S67" s="15">
        <f t="shared" ca="1" si="13"/>
        <v>1.0190501316246603</v>
      </c>
      <c r="T67" s="15">
        <f t="shared" ref="T67:T130" ca="1" si="17">RAND()*$G$12</f>
        <v>2.4843437292375826E-3</v>
      </c>
      <c r="U67" s="15">
        <f t="shared" ref="U67:U130" ca="1" si="18">S67+T67</f>
        <v>1.021534475353898</v>
      </c>
      <c r="V67" s="15">
        <f t="shared" ref="V67:V130" ca="1" si="19">INT((2^$J$12-1)*U67/100)/(2^$J$12-1)*100</f>
        <v>1.0215344608345847</v>
      </c>
      <c r="X67" s="15">
        <f t="shared" ref="X67:X130" si="20">M67 * 1.05</f>
        <v>10.5</v>
      </c>
      <c r="Y67" s="15">
        <f t="shared" ref="Y67:Y130" si="21">M67 * 0.95</f>
        <v>9.5</v>
      </c>
      <c r="Z67" s="15">
        <f t="shared" ref="Z67:Z130" ca="1" si="22">IF(AND(V67 &lt;= X67, V67 &gt;= Y67), 1, 0)</f>
        <v>0</v>
      </c>
    </row>
    <row r="68" spans="12:26" x14ac:dyDescent="0.3">
      <c r="L68" s="15">
        <v>66</v>
      </c>
      <c r="M68" s="15">
        <f t="shared" si="14"/>
        <v>10</v>
      </c>
      <c r="N68" s="15">
        <f t="shared" ca="1" si="15"/>
        <v>8.6900339831342066</v>
      </c>
      <c r="O68" s="15">
        <f t="shared" ca="1" si="12"/>
        <v>2.6892599475176659</v>
      </c>
      <c r="P68" s="15">
        <f t="shared" ca="1" si="11"/>
        <v>2.6892599423158123</v>
      </c>
      <c r="Q68" s="15">
        <v>0</v>
      </c>
      <c r="R68" s="15">
        <f t="shared" ca="1" si="16"/>
        <v>2.6892599423158123</v>
      </c>
      <c r="S68" s="15">
        <f ca="1">$I$1*S67-$I$2*S66+$I$3*R47+$I$4*R46</f>
        <v>1.3082248076147514</v>
      </c>
      <c r="T68" s="15">
        <f t="shared" ca="1" si="17"/>
        <v>1.7412144639178328E-3</v>
      </c>
      <c r="U68" s="15">
        <f t="shared" ca="1" si="18"/>
        <v>1.3099660220786691</v>
      </c>
      <c r="V68" s="15">
        <f t="shared" ca="1" si="19"/>
        <v>1.3099660168657932</v>
      </c>
      <c r="X68" s="15">
        <f t="shared" si="20"/>
        <v>10.5</v>
      </c>
      <c r="Y68" s="15">
        <f t="shared" si="21"/>
        <v>9.5</v>
      </c>
      <c r="Z68" s="15">
        <f t="shared" ca="1" si="22"/>
        <v>0</v>
      </c>
    </row>
    <row r="69" spans="12:26" x14ac:dyDescent="0.3">
      <c r="L69" s="15">
        <v>67</v>
      </c>
      <c r="M69" s="15">
        <f t="shared" si="14"/>
        <v>10</v>
      </c>
      <c r="N69" s="15">
        <f t="shared" ca="1" si="15"/>
        <v>8.4112176109131465</v>
      </c>
      <c r="O69" s="15">
        <f t="shared" ca="1" si="12"/>
        <v>2.6892599475176659</v>
      </c>
      <c r="P69" s="15">
        <f t="shared" ca="1" si="11"/>
        <v>2.6892599423158123</v>
      </c>
      <c r="Q69" s="15">
        <v>0</v>
      </c>
      <c r="R69" s="15">
        <f t="shared" ca="1" si="16"/>
        <v>2.6892599423158123</v>
      </c>
      <c r="S69" s="15">
        <f t="shared" ca="1" si="13"/>
        <v>1.5875342281590559</v>
      </c>
      <c r="T69" s="15">
        <f t="shared" ca="1" si="17"/>
        <v>1.2481626062643015E-3</v>
      </c>
      <c r="U69" s="15">
        <f t="shared" ca="1" si="18"/>
        <v>1.5887823907653202</v>
      </c>
      <c r="V69" s="15">
        <f t="shared" ca="1" si="19"/>
        <v>1.5887823890868533</v>
      </c>
      <c r="X69" s="15">
        <f t="shared" si="20"/>
        <v>10.5</v>
      </c>
      <c r="Y69" s="15">
        <f t="shared" si="21"/>
        <v>9.5</v>
      </c>
      <c r="Z69" s="15">
        <f t="shared" ca="1" si="22"/>
        <v>0</v>
      </c>
    </row>
    <row r="70" spans="12:26" x14ac:dyDescent="0.3">
      <c r="L70" s="15">
        <v>68</v>
      </c>
      <c r="M70" s="15">
        <f t="shared" si="14"/>
        <v>10</v>
      </c>
      <c r="N70" s="15">
        <f t="shared" ca="1" si="15"/>
        <v>8.1400209009042062</v>
      </c>
      <c r="O70" s="15">
        <f t="shared" ca="1" si="12"/>
        <v>2.6892599475176659</v>
      </c>
      <c r="P70" s="15">
        <f t="shared" ca="1" si="11"/>
        <v>2.6892599423158123</v>
      </c>
      <c r="Q70" s="15">
        <v>0</v>
      </c>
      <c r="R70" s="15">
        <f t="shared" ca="1" si="16"/>
        <v>2.6892599423158123</v>
      </c>
      <c r="S70" s="15">
        <f t="shared" ca="1" si="13"/>
        <v>1.8570492808229713</v>
      </c>
      <c r="T70" s="15">
        <f t="shared" ca="1" si="17"/>
        <v>2.9298237306779897E-3</v>
      </c>
      <c r="U70" s="15">
        <f t="shared" ca="1" si="18"/>
        <v>1.8599791045536493</v>
      </c>
      <c r="V70" s="15">
        <f t="shared" ca="1" si="19"/>
        <v>1.8599790990957943</v>
      </c>
      <c r="X70" s="15">
        <f t="shared" si="20"/>
        <v>10.5</v>
      </c>
      <c r="Y70" s="15">
        <f t="shared" si="21"/>
        <v>9.5</v>
      </c>
      <c r="Z70" s="15">
        <f t="shared" ca="1" si="22"/>
        <v>0</v>
      </c>
    </row>
    <row r="71" spans="12:26" x14ac:dyDescent="0.3">
      <c r="L71" s="15">
        <v>69</v>
      </c>
      <c r="M71" s="15">
        <f t="shared" si="14"/>
        <v>10</v>
      </c>
      <c r="N71" s="15">
        <f t="shared" ca="1" si="15"/>
        <v>7.8802799009439255</v>
      </c>
      <c r="O71" s="15">
        <f t="shared" ca="1" si="12"/>
        <v>2.6299561426866731</v>
      </c>
      <c r="P71" s="15">
        <f t="shared" ca="1" si="11"/>
        <v>2.6299561380012793</v>
      </c>
      <c r="Q71" s="15">
        <v>0</v>
      </c>
      <c r="R71" s="15">
        <f t="shared" ca="1" si="16"/>
        <v>2.6299561380012793</v>
      </c>
      <c r="S71" s="15">
        <f t="shared" ca="1" si="13"/>
        <v>2.1186517890253769</v>
      </c>
      <c r="T71" s="15">
        <f t="shared" ca="1" si="17"/>
        <v>1.0683202380909729E-3</v>
      </c>
      <c r="U71" s="15">
        <f t="shared" ca="1" si="18"/>
        <v>2.1197201092634677</v>
      </c>
      <c r="V71" s="15">
        <f t="shared" ca="1" si="19"/>
        <v>2.1197200990560745</v>
      </c>
      <c r="X71" s="15">
        <f t="shared" si="20"/>
        <v>10.5</v>
      </c>
      <c r="Y71" s="15">
        <f t="shared" si="21"/>
        <v>9.5</v>
      </c>
      <c r="Z71" s="15">
        <f t="shared" ca="1" si="22"/>
        <v>0</v>
      </c>
    </row>
    <row r="72" spans="12:26" x14ac:dyDescent="0.3">
      <c r="L72" s="15">
        <v>70</v>
      </c>
      <c r="M72" s="15">
        <f t="shared" si="14"/>
        <v>10</v>
      </c>
      <c r="N72" s="15">
        <f t="shared" ca="1" si="15"/>
        <v>7.6230457885244505</v>
      </c>
      <c r="O72" s="15">
        <f t="shared" ca="1" si="12"/>
        <v>2.6299561426866731</v>
      </c>
      <c r="P72" s="15">
        <f t="shared" ca="1" si="11"/>
        <v>2.6299561380012793</v>
      </c>
      <c r="Q72" s="15">
        <v>0</v>
      </c>
      <c r="R72" s="15">
        <f t="shared" ca="1" si="16"/>
        <v>2.6299561380012793</v>
      </c>
      <c r="S72" s="15">
        <f t="shared" ca="1" si="13"/>
        <v>2.3739394887123177</v>
      </c>
      <c r="T72" s="15">
        <f t="shared" ca="1" si="17"/>
        <v>3.0147361518572469E-3</v>
      </c>
      <c r="U72" s="15">
        <f t="shared" ca="1" si="18"/>
        <v>2.3769542248641748</v>
      </c>
      <c r="V72" s="15">
        <f t="shared" ca="1" si="19"/>
        <v>2.37695421147555</v>
      </c>
      <c r="X72" s="15">
        <f t="shared" si="20"/>
        <v>10.5</v>
      </c>
      <c r="Y72" s="15">
        <f t="shared" si="21"/>
        <v>9.5</v>
      </c>
      <c r="Z72" s="15">
        <f t="shared" ca="1" si="22"/>
        <v>0</v>
      </c>
    </row>
    <row r="73" spans="12:26" x14ac:dyDescent="0.3">
      <c r="L73" s="15">
        <v>71</v>
      </c>
      <c r="M73" s="15">
        <f t="shared" si="14"/>
        <v>10</v>
      </c>
      <c r="N73" s="15">
        <f t="shared" ca="1" si="15"/>
        <v>7.3729469341628597</v>
      </c>
      <c r="O73" s="15">
        <f t="shared" ca="1" si="12"/>
        <v>2.6299561426866731</v>
      </c>
      <c r="P73" s="15">
        <f t="shared" ca="1" si="11"/>
        <v>2.6299561380012793</v>
      </c>
      <c r="Q73" s="15">
        <v>0</v>
      </c>
      <c r="R73" s="15">
        <f t="shared" ca="1" si="16"/>
        <v>2.6299561380012793</v>
      </c>
      <c r="S73" s="15">
        <f t="shared" ca="1" si="13"/>
        <v>2.6226341898560106</v>
      </c>
      <c r="T73" s="15">
        <f t="shared" ca="1" si="17"/>
        <v>4.4188909797577645E-3</v>
      </c>
      <c r="U73" s="15">
        <f t="shared" ca="1" si="18"/>
        <v>2.6270530808357684</v>
      </c>
      <c r="V73" s="15">
        <f t="shared" ca="1" si="19"/>
        <v>2.6270530658371403</v>
      </c>
      <c r="X73" s="15">
        <f t="shared" si="20"/>
        <v>10.5</v>
      </c>
      <c r="Y73" s="15">
        <f t="shared" si="21"/>
        <v>9.5</v>
      </c>
      <c r="Z73" s="15">
        <f t="shared" ca="1" si="22"/>
        <v>0</v>
      </c>
    </row>
    <row r="74" spans="12:26" x14ac:dyDescent="0.3">
      <c r="L74" s="15">
        <v>72</v>
      </c>
      <c r="M74" s="15">
        <f t="shared" si="14"/>
        <v>10</v>
      </c>
      <c r="N74" s="15">
        <f t="shared" ca="1" si="15"/>
        <v>7.1266302040607279</v>
      </c>
      <c r="O74" s="15">
        <f t="shared" ca="1" si="12"/>
        <v>2.6753024003719936</v>
      </c>
      <c r="P74" s="15">
        <f t="shared" ca="1" si="11"/>
        <v>2.6753023971513152</v>
      </c>
      <c r="Q74" s="15">
        <v>0</v>
      </c>
      <c r="R74" s="15">
        <f t="shared" ca="1" si="16"/>
        <v>2.6753023971513152</v>
      </c>
      <c r="S74" s="15">
        <f t="shared" ca="1" si="13"/>
        <v>2.8662121320840441</v>
      </c>
      <c r="T74" s="15">
        <f t="shared" ca="1" si="17"/>
        <v>7.1576686757547428E-3</v>
      </c>
      <c r="U74" s="15">
        <f t="shared" ca="1" si="18"/>
        <v>2.8733698007597988</v>
      </c>
      <c r="V74" s="15">
        <f t="shared" ca="1" si="19"/>
        <v>2.8733697959392726</v>
      </c>
      <c r="X74" s="15">
        <f t="shared" si="20"/>
        <v>10.5</v>
      </c>
      <c r="Y74" s="15">
        <f t="shared" si="21"/>
        <v>9.5</v>
      </c>
      <c r="Z74" s="15">
        <f t="shared" ca="1" si="22"/>
        <v>0</v>
      </c>
    </row>
    <row r="75" spans="12:26" x14ac:dyDescent="0.3">
      <c r="L75" s="15">
        <v>73</v>
      </c>
      <c r="M75" s="15">
        <f t="shared" si="14"/>
        <v>10</v>
      </c>
      <c r="N75" s="15">
        <f t="shared" ca="1" si="15"/>
        <v>6.8887371469495671</v>
      </c>
      <c r="O75" s="15">
        <f t="shared" ca="1" si="12"/>
        <v>2.6753024003719936</v>
      </c>
      <c r="P75" s="15">
        <f t="shared" ca="1" si="11"/>
        <v>2.6753023971513152</v>
      </c>
      <c r="Q75" s="15">
        <v>0</v>
      </c>
      <c r="R75" s="15">
        <f t="shared" ca="1" si="16"/>
        <v>2.6753023971513152</v>
      </c>
      <c r="S75" s="15">
        <f t="shared" ca="1" si="13"/>
        <v>3.1059089869078367</v>
      </c>
      <c r="T75" s="15">
        <f t="shared" ca="1" si="17"/>
        <v>5.3538831657846319E-3</v>
      </c>
      <c r="U75" s="15">
        <f t="shared" ca="1" si="18"/>
        <v>3.1112628700736211</v>
      </c>
      <c r="V75" s="15">
        <f t="shared" ca="1" si="19"/>
        <v>3.1112628530504329</v>
      </c>
      <c r="X75" s="15">
        <f t="shared" si="20"/>
        <v>10.5</v>
      </c>
      <c r="Y75" s="15">
        <f t="shared" si="21"/>
        <v>9.5</v>
      </c>
      <c r="Z75" s="15">
        <f t="shared" ca="1" si="22"/>
        <v>0</v>
      </c>
    </row>
    <row r="76" spans="12:26" x14ac:dyDescent="0.3">
      <c r="L76" s="15">
        <v>74</v>
      </c>
      <c r="M76" s="15">
        <f t="shared" si="14"/>
        <v>10</v>
      </c>
      <c r="N76" s="15">
        <f t="shared" ca="1" si="15"/>
        <v>6.6500138623290725</v>
      </c>
      <c r="O76" s="15">
        <f t="shared" ca="1" si="12"/>
        <v>2.6753024003719936</v>
      </c>
      <c r="P76" s="15">
        <f t="shared" ca="1" si="11"/>
        <v>2.6753023971513152</v>
      </c>
      <c r="Q76" s="15">
        <v>0</v>
      </c>
      <c r="R76" s="15">
        <f t="shared" ca="1" si="16"/>
        <v>2.6753023971513152</v>
      </c>
      <c r="S76" s="15">
        <f t="shared" ca="1" si="13"/>
        <v>3.341203580276908</v>
      </c>
      <c r="T76" s="15">
        <f t="shared" ca="1" si="17"/>
        <v>8.7825775051265011E-3</v>
      </c>
      <c r="U76" s="15">
        <f t="shared" ca="1" si="18"/>
        <v>3.3499861577820345</v>
      </c>
      <c r="V76" s="15">
        <f t="shared" ca="1" si="19"/>
        <v>3.3499861376709275</v>
      </c>
      <c r="X76" s="15">
        <f t="shared" si="20"/>
        <v>10.5</v>
      </c>
      <c r="Y76" s="15">
        <f t="shared" si="21"/>
        <v>9.5</v>
      </c>
      <c r="Z76" s="15">
        <f t="shared" ca="1" si="22"/>
        <v>0</v>
      </c>
    </row>
    <row r="77" spans="12:26" x14ac:dyDescent="0.3">
      <c r="L77" s="15">
        <v>75</v>
      </c>
      <c r="M77" s="15">
        <f t="shared" si="14"/>
        <v>10</v>
      </c>
      <c r="N77" s="15">
        <f t="shared" ca="1" si="15"/>
        <v>6.4181612703060171</v>
      </c>
      <c r="O77" s="15">
        <f t="shared" ca="1" si="12"/>
        <v>2.7078716755579286</v>
      </c>
      <c r="P77" s="15">
        <f t="shared" ref="P77:P140" ca="1" si="23">INT((2^$J$12-1)*O77/100)/(2^$J$12-1)*100</f>
        <v>2.707871655632712</v>
      </c>
      <c r="Q77" s="15">
        <v>0</v>
      </c>
      <c r="R77" s="15">
        <f t="shared" ca="1" si="16"/>
        <v>2.707871655632712</v>
      </c>
      <c r="S77" s="15">
        <f t="shared" ca="1" si="13"/>
        <v>3.5733817381573121</v>
      </c>
      <c r="T77" s="15">
        <f t="shared" ca="1" si="17"/>
        <v>8.4570067264565785E-3</v>
      </c>
      <c r="U77" s="15">
        <f t="shared" ca="1" si="18"/>
        <v>3.5818387448837687</v>
      </c>
      <c r="V77" s="15">
        <f t="shared" ca="1" si="19"/>
        <v>3.5818387296939829</v>
      </c>
      <c r="X77" s="15">
        <f t="shared" si="20"/>
        <v>10.5</v>
      </c>
      <c r="Y77" s="15">
        <f t="shared" si="21"/>
        <v>9.5</v>
      </c>
      <c r="Z77" s="15">
        <f t="shared" ca="1" si="22"/>
        <v>0</v>
      </c>
    </row>
    <row r="78" spans="12:26" x14ac:dyDescent="0.3">
      <c r="L78" s="15">
        <v>76</v>
      </c>
      <c r="M78" s="15">
        <f t="shared" si="14"/>
        <v>10</v>
      </c>
      <c r="N78" s="15">
        <f t="shared" ca="1" si="15"/>
        <v>6.1911687618566607</v>
      </c>
      <c r="O78" s="15">
        <f t="shared" ca="1" si="12"/>
        <v>2.7078716755579286</v>
      </c>
      <c r="P78" s="15">
        <f t="shared" ca="1" si="23"/>
        <v>2.707871655632712</v>
      </c>
      <c r="Q78" s="15">
        <v>0</v>
      </c>
      <c r="R78" s="15">
        <f t="shared" ca="1" si="16"/>
        <v>2.707871655632712</v>
      </c>
      <c r="S78" s="15">
        <f t="shared" ca="1" si="13"/>
        <v>3.8035030570334243</v>
      </c>
      <c r="T78" s="15">
        <f t="shared" ca="1" si="17"/>
        <v>5.3281831156431229E-3</v>
      </c>
      <c r="U78" s="15">
        <f t="shared" ca="1" si="18"/>
        <v>3.8088312401490674</v>
      </c>
      <c r="V78" s="15">
        <f t="shared" ca="1" si="19"/>
        <v>3.8088312381433398</v>
      </c>
      <c r="X78" s="15">
        <f t="shared" si="20"/>
        <v>10.5</v>
      </c>
      <c r="Y78" s="15">
        <f t="shared" si="21"/>
        <v>9.5</v>
      </c>
      <c r="Z78" s="15">
        <f t="shared" ca="1" si="22"/>
        <v>0</v>
      </c>
    </row>
    <row r="79" spans="12:26" x14ac:dyDescent="0.3">
      <c r="L79" s="15">
        <v>77</v>
      </c>
      <c r="M79" s="15">
        <f t="shared" si="14"/>
        <v>10</v>
      </c>
      <c r="N79" s="15">
        <f t="shared" ca="1" si="15"/>
        <v>5.9646014720119078</v>
      </c>
      <c r="O79" s="15">
        <f t="shared" ca="1" si="12"/>
        <v>2.7078716755579286</v>
      </c>
      <c r="P79" s="15">
        <f t="shared" ca="1" si="23"/>
        <v>2.707871655632712</v>
      </c>
      <c r="Q79" s="15">
        <v>0</v>
      </c>
      <c r="R79" s="15">
        <f t="shared" ca="1" si="16"/>
        <v>2.707871655632712</v>
      </c>
      <c r="S79" s="15">
        <f t="shared" ca="1" si="13"/>
        <v>4.0308553005461309</v>
      </c>
      <c r="T79" s="15">
        <f t="shared" ca="1" si="17"/>
        <v>4.5432484307901854E-3</v>
      </c>
      <c r="U79" s="15">
        <f t="shared" ca="1" si="18"/>
        <v>4.0353985489769215</v>
      </c>
      <c r="V79" s="15">
        <f t="shared" ca="1" si="19"/>
        <v>4.0353985279880922</v>
      </c>
      <c r="X79" s="15">
        <f t="shared" si="20"/>
        <v>10.5</v>
      </c>
      <c r="Y79" s="15">
        <f t="shared" si="21"/>
        <v>9.5</v>
      </c>
      <c r="Z79" s="15">
        <f t="shared" ca="1" si="22"/>
        <v>0</v>
      </c>
    </row>
    <row r="80" spans="12:26" x14ac:dyDescent="0.3">
      <c r="L80" s="15">
        <v>78</v>
      </c>
      <c r="M80" s="15">
        <f t="shared" si="14"/>
        <v>10</v>
      </c>
      <c r="N80" s="15">
        <f t="shared" ca="1" si="15"/>
        <v>5.7428821119812508</v>
      </c>
      <c r="O80" s="15">
        <f t="shared" ca="1" si="12"/>
        <v>2.7256346273435295</v>
      </c>
      <c r="P80" s="15">
        <f t="shared" ca="1" si="23"/>
        <v>2.7256346081210379</v>
      </c>
      <c r="Q80" s="15">
        <v>0</v>
      </c>
      <c r="R80" s="15">
        <f t="shared" ca="1" si="16"/>
        <v>2.7256346081210379</v>
      </c>
      <c r="S80" s="15">
        <f t="shared" ca="1" si="13"/>
        <v>4.2565107730929252</v>
      </c>
      <c r="T80" s="15">
        <f t="shared" ca="1" si="17"/>
        <v>6.0711709187554754E-4</v>
      </c>
      <c r="U80" s="15">
        <f t="shared" ca="1" si="18"/>
        <v>4.2571178901848006</v>
      </c>
      <c r="V80" s="15">
        <f t="shared" ca="1" si="19"/>
        <v>4.2571178880187492</v>
      </c>
      <c r="X80" s="15">
        <f t="shared" si="20"/>
        <v>10.5</v>
      </c>
      <c r="Y80" s="15">
        <f t="shared" si="21"/>
        <v>9.5</v>
      </c>
      <c r="Z80" s="15">
        <f t="shared" ca="1" si="22"/>
        <v>0</v>
      </c>
    </row>
    <row r="81" spans="12:29" x14ac:dyDescent="0.3">
      <c r="L81" s="15">
        <v>79</v>
      </c>
      <c r="M81" s="15">
        <f t="shared" si="14"/>
        <v>10</v>
      </c>
      <c r="N81" s="15">
        <f t="shared" ca="1" si="15"/>
        <v>5.5166490505255403</v>
      </c>
      <c r="O81" s="15">
        <f t="shared" ca="1" si="12"/>
        <v>2.7256346273435295</v>
      </c>
      <c r="P81" s="15">
        <f t="shared" ca="1" si="23"/>
        <v>2.7256346081210379</v>
      </c>
      <c r="Q81" s="15">
        <v>0</v>
      </c>
      <c r="R81" s="15">
        <f t="shared" ca="1" si="16"/>
        <v>2.7256346081210379</v>
      </c>
      <c r="S81" s="15">
        <f t="shared" ca="1" si="13"/>
        <v>4.4813384095508555</v>
      </c>
      <c r="T81" s="15">
        <f t="shared" ca="1" si="17"/>
        <v>2.012556733553811E-3</v>
      </c>
      <c r="U81" s="15">
        <f t="shared" ca="1" si="18"/>
        <v>4.4833509662844095</v>
      </c>
      <c r="V81" s="15">
        <f t="shared" ca="1" si="19"/>
        <v>4.4833509494744597</v>
      </c>
      <c r="X81" s="15">
        <f t="shared" si="20"/>
        <v>10.5</v>
      </c>
      <c r="Y81" s="15">
        <f t="shared" si="21"/>
        <v>9.5</v>
      </c>
      <c r="Z81" s="15">
        <f t="shared" ca="1" si="22"/>
        <v>0</v>
      </c>
    </row>
    <row r="82" spans="12:29" x14ac:dyDescent="0.3">
      <c r="L82" s="15">
        <v>80</v>
      </c>
      <c r="M82" s="15">
        <f t="shared" si="14"/>
        <v>10</v>
      </c>
      <c r="N82" s="15">
        <f t="shared" ca="1" si="15"/>
        <v>5.2918798186098881</v>
      </c>
      <c r="O82" s="15">
        <f t="shared" ca="1" si="12"/>
        <v>2.7256346273435295</v>
      </c>
      <c r="P82" s="15">
        <f t="shared" ca="1" si="23"/>
        <v>2.7256346081210379</v>
      </c>
      <c r="Q82" s="15">
        <v>0</v>
      </c>
      <c r="R82" s="15">
        <f t="shared" ca="1" si="16"/>
        <v>2.7256346081210379</v>
      </c>
      <c r="S82" s="15">
        <f t="shared" ca="1" si="13"/>
        <v>4.7044923588582463</v>
      </c>
      <c r="T82" s="15">
        <f t="shared" ca="1" si="17"/>
        <v>3.6278347173816739E-3</v>
      </c>
      <c r="U82" s="15">
        <f t="shared" ca="1" si="18"/>
        <v>4.7081201935756276</v>
      </c>
      <c r="V82" s="15">
        <f t="shared" ca="1" si="19"/>
        <v>4.7081201813901119</v>
      </c>
      <c r="X82" s="15">
        <f t="shared" si="20"/>
        <v>10.5</v>
      </c>
      <c r="Y82" s="15">
        <f t="shared" si="21"/>
        <v>9.5</v>
      </c>
      <c r="Z82" s="15">
        <f t="shared" ca="1" si="22"/>
        <v>0</v>
      </c>
    </row>
    <row r="83" spans="12:29" x14ac:dyDescent="0.3">
      <c r="L83" s="15">
        <v>81</v>
      </c>
      <c r="M83" s="15">
        <f t="shared" si="14"/>
        <v>10</v>
      </c>
      <c r="N83" s="15">
        <f t="shared" ca="1" si="15"/>
        <v>5.06938415464698</v>
      </c>
      <c r="O83" s="15">
        <f t="shared" ca="1" si="12"/>
        <v>2.7116305116900081</v>
      </c>
      <c r="P83" s="15">
        <f t="shared" ca="1" si="23"/>
        <v>2.7116304968277993</v>
      </c>
      <c r="Q83" s="15">
        <v>0</v>
      </c>
      <c r="R83" s="15">
        <f t="shared" ca="1" si="16"/>
        <v>2.7116304968277993</v>
      </c>
      <c r="S83" s="15">
        <f t="shared" ca="1" si="13"/>
        <v>4.9268843644659661</v>
      </c>
      <c r="T83" s="15">
        <f t="shared" ca="1" si="17"/>
        <v>3.7314844977144146E-3</v>
      </c>
      <c r="U83" s="15">
        <f t="shared" ca="1" si="18"/>
        <v>4.9306158489636802</v>
      </c>
      <c r="V83" s="15">
        <f t="shared" ca="1" si="19"/>
        <v>4.93061584535302</v>
      </c>
      <c r="X83" s="15">
        <f t="shared" si="20"/>
        <v>10.5</v>
      </c>
      <c r="Y83" s="15">
        <f t="shared" si="21"/>
        <v>9.5</v>
      </c>
      <c r="Z83" s="15">
        <f t="shared" ca="1" si="22"/>
        <v>0</v>
      </c>
    </row>
    <row r="84" spans="12:29" x14ac:dyDescent="0.3">
      <c r="L84" s="15">
        <v>82</v>
      </c>
      <c r="M84" s="15">
        <f t="shared" si="14"/>
        <v>10</v>
      </c>
      <c r="N84" s="15">
        <f t="shared" ca="1" si="15"/>
        <v>4.8455542779633669</v>
      </c>
      <c r="O84" s="15">
        <f t="shared" ca="1" si="12"/>
        <v>2.7116305116900081</v>
      </c>
      <c r="P84" s="15">
        <f t="shared" ca="1" si="23"/>
        <v>2.7116304968277993</v>
      </c>
      <c r="Q84" s="15">
        <v>0</v>
      </c>
      <c r="R84" s="15">
        <f t="shared" ca="1" si="16"/>
        <v>2.7116304968277993</v>
      </c>
      <c r="S84" s="15">
        <f t="shared" ca="1" si="13"/>
        <v>5.1492409648495308</v>
      </c>
      <c r="T84" s="15">
        <f t="shared" ca="1" si="17"/>
        <v>5.2047643220673101E-3</v>
      </c>
      <c r="U84" s="15">
        <f t="shared" ca="1" si="18"/>
        <v>5.1544457291715977</v>
      </c>
      <c r="V84" s="15">
        <f t="shared" ca="1" si="19"/>
        <v>5.1544457220366331</v>
      </c>
      <c r="X84" s="15">
        <f t="shared" si="20"/>
        <v>10.5</v>
      </c>
      <c r="Y84" s="15">
        <f t="shared" si="21"/>
        <v>9.5</v>
      </c>
      <c r="Z84" s="15">
        <f t="shared" ca="1" si="22"/>
        <v>0</v>
      </c>
    </row>
    <row r="85" spans="12:29" x14ac:dyDescent="0.3">
      <c r="L85" s="15">
        <v>83</v>
      </c>
      <c r="M85" s="15">
        <f t="shared" si="14"/>
        <v>10</v>
      </c>
      <c r="N85" s="15">
        <f t="shared" ca="1" si="15"/>
        <v>4.622724548592867</v>
      </c>
      <c r="O85" s="15">
        <f t="shared" ca="1" si="12"/>
        <v>2.7116305116900081</v>
      </c>
      <c r="P85" s="15">
        <f t="shared" ca="1" si="23"/>
        <v>2.7116304968277993</v>
      </c>
      <c r="Q85" s="15">
        <v>0</v>
      </c>
      <c r="R85" s="15">
        <f t="shared" ca="1" si="16"/>
        <v>2.7116304968277993</v>
      </c>
      <c r="S85" s="15">
        <f t="shared" ca="1" si="13"/>
        <v>5.3706261723318205</v>
      </c>
      <c r="T85" s="15">
        <f t="shared" ca="1" si="17"/>
        <v>6.6492809552120358E-3</v>
      </c>
      <c r="U85" s="15">
        <f t="shared" ca="1" si="18"/>
        <v>5.3772754532870328</v>
      </c>
      <c r="V85" s="15">
        <f t="shared" ca="1" si="19"/>
        <v>5.377275451407133</v>
      </c>
      <c r="X85" s="15">
        <f t="shared" si="20"/>
        <v>10.5</v>
      </c>
      <c r="Y85" s="15">
        <f t="shared" si="21"/>
        <v>9.5</v>
      </c>
      <c r="Z85" s="15">
        <f t="shared" ca="1" si="22"/>
        <v>0</v>
      </c>
    </row>
    <row r="86" spans="12:29" x14ac:dyDescent="0.3">
      <c r="L86" s="15">
        <v>84</v>
      </c>
      <c r="M86" s="15">
        <f t="shared" si="14"/>
        <v>10</v>
      </c>
      <c r="N86" s="15">
        <f t="shared" ca="1" si="15"/>
        <v>4.4067187594265489</v>
      </c>
      <c r="O86" s="15">
        <f t="shared" ca="1" si="12"/>
        <v>2.6918883791568105</v>
      </c>
      <c r="P86" s="15">
        <f t="shared" ca="1" si="23"/>
        <v>2.6918883674526328</v>
      </c>
      <c r="Q86" s="15">
        <v>0</v>
      </c>
      <c r="R86" s="15">
        <f t="shared" ca="1" si="16"/>
        <v>2.6918883674526328</v>
      </c>
      <c r="S86" s="15">
        <f t="shared" ca="1" si="13"/>
        <v>5.5915297792445813</v>
      </c>
      <c r="T86" s="15">
        <f t="shared" ca="1" si="17"/>
        <v>1.7514698406718165E-3</v>
      </c>
      <c r="U86" s="15">
        <f t="shared" ca="1" si="18"/>
        <v>5.593281249085253</v>
      </c>
      <c r="V86" s="15">
        <f t="shared" ca="1" si="19"/>
        <v>5.5932812405734511</v>
      </c>
      <c r="X86" s="15">
        <f t="shared" si="20"/>
        <v>10.5</v>
      </c>
      <c r="Y86" s="15">
        <f t="shared" si="21"/>
        <v>9.5</v>
      </c>
      <c r="Z86" s="15">
        <f t="shared" ca="1" si="22"/>
        <v>0</v>
      </c>
    </row>
    <row r="87" spans="12:29" x14ac:dyDescent="0.3">
      <c r="L87" s="15">
        <v>85</v>
      </c>
      <c r="M87" s="15">
        <f t="shared" si="14"/>
        <v>10</v>
      </c>
      <c r="N87" s="15">
        <f t="shared" ca="1" si="15"/>
        <v>4.1821059897034676</v>
      </c>
      <c r="O87" s="15">
        <f t="shared" ref="O87:O150" ca="1" si="24">IF(MOD(L87,$B$11)=0,OFFSET(O87,-$B$11,0)+ $E$2*N87+$E$3*OFFSET(N87,-$B$11,0)+ $E$4*OFFSET(N87,-2* $B$11,0), O86)</f>
        <v>2.6918883791568105</v>
      </c>
      <c r="P87" s="15">
        <f t="shared" ca="1" si="23"/>
        <v>2.6918883674526328</v>
      </c>
      <c r="Q87" s="15">
        <v>0</v>
      </c>
      <c r="R87" s="15">
        <f t="shared" ca="1" si="16"/>
        <v>2.6918883674526328</v>
      </c>
      <c r="S87" s="15">
        <f t="shared" ca="1" si="13"/>
        <v>5.8123238026466844</v>
      </c>
      <c r="T87" s="15">
        <f t="shared" ca="1" si="17"/>
        <v>5.5702084132406736E-3</v>
      </c>
      <c r="U87" s="15">
        <f t="shared" ca="1" si="18"/>
        <v>5.8178940110599253</v>
      </c>
      <c r="V87" s="15">
        <f t="shared" ca="1" si="19"/>
        <v>5.8178940102965324</v>
      </c>
      <c r="X87" s="15">
        <f t="shared" si="20"/>
        <v>10.5</v>
      </c>
      <c r="Y87" s="15">
        <f t="shared" si="21"/>
        <v>9.5</v>
      </c>
      <c r="Z87" s="15">
        <f t="shared" ca="1" si="22"/>
        <v>0</v>
      </c>
    </row>
    <row r="88" spans="12:29" x14ac:dyDescent="0.3">
      <c r="L88" s="15">
        <v>86</v>
      </c>
      <c r="M88" s="15">
        <f t="shared" si="14"/>
        <v>10</v>
      </c>
      <c r="N88" s="15">
        <f t="shared" ca="1" si="15"/>
        <v>3.9595294170918711</v>
      </c>
      <c r="O88" s="15">
        <f t="shared" ca="1" si="24"/>
        <v>2.6918883791568105</v>
      </c>
      <c r="P88" s="15">
        <f t="shared" ca="1" si="23"/>
        <v>2.6918883674526328</v>
      </c>
      <c r="Q88" s="15">
        <v>0</v>
      </c>
      <c r="R88" s="15">
        <f t="shared" ca="1" si="16"/>
        <v>2.6918883674526328</v>
      </c>
      <c r="S88" s="15">
        <f t="shared" ca="1" si="13"/>
        <v>6.0320882798608428</v>
      </c>
      <c r="T88" s="15">
        <f t="shared" ca="1" si="17"/>
        <v>8.3823142733421251E-3</v>
      </c>
      <c r="U88" s="15">
        <f t="shared" ca="1" si="18"/>
        <v>6.0404705941341845</v>
      </c>
      <c r="V88" s="15">
        <f t="shared" ca="1" si="19"/>
        <v>6.0404705829081289</v>
      </c>
      <c r="X88" s="15">
        <f t="shared" si="20"/>
        <v>10.5</v>
      </c>
      <c r="Y88" s="15">
        <f t="shared" si="21"/>
        <v>9.5</v>
      </c>
      <c r="Z88" s="15">
        <f t="shared" ca="1" si="22"/>
        <v>0</v>
      </c>
    </row>
    <row r="89" spans="12:29" x14ac:dyDescent="0.3">
      <c r="L89" s="15">
        <v>87</v>
      </c>
      <c r="M89" s="15">
        <f t="shared" si="14"/>
        <v>10</v>
      </c>
      <c r="N89" s="15">
        <f t="shared" ca="1" si="15"/>
        <v>3.7444100141861494</v>
      </c>
      <c r="O89" s="15">
        <f t="shared" ca="1" si="24"/>
        <v>2.6529160593243</v>
      </c>
      <c r="P89" s="15">
        <f t="shared" ca="1" si="23"/>
        <v>2.6529160567216845</v>
      </c>
      <c r="Q89" s="15">
        <v>0</v>
      </c>
      <c r="R89" s="15">
        <f t="shared" ca="1" si="16"/>
        <v>2.6529160567216845</v>
      </c>
      <c r="S89" s="15">
        <f t="shared" ref="S89:S152" ca="1" si="25">$I$1*S88-$I$2*S87+$I$3*R68+$I$4*R67</f>
        <v>6.2469140897901836</v>
      </c>
      <c r="T89" s="15">
        <f t="shared" ca="1" si="17"/>
        <v>8.6759014746136051E-3</v>
      </c>
      <c r="U89" s="15">
        <f t="shared" ca="1" si="18"/>
        <v>6.255589991264797</v>
      </c>
      <c r="V89" s="15">
        <f t="shared" ca="1" si="19"/>
        <v>6.2555899858138506</v>
      </c>
      <c r="X89" s="15">
        <f t="shared" si="20"/>
        <v>10.5</v>
      </c>
      <c r="Y89" s="15">
        <f t="shared" si="21"/>
        <v>9.5</v>
      </c>
      <c r="Z89" s="15">
        <f t="shared" ca="1" si="22"/>
        <v>0</v>
      </c>
    </row>
    <row r="90" spans="12:29" x14ac:dyDescent="0.3">
      <c r="L90" s="15">
        <v>88</v>
      </c>
      <c r="M90" s="15">
        <f t="shared" si="14"/>
        <v>10</v>
      </c>
      <c r="N90" s="15">
        <f t="shared" ca="1" si="15"/>
        <v>3.5427453353867735</v>
      </c>
      <c r="O90" s="15">
        <f t="shared" ca="1" si="24"/>
        <v>2.6529160593243</v>
      </c>
      <c r="P90" s="15">
        <f t="shared" ca="1" si="23"/>
        <v>2.6529160567216845</v>
      </c>
      <c r="Q90" s="15">
        <v>0</v>
      </c>
      <c r="R90" s="15">
        <f t="shared" ca="1" si="16"/>
        <v>2.6529160567216845</v>
      </c>
      <c r="S90" s="15">
        <f t="shared" ca="1" si="25"/>
        <v>6.4535468112265981</v>
      </c>
      <c r="T90" s="15">
        <f t="shared" ca="1" si="17"/>
        <v>3.707873269988411E-3</v>
      </c>
      <c r="U90" s="15">
        <f t="shared" ca="1" si="18"/>
        <v>6.4572546844965863</v>
      </c>
      <c r="V90" s="15">
        <f t="shared" ca="1" si="19"/>
        <v>6.4572546646132265</v>
      </c>
      <c r="X90" s="15">
        <f t="shared" si="20"/>
        <v>10.5</v>
      </c>
      <c r="Y90" s="15">
        <f t="shared" si="21"/>
        <v>9.5</v>
      </c>
      <c r="Z90" s="15">
        <f t="shared" ca="1" si="22"/>
        <v>0</v>
      </c>
    </row>
    <row r="91" spans="12:29" x14ac:dyDescent="0.3">
      <c r="L91" s="27">
        <v>89</v>
      </c>
      <c r="M91" s="15">
        <f t="shared" si="14"/>
        <v>10</v>
      </c>
      <c r="N91" s="15">
        <f t="shared" ca="1" si="15"/>
        <v>3.3446448047982171</v>
      </c>
      <c r="O91" s="15">
        <f t="shared" ca="1" si="24"/>
        <v>2.6529160593243</v>
      </c>
      <c r="P91" s="15">
        <f t="shared" ca="1" si="23"/>
        <v>2.6529160567216845</v>
      </c>
      <c r="Q91" s="15">
        <v>0</v>
      </c>
      <c r="R91" s="15">
        <f t="shared" ca="1" si="16"/>
        <v>2.6529160567216845</v>
      </c>
      <c r="S91" s="15">
        <f t="shared" ca="1" si="25"/>
        <v>6.6521524674245658</v>
      </c>
      <c r="T91" s="15">
        <f t="shared" ca="1" si="17"/>
        <v>3.2027346754954834E-3</v>
      </c>
      <c r="U91" s="15">
        <f t="shared" ca="1" si="18"/>
        <v>6.6553552021000613</v>
      </c>
      <c r="V91" s="15">
        <f t="shared" ca="1" si="19"/>
        <v>6.6553551952017829</v>
      </c>
      <c r="X91" s="15">
        <f t="shared" si="20"/>
        <v>10.5</v>
      </c>
      <c r="Y91" s="15">
        <f t="shared" si="21"/>
        <v>9.5</v>
      </c>
      <c r="Z91" s="15">
        <f t="shared" ca="1" si="22"/>
        <v>0</v>
      </c>
      <c r="AC91" s="27"/>
    </row>
    <row r="92" spans="12:29" x14ac:dyDescent="0.3">
      <c r="L92" s="15">
        <v>90</v>
      </c>
      <c r="M92" s="15">
        <f t="shared" si="14"/>
        <v>10</v>
      </c>
      <c r="N92" s="15">
        <f t="shared" ca="1" si="15"/>
        <v>3.1541507814904097</v>
      </c>
      <c r="O92" s="15">
        <f t="shared" ca="1" si="24"/>
        <v>2.6576304291415953</v>
      </c>
      <c r="P92" s="15">
        <f t="shared" ca="1" si="23"/>
        <v>2.6576304115954859</v>
      </c>
      <c r="Q92" s="15">
        <v>0</v>
      </c>
      <c r="R92" s="15">
        <f t="shared" ca="1" si="16"/>
        <v>2.6576304115954859</v>
      </c>
      <c r="S92" s="15">
        <f t="shared" ca="1" si="25"/>
        <v>6.8423969465301839</v>
      </c>
      <c r="T92" s="15">
        <f t="shared" ca="1" si="17"/>
        <v>3.4522868659567041E-3</v>
      </c>
      <c r="U92" s="15">
        <f t="shared" ca="1" si="18"/>
        <v>6.8458492333961409</v>
      </c>
      <c r="V92" s="15">
        <f t="shared" ca="1" si="19"/>
        <v>6.8458492185095903</v>
      </c>
      <c r="X92" s="15">
        <f t="shared" si="20"/>
        <v>10.5</v>
      </c>
      <c r="Y92" s="15">
        <f t="shared" si="21"/>
        <v>9.5</v>
      </c>
      <c r="Z92" s="15">
        <f t="shared" ca="1" si="22"/>
        <v>0</v>
      </c>
    </row>
    <row r="93" spans="12:29" x14ac:dyDescent="0.3">
      <c r="L93" s="15">
        <v>91</v>
      </c>
      <c r="M93" s="15">
        <f t="shared" si="14"/>
        <v>10</v>
      </c>
      <c r="N93" s="15">
        <f t="shared" ca="1" si="15"/>
        <v>2.9746995430846459</v>
      </c>
      <c r="O93" s="15">
        <f t="shared" ca="1" si="24"/>
        <v>2.6576304291415953</v>
      </c>
      <c r="P93" s="15">
        <f t="shared" ca="1" si="23"/>
        <v>2.6576304115954859</v>
      </c>
      <c r="Q93" s="15">
        <v>0</v>
      </c>
      <c r="R93" s="15">
        <f t="shared" ca="1" si="16"/>
        <v>2.6576304115954859</v>
      </c>
      <c r="S93" s="15">
        <f t="shared" ca="1" si="25"/>
        <v>7.0240466082749942</v>
      </c>
      <c r="T93" s="15">
        <f t="shared" ca="1" si="17"/>
        <v>1.2538646426454071E-3</v>
      </c>
      <c r="U93" s="15">
        <f t="shared" ca="1" si="18"/>
        <v>7.0253004729176398</v>
      </c>
      <c r="V93" s="15">
        <f t="shared" ca="1" si="19"/>
        <v>7.0253004569153541</v>
      </c>
      <c r="X93" s="15">
        <f t="shared" si="20"/>
        <v>10.5</v>
      </c>
      <c r="Y93" s="15">
        <f t="shared" si="21"/>
        <v>9.5</v>
      </c>
      <c r="Z93" s="15">
        <f t="shared" ca="1" si="22"/>
        <v>0</v>
      </c>
    </row>
    <row r="94" spans="12:29" x14ac:dyDescent="0.3">
      <c r="L94" s="15">
        <v>92</v>
      </c>
      <c r="M94" s="15">
        <f t="shared" si="14"/>
        <v>10</v>
      </c>
      <c r="N94" s="15">
        <f t="shared" ca="1" si="15"/>
        <v>2.796954324654525</v>
      </c>
      <c r="O94" s="15">
        <f t="shared" ca="1" si="24"/>
        <v>2.6576304291415953</v>
      </c>
      <c r="P94" s="15">
        <f t="shared" ca="1" si="23"/>
        <v>2.6576304115954859</v>
      </c>
      <c r="Q94" s="15">
        <v>0</v>
      </c>
      <c r="R94" s="15">
        <f t="shared" ca="1" si="16"/>
        <v>2.6576304115954859</v>
      </c>
      <c r="S94" s="15">
        <f t="shared" ca="1" si="25"/>
        <v>7.1974241384553412</v>
      </c>
      <c r="T94" s="15">
        <f t="shared" ca="1" si="17"/>
        <v>5.6215520641265575E-3</v>
      </c>
      <c r="U94" s="15">
        <f t="shared" ca="1" si="18"/>
        <v>7.2030456905194677</v>
      </c>
      <c r="V94" s="15">
        <f t="shared" ca="1" si="19"/>
        <v>7.203045675345475</v>
      </c>
      <c r="X94" s="15">
        <f t="shared" si="20"/>
        <v>10.5</v>
      </c>
      <c r="Y94" s="15">
        <f t="shared" si="21"/>
        <v>9.5</v>
      </c>
      <c r="Z94" s="15">
        <f t="shared" ca="1" si="22"/>
        <v>0</v>
      </c>
    </row>
    <row r="95" spans="12:29" x14ac:dyDescent="0.3">
      <c r="L95" s="15">
        <v>93</v>
      </c>
      <c r="M95" s="15">
        <f t="shared" si="14"/>
        <v>10</v>
      </c>
      <c r="N95" s="15">
        <f t="shared" ca="1" si="15"/>
        <v>2.6344097341956596</v>
      </c>
      <c r="O95" s="15">
        <f t="shared" ca="1" si="24"/>
        <v>2.6632210914776873</v>
      </c>
      <c r="P95" s="15">
        <f t="shared" ca="1" si="23"/>
        <v>2.6632210711630111</v>
      </c>
      <c r="Q95" s="15">
        <v>0</v>
      </c>
      <c r="R95" s="15">
        <f t="shared" ca="1" si="16"/>
        <v>2.6632210711630111</v>
      </c>
      <c r="S95" s="15">
        <f t="shared" ca="1" si="25"/>
        <v>7.36323852156477</v>
      </c>
      <c r="T95" s="15">
        <f t="shared" ca="1" si="17"/>
        <v>2.3517522182915631E-3</v>
      </c>
      <c r="U95" s="15">
        <f t="shared" ca="1" si="18"/>
        <v>7.3655902737830612</v>
      </c>
      <c r="V95" s="15">
        <f t="shared" ca="1" si="19"/>
        <v>7.3655902658043404</v>
      </c>
      <c r="X95" s="15">
        <f t="shared" si="20"/>
        <v>10.5</v>
      </c>
      <c r="Y95" s="15">
        <f t="shared" si="21"/>
        <v>9.5</v>
      </c>
      <c r="Z95" s="15">
        <f t="shared" ca="1" si="22"/>
        <v>0</v>
      </c>
    </row>
    <row r="96" spans="12:29" x14ac:dyDescent="0.3">
      <c r="L96" s="15">
        <v>94</v>
      </c>
      <c r="M96" s="15">
        <f t="shared" si="14"/>
        <v>10</v>
      </c>
      <c r="N96" s="15">
        <f t="shared" ca="1" si="15"/>
        <v>2.4753495940182706</v>
      </c>
      <c r="O96" s="15">
        <f t="shared" ca="1" si="24"/>
        <v>2.6632210914776873</v>
      </c>
      <c r="P96" s="15">
        <f t="shared" ca="1" si="23"/>
        <v>2.6632210711630111</v>
      </c>
      <c r="Q96" s="15">
        <v>0</v>
      </c>
      <c r="R96" s="15">
        <f t="shared" ca="1" si="16"/>
        <v>2.6632210711630111</v>
      </c>
      <c r="S96" s="15">
        <f t="shared" ca="1" si="25"/>
        <v>7.5221233810067627</v>
      </c>
      <c r="T96" s="15">
        <f t="shared" ca="1" si="17"/>
        <v>2.5270439964719792E-3</v>
      </c>
      <c r="U96" s="15">
        <f t="shared" ca="1" si="18"/>
        <v>7.5246504250032347</v>
      </c>
      <c r="V96" s="15">
        <f t="shared" ca="1" si="19"/>
        <v>7.5246504059817294</v>
      </c>
      <c r="X96" s="15">
        <f t="shared" si="20"/>
        <v>10.5</v>
      </c>
      <c r="Y96" s="15">
        <f t="shared" si="21"/>
        <v>9.5</v>
      </c>
      <c r="Z96" s="15">
        <f t="shared" ca="1" si="22"/>
        <v>0</v>
      </c>
    </row>
    <row r="97" spans="12:26" x14ac:dyDescent="0.3">
      <c r="L97" s="15">
        <v>95</v>
      </c>
      <c r="M97" s="15">
        <f t="shared" si="14"/>
        <v>10</v>
      </c>
      <c r="N97" s="15">
        <f t="shared" ca="1" si="15"/>
        <v>2.3231019387773939</v>
      </c>
      <c r="O97" s="15">
        <f t="shared" ca="1" si="24"/>
        <v>2.6632210914776873</v>
      </c>
      <c r="P97" s="15">
        <f t="shared" ca="1" si="23"/>
        <v>2.6632210711630111</v>
      </c>
      <c r="Q97" s="15">
        <v>0</v>
      </c>
      <c r="R97" s="15">
        <f t="shared" ca="1" si="16"/>
        <v>2.6632210711630111</v>
      </c>
      <c r="S97" s="15">
        <f t="shared" ca="1" si="25"/>
        <v>7.6742863028337061</v>
      </c>
      <c r="T97" s="15">
        <f t="shared" ca="1" si="17"/>
        <v>2.6117685018106009E-3</v>
      </c>
      <c r="U97" s="15">
        <f t="shared" ca="1" si="18"/>
        <v>7.6768980713355166</v>
      </c>
      <c r="V97" s="15">
        <f t="shared" ca="1" si="19"/>
        <v>7.6768980612226061</v>
      </c>
      <c r="X97" s="15">
        <f t="shared" si="20"/>
        <v>10.5</v>
      </c>
      <c r="Y97" s="15">
        <f t="shared" si="21"/>
        <v>9.5</v>
      </c>
      <c r="Z97" s="15">
        <f t="shared" ca="1" si="22"/>
        <v>0</v>
      </c>
    </row>
    <row r="98" spans="12:26" x14ac:dyDescent="0.3">
      <c r="L98" s="15">
        <v>96</v>
      </c>
      <c r="M98" s="15">
        <f t="shared" si="14"/>
        <v>10</v>
      </c>
      <c r="N98" s="15">
        <f t="shared" ca="1" si="15"/>
        <v>2.1731988881186588</v>
      </c>
      <c r="O98" s="15">
        <f t="shared" ca="1" si="24"/>
        <v>2.6625232354790174</v>
      </c>
      <c r="P98" s="15">
        <f t="shared" ca="1" si="23"/>
        <v>2.6625232311576892</v>
      </c>
      <c r="Q98" s="15">
        <v>0</v>
      </c>
      <c r="R98" s="15">
        <f t="shared" ca="1" si="16"/>
        <v>2.6625232311576892</v>
      </c>
      <c r="S98" s="15">
        <f t="shared" ca="1" si="25"/>
        <v>7.8202186969726091</v>
      </c>
      <c r="T98" s="15">
        <f t="shared" ca="1" si="17"/>
        <v>6.5824272586515811E-3</v>
      </c>
      <c r="U98" s="15">
        <f t="shared" ca="1" si="18"/>
        <v>7.8268011242312605</v>
      </c>
      <c r="V98" s="15">
        <f t="shared" ca="1" si="19"/>
        <v>7.8268011118813412</v>
      </c>
      <c r="X98" s="15">
        <f t="shared" si="20"/>
        <v>10.5</v>
      </c>
      <c r="Y98" s="15">
        <f t="shared" si="21"/>
        <v>9.5</v>
      </c>
      <c r="Z98" s="15">
        <f t="shared" ca="1" si="22"/>
        <v>0</v>
      </c>
    </row>
    <row r="99" spans="12:26" x14ac:dyDescent="0.3">
      <c r="L99" s="15">
        <v>97</v>
      </c>
      <c r="M99" s="15">
        <f t="shared" si="14"/>
        <v>10</v>
      </c>
      <c r="N99" s="15">
        <f t="shared" ca="1" si="15"/>
        <v>2.0357408216306334</v>
      </c>
      <c r="O99" s="15">
        <f t="shared" ca="1" si="24"/>
        <v>2.6625232354790174</v>
      </c>
      <c r="P99" s="15">
        <f t="shared" ca="1" si="23"/>
        <v>2.6625232311576892</v>
      </c>
      <c r="Q99" s="15">
        <v>0</v>
      </c>
      <c r="R99" s="15">
        <f t="shared" ca="1" si="16"/>
        <v>2.6625232311576892</v>
      </c>
      <c r="S99" s="15">
        <f t="shared" ca="1" si="25"/>
        <v>7.9603634837715092</v>
      </c>
      <c r="T99" s="15">
        <f t="shared" ca="1" si="17"/>
        <v>3.8957120633244138E-3</v>
      </c>
      <c r="U99" s="15">
        <f t="shared" ca="1" si="18"/>
        <v>7.9642591958348339</v>
      </c>
      <c r="V99" s="15">
        <f t="shared" ca="1" si="19"/>
        <v>7.9642591783693666</v>
      </c>
      <c r="X99" s="15">
        <f t="shared" si="20"/>
        <v>10.5</v>
      </c>
      <c r="Y99" s="15">
        <f t="shared" si="21"/>
        <v>9.5</v>
      </c>
      <c r="Z99" s="15">
        <f t="shared" ca="1" si="22"/>
        <v>0</v>
      </c>
    </row>
    <row r="100" spans="12:26" x14ac:dyDescent="0.3">
      <c r="L100" s="15">
        <v>98</v>
      </c>
      <c r="M100" s="15">
        <f t="shared" si="14"/>
        <v>10</v>
      </c>
      <c r="N100" s="15">
        <f t="shared" ca="1" si="15"/>
        <v>1.897290104976225</v>
      </c>
      <c r="O100" s="15">
        <f t="shared" ca="1" si="24"/>
        <v>2.6625232354790174</v>
      </c>
      <c r="P100" s="15">
        <f t="shared" ca="1" si="23"/>
        <v>2.6625232311576892</v>
      </c>
      <c r="Q100" s="15">
        <v>0</v>
      </c>
      <c r="R100" s="15">
        <f t="shared" ca="1" si="16"/>
        <v>2.6625232311576892</v>
      </c>
      <c r="S100" s="15">
        <f t="shared" ca="1" si="25"/>
        <v>8.0948625620153258</v>
      </c>
      <c r="T100" s="15">
        <f t="shared" ca="1" si="17"/>
        <v>7.8473505822044733E-3</v>
      </c>
      <c r="U100" s="15">
        <f t="shared" ca="1" si="18"/>
        <v>8.1027099125975308</v>
      </c>
      <c r="V100" s="15">
        <f t="shared" ca="1" si="19"/>
        <v>8.102709895023775</v>
      </c>
      <c r="X100" s="15">
        <f t="shared" si="20"/>
        <v>10.5</v>
      </c>
      <c r="Y100" s="15">
        <f t="shared" si="21"/>
        <v>9.5</v>
      </c>
      <c r="Z100" s="15">
        <f t="shared" ca="1" si="22"/>
        <v>0</v>
      </c>
    </row>
    <row r="101" spans="12:26" x14ac:dyDescent="0.3">
      <c r="L101" s="15">
        <v>99</v>
      </c>
      <c r="M101" s="15">
        <f t="shared" si="14"/>
        <v>10</v>
      </c>
      <c r="N101" s="15">
        <f t="shared" ca="1" si="15"/>
        <v>1.7672900929505211</v>
      </c>
      <c r="O101" s="15">
        <f t="shared" ca="1" si="24"/>
        <v>2.6613293201627495</v>
      </c>
      <c r="P101" s="15">
        <f t="shared" ca="1" si="23"/>
        <v>2.6613292988998185</v>
      </c>
      <c r="Q101" s="15">
        <v>0</v>
      </c>
      <c r="R101" s="15">
        <f t="shared" ca="1" si="16"/>
        <v>2.6613292988998185</v>
      </c>
      <c r="S101" s="15">
        <f t="shared" ca="1" si="25"/>
        <v>8.2240173573360966</v>
      </c>
      <c r="T101" s="15">
        <f t="shared" ca="1" si="17"/>
        <v>8.6925557928932678E-3</v>
      </c>
      <c r="U101" s="15">
        <f t="shared" ca="1" si="18"/>
        <v>8.2327099131289891</v>
      </c>
      <c r="V101" s="15">
        <f t="shared" ca="1" si="19"/>
        <v>8.2327099070494789</v>
      </c>
      <c r="X101" s="15">
        <f t="shared" si="20"/>
        <v>10.5</v>
      </c>
      <c r="Y101" s="15">
        <f t="shared" si="21"/>
        <v>9.5</v>
      </c>
      <c r="Z101" s="15">
        <f t="shared" ca="1" si="22"/>
        <v>0</v>
      </c>
    </row>
    <row r="102" spans="12:26" x14ac:dyDescent="0.3">
      <c r="L102" s="15">
        <v>100</v>
      </c>
      <c r="M102" s="15">
        <f t="shared" si="14"/>
        <v>10</v>
      </c>
      <c r="N102" s="15">
        <f t="shared" ca="1" si="15"/>
        <v>1.6440942770904154</v>
      </c>
      <c r="O102" s="15">
        <f t="shared" ca="1" si="24"/>
        <v>2.6613293201627495</v>
      </c>
      <c r="P102" s="15">
        <f t="shared" ca="1" si="23"/>
        <v>2.6613292988998185</v>
      </c>
      <c r="Q102" s="15">
        <v>0</v>
      </c>
      <c r="R102" s="15">
        <f t="shared" ca="1" si="16"/>
        <v>2.6613292988998185</v>
      </c>
      <c r="S102" s="15">
        <f t="shared" ca="1" si="25"/>
        <v>8.3481068397218188</v>
      </c>
      <c r="T102" s="15">
        <f t="shared" ca="1" si="17"/>
        <v>7.7989011597419744E-3</v>
      </c>
      <c r="U102" s="15">
        <f t="shared" ca="1" si="18"/>
        <v>8.3559057408815605</v>
      </c>
      <c r="V102" s="15">
        <f t="shared" ca="1" si="19"/>
        <v>8.3559057229095846</v>
      </c>
      <c r="X102" s="15">
        <f t="shared" si="20"/>
        <v>10.5</v>
      </c>
      <c r="Y102" s="15">
        <f t="shared" si="21"/>
        <v>9.5</v>
      </c>
      <c r="Z102" s="15">
        <f t="shared" ca="1" si="22"/>
        <v>0</v>
      </c>
    </row>
    <row r="103" spans="12:26" x14ac:dyDescent="0.3">
      <c r="L103" s="15">
        <v>101</v>
      </c>
      <c r="M103" s="15">
        <f t="shared" si="14"/>
        <v>10</v>
      </c>
      <c r="N103" s="15">
        <f t="shared" ca="1" si="15"/>
        <v>1.5262187811374233</v>
      </c>
      <c r="O103" s="15">
        <f t="shared" ca="1" si="24"/>
        <v>2.6613293201627495</v>
      </c>
      <c r="P103" s="15">
        <f t="shared" ca="1" si="23"/>
        <v>2.6613292988998185</v>
      </c>
      <c r="Q103" s="15">
        <v>0</v>
      </c>
      <c r="R103" s="15">
        <f t="shared" ca="1" si="16"/>
        <v>2.6613292988998185</v>
      </c>
      <c r="S103" s="15">
        <f t="shared" ca="1" si="25"/>
        <v>8.4672491303635198</v>
      </c>
      <c r="T103" s="15">
        <f t="shared" ca="1" si="17"/>
        <v>6.5321095932945172E-3</v>
      </c>
      <c r="U103" s="15">
        <f t="shared" ca="1" si="18"/>
        <v>8.4737812399568142</v>
      </c>
      <c r="V103" s="15">
        <f t="shared" ca="1" si="19"/>
        <v>8.4737812188625767</v>
      </c>
      <c r="X103" s="15">
        <f t="shared" si="20"/>
        <v>10.5</v>
      </c>
      <c r="Y103" s="15">
        <f t="shared" si="21"/>
        <v>9.5</v>
      </c>
      <c r="Z103" s="15">
        <f t="shared" ca="1" si="22"/>
        <v>0</v>
      </c>
    </row>
    <row r="104" spans="12:26" x14ac:dyDescent="0.3">
      <c r="L104" s="15">
        <v>102</v>
      </c>
      <c r="M104" s="15">
        <f t="shared" si="14"/>
        <v>10</v>
      </c>
      <c r="N104" s="15">
        <f t="shared" ca="1" si="15"/>
        <v>1.411009871263758</v>
      </c>
      <c r="O104" s="15">
        <f t="shared" ca="1" si="24"/>
        <v>2.658181151269333</v>
      </c>
      <c r="P104" s="15">
        <f t="shared" ca="1" si="23"/>
        <v>2.6581811492001126</v>
      </c>
      <c r="Q104" s="15">
        <v>0</v>
      </c>
      <c r="R104" s="15">
        <f t="shared" ca="1" si="16"/>
        <v>2.6581811492001126</v>
      </c>
      <c r="S104" s="15">
        <f t="shared" ca="1" si="25"/>
        <v>8.5814471376562107</v>
      </c>
      <c r="T104" s="15">
        <f t="shared" ca="1" si="17"/>
        <v>7.5429950334613641E-3</v>
      </c>
      <c r="U104" s="15">
        <f t="shared" ca="1" si="18"/>
        <v>8.5889901326896716</v>
      </c>
      <c r="V104" s="15">
        <f t="shared" ca="1" si="19"/>
        <v>8.588990128736242</v>
      </c>
      <c r="X104" s="15">
        <f t="shared" si="20"/>
        <v>10.5</v>
      </c>
      <c r="Y104" s="15">
        <f t="shared" si="21"/>
        <v>9.5</v>
      </c>
      <c r="Z104" s="15">
        <f t="shared" ca="1" si="22"/>
        <v>0</v>
      </c>
    </row>
    <row r="105" spans="12:26" x14ac:dyDescent="0.3">
      <c r="L105" s="15">
        <v>103</v>
      </c>
      <c r="M105" s="15">
        <f t="shared" si="14"/>
        <v>10</v>
      </c>
      <c r="N105" s="15">
        <f t="shared" ca="1" si="15"/>
        <v>1.3024811985209759</v>
      </c>
      <c r="O105" s="15">
        <f t="shared" ca="1" si="24"/>
        <v>2.658181151269333</v>
      </c>
      <c r="P105" s="15">
        <f t="shared" ca="1" si="23"/>
        <v>2.6581811492001126</v>
      </c>
      <c r="Q105" s="15">
        <v>0</v>
      </c>
      <c r="R105" s="15">
        <f t="shared" ca="1" si="16"/>
        <v>2.6581811492001126</v>
      </c>
      <c r="S105" s="15">
        <f t="shared" ca="1" si="25"/>
        <v>8.6907296727276755</v>
      </c>
      <c r="T105" s="15">
        <f t="shared" ca="1" si="17"/>
        <v>6.7891515926937389E-3</v>
      </c>
      <c r="U105" s="15">
        <f t="shared" ca="1" si="18"/>
        <v>8.6975188243203689</v>
      </c>
      <c r="V105" s="15">
        <f t="shared" ca="1" si="19"/>
        <v>8.6975188014790241</v>
      </c>
      <c r="X105" s="15">
        <f t="shared" si="20"/>
        <v>10.5</v>
      </c>
      <c r="Y105" s="15">
        <f t="shared" si="21"/>
        <v>9.5</v>
      </c>
      <c r="Z105" s="15">
        <f t="shared" ca="1" si="22"/>
        <v>0</v>
      </c>
    </row>
    <row r="106" spans="12:26" x14ac:dyDescent="0.3">
      <c r="L106" s="15">
        <v>104</v>
      </c>
      <c r="M106" s="15">
        <f t="shared" si="14"/>
        <v>10</v>
      </c>
      <c r="N106" s="15">
        <f t="shared" ca="1" si="15"/>
        <v>1.2025321021681954</v>
      </c>
      <c r="O106" s="15">
        <f t="shared" ca="1" si="24"/>
        <v>2.658181151269333</v>
      </c>
      <c r="P106" s="15">
        <f t="shared" ca="1" si="23"/>
        <v>2.6581811492001126</v>
      </c>
      <c r="Q106" s="15">
        <v>0</v>
      </c>
      <c r="R106" s="15">
        <f t="shared" ca="1" si="16"/>
        <v>2.6581811492001126</v>
      </c>
      <c r="S106" s="15">
        <f t="shared" ca="1" si="25"/>
        <v>8.795258464187528</v>
      </c>
      <c r="T106" s="15">
        <f t="shared" ca="1" si="17"/>
        <v>2.2094550486017597E-3</v>
      </c>
      <c r="U106" s="15">
        <f t="shared" ca="1" si="18"/>
        <v>8.79746791923613</v>
      </c>
      <c r="V106" s="15">
        <f t="shared" ca="1" si="19"/>
        <v>8.7974678978318046</v>
      </c>
      <c r="X106" s="15">
        <f t="shared" si="20"/>
        <v>10.5</v>
      </c>
      <c r="Y106" s="15">
        <f t="shared" si="21"/>
        <v>9.5</v>
      </c>
      <c r="Z106" s="15">
        <f t="shared" ca="1" si="22"/>
        <v>0</v>
      </c>
    </row>
    <row r="107" spans="12:26" x14ac:dyDescent="0.3">
      <c r="L107" s="15">
        <v>105</v>
      </c>
      <c r="M107" s="15">
        <f t="shared" si="14"/>
        <v>10</v>
      </c>
      <c r="N107" s="15">
        <f t="shared" ca="1" si="15"/>
        <v>1.1030482014415437</v>
      </c>
      <c r="O107" s="15">
        <f t="shared" ca="1" si="24"/>
        <v>2.6564226610793522</v>
      </c>
      <c r="P107" s="15">
        <f t="shared" ca="1" si="23"/>
        <v>2.6564226491973786</v>
      </c>
      <c r="Q107" s="15">
        <v>0</v>
      </c>
      <c r="R107" s="15">
        <f t="shared" ca="1" si="16"/>
        <v>2.6564226491973786</v>
      </c>
      <c r="S107" s="15">
        <f t="shared" ca="1" si="25"/>
        <v>8.8950240371143092</v>
      </c>
      <c r="T107" s="15">
        <f t="shared" ca="1" si="17"/>
        <v>1.9277642775422711E-3</v>
      </c>
      <c r="U107" s="15">
        <f t="shared" ca="1" si="18"/>
        <v>8.896951801391852</v>
      </c>
      <c r="V107" s="15">
        <f t="shared" ca="1" si="19"/>
        <v>8.8969517985584563</v>
      </c>
      <c r="X107" s="15">
        <f t="shared" si="20"/>
        <v>10.5</v>
      </c>
      <c r="Y107" s="15">
        <f t="shared" si="21"/>
        <v>9.5</v>
      </c>
      <c r="Z107" s="15">
        <f t="shared" ca="1" si="22"/>
        <v>0</v>
      </c>
    </row>
    <row r="108" spans="12:26" x14ac:dyDescent="0.3">
      <c r="L108" s="15">
        <v>106</v>
      </c>
      <c r="M108" s="15">
        <f t="shared" si="14"/>
        <v>10</v>
      </c>
      <c r="N108" s="15">
        <f t="shared" ca="1" si="15"/>
        <v>1.0058243644903015</v>
      </c>
      <c r="O108" s="15">
        <f t="shared" ca="1" si="24"/>
        <v>2.6564226610793522</v>
      </c>
      <c r="P108" s="15">
        <f t="shared" ca="1" si="23"/>
        <v>2.6564226491973786</v>
      </c>
      <c r="Q108" s="15">
        <v>0</v>
      </c>
      <c r="R108" s="15">
        <f t="shared" ca="1" si="16"/>
        <v>2.6564226491973786</v>
      </c>
      <c r="S108" s="15">
        <f t="shared" ca="1" si="25"/>
        <v>8.990045821375519</v>
      </c>
      <c r="T108" s="15">
        <f t="shared" ca="1" si="17"/>
        <v>4.1298333149473359E-3</v>
      </c>
      <c r="U108" s="15">
        <f t="shared" ca="1" si="18"/>
        <v>8.9941756546904656</v>
      </c>
      <c r="V108" s="15">
        <f t="shared" ca="1" si="19"/>
        <v>8.9941756355096985</v>
      </c>
      <c r="X108" s="15">
        <f t="shared" si="20"/>
        <v>10.5</v>
      </c>
      <c r="Y108" s="15">
        <f t="shared" si="21"/>
        <v>9.5</v>
      </c>
      <c r="Z108" s="15">
        <f t="shared" ca="1" si="22"/>
        <v>0</v>
      </c>
    </row>
    <row r="109" spans="12:26" x14ac:dyDescent="0.3">
      <c r="L109" s="15">
        <v>107</v>
      </c>
      <c r="M109" s="15">
        <f t="shared" si="14"/>
        <v>10</v>
      </c>
      <c r="N109" s="15">
        <f t="shared" ca="1" si="15"/>
        <v>0.91935516123644945</v>
      </c>
      <c r="O109" s="15">
        <f t="shared" ca="1" si="24"/>
        <v>2.6564226610793522</v>
      </c>
      <c r="P109" s="15">
        <f t="shared" ca="1" si="23"/>
        <v>2.6564226491973786</v>
      </c>
      <c r="Q109" s="15">
        <v>0</v>
      </c>
      <c r="R109" s="15">
        <f t="shared" ca="1" si="16"/>
        <v>2.6564226491973786</v>
      </c>
      <c r="S109" s="15">
        <f t="shared" ca="1" si="25"/>
        <v>9.0805240701541159</v>
      </c>
      <c r="T109" s="15">
        <f t="shared" ca="1" si="17"/>
        <v>1.2077510677362847E-4</v>
      </c>
      <c r="U109" s="15">
        <f t="shared" ca="1" si="18"/>
        <v>9.0806448452608901</v>
      </c>
      <c r="V109" s="15">
        <f t="shared" ca="1" si="19"/>
        <v>9.0806448387635506</v>
      </c>
      <c r="X109" s="15">
        <f t="shared" si="20"/>
        <v>10.5</v>
      </c>
      <c r="Y109" s="15">
        <f t="shared" si="21"/>
        <v>9.5</v>
      </c>
      <c r="Z109" s="15">
        <f t="shared" ca="1" si="22"/>
        <v>0</v>
      </c>
    </row>
    <row r="110" spans="12:26" x14ac:dyDescent="0.3">
      <c r="L110" s="15">
        <v>108</v>
      </c>
      <c r="M110" s="15">
        <f t="shared" si="14"/>
        <v>10</v>
      </c>
      <c r="N110" s="15">
        <f t="shared" ca="1" si="15"/>
        <v>0.82993501583811202</v>
      </c>
      <c r="O110" s="15">
        <f t="shared" ca="1" si="24"/>
        <v>2.6471497588807495</v>
      </c>
      <c r="P110" s="15">
        <f t="shared" ca="1" si="23"/>
        <v>2.6471497497165459</v>
      </c>
      <c r="Q110" s="15">
        <v>0</v>
      </c>
      <c r="R110" s="15">
        <f t="shared" ca="1" si="16"/>
        <v>2.6471497497165459</v>
      </c>
      <c r="S110" s="15">
        <f t="shared" ca="1" si="25"/>
        <v>9.1663157016807126</v>
      </c>
      <c r="T110" s="15">
        <f t="shared" ca="1" si="17"/>
        <v>3.7492887679096286E-3</v>
      </c>
      <c r="U110" s="15">
        <f t="shared" ca="1" si="18"/>
        <v>9.1700649904486227</v>
      </c>
      <c r="V110" s="15">
        <f t="shared" ca="1" si="19"/>
        <v>9.170064984161888</v>
      </c>
      <c r="X110" s="15">
        <f t="shared" si="20"/>
        <v>10.5</v>
      </c>
      <c r="Y110" s="15">
        <f t="shared" si="21"/>
        <v>9.5</v>
      </c>
      <c r="Z110" s="15">
        <f t="shared" ca="1" si="22"/>
        <v>0</v>
      </c>
    </row>
    <row r="111" spans="12:26" x14ac:dyDescent="0.3">
      <c r="L111" s="15">
        <v>109</v>
      </c>
      <c r="M111" s="15">
        <f t="shared" si="14"/>
        <v>10</v>
      </c>
      <c r="N111" s="15">
        <f t="shared" ca="1" si="15"/>
        <v>0.74476954777370352</v>
      </c>
      <c r="O111" s="15">
        <f t="shared" ca="1" si="24"/>
        <v>2.6471497588807495</v>
      </c>
      <c r="P111" s="15">
        <f t="shared" ca="1" si="23"/>
        <v>2.6471497497165459</v>
      </c>
      <c r="Q111" s="15">
        <v>0</v>
      </c>
      <c r="R111" s="15">
        <f t="shared" ca="1" si="16"/>
        <v>2.6471497497165459</v>
      </c>
      <c r="S111" s="15">
        <f t="shared" ca="1" si="25"/>
        <v>9.2473305341127237</v>
      </c>
      <c r="T111" s="15">
        <f t="shared" ca="1" si="17"/>
        <v>7.8999223529202627E-3</v>
      </c>
      <c r="U111" s="15">
        <f t="shared" ca="1" si="18"/>
        <v>9.2552304564656431</v>
      </c>
      <c r="V111" s="15">
        <f t="shared" ca="1" si="19"/>
        <v>9.2552304522262965</v>
      </c>
      <c r="X111" s="15">
        <f t="shared" si="20"/>
        <v>10.5</v>
      </c>
      <c r="Y111" s="15">
        <f t="shared" si="21"/>
        <v>9.5</v>
      </c>
      <c r="Z111" s="15">
        <f t="shared" ca="1" si="22"/>
        <v>0</v>
      </c>
    </row>
    <row r="112" spans="12:26" x14ac:dyDescent="0.3">
      <c r="L112" s="15">
        <v>110</v>
      </c>
      <c r="M112" s="15">
        <f t="shared" si="14"/>
        <v>10</v>
      </c>
      <c r="N112" s="15">
        <f t="shared" ca="1" si="15"/>
        <v>0.6746247063099009</v>
      </c>
      <c r="O112" s="15">
        <f t="shared" ca="1" si="24"/>
        <v>2.6471497588807495</v>
      </c>
      <c r="P112" s="15">
        <f t="shared" ca="1" si="23"/>
        <v>2.6471497497165459</v>
      </c>
      <c r="Q112" s="15">
        <v>0</v>
      </c>
      <c r="R112" s="15">
        <f t="shared" ca="1" si="16"/>
        <v>2.6471497497165459</v>
      </c>
      <c r="S112" s="15">
        <f t="shared" ca="1" si="25"/>
        <v>9.3238322548052892</v>
      </c>
      <c r="T112" s="15">
        <f t="shared" ca="1" si="17"/>
        <v>1.5430591642526447E-3</v>
      </c>
      <c r="U112" s="15">
        <f t="shared" ca="1" si="18"/>
        <v>9.3253753139695412</v>
      </c>
      <c r="V112" s="15">
        <f t="shared" ca="1" si="19"/>
        <v>9.3253752936900991</v>
      </c>
      <c r="X112" s="15">
        <f t="shared" si="20"/>
        <v>10.5</v>
      </c>
      <c r="Y112" s="15">
        <f t="shared" si="21"/>
        <v>9.5</v>
      </c>
      <c r="Z112" s="15">
        <f t="shared" ca="1" si="22"/>
        <v>0</v>
      </c>
    </row>
    <row r="113" spans="12:26" x14ac:dyDescent="0.3">
      <c r="L113" s="15">
        <v>111</v>
      </c>
      <c r="M113" s="15">
        <f t="shared" si="14"/>
        <v>10</v>
      </c>
      <c r="N113" s="15">
        <f t="shared" ca="1" si="15"/>
        <v>0.59719703872622709</v>
      </c>
      <c r="O113" s="15">
        <f t="shared" ca="1" si="24"/>
        <v>2.6434938900858063</v>
      </c>
      <c r="P113" s="15">
        <f t="shared" ca="1" si="23"/>
        <v>2.6434938895151703</v>
      </c>
      <c r="Q113" s="15">
        <v>0</v>
      </c>
      <c r="R113" s="15">
        <f t="shared" ca="1" si="16"/>
        <v>2.6434938895151703</v>
      </c>
      <c r="S113" s="15">
        <f t="shared" ca="1" si="25"/>
        <v>9.3961109502466655</v>
      </c>
      <c r="T113" s="15">
        <f t="shared" ca="1" si="17"/>
        <v>6.692014329313831E-3</v>
      </c>
      <c r="U113" s="15">
        <f t="shared" ca="1" si="18"/>
        <v>9.4028029645759794</v>
      </c>
      <c r="V113" s="15">
        <f t="shared" ca="1" si="19"/>
        <v>9.4028029612737729</v>
      </c>
      <c r="X113" s="15">
        <f t="shared" si="20"/>
        <v>10.5</v>
      </c>
      <c r="Y113" s="15">
        <f t="shared" si="21"/>
        <v>9.5</v>
      </c>
      <c r="Z113" s="15">
        <f t="shared" ca="1" si="22"/>
        <v>0</v>
      </c>
    </row>
    <row r="114" spans="12:26" x14ac:dyDescent="0.3">
      <c r="L114" s="15">
        <v>112</v>
      </c>
      <c r="M114" s="15">
        <f t="shared" si="14"/>
        <v>10</v>
      </c>
      <c r="N114" s="15">
        <f t="shared" ca="1" si="15"/>
        <v>0.53211223579293865</v>
      </c>
      <c r="O114" s="15">
        <f t="shared" ca="1" si="24"/>
        <v>2.6434938900858063</v>
      </c>
      <c r="P114" s="15">
        <f t="shared" ca="1" si="23"/>
        <v>2.6434938895151703</v>
      </c>
      <c r="Q114" s="15">
        <v>0</v>
      </c>
      <c r="R114" s="15">
        <f t="shared" ca="1" si="16"/>
        <v>2.6434938895151703</v>
      </c>
      <c r="S114" s="15">
        <f t="shared" ca="1" si="25"/>
        <v>9.4644359419789073</v>
      </c>
      <c r="T114" s="15">
        <f t="shared" ca="1" si="17"/>
        <v>3.4518242099957977E-3</v>
      </c>
      <c r="U114" s="15">
        <f t="shared" ca="1" si="18"/>
        <v>9.4678877661889036</v>
      </c>
      <c r="V114" s="15">
        <f t="shared" ca="1" si="19"/>
        <v>9.4678877642070614</v>
      </c>
      <c r="X114" s="15">
        <f t="shared" si="20"/>
        <v>10.5</v>
      </c>
      <c r="Y114" s="15">
        <f t="shared" si="21"/>
        <v>9.5</v>
      </c>
      <c r="Z114" s="15">
        <f t="shared" ca="1" si="22"/>
        <v>0</v>
      </c>
    </row>
    <row r="115" spans="12:26" x14ac:dyDescent="0.3">
      <c r="L115" s="15">
        <v>113</v>
      </c>
      <c r="M115" s="15">
        <f t="shared" si="14"/>
        <v>10</v>
      </c>
      <c r="N115" s="15">
        <f t="shared" ca="1" si="15"/>
        <v>0.46190185250293148</v>
      </c>
      <c r="O115" s="15">
        <f t="shared" ca="1" si="24"/>
        <v>2.6434938900858063</v>
      </c>
      <c r="P115" s="15">
        <f t="shared" ca="1" si="23"/>
        <v>2.6434938895151703</v>
      </c>
      <c r="Q115" s="15">
        <v>0</v>
      </c>
      <c r="R115" s="15">
        <f t="shared" ca="1" si="16"/>
        <v>2.6434938895151703</v>
      </c>
      <c r="S115" s="15">
        <f t="shared" ca="1" si="25"/>
        <v>9.5290201098714995</v>
      </c>
      <c r="T115" s="15">
        <f t="shared" ca="1" si="17"/>
        <v>9.0780450925943435E-3</v>
      </c>
      <c r="U115" s="15">
        <f t="shared" ca="1" si="18"/>
        <v>9.5380981549640946</v>
      </c>
      <c r="V115" s="15">
        <f t="shared" ca="1" si="19"/>
        <v>9.5380981474970685</v>
      </c>
      <c r="X115" s="15">
        <f t="shared" si="20"/>
        <v>10.5</v>
      </c>
      <c r="Y115" s="15">
        <f t="shared" si="21"/>
        <v>9.5</v>
      </c>
      <c r="Z115" s="15">
        <f t="shared" ca="1" si="22"/>
        <v>1</v>
      </c>
    </row>
    <row r="116" spans="12:26" x14ac:dyDescent="0.3">
      <c r="L116" s="15">
        <v>114</v>
      </c>
      <c r="M116" s="15">
        <f t="shared" si="14"/>
        <v>10</v>
      </c>
      <c r="N116" s="15">
        <f t="shared" ca="1" si="15"/>
        <v>0.40871995743567169</v>
      </c>
      <c r="O116" s="15">
        <f t="shared" ca="1" si="24"/>
        <v>2.6460008289086208</v>
      </c>
      <c r="P116" s="15">
        <f t="shared" ca="1" si="23"/>
        <v>2.6460008236221038</v>
      </c>
      <c r="Q116" s="15">
        <v>0</v>
      </c>
      <c r="R116" s="15">
        <f t="shared" ca="1" si="16"/>
        <v>2.6460008236221038</v>
      </c>
      <c r="S116" s="15">
        <f t="shared" ca="1" si="25"/>
        <v>9.5901134962983257</v>
      </c>
      <c r="T116" s="15">
        <f t="shared" ca="1" si="17"/>
        <v>1.1665624861421386E-3</v>
      </c>
      <c r="U116" s="15">
        <f t="shared" ca="1" si="18"/>
        <v>9.5912800587844682</v>
      </c>
      <c r="V116" s="15">
        <f t="shared" ca="1" si="19"/>
        <v>9.5912800425643283</v>
      </c>
      <c r="X116" s="15">
        <f t="shared" si="20"/>
        <v>10.5</v>
      </c>
      <c r="Y116" s="15">
        <f t="shared" si="21"/>
        <v>9.5</v>
      </c>
      <c r="Z116" s="15">
        <f t="shared" ca="1" si="22"/>
        <v>1</v>
      </c>
    </row>
    <row r="117" spans="12:26" x14ac:dyDescent="0.3">
      <c r="L117" s="15">
        <v>115</v>
      </c>
      <c r="M117" s="15">
        <f t="shared" si="14"/>
        <v>10</v>
      </c>
      <c r="N117" s="15">
        <f t="shared" ca="1" si="15"/>
        <v>0.35059422961217201</v>
      </c>
      <c r="O117" s="15">
        <f t="shared" ca="1" si="24"/>
        <v>2.6460008289086208</v>
      </c>
      <c r="P117" s="15">
        <f t="shared" ca="1" si="23"/>
        <v>2.6460008236221038</v>
      </c>
      <c r="Q117" s="15">
        <v>0</v>
      </c>
      <c r="R117" s="15">
        <f t="shared" ca="1" si="16"/>
        <v>2.6460008236221038</v>
      </c>
      <c r="S117" s="15">
        <f t="shared" ca="1" si="25"/>
        <v>9.6479470292563025</v>
      </c>
      <c r="T117" s="15">
        <f t="shared" ca="1" si="17"/>
        <v>1.4587524133960205E-3</v>
      </c>
      <c r="U117" s="15">
        <f t="shared" ca="1" si="18"/>
        <v>9.6494057816696994</v>
      </c>
      <c r="V117" s="15">
        <f t="shared" ca="1" si="19"/>
        <v>9.649405770387828</v>
      </c>
      <c r="X117" s="15">
        <f t="shared" si="20"/>
        <v>10.5</v>
      </c>
      <c r="Y117" s="15">
        <f t="shared" si="21"/>
        <v>9.5</v>
      </c>
      <c r="Z117" s="15">
        <f t="shared" ca="1" si="22"/>
        <v>1</v>
      </c>
    </row>
    <row r="118" spans="12:26" x14ac:dyDescent="0.3">
      <c r="L118" s="15">
        <v>116</v>
      </c>
      <c r="M118" s="15">
        <f t="shared" si="14"/>
        <v>10</v>
      </c>
      <c r="N118" s="15">
        <f t="shared" ca="1" si="15"/>
        <v>0.29716206488599184</v>
      </c>
      <c r="O118" s="15">
        <f t="shared" ca="1" si="24"/>
        <v>2.6460008289086208</v>
      </c>
      <c r="P118" s="15">
        <f t="shared" ca="1" si="23"/>
        <v>2.6460008236221038</v>
      </c>
      <c r="Q118" s="15">
        <v>0</v>
      </c>
      <c r="R118" s="15">
        <f t="shared" ca="1" si="16"/>
        <v>2.6460008236221038</v>
      </c>
      <c r="S118" s="15">
        <f t="shared" ca="1" si="25"/>
        <v>9.7026898887125927</v>
      </c>
      <c r="T118" s="15">
        <f t="shared" ca="1" si="17"/>
        <v>1.4805927858539959E-4</v>
      </c>
      <c r="U118" s="15">
        <f t="shared" ca="1" si="18"/>
        <v>9.7028379479911777</v>
      </c>
      <c r="V118" s="15">
        <f t="shared" ca="1" si="19"/>
        <v>9.7028379351140082</v>
      </c>
      <c r="X118" s="15">
        <f t="shared" si="20"/>
        <v>10.5</v>
      </c>
      <c r="Y118" s="15">
        <f t="shared" si="21"/>
        <v>9.5</v>
      </c>
      <c r="Z118" s="15">
        <f t="shared" ca="1" si="22"/>
        <v>1</v>
      </c>
    </row>
    <row r="119" spans="12:26" x14ac:dyDescent="0.3">
      <c r="L119" s="15">
        <v>117</v>
      </c>
      <c r="M119" s="15">
        <f t="shared" si="14"/>
        <v>10</v>
      </c>
      <c r="N119" s="15">
        <f t="shared" ca="1" si="15"/>
        <v>0.23664600454192808</v>
      </c>
      <c r="O119" s="15">
        <f t="shared" ca="1" si="24"/>
        <v>2.6312057147797958</v>
      </c>
      <c r="P119" s="15">
        <f t="shared" ca="1" si="23"/>
        <v>2.6312056934999313</v>
      </c>
      <c r="Q119" s="15">
        <v>0</v>
      </c>
      <c r="R119" s="15">
        <f t="shared" ca="1" si="16"/>
        <v>2.6312056934999313</v>
      </c>
      <c r="S119" s="15">
        <f t="shared" ca="1" si="25"/>
        <v>9.7544968152053286</v>
      </c>
      <c r="T119" s="15">
        <f t="shared" ca="1" si="17"/>
        <v>8.8572031926162104E-3</v>
      </c>
      <c r="U119" s="15">
        <f t="shared" ca="1" si="18"/>
        <v>9.7633540183979441</v>
      </c>
      <c r="V119" s="15">
        <f t="shared" ca="1" si="19"/>
        <v>9.7633539954580719</v>
      </c>
      <c r="X119" s="15">
        <f t="shared" si="20"/>
        <v>10.5</v>
      </c>
      <c r="Y119" s="15">
        <f t="shared" si="21"/>
        <v>9.5</v>
      </c>
      <c r="Z119" s="15">
        <f t="shared" ca="1" si="22"/>
        <v>1</v>
      </c>
    </row>
    <row r="120" spans="12:26" x14ac:dyDescent="0.3">
      <c r="L120" s="15">
        <v>118</v>
      </c>
      <c r="M120" s="15">
        <f t="shared" si="14"/>
        <v>10</v>
      </c>
      <c r="N120" s="15">
        <f t="shared" ca="1" si="15"/>
        <v>0.18827390162932645</v>
      </c>
      <c r="O120" s="15">
        <f t="shared" ca="1" si="24"/>
        <v>2.6312057147797958</v>
      </c>
      <c r="P120" s="15">
        <f t="shared" ca="1" si="23"/>
        <v>2.6312056934999313</v>
      </c>
      <c r="Q120" s="15">
        <v>0</v>
      </c>
      <c r="R120" s="15">
        <f t="shared" ca="1" si="16"/>
        <v>2.6312056934999313</v>
      </c>
      <c r="S120" s="15">
        <f t="shared" ca="1" si="25"/>
        <v>9.8035155920263204</v>
      </c>
      <c r="T120" s="15">
        <f t="shared" ca="1" si="17"/>
        <v>8.2105210346169206E-3</v>
      </c>
      <c r="U120" s="15">
        <f t="shared" ca="1" si="18"/>
        <v>9.8117261130609368</v>
      </c>
      <c r="V120" s="15">
        <f t="shared" ca="1" si="19"/>
        <v>9.8117260983706736</v>
      </c>
      <c r="X120" s="15">
        <f t="shared" si="20"/>
        <v>10.5</v>
      </c>
      <c r="Y120" s="15">
        <f t="shared" si="21"/>
        <v>9.5</v>
      </c>
      <c r="Z120" s="15">
        <f t="shared" ca="1" si="22"/>
        <v>1</v>
      </c>
    </row>
    <row r="121" spans="12:26" x14ac:dyDescent="0.3">
      <c r="L121" s="15">
        <v>119</v>
      </c>
      <c r="M121" s="15">
        <f t="shared" si="14"/>
        <v>10</v>
      </c>
      <c r="N121" s="15">
        <f t="shared" ca="1" si="15"/>
        <v>0.14340662167952622</v>
      </c>
      <c r="O121" s="15">
        <f t="shared" ca="1" si="24"/>
        <v>2.6312057147797958</v>
      </c>
      <c r="P121" s="15">
        <f t="shared" ca="1" si="23"/>
        <v>2.6312056934999313</v>
      </c>
      <c r="Q121" s="15">
        <v>0</v>
      </c>
      <c r="R121" s="15">
        <f t="shared" ca="1" si="16"/>
        <v>2.6312056934999313</v>
      </c>
      <c r="S121" s="15">
        <f t="shared" ca="1" si="25"/>
        <v>9.8498928058587545</v>
      </c>
      <c r="T121" s="15">
        <f t="shared" ca="1" si="17"/>
        <v>6.7005840175277291E-3</v>
      </c>
      <c r="U121" s="15">
        <f t="shared" ca="1" si="18"/>
        <v>9.8565933898762825</v>
      </c>
      <c r="V121" s="15">
        <f t="shared" ca="1" si="19"/>
        <v>9.8565933783204738</v>
      </c>
      <c r="X121" s="15">
        <f t="shared" si="20"/>
        <v>10.5</v>
      </c>
      <c r="Y121" s="15">
        <f t="shared" si="21"/>
        <v>9.5</v>
      </c>
      <c r="Z121" s="15">
        <f t="shared" ca="1" si="22"/>
        <v>1</v>
      </c>
    </row>
    <row r="122" spans="12:26" x14ac:dyDescent="0.3">
      <c r="L122" s="15">
        <v>120</v>
      </c>
      <c r="M122" s="15">
        <f t="shared" si="14"/>
        <v>10</v>
      </c>
      <c r="N122" s="15">
        <f t="shared" ca="1" si="15"/>
        <v>9.9547056038758797E-2</v>
      </c>
      <c r="O122" s="15">
        <f t="shared" ca="1" si="24"/>
        <v>2.6308137112783623</v>
      </c>
      <c r="P122" s="15">
        <f t="shared" ca="1" si="23"/>
        <v>2.6308136998281846</v>
      </c>
      <c r="Q122" s="15">
        <v>0</v>
      </c>
      <c r="R122" s="15">
        <f t="shared" ca="1" si="16"/>
        <v>2.6308136998281846</v>
      </c>
      <c r="S122" s="15">
        <f t="shared" ca="1" si="25"/>
        <v>9.8937572808148229</v>
      </c>
      <c r="T122" s="15">
        <f t="shared" ca="1" si="17"/>
        <v>6.6956716181074049E-3</v>
      </c>
      <c r="U122" s="15">
        <f t="shared" ca="1" si="18"/>
        <v>9.9004529524329303</v>
      </c>
      <c r="V122" s="15">
        <f t="shared" ca="1" si="19"/>
        <v>9.9004529439612412</v>
      </c>
      <c r="X122" s="15">
        <f t="shared" si="20"/>
        <v>10.5</v>
      </c>
      <c r="Y122" s="15">
        <f t="shared" si="21"/>
        <v>9.5</v>
      </c>
      <c r="Z122" s="15">
        <f t="shared" ca="1" si="22"/>
        <v>1</v>
      </c>
    </row>
    <row r="123" spans="12:26" x14ac:dyDescent="0.3">
      <c r="L123" s="15">
        <v>121</v>
      </c>
      <c r="M123" s="15">
        <f t="shared" si="14"/>
        <v>10</v>
      </c>
      <c r="N123" s="15">
        <f t="shared" ca="1" si="15"/>
        <v>5.5950263062479522E-2</v>
      </c>
      <c r="O123" s="15">
        <f t="shared" ca="1" si="24"/>
        <v>2.6308137112783623</v>
      </c>
      <c r="P123" s="15">
        <f t="shared" ca="1" si="23"/>
        <v>2.6308136998281846</v>
      </c>
      <c r="Q123" s="15">
        <v>0</v>
      </c>
      <c r="R123" s="15">
        <f t="shared" ca="1" si="16"/>
        <v>2.6308136998281846</v>
      </c>
      <c r="S123" s="15">
        <f t="shared" ca="1" si="25"/>
        <v>9.9352325734055391</v>
      </c>
      <c r="T123" s="15">
        <f t="shared" ca="1" si="17"/>
        <v>8.8171775963712951E-3</v>
      </c>
      <c r="U123" s="15">
        <f t="shared" ca="1" si="18"/>
        <v>9.944049751001911</v>
      </c>
      <c r="V123" s="15">
        <f t="shared" ca="1" si="19"/>
        <v>9.9440497369375205</v>
      </c>
      <c r="X123" s="15">
        <f t="shared" si="20"/>
        <v>10.5</v>
      </c>
      <c r="Y123" s="15">
        <f t="shared" si="21"/>
        <v>9.5</v>
      </c>
      <c r="Z123" s="15">
        <f t="shared" ca="1" si="22"/>
        <v>1</v>
      </c>
    </row>
    <row r="124" spans="12:26" x14ac:dyDescent="0.3">
      <c r="L124" s="15">
        <v>122</v>
      </c>
      <c r="M124" s="15">
        <f t="shared" si="14"/>
        <v>10</v>
      </c>
      <c r="N124" s="15">
        <f t="shared" ca="1" si="15"/>
        <v>2.4874520028214775E-2</v>
      </c>
      <c r="O124" s="15">
        <f t="shared" ca="1" si="24"/>
        <v>2.6308137112783623</v>
      </c>
      <c r="P124" s="15">
        <f t="shared" ca="1" si="23"/>
        <v>2.6308136998281846</v>
      </c>
      <c r="Q124" s="15">
        <v>0</v>
      </c>
      <c r="R124" s="15">
        <f t="shared" ca="1" si="16"/>
        <v>2.6308136998281846</v>
      </c>
      <c r="S124" s="15">
        <f t="shared" ca="1" si="25"/>
        <v>9.9744465329360246</v>
      </c>
      <c r="T124" s="15">
        <f t="shared" ca="1" si="17"/>
        <v>6.7895722370407306E-4</v>
      </c>
      <c r="U124" s="15">
        <f t="shared" ca="1" si="18"/>
        <v>9.9751254901597282</v>
      </c>
      <c r="V124" s="15">
        <f t="shared" ca="1" si="19"/>
        <v>9.9751254799717852</v>
      </c>
      <c r="X124" s="15">
        <f t="shared" si="20"/>
        <v>10.5</v>
      </c>
      <c r="Y124" s="15">
        <f t="shared" si="21"/>
        <v>9.5</v>
      </c>
      <c r="Z124" s="15">
        <f t="shared" ca="1" si="22"/>
        <v>1</v>
      </c>
    </row>
    <row r="125" spans="12:26" x14ac:dyDescent="0.3">
      <c r="L125" s="15">
        <v>123</v>
      </c>
      <c r="M125" s="15">
        <f t="shared" si="14"/>
        <v>10</v>
      </c>
      <c r="N125" s="15">
        <f t="shared" ca="1" si="15"/>
        <v>-1.2044410689743046E-2</v>
      </c>
      <c r="O125" s="15">
        <f t="shared" ca="1" si="24"/>
        <v>2.6268908532136406</v>
      </c>
      <c r="P125" s="15">
        <f t="shared" ca="1" si="23"/>
        <v>2.6268908527276693</v>
      </c>
      <c r="Q125" s="15">
        <v>0</v>
      </c>
      <c r="R125" s="15">
        <f t="shared" ca="1" si="16"/>
        <v>2.6268908527276693</v>
      </c>
      <c r="S125" s="15">
        <f t="shared" ca="1" si="25"/>
        <v>10.011493111258636</v>
      </c>
      <c r="T125" s="15">
        <f t="shared" ca="1" si="17"/>
        <v>5.5131973757539094E-4</v>
      </c>
      <c r="U125" s="15">
        <f t="shared" ca="1" si="18"/>
        <v>10.012044430996211</v>
      </c>
      <c r="V125" s="15">
        <f t="shared" ca="1" si="19"/>
        <v>10.012044410689743</v>
      </c>
      <c r="X125" s="15">
        <f t="shared" si="20"/>
        <v>10.5</v>
      </c>
      <c r="Y125" s="15">
        <f t="shared" si="21"/>
        <v>9.5</v>
      </c>
      <c r="Z125" s="15">
        <f t="shared" ca="1" si="22"/>
        <v>1</v>
      </c>
    </row>
    <row r="126" spans="12:26" x14ac:dyDescent="0.3">
      <c r="L126" s="15">
        <v>124</v>
      </c>
      <c r="M126" s="15">
        <f t="shared" si="14"/>
        <v>10</v>
      </c>
      <c r="N126" s="15">
        <f t="shared" ca="1" si="15"/>
        <v>-5.4556468980051065E-2</v>
      </c>
      <c r="O126" s="15">
        <f t="shared" ca="1" si="24"/>
        <v>2.6268908532136406</v>
      </c>
      <c r="P126" s="15">
        <f t="shared" ca="1" si="23"/>
        <v>2.6268908527276693</v>
      </c>
      <c r="Q126" s="15">
        <v>0</v>
      </c>
      <c r="R126" s="15">
        <f t="shared" ca="1" si="16"/>
        <v>2.6268908527276693</v>
      </c>
      <c r="S126" s="15">
        <f t="shared" ca="1" si="25"/>
        <v>10.046464706346343</v>
      </c>
      <c r="T126" s="15">
        <f t="shared" ca="1" si="17"/>
        <v>8.0917754283670769E-3</v>
      </c>
      <c r="U126" s="15">
        <f t="shared" ca="1" si="18"/>
        <v>10.054556481774711</v>
      </c>
      <c r="V126" s="15">
        <f t="shared" ca="1" si="19"/>
        <v>10.054556468980051</v>
      </c>
      <c r="X126" s="15">
        <f t="shared" si="20"/>
        <v>10.5</v>
      </c>
      <c r="Y126" s="15">
        <f t="shared" si="21"/>
        <v>9.5</v>
      </c>
      <c r="Z126" s="15">
        <f t="shared" ca="1" si="22"/>
        <v>1</v>
      </c>
    </row>
    <row r="127" spans="12:26" x14ac:dyDescent="0.3">
      <c r="L127" s="15">
        <v>125</v>
      </c>
      <c r="M127" s="15">
        <f t="shared" si="14"/>
        <v>10</v>
      </c>
      <c r="N127" s="15">
        <f t="shared" ca="1" si="15"/>
        <v>-8.080193076301434E-2</v>
      </c>
      <c r="O127" s="15">
        <f t="shared" ca="1" si="24"/>
        <v>2.6268908532136406</v>
      </c>
      <c r="P127" s="15">
        <f t="shared" ca="1" si="23"/>
        <v>2.6268908527276693</v>
      </c>
      <c r="Q127" s="15">
        <v>0</v>
      </c>
      <c r="R127" s="15">
        <f t="shared" ca="1" si="16"/>
        <v>2.6268908527276693</v>
      </c>
      <c r="S127" s="15">
        <f t="shared" ca="1" si="25"/>
        <v>10.079476792380328</v>
      </c>
      <c r="T127" s="15">
        <f t="shared" ca="1" si="17"/>
        <v>1.3251443001590047E-3</v>
      </c>
      <c r="U127" s="15">
        <f t="shared" ca="1" si="18"/>
        <v>10.080801936680487</v>
      </c>
      <c r="V127" s="15">
        <f t="shared" ca="1" si="19"/>
        <v>10.080801930763014</v>
      </c>
      <c r="X127" s="15">
        <f t="shared" si="20"/>
        <v>10.5</v>
      </c>
      <c r="Y127" s="15">
        <f t="shared" si="21"/>
        <v>9.5</v>
      </c>
      <c r="Z127" s="15">
        <f t="shared" ca="1" si="22"/>
        <v>1</v>
      </c>
    </row>
    <row r="128" spans="12:26" x14ac:dyDescent="0.3">
      <c r="L128" s="15">
        <v>126</v>
      </c>
      <c r="M128" s="15">
        <f t="shared" si="14"/>
        <v>10</v>
      </c>
      <c r="N128" s="15">
        <f t="shared" ca="1" si="15"/>
        <v>-0.11343754597786671</v>
      </c>
      <c r="O128" s="15">
        <f t="shared" ca="1" si="24"/>
        <v>2.6135270830605415</v>
      </c>
      <c r="P128" s="15">
        <f t="shared" ca="1" si="23"/>
        <v>2.6135270722707564</v>
      </c>
      <c r="Q128" s="15">
        <v>0</v>
      </c>
      <c r="R128" s="15">
        <f t="shared" ca="1" si="16"/>
        <v>2.6135270722707564</v>
      </c>
      <c r="S128" s="15">
        <f t="shared" ca="1" si="25"/>
        <v>10.110623261613178</v>
      </c>
      <c r="T128" s="15">
        <f t="shared" ca="1" si="17"/>
        <v>2.8142975669929247E-3</v>
      </c>
      <c r="U128" s="15">
        <f t="shared" ca="1" si="18"/>
        <v>10.11343755918017</v>
      </c>
      <c r="V128" s="15">
        <f t="shared" ca="1" si="19"/>
        <v>10.113437545977867</v>
      </c>
      <c r="X128" s="15">
        <f t="shared" si="20"/>
        <v>10.5</v>
      </c>
      <c r="Y128" s="15">
        <f t="shared" si="21"/>
        <v>9.5</v>
      </c>
      <c r="Z128" s="15">
        <f t="shared" ca="1" si="22"/>
        <v>1</v>
      </c>
    </row>
    <row r="129" spans="12:26" x14ac:dyDescent="0.3">
      <c r="L129" s="15">
        <v>127</v>
      </c>
      <c r="M129" s="15">
        <f t="shared" si="14"/>
        <v>10</v>
      </c>
      <c r="N129" s="15">
        <f t="shared" ca="1" si="15"/>
        <v>-0.14924687569710571</v>
      </c>
      <c r="O129" s="15">
        <f t="shared" ca="1" si="24"/>
        <v>2.6135270830605415</v>
      </c>
      <c r="P129" s="15">
        <f t="shared" ca="1" si="23"/>
        <v>2.6135270722707564</v>
      </c>
      <c r="Q129" s="15">
        <v>0</v>
      </c>
      <c r="R129" s="15">
        <f t="shared" ca="1" si="16"/>
        <v>2.6135270722707564</v>
      </c>
      <c r="S129" s="15">
        <f t="shared" ca="1" si="25"/>
        <v>10.139994651804081</v>
      </c>
      <c r="T129" s="15">
        <f t="shared" ca="1" si="17"/>
        <v>9.2522389569576098E-3</v>
      </c>
      <c r="U129" s="15">
        <f t="shared" ca="1" si="18"/>
        <v>10.149246890761038</v>
      </c>
      <c r="V129" s="15">
        <f t="shared" ca="1" si="19"/>
        <v>10.149246875697106</v>
      </c>
      <c r="X129" s="15">
        <f t="shared" si="20"/>
        <v>10.5</v>
      </c>
      <c r="Y129" s="15">
        <f t="shared" si="21"/>
        <v>9.5</v>
      </c>
      <c r="Z129" s="15">
        <f t="shared" ca="1" si="22"/>
        <v>1</v>
      </c>
    </row>
    <row r="130" spans="12:26" x14ac:dyDescent="0.3">
      <c r="L130" s="15">
        <v>128</v>
      </c>
      <c r="M130" s="15">
        <f t="shared" si="14"/>
        <v>10</v>
      </c>
      <c r="N130" s="15">
        <f t="shared" ca="1" si="15"/>
        <v>-0.17448534494603152</v>
      </c>
      <c r="O130" s="15">
        <f t="shared" ca="1" si="24"/>
        <v>2.6135270830605415</v>
      </c>
      <c r="P130" s="15">
        <f t="shared" ca="1" si="23"/>
        <v>2.6135270722707564</v>
      </c>
      <c r="Q130" s="15">
        <v>0</v>
      </c>
      <c r="R130" s="15">
        <f t="shared" ca="1" si="16"/>
        <v>2.6135270722707564</v>
      </c>
      <c r="S130" s="15">
        <f t="shared" ca="1" si="25"/>
        <v>10.167692055132756</v>
      </c>
      <c r="T130" s="15">
        <f t="shared" ca="1" si="17"/>
        <v>6.7933091346209871E-3</v>
      </c>
      <c r="U130" s="15">
        <f t="shared" ca="1" si="18"/>
        <v>10.174485364267376</v>
      </c>
      <c r="V130" s="15">
        <f t="shared" ca="1" si="19"/>
        <v>10.174485344946032</v>
      </c>
      <c r="X130" s="15">
        <f t="shared" si="20"/>
        <v>10.5</v>
      </c>
      <c r="Y130" s="15">
        <f t="shared" si="21"/>
        <v>9.5</v>
      </c>
      <c r="Z130" s="15">
        <f t="shared" ca="1" si="22"/>
        <v>1</v>
      </c>
    </row>
    <row r="131" spans="12:26" x14ac:dyDescent="0.3">
      <c r="L131" s="15">
        <v>129</v>
      </c>
      <c r="M131" s="15">
        <f t="shared" ref="M131:M194" si="26">IF(L131&lt;$D$16,$D$13,IF(L131&lt;$E$16,$E$13,$F$13))</f>
        <v>10</v>
      </c>
      <c r="N131" s="15">
        <f t="shared" ref="N131:N194" ca="1" si="27">M131-V131</f>
        <v>-0.19938937625833653</v>
      </c>
      <c r="O131" s="15">
        <f t="shared" ca="1" si="24"/>
        <v>2.6042491450145122</v>
      </c>
      <c r="P131" s="15">
        <f t="shared" ca="1" si="23"/>
        <v>2.6042491436480195</v>
      </c>
      <c r="Q131" s="15">
        <v>0</v>
      </c>
      <c r="R131" s="15">
        <f t="shared" ref="R131:R194" ca="1" si="28">P131+Q131</f>
        <v>2.6042491436480195</v>
      </c>
      <c r="S131" s="15">
        <f t="shared" ca="1" si="25"/>
        <v>10.193730595908793</v>
      </c>
      <c r="T131" s="15">
        <f t="shared" ref="T131:T194" ca="1" si="29">RAND()*$G$12</f>
        <v>5.6587952998029475E-3</v>
      </c>
      <c r="U131" s="15">
        <f t="shared" ref="U131:U194" ca="1" si="30">S131+T131</f>
        <v>10.199389391208596</v>
      </c>
      <c r="V131" s="15">
        <f t="shared" ref="V131:V194" ca="1" si="31">INT((2^$J$12-1)*U131/100)/(2^$J$12-1)*100</f>
        <v>10.199389376258337</v>
      </c>
      <c r="X131" s="15">
        <f t="shared" ref="X131:X194" si="32">M131 * 1.05</f>
        <v>10.5</v>
      </c>
      <c r="Y131" s="15">
        <f t="shared" ref="Y131:Y194" si="33">M131 * 0.95</f>
        <v>9.5</v>
      </c>
      <c r="Z131" s="15">
        <f t="shared" ref="Z131:Z194" ca="1" si="34">IF(AND(V131 &lt;= X131, V131 &gt;= Y131), 1, 0)</f>
        <v>1</v>
      </c>
    </row>
    <row r="132" spans="12:26" x14ac:dyDescent="0.3">
      <c r="L132" s="15">
        <v>130</v>
      </c>
      <c r="M132" s="15">
        <f t="shared" si="26"/>
        <v>10</v>
      </c>
      <c r="N132" s="15">
        <f t="shared" ca="1" si="27"/>
        <v>-0.2206998761325849</v>
      </c>
      <c r="O132" s="15">
        <f t="shared" ca="1" si="24"/>
        <v>2.6042491450145122</v>
      </c>
      <c r="P132" s="15">
        <f t="shared" ca="1" si="23"/>
        <v>2.6042491436480195</v>
      </c>
      <c r="Q132" s="15">
        <v>0</v>
      </c>
      <c r="R132" s="15">
        <f t="shared" ca="1" si="28"/>
        <v>2.6042491436480195</v>
      </c>
      <c r="S132" s="15">
        <f t="shared" ca="1" si="25"/>
        <v>10.218134043797926</v>
      </c>
      <c r="T132" s="15">
        <f t="shared" ca="1" si="29"/>
        <v>2.5658368641702746E-3</v>
      </c>
      <c r="U132" s="15">
        <f t="shared" ca="1" si="30"/>
        <v>10.220699880662096</v>
      </c>
      <c r="V132" s="15">
        <f t="shared" ca="1" si="31"/>
        <v>10.220699876132585</v>
      </c>
      <c r="X132" s="15">
        <f t="shared" si="32"/>
        <v>10.5</v>
      </c>
      <c r="Y132" s="15">
        <f t="shared" si="33"/>
        <v>9.5</v>
      </c>
      <c r="Z132" s="15">
        <f t="shared" ca="1" si="34"/>
        <v>1</v>
      </c>
    </row>
    <row r="133" spans="12:26" x14ac:dyDescent="0.3">
      <c r="L133" s="15">
        <v>131</v>
      </c>
      <c r="M133" s="15">
        <f t="shared" si="26"/>
        <v>10</v>
      </c>
      <c r="N133" s="15">
        <f t="shared" ca="1" si="27"/>
        <v>-0.24837896932111647</v>
      </c>
      <c r="O133" s="15">
        <f t="shared" ca="1" si="24"/>
        <v>2.6042491450145122</v>
      </c>
      <c r="P133" s="15">
        <f t="shared" ca="1" si="23"/>
        <v>2.6042491436480195</v>
      </c>
      <c r="Q133" s="15">
        <v>0</v>
      </c>
      <c r="R133" s="15">
        <f t="shared" ca="1" si="28"/>
        <v>2.6042491436480195</v>
      </c>
      <c r="S133" s="15">
        <f t="shared" ca="1" si="25"/>
        <v>10.241006734136423</v>
      </c>
      <c r="T133" s="15">
        <f t="shared" ca="1" si="29"/>
        <v>7.3722369219818822E-3</v>
      </c>
      <c r="U133" s="15">
        <f t="shared" ca="1" si="30"/>
        <v>10.248378971058406</v>
      </c>
      <c r="V133" s="15">
        <f t="shared" ca="1" si="31"/>
        <v>10.248378969321116</v>
      </c>
      <c r="X133" s="15">
        <f t="shared" si="32"/>
        <v>10.5</v>
      </c>
      <c r="Y133" s="15">
        <f t="shared" si="33"/>
        <v>9.5</v>
      </c>
      <c r="Z133" s="15">
        <f t="shared" ca="1" si="34"/>
        <v>1</v>
      </c>
    </row>
    <row r="134" spans="12:26" x14ac:dyDescent="0.3">
      <c r="L134" s="15">
        <v>132</v>
      </c>
      <c r="M134" s="15">
        <f t="shared" si="26"/>
        <v>10</v>
      </c>
      <c r="N134" s="15">
        <f t="shared" ca="1" si="27"/>
        <v>-0.27054188546504321</v>
      </c>
      <c r="O134" s="15">
        <f t="shared" ca="1" si="24"/>
        <v>2.5957074154319155</v>
      </c>
      <c r="P134" s="15">
        <f t="shared" ca="1" si="23"/>
        <v>2.5957074022376228</v>
      </c>
      <c r="Q134" s="15">
        <v>0</v>
      </c>
      <c r="R134" s="15">
        <f t="shared" ca="1" si="28"/>
        <v>2.5957074022376228</v>
      </c>
      <c r="S134" s="15">
        <f t="shared" ca="1" si="25"/>
        <v>10.262414607542096</v>
      </c>
      <c r="T134" s="15">
        <f t="shared" ca="1" si="29"/>
        <v>8.1272851265643993E-3</v>
      </c>
      <c r="U134" s="15">
        <f t="shared" ca="1" si="30"/>
        <v>10.27054189266866</v>
      </c>
      <c r="V134" s="15">
        <f t="shared" ca="1" si="31"/>
        <v>10.270541885465043</v>
      </c>
      <c r="X134" s="15">
        <f t="shared" si="32"/>
        <v>10.5</v>
      </c>
      <c r="Y134" s="15">
        <f t="shared" si="33"/>
        <v>9.5</v>
      </c>
      <c r="Z134" s="15">
        <f t="shared" ca="1" si="34"/>
        <v>1</v>
      </c>
    </row>
    <row r="135" spans="12:26" x14ac:dyDescent="0.3">
      <c r="L135" s="15">
        <v>133</v>
      </c>
      <c r="M135" s="15">
        <f t="shared" si="26"/>
        <v>10</v>
      </c>
      <c r="N135" s="15">
        <f t="shared" ca="1" si="27"/>
        <v>-0.28265781008700408</v>
      </c>
      <c r="O135" s="15">
        <f t="shared" ca="1" si="24"/>
        <v>2.5957074154319155</v>
      </c>
      <c r="P135" s="15">
        <f t="shared" ca="1" si="23"/>
        <v>2.5957074022376228</v>
      </c>
      <c r="Q135" s="15">
        <v>0</v>
      </c>
      <c r="R135" s="15">
        <f t="shared" ca="1" si="28"/>
        <v>2.5957074022376228</v>
      </c>
      <c r="S135" s="15">
        <f t="shared" ca="1" si="25"/>
        <v>10.282422829124741</v>
      </c>
      <c r="T135" s="15">
        <f t="shared" ca="1" si="29"/>
        <v>2.3499596651524568E-4</v>
      </c>
      <c r="U135" s="15">
        <f t="shared" ca="1" si="30"/>
        <v>10.282657825091256</v>
      </c>
      <c r="V135" s="15">
        <f t="shared" ca="1" si="31"/>
        <v>10.282657810087004</v>
      </c>
      <c r="X135" s="15">
        <f t="shared" si="32"/>
        <v>10.5</v>
      </c>
      <c r="Y135" s="15">
        <f t="shared" si="33"/>
        <v>9.5</v>
      </c>
      <c r="Z135" s="15">
        <f t="shared" ca="1" si="34"/>
        <v>1</v>
      </c>
    </row>
    <row r="136" spans="12:26" x14ac:dyDescent="0.3">
      <c r="L136" s="15">
        <v>134</v>
      </c>
      <c r="M136" s="15">
        <f t="shared" si="26"/>
        <v>10</v>
      </c>
      <c r="N136" s="15">
        <f t="shared" ca="1" si="27"/>
        <v>-0.30921566074462881</v>
      </c>
      <c r="O136" s="15">
        <f t="shared" ca="1" si="24"/>
        <v>2.5957074154319155</v>
      </c>
      <c r="P136" s="15">
        <f t="shared" ca="1" si="23"/>
        <v>2.5957074022376228</v>
      </c>
      <c r="Q136" s="15">
        <v>0</v>
      </c>
      <c r="R136" s="15">
        <f t="shared" ca="1" si="28"/>
        <v>2.5957074022376228</v>
      </c>
      <c r="S136" s="15">
        <f t="shared" ca="1" si="25"/>
        <v>10.30112443833119</v>
      </c>
      <c r="T136" s="15">
        <f t="shared" ca="1" si="29"/>
        <v>8.091231517661791E-3</v>
      </c>
      <c r="U136" s="15">
        <f t="shared" ca="1" si="30"/>
        <v>10.309215669848852</v>
      </c>
      <c r="V136" s="15">
        <f t="shared" ca="1" si="31"/>
        <v>10.309215660744629</v>
      </c>
      <c r="X136" s="15">
        <f t="shared" si="32"/>
        <v>10.5</v>
      </c>
      <c r="Y136" s="15">
        <f t="shared" si="33"/>
        <v>9.5</v>
      </c>
      <c r="Z136" s="15">
        <f t="shared" ca="1" si="34"/>
        <v>1</v>
      </c>
    </row>
    <row r="137" spans="12:26" x14ac:dyDescent="0.3">
      <c r="L137" s="15">
        <v>135</v>
      </c>
      <c r="M137" s="15">
        <f t="shared" si="26"/>
        <v>10</v>
      </c>
      <c r="N137" s="15">
        <f t="shared" ca="1" si="27"/>
        <v>-0.32047469874854961</v>
      </c>
      <c r="O137" s="15">
        <f t="shared" ca="1" si="24"/>
        <v>2.5936486183134346</v>
      </c>
      <c r="P137" s="15">
        <f t="shared" ca="1" si="23"/>
        <v>2.5936485972706342</v>
      </c>
      <c r="Q137" s="15">
        <v>0</v>
      </c>
      <c r="R137" s="15">
        <f t="shared" ca="1" si="28"/>
        <v>2.5936485972706342</v>
      </c>
      <c r="S137" s="15">
        <f t="shared" ca="1" si="25"/>
        <v>10.318627877425445</v>
      </c>
      <c r="T137" s="15">
        <f t="shared" ca="1" si="29"/>
        <v>1.8468254530644257E-3</v>
      </c>
      <c r="U137" s="15">
        <f t="shared" ca="1" si="30"/>
        <v>10.32047470287851</v>
      </c>
      <c r="V137" s="15">
        <f t="shared" ca="1" si="31"/>
        <v>10.32047469874855</v>
      </c>
      <c r="X137" s="15">
        <f t="shared" si="32"/>
        <v>10.5</v>
      </c>
      <c r="Y137" s="15">
        <f t="shared" si="33"/>
        <v>9.5</v>
      </c>
      <c r="Z137" s="15">
        <f t="shared" ca="1" si="34"/>
        <v>1</v>
      </c>
    </row>
    <row r="138" spans="12:26" x14ac:dyDescent="0.3">
      <c r="L138" s="15">
        <v>136</v>
      </c>
      <c r="M138" s="15">
        <f t="shared" si="26"/>
        <v>10</v>
      </c>
      <c r="N138" s="15">
        <f t="shared" ca="1" si="27"/>
        <v>-0.33503203893430467</v>
      </c>
      <c r="O138" s="15">
        <f t="shared" ca="1" si="24"/>
        <v>2.5936486183134346</v>
      </c>
      <c r="P138" s="15">
        <f t="shared" ca="1" si="23"/>
        <v>2.5936485972706342</v>
      </c>
      <c r="Q138" s="15">
        <v>0</v>
      </c>
      <c r="R138" s="15">
        <f t="shared" ca="1" si="28"/>
        <v>2.5936485972706342</v>
      </c>
      <c r="S138" s="15">
        <f t="shared" ca="1" si="25"/>
        <v>10.33503193178972</v>
      </c>
      <c r="T138" s="15">
        <f t="shared" ca="1" si="29"/>
        <v>1.1066313717056353E-7</v>
      </c>
      <c r="U138" s="15">
        <f t="shared" ca="1" si="30"/>
        <v>10.335032042452857</v>
      </c>
      <c r="V138" s="15">
        <f t="shared" ca="1" si="31"/>
        <v>10.335032038934305</v>
      </c>
      <c r="X138" s="15">
        <f t="shared" si="32"/>
        <v>10.5</v>
      </c>
      <c r="Y138" s="15">
        <f t="shared" si="33"/>
        <v>9.5</v>
      </c>
      <c r="Z138" s="15">
        <f t="shared" ca="1" si="34"/>
        <v>1</v>
      </c>
    </row>
    <row r="139" spans="12:26" x14ac:dyDescent="0.3">
      <c r="L139" s="15">
        <v>137</v>
      </c>
      <c r="M139" s="15">
        <f t="shared" si="26"/>
        <v>10</v>
      </c>
      <c r="N139" s="15">
        <f t="shared" ca="1" si="27"/>
        <v>-0.3568659653786721</v>
      </c>
      <c r="O139" s="15">
        <f t="shared" ca="1" si="24"/>
        <v>2.5936486183134346</v>
      </c>
      <c r="P139" s="15">
        <f t="shared" ca="1" si="23"/>
        <v>2.5936485972706342</v>
      </c>
      <c r="Q139" s="15">
        <v>0</v>
      </c>
      <c r="R139" s="15">
        <f t="shared" ca="1" si="28"/>
        <v>2.5936485972706342</v>
      </c>
      <c r="S139" s="15">
        <f t="shared" ca="1" si="25"/>
        <v>10.350406770341699</v>
      </c>
      <c r="T139" s="15">
        <f t="shared" ca="1" si="29"/>
        <v>6.4592055392648437E-3</v>
      </c>
      <c r="U139" s="15">
        <f t="shared" ca="1" si="30"/>
        <v>10.356865975880964</v>
      </c>
      <c r="V139" s="15">
        <f t="shared" ca="1" si="31"/>
        <v>10.356865965378672</v>
      </c>
      <c r="X139" s="15">
        <f t="shared" si="32"/>
        <v>10.5</v>
      </c>
      <c r="Y139" s="15">
        <f t="shared" si="33"/>
        <v>9.5</v>
      </c>
      <c r="Z139" s="15">
        <f t="shared" ca="1" si="34"/>
        <v>1</v>
      </c>
    </row>
    <row r="140" spans="12:26" x14ac:dyDescent="0.3">
      <c r="L140" s="15">
        <v>138</v>
      </c>
      <c r="M140" s="15">
        <f t="shared" si="26"/>
        <v>10</v>
      </c>
      <c r="N140" s="15">
        <f t="shared" ca="1" si="27"/>
        <v>-0.37001018653856832</v>
      </c>
      <c r="O140" s="15">
        <f t="shared" ca="1" si="24"/>
        <v>2.5781913196608688</v>
      </c>
      <c r="P140" s="15">
        <f t="shared" ca="1" si="23"/>
        <v>2.578191296797756</v>
      </c>
      <c r="Q140" s="15">
        <v>0</v>
      </c>
      <c r="R140" s="15">
        <f t="shared" ca="1" si="28"/>
        <v>2.578191296797756</v>
      </c>
      <c r="S140" s="15">
        <f t="shared" ca="1" si="25"/>
        <v>10.364690021798319</v>
      </c>
      <c r="T140" s="15">
        <f t="shared" ca="1" si="29"/>
        <v>5.3201847704128892E-3</v>
      </c>
      <c r="U140" s="15">
        <f t="shared" ca="1" si="30"/>
        <v>10.370010206568733</v>
      </c>
      <c r="V140" s="15">
        <f t="shared" ca="1" si="31"/>
        <v>10.370010186538568</v>
      </c>
      <c r="X140" s="15">
        <f t="shared" si="32"/>
        <v>10.5</v>
      </c>
      <c r="Y140" s="15">
        <f t="shared" si="33"/>
        <v>9.5</v>
      </c>
      <c r="Z140" s="15">
        <f t="shared" ca="1" si="34"/>
        <v>1</v>
      </c>
    </row>
    <row r="141" spans="12:26" x14ac:dyDescent="0.3">
      <c r="L141" s="15">
        <v>139</v>
      </c>
      <c r="M141" s="15">
        <f t="shared" si="26"/>
        <v>10</v>
      </c>
      <c r="N141" s="15">
        <f t="shared" ca="1" si="27"/>
        <v>-0.38716228455006174</v>
      </c>
      <c r="O141" s="15">
        <f t="shared" ca="1" si="24"/>
        <v>2.5781913196608688</v>
      </c>
      <c r="P141" s="15">
        <f t="shared" ref="P141:P204" ca="1" si="35">INT((2^$J$12-1)*O141/100)/(2^$J$12-1)*100</f>
        <v>2.578191296797756</v>
      </c>
      <c r="Q141" s="15">
        <v>0</v>
      </c>
      <c r="R141" s="15">
        <f t="shared" ca="1" si="28"/>
        <v>2.578191296797756</v>
      </c>
      <c r="S141" s="15">
        <f t="shared" ca="1" si="25"/>
        <v>10.377837511286788</v>
      </c>
      <c r="T141" s="15">
        <f t="shared" ca="1" si="29"/>
        <v>9.3247921976675214E-3</v>
      </c>
      <c r="U141" s="15">
        <f t="shared" ca="1" si="30"/>
        <v>10.387162303484455</v>
      </c>
      <c r="V141" s="15">
        <f t="shared" ca="1" si="31"/>
        <v>10.387162284550062</v>
      </c>
      <c r="X141" s="15">
        <f t="shared" si="32"/>
        <v>10.5</v>
      </c>
      <c r="Y141" s="15">
        <f t="shared" si="33"/>
        <v>9.5</v>
      </c>
      <c r="Z141" s="15">
        <f t="shared" ca="1" si="34"/>
        <v>1</v>
      </c>
    </row>
    <row r="142" spans="12:26" x14ac:dyDescent="0.3">
      <c r="L142" s="15">
        <v>140</v>
      </c>
      <c r="M142" s="15">
        <f t="shared" si="26"/>
        <v>10</v>
      </c>
      <c r="N142" s="15">
        <f t="shared" ca="1" si="27"/>
        <v>-0.39395816866167799</v>
      </c>
      <c r="O142" s="15">
        <f t="shared" ca="1" si="24"/>
        <v>2.5781913196608688</v>
      </c>
      <c r="P142" s="15">
        <f t="shared" ca="1" si="35"/>
        <v>2.578191296797756</v>
      </c>
      <c r="Q142" s="15">
        <v>0</v>
      </c>
      <c r="R142" s="15">
        <f t="shared" ca="1" si="28"/>
        <v>2.578191296797756</v>
      </c>
      <c r="S142" s="15">
        <f t="shared" ca="1" si="25"/>
        <v>10.389937799313962</v>
      </c>
      <c r="T142" s="15">
        <f t="shared" ca="1" si="29"/>
        <v>4.0203868173384607E-3</v>
      </c>
      <c r="U142" s="15">
        <f t="shared" ca="1" si="30"/>
        <v>10.3939581861313</v>
      </c>
      <c r="V142" s="15">
        <f t="shared" ca="1" si="31"/>
        <v>10.393958168661678</v>
      </c>
      <c r="X142" s="15">
        <f t="shared" si="32"/>
        <v>10.5</v>
      </c>
      <c r="Y142" s="15">
        <f t="shared" si="33"/>
        <v>9.5</v>
      </c>
      <c r="Z142" s="15">
        <f t="shared" ca="1" si="34"/>
        <v>1</v>
      </c>
    </row>
    <row r="143" spans="12:26" x14ac:dyDescent="0.3">
      <c r="L143" s="15">
        <v>141</v>
      </c>
      <c r="M143" s="15">
        <f t="shared" si="26"/>
        <v>10</v>
      </c>
      <c r="N143" s="15">
        <f t="shared" ca="1" si="27"/>
        <v>-0.40324594602064323</v>
      </c>
      <c r="O143" s="15">
        <f t="shared" ca="1" si="24"/>
        <v>2.5743967506373711</v>
      </c>
      <c r="P143" s="15">
        <f t="shared" ca="1" si="35"/>
        <v>2.5743967393819234</v>
      </c>
      <c r="Q143" s="15">
        <v>0</v>
      </c>
      <c r="R143" s="15">
        <f t="shared" ca="1" si="28"/>
        <v>2.5743967393819234</v>
      </c>
      <c r="S143" s="15">
        <f t="shared" ca="1" si="25"/>
        <v>10.401069243138684</v>
      </c>
      <c r="T143" s="15">
        <f t="shared" ca="1" si="29"/>
        <v>2.1767219388379158E-3</v>
      </c>
      <c r="U143" s="15">
        <f t="shared" ca="1" si="30"/>
        <v>10.403245965077522</v>
      </c>
      <c r="V143" s="15">
        <f t="shared" ca="1" si="31"/>
        <v>10.403245946020643</v>
      </c>
      <c r="X143" s="15">
        <f t="shared" si="32"/>
        <v>10.5</v>
      </c>
      <c r="Y143" s="15">
        <f t="shared" si="33"/>
        <v>9.5</v>
      </c>
      <c r="Z143" s="15">
        <f t="shared" ca="1" si="34"/>
        <v>1</v>
      </c>
    </row>
    <row r="144" spans="12:26" x14ac:dyDescent="0.3">
      <c r="L144" s="15">
        <v>142</v>
      </c>
      <c r="M144" s="15">
        <f t="shared" si="26"/>
        <v>10</v>
      </c>
      <c r="N144" s="15">
        <f t="shared" ca="1" si="27"/>
        <v>-0.41750088576634958</v>
      </c>
      <c r="O144" s="15">
        <f t="shared" ca="1" si="24"/>
        <v>2.5743967506373711</v>
      </c>
      <c r="P144" s="15">
        <f t="shared" ca="1" si="35"/>
        <v>2.5743967393819234</v>
      </c>
      <c r="Q144" s="15">
        <v>0</v>
      </c>
      <c r="R144" s="15">
        <f t="shared" ca="1" si="28"/>
        <v>2.5743967393819234</v>
      </c>
      <c r="S144" s="15">
        <f t="shared" ca="1" si="25"/>
        <v>10.411304501503697</v>
      </c>
      <c r="T144" s="15">
        <f t="shared" ca="1" si="29"/>
        <v>6.1964047023664861E-3</v>
      </c>
      <c r="U144" s="15">
        <f t="shared" ca="1" si="30"/>
        <v>10.417500906206064</v>
      </c>
      <c r="V144" s="15">
        <f t="shared" ca="1" si="31"/>
        <v>10.41750088576635</v>
      </c>
      <c r="X144" s="15">
        <f t="shared" si="32"/>
        <v>10.5</v>
      </c>
      <c r="Y144" s="15">
        <f t="shared" si="33"/>
        <v>9.5</v>
      </c>
      <c r="Z144" s="15">
        <f t="shared" ca="1" si="34"/>
        <v>1</v>
      </c>
    </row>
    <row r="145" spans="12:26" x14ac:dyDescent="0.3">
      <c r="L145" s="15">
        <v>143</v>
      </c>
      <c r="M145" s="15">
        <f t="shared" si="26"/>
        <v>10</v>
      </c>
      <c r="N145" s="15">
        <f t="shared" ca="1" si="27"/>
        <v>-0.42773809992422684</v>
      </c>
      <c r="O145" s="15">
        <f t="shared" ca="1" si="24"/>
        <v>2.5743967506373711</v>
      </c>
      <c r="P145" s="15">
        <f t="shared" ca="1" si="35"/>
        <v>2.5743967393819234</v>
      </c>
      <c r="Q145" s="15">
        <v>0</v>
      </c>
      <c r="R145" s="15">
        <f t="shared" ca="1" si="28"/>
        <v>2.5743967393819234</v>
      </c>
      <c r="S145" s="15">
        <f t="shared" ca="1" si="25"/>
        <v>10.420714041596483</v>
      </c>
      <c r="T145" s="15">
        <f t="shared" ca="1" si="29"/>
        <v>7.0240671519488183E-3</v>
      </c>
      <c r="U145" s="15">
        <f t="shared" ca="1" si="30"/>
        <v>10.427738108748432</v>
      </c>
      <c r="V145" s="15">
        <f t="shared" ca="1" si="31"/>
        <v>10.427738099924227</v>
      </c>
      <c r="X145" s="15">
        <f t="shared" si="32"/>
        <v>10.5</v>
      </c>
      <c r="Y145" s="15">
        <f t="shared" si="33"/>
        <v>9.5</v>
      </c>
      <c r="Z145" s="15">
        <f t="shared" ca="1" si="34"/>
        <v>1</v>
      </c>
    </row>
    <row r="146" spans="12:26" x14ac:dyDescent="0.3">
      <c r="L146" s="15">
        <v>144</v>
      </c>
      <c r="M146" s="15">
        <f t="shared" si="26"/>
        <v>10</v>
      </c>
      <c r="N146" s="15">
        <f t="shared" ca="1" si="27"/>
        <v>-0.4294802784988363</v>
      </c>
      <c r="O146" s="15">
        <f t="shared" ca="1" si="24"/>
        <v>2.565699569516525</v>
      </c>
      <c r="P146" s="15">
        <f t="shared" ca="1" si="35"/>
        <v>2.5656995602337878</v>
      </c>
      <c r="Q146" s="15">
        <v>0</v>
      </c>
      <c r="R146" s="15">
        <f t="shared" ca="1" si="28"/>
        <v>2.5656995602337878</v>
      </c>
      <c r="S146" s="15">
        <f t="shared" ca="1" si="25"/>
        <v>10.42932894334661</v>
      </c>
      <c r="T146" s="15">
        <f t="shared" ca="1" si="29"/>
        <v>1.5134225224009757E-4</v>
      </c>
      <c r="U146" s="15">
        <f t="shared" ca="1" si="30"/>
        <v>10.429480285598849</v>
      </c>
      <c r="V146" s="15">
        <f t="shared" ca="1" si="31"/>
        <v>10.429480278498836</v>
      </c>
      <c r="X146" s="15">
        <f t="shared" si="32"/>
        <v>10.5</v>
      </c>
      <c r="Y146" s="15">
        <f t="shared" si="33"/>
        <v>9.5</v>
      </c>
      <c r="Z146" s="15">
        <f t="shared" ca="1" si="34"/>
        <v>1</v>
      </c>
    </row>
    <row r="147" spans="12:26" x14ac:dyDescent="0.3">
      <c r="L147" s="15">
        <v>145</v>
      </c>
      <c r="M147" s="15">
        <f t="shared" si="26"/>
        <v>10</v>
      </c>
      <c r="N147" s="15">
        <f t="shared" ca="1" si="27"/>
        <v>-0.44576619994960964</v>
      </c>
      <c r="O147" s="15">
        <f t="shared" ca="1" si="24"/>
        <v>2.565699569516525</v>
      </c>
      <c r="P147" s="15">
        <f t="shared" ca="1" si="35"/>
        <v>2.5656995602337878</v>
      </c>
      <c r="Q147" s="15">
        <v>0</v>
      </c>
      <c r="R147" s="15">
        <f t="shared" ca="1" si="28"/>
        <v>2.5656995602337878</v>
      </c>
      <c r="S147" s="15">
        <f t="shared" ca="1" si="25"/>
        <v>10.437181203841819</v>
      </c>
      <c r="T147" s="15">
        <f t="shared" ca="1" si="29"/>
        <v>8.5850051232704699E-3</v>
      </c>
      <c r="U147" s="15">
        <f t="shared" ca="1" si="30"/>
        <v>10.44576620896509</v>
      </c>
      <c r="V147" s="15">
        <f t="shared" ca="1" si="31"/>
        <v>10.44576619994961</v>
      </c>
      <c r="X147" s="15">
        <f t="shared" si="32"/>
        <v>10.5</v>
      </c>
      <c r="Y147" s="15">
        <f t="shared" si="33"/>
        <v>9.5</v>
      </c>
      <c r="Z147" s="15">
        <f t="shared" ca="1" si="34"/>
        <v>1</v>
      </c>
    </row>
    <row r="148" spans="12:26" x14ac:dyDescent="0.3">
      <c r="L148" s="15">
        <v>146</v>
      </c>
      <c r="M148" s="15">
        <f t="shared" si="26"/>
        <v>10</v>
      </c>
      <c r="N148" s="15">
        <f t="shared" ca="1" si="27"/>
        <v>-0.45332106539358463</v>
      </c>
      <c r="O148" s="15">
        <f t="shared" ca="1" si="24"/>
        <v>2.565699569516525</v>
      </c>
      <c r="P148" s="15">
        <f t="shared" ca="1" si="35"/>
        <v>2.5656995602337878</v>
      </c>
      <c r="Q148" s="15">
        <v>0</v>
      </c>
      <c r="R148" s="15">
        <f t="shared" ca="1" si="28"/>
        <v>2.5656995602337878</v>
      </c>
      <c r="S148" s="15">
        <f t="shared" ca="1" si="25"/>
        <v>10.444334417833701</v>
      </c>
      <c r="T148" s="15">
        <f t="shared" ca="1" si="29"/>
        <v>8.9866482586243353E-3</v>
      </c>
      <c r="U148" s="15">
        <f t="shared" ca="1" si="30"/>
        <v>10.453321066092325</v>
      </c>
      <c r="V148" s="15">
        <f t="shared" ca="1" si="31"/>
        <v>10.453321065393585</v>
      </c>
      <c r="X148" s="15">
        <f t="shared" si="32"/>
        <v>10.5</v>
      </c>
      <c r="Y148" s="15">
        <f t="shared" si="33"/>
        <v>9.5</v>
      </c>
      <c r="Z148" s="15">
        <f t="shared" ca="1" si="34"/>
        <v>1</v>
      </c>
    </row>
    <row r="149" spans="12:26" x14ac:dyDescent="0.3">
      <c r="L149" s="15">
        <v>147</v>
      </c>
      <c r="M149" s="15">
        <f t="shared" si="26"/>
        <v>10</v>
      </c>
      <c r="N149" s="15">
        <f t="shared" ca="1" si="27"/>
        <v>-0.45186703802362693</v>
      </c>
      <c r="O149" s="15">
        <f t="shared" ca="1" si="24"/>
        <v>2.5553252683755199</v>
      </c>
      <c r="P149" s="15">
        <f t="shared" ca="1" si="35"/>
        <v>2.5553252553928938</v>
      </c>
      <c r="Q149" s="15">
        <v>0</v>
      </c>
      <c r="R149" s="15">
        <f t="shared" ca="1" si="28"/>
        <v>2.5553252553928938</v>
      </c>
      <c r="S149" s="15">
        <f t="shared" ca="1" si="25"/>
        <v>10.450731459885096</v>
      </c>
      <c r="T149" s="15">
        <f t="shared" ca="1" si="29"/>
        <v>1.1355851623586644E-3</v>
      </c>
      <c r="U149" s="15">
        <f t="shared" ca="1" si="30"/>
        <v>10.451867045047456</v>
      </c>
      <c r="V149" s="15">
        <f t="shared" ca="1" si="31"/>
        <v>10.451867038023627</v>
      </c>
      <c r="X149" s="15">
        <f t="shared" si="32"/>
        <v>10.5</v>
      </c>
      <c r="Y149" s="15">
        <f t="shared" si="33"/>
        <v>9.5</v>
      </c>
      <c r="Z149" s="15">
        <f t="shared" ca="1" si="34"/>
        <v>1</v>
      </c>
    </row>
    <row r="150" spans="12:26" x14ac:dyDescent="0.3">
      <c r="L150" s="15">
        <v>148</v>
      </c>
      <c r="M150" s="15">
        <f t="shared" si="26"/>
        <v>10</v>
      </c>
      <c r="N150" s="15">
        <f t="shared" ca="1" si="27"/>
        <v>-0.45766284467132401</v>
      </c>
      <c r="O150" s="15">
        <f t="shared" ca="1" si="24"/>
        <v>2.5553252683755199</v>
      </c>
      <c r="P150" s="15">
        <f t="shared" ca="1" si="35"/>
        <v>2.5553252553928938</v>
      </c>
      <c r="Q150" s="15">
        <v>0</v>
      </c>
      <c r="R150" s="15">
        <f t="shared" ca="1" si="28"/>
        <v>2.5553252553928938</v>
      </c>
      <c r="S150" s="15">
        <f t="shared" ca="1" si="25"/>
        <v>10.456330768613586</v>
      </c>
      <c r="T150" s="15">
        <f t="shared" ca="1" si="29"/>
        <v>1.3320761980754104E-3</v>
      </c>
      <c r="U150" s="15">
        <f t="shared" ca="1" si="30"/>
        <v>10.457662844811662</v>
      </c>
      <c r="V150" s="15">
        <f t="shared" ca="1" si="31"/>
        <v>10.457662844671324</v>
      </c>
      <c r="X150" s="15">
        <f t="shared" si="32"/>
        <v>10.5</v>
      </c>
      <c r="Y150" s="15">
        <f t="shared" si="33"/>
        <v>9.5</v>
      </c>
      <c r="Z150" s="15">
        <f t="shared" ca="1" si="34"/>
        <v>1</v>
      </c>
    </row>
    <row r="151" spans="12:26" x14ac:dyDescent="0.3">
      <c r="L151" s="15">
        <v>149</v>
      </c>
      <c r="M151" s="15">
        <f t="shared" si="26"/>
        <v>10</v>
      </c>
      <c r="N151" s="15">
        <f t="shared" ca="1" si="27"/>
        <v>-0.46796390099170715</v>
      </c>
      <c r="O151" s="15">
        <f t="shared" ref="O151:O214" ca="1" si="36">IF(MOD(L151,$B$11)=0,OFFSET(O151,-$B$11,0)+ $E$2*N151+$E$3*OFFSET(N151,-$B$11,0)+ $E$4*OFFSET(N151,-2* $B$11,0), O150)</f>
        <v>2.5553252683755199</v>
      </c>
      <c r="P151" s="15">
        <f t="shared" ca="1" si="35"/>
        <v>2.5553252553928938</v>
      </c>
      <c r="Q151" s="15">
        <v>0</v>
      </c>
      <c r="R151" s="15">
        <f t="shared" ca="1" si="28"/>
        <v>2.5553252553928938</v>
      </c>
      <c r="S151" s="15">
        <f t="shared" ca="1" si="25"/>
        <v>10.4612099223325</v>
      </c>
      <c r="T151" s="15">
        <f t="shared" ca="1" si="29"/>
        <v>6.753990609780775E-3</v>
      </c>
      <c r="U151" s="15">
        <f t="shared" ca="1" si="30"/>
        <v>10.467963912942281</v>
      </c>
      <c r="V151" s="15">
        <f t="shared" ca="1" si="31"/>
        <v>10.467963900991707</v>
      </c>
      <c r="X151" s="15">
        <f t="shared" si="32"/>
        <v>10.5</v>
      </c>
      <c r="Y151" s="15">
        <f t="shared" si="33"/>
        <v>9.5</v>
      </c>
      <c r="Z151" s="15">
        <f t="shared" ca="1" si="34"/>
        <v>1</v>
      </c>
    </row>
    <row r="152" spans="12:26" x14ac:dyDescent="0.3">
      <c r="L152" s="15">
        <v>150</v>
      </c>
      <c r="M152" s="15">
        <f t="shared" si="26"/>
        <v>10</v>
      </c>
      <c r="N152" s="15">
        <f t="shared" ca="1" si="27"/>
        <v>-0.4685625784258729</v>
      </c>
      <c r="O152" s="15">
        <f t="shared" ca="1" si="36"/>
        <v>2.5466978572515018</v>
      </c>
      <c r="P152" s="15">
        <f t="shared" ca="1" si="35"/>
        <v>2.5466978555886768</v>
      </c>
      <c r="Q152" s="15">
        <v>0</v>
      </c>
      <c r="R152" s="15">
        <f t="shared" ca="1" si="28"/>
        <v>2.5466978555886768</v>
      </c>
      <c r="S152" s="15">
        <f t="shared" ca="1" si="25"/>
        <v>10.465359438402613</v>
      </c>
      <c r="T152" s="15">
        <f t="shared" ca="1" si="29"/>
        <v>3.2031560441712847E-3</v>
      </c>
      <c r="U152" s="15">
        <f t="shared" ca="1" si="30"/>
        <v>10.468562594446784</v>
      </c>
      <c r="V152" s="15">
        <f t="shared" ca="1" si="31"/>
        <v>10.468562578425873</v>
      </c>
      <c r="X152" s="15">
        <f t="shared" si="32"/>
        <v>10.5</v>
      </c>
      <c r="Y152" s="15">
        <f t="shared" si="33"/>
        <v>9.5</v>
      </c>
      <c r="Z152" s="15">
        <f t="shared" ca="1" si="34"/>
        <v>1</v>
      </c>
    </row>
    <row r="153" spans="12:26" x14ac:dyDescent="0.3">
      <c r="L153" s="15">
        <v>151</v>
      </c>
      <c r="M153" s="15">
        <f t="shared" si="26"/>
        <v>10</v>
      </c>
      <c r="N153" s="15">
        <f t="shared" ca="1" si="27"/>
        <v>-0.47420141065358123</v>
      </c>
      <c r="O153" s="15">
        <f t="shared" ca="1" si="36"/>
        <v>2.5466978572515018</v>
      </c>
      <c r="P153" s="15">
        <f t="shared" ca="1" si="35"/>
        <v>2.5466978555886768</v>
      </c>
      <c r="Q153" s="15">
        <v>0</v>
      </c>
      <c r="R153" s="15">
        <f t="shared" ca="1" si="28"/>
        <v>2.5466978555886768</v>
      </c>
      <c r="S153" s="15">
        <f t="shared" ref="S153:S216" ca="1" si="37">$I$1*S152-$I$2*S151+$I$3*R132+$I$4*R131</f>
        <v>10.468777674717598</v>
      </c>
      <c r="T153" s="15">
        <f t="shared" ca="1" si="29"/>
        <v>5.4237395452616825E-3</v>
      </c>
      <c r="U153" s="15">
        <f t="shared" ca="1" si="30"/>
        <v>10.474201414262859</v>
      </c>
      <c r="V153" s="15">
        <f t="shared" ca="1" si="31"/>
        <v>10.474201410653581</v>
      </c>
      <c r="X153" s="15">
        <f t="shared" si="32"/>
        <v>10.5</v>
      </c>
      <c r="Y153" s="15">
        <f t="shared" si="33"/>
        <v>9.5</v>
      </c>
      <c r="Z153" s="15">
        <f t="shared" ca="1" si="34"/>
        <v>1</v>
      </c>
    </row>
    <row r="154" spans="12:26" x14ac:dyDescent="0.3">
      <c r="L154" s="15">
        <v>152</v>
      </c>
      <c r="M154" s="15">
        <f t="shared" si="26"/>
        <v>10</v>
      </c>
      <c r="N154" s="15">
        <f t="shared" ca="1" si="27"/>
        <v>-0.47349674871039937</v>
      </c>
      <c r="O154" s="15">
        <f t="shared" ca="1" si="36"/>
        <v>2.5466978572515018</v>
      </c>
      <c r="P154" s="15">
        <f t="shared" ca="1" si="35"/>
        <v>2.5466978555886768</v>
      </c>
      <c r="Q154" s="15">
        <v>0</v>
      </c>
      <c r="R154" s="15">
        <f t="shared" ca="1" si="28"/>
        <v>2.5466978555886768</v>
      </c>
      <c r="S154" s="15">
        <f t="shared" ca="1" si="37"/>
        <v>10.471542999317082</v>
      </c>
      <c r="T154" s="15">
        <f t="shared" ca="1" si="29"/>
        <v>1.9537604612501615E-3</v>
      </c>
      <c r="U154" s="15">
        <f t="shared" ca="1" si="30"/>
        <v>10.473496759778332</v>
      </c>
      <c r="V154" s="15">
        <f t="shared" ca="1" si="31"/>
        <v>10.473496748710399</v>
      </c>
      <c r="X154" s="15">
        <f t="shared" si="32"/>
        <v>10.5</v>
      </c>
      <c r="Y154" s="15">
        <f t="shared" si="33"/>
        <v>9.5</v>
      </c>
      <c r="Z154" s="15">
        <f t="shared" ca="1" si="34"/>
        <v>1</v>
      </c>
    </row>
    <row r="155" spans="12:26" x14ac:dyDescent="0.3">
      <c r="L155" s="15">
        <v>153</v>
      </c>
      <c r="M155" s="15">
        <f t="shared" si="26"/>
        <v>10</v>
      </c>
      <c r="N155" s="15">
        <f t="shared" ca="1" si="27"/>
        <v>-0.47691644878986139</v>
      </c>
      <c r="O155" s="15">
        <f t="shared" ca="1" si="36"/>
        <v>2.5409162776144565</v>
      </c>
      <c r="P155" s="15">
        <f t="shared" ca="1" si="35"/>
        <v>2.540916274893311</v>
      </c>
      <c r="Q155" s="15">
        <v>0</v>
      </c>
      <c r="R155" s="15">
        <f t="shared" ca="1" si="28"/>
        <v>2.540916274893311</v>
      </c>
      <c r="S155" s="15">
        <f t="shared" ca="1" si="37"/>
        <v>10.473652703074379</v>
      </c>
      <c r="T155" s="15">
        <f t="shared" ca="1" si="29"/>
        <v>3.2637567511798072E-3</v>
      </c>
      <c r="U155" s="15">
        <f t="shared" ca="1" si="30"/>
        <v>10.476916459825558</v>
      </c>
      <c r="V155" s="15">
        <f t="shared" ca="1" si="31"/>
        <v>10.476916448789861</v>
      </c>
      <c r="X155" s="15">
        <f t="shared" si="32"/>
        <v>10.5</v>
      </c>
      <c r="Y155" s="15">
        <f t="shared" si="33"/>
        <v>9.5</v>
      </c>
      <c r="Z155" s="15">
        <f t="shared" ca="1" si="34"/>
        <v>1</v>
      </c>
    </row>
    <row r="156" spans="12:26" x14ac:dyDescent="0.3">
      <c r="L156" s="15">
        <v>154</v>
      </c>
      <c r="M156" s="15">
        <f t="shared" si="26"/>
        <v>10</v>
      </c>
      <c r="N156" s="15">
        <f t="shared" ca="1" si="27"/>
        <v>-0.48478030378110226</v>
      </c>
      <c r="O156" s="15">
        <f t="shared" ca="1" si="36"/>
        <v>2.5409162776144565</v>
      </c>
      <c r="P156" s="15">
        <f t="shared" ca="1" si="35"/>
        <v>2.540916274893311</v>
      </c>
      <c r="Q156" s="15">
        <v>0</v>
      </c>
      <c r="R156" s="15">
        <f t="shared" ca="1" si="28"/>
        <v>2.540916274893311</v>
      </c>
      <c r="S156" s="15">
        <f t="shared" ca="1" si="37"/>
        <v>10.475110462783199</v>
      </c>
      <c r="T156" s="15">
        <f t="shared" ca="1" si="29"/>
        <v>9.6698551326847137E-3</v>
      </c>
      <c r="U156" s="15">
        <f t="shared" ca="1" si="30"/>
        <v>10.484780317915884</v>
      </c>
      <c r="V156" s="15">
        <f t="shared" ca="1" si="31"/>
        <v>10.484780303781102</v>
      </c>
      <c r="X156" s="15">
        <f t="shared" si="32"/>
        <v>10.5</v>
      </c>
      <c r="Y156" s="15">
        <f t="shared" si="33"/>
        <v>9.5</v>
      </c>
      <c r="Z156" s="15">
        <f t="shared" ca="1" si="34"/>
        <v>1</v>
      </c>
    </row>
    <row r="157" spans="12:26" x14ac:dyDescent="0.3">
      <c r="L157" s="15">
        <v>155</v>
      </c>
      <c r="M157" s="15">
        <f t="shared" si="26"/>
        <v>10</v>
      </c>
      <c r="N157" s="15">
        <f t="shared" ca="1" si="27"/>
        <v>-0.48320015205144884</v>
      </c>
      <c r="O157" s="15">
        <f t="shared" ca="1" si="36"/>
        <v>2.5409162776144565</v>
      </c>
      <c r="P157" s="15">
        <f t="shared" ca="1" si="35"/>
        <v>2.540916274893311</v>
      </c>
      <c r="Q157" s="15">
        <v>0</v>
      </c>
      <c r="R157" s="15">
        <f t="shared" ca="1" si="28"/>
        <v>2.540916274893311</v>
      </c>
      <c r="S157" s="15">
        <f t="shared" ca="1" si="37"/>
        <v>10.475992867965735</v>
      </c>
      <c r="T157" s="15">
        <f t="shared" ca="1" si="29"/>
        <v>7.2072858397201735E-3</v>
      </c>
      <c r="U157" s="15">
        <f t="shared" ca="1" si="30"/>
        <v>10.483200153805456</v>
      </c>
      <c r="V157" s="15">
        <f t="shared" ca="1" si="31"/>
        <v>10.483200152051449</v>
      </c>
      <c r="X157" s="15">
        <f t="shared" si="32"/>
        <v>10.5</v>
      </c>
      <c r="Y157" s="15">
        <f t="shared" si="33"/>
        <v>9.5</v>
      </c>
      <c r="Z157" s="15">
        <f t="shared" ca="1" si="34"/>
        <v>1</v>
      </c>
    </row>
    <row r="158" spans="12:26" x14ac:dyDescent="0.3">
      <c r="L158" s="15">
        <v>156</v>
      </c>
      <c r="M158" s="15">
        <f t="shared" si="26"/>
        <v>10</v>
      </c>
      <c r="N158" s="15">
        <f t="shared" ca="1" si="27"/>
        <v>-0.48194722050846295</v>
      </c>
      <c r="O158" s="15">
        <f t="shared" ca="1" si="36"/>
        <v>2.5325903000483208</v>
      </c>
      <c r="P158" s="15">
        <f t="shared" ca="1" si="35"/>
        <v>2.5325902976404389</v>
      </c>
      <c r="Q158" s="15">
        <v>0</v>
      </c>
      <c r="R158" s="15">
        <f t="shared" ca="1" si="28"/>
        <v>2.5325902976404389</v>
      </c>
      <c r="S158" s="15">
        <f t="shared" ca="1" si="37"/>
        <v>10.476351409839022</v>
      </c>
      <c r="T158" s="15">
        <f t="shared" ca="1" si="29"/>
        <v>5.5958279373856702E-3</v>
      </c>
      <c r="U158" s="15">
        <f t="shared" ca="1" si="30"/>
        <v>10.481947237776408</v>
      </c>
      <c r="V158" s="15">
        <f t="shared" ca="1" si="31"/>
        <v>10.481947220508463</v>
      </c>
      <c r="X158" s="15">
        <f t="shared" si="32"/>
        <v>10.5</v>
      </c>
      <c r="Y158" s="15">
        <f t="shared" si="33"/>
        <v>9.5</v>
      </c>
      <c r="Z158" s="15">
        <f t="shared" ca="1" si="34"/>
        <v>1</v>
      </c>
    </row>
    <row r="159" spans="12:26" x14ac:dyDescent="0.3">
      <c r="L159" s="15">
        <v>157</v>
      </c>
      <c r="M159" s="15">
        <f t="shared" si="26"/>
        <v>10</v>
      </c>
      <c r="N159" s="15">
        <f t="shared" ca="1" si="27"/>
        <v>-0.48267453687327766</v>
      </c>
      <c r="O159" s="15">
        <f t="shared" ca="1" si="36"/>
        <v>2.5325903000483208</v>
      </c>
      <c r="P159" s="15">
        <f t="shared" ca="1" si="35"/>
        <v>2.5325902976404389</v>
      </c>
      <c r="Q159" s="15">
        <v>0</v>
      </c>
      <c r="R159" s="15">
        <f t="shared" ca="1" si="28"/>
        <v>2.5325902976404389</v>
      </c>
      <c r="S159" s="15">
        <f t="shared" ca="1" si="37"/>
        <v>10.476234047186374</v>
      </c>
      <c r="T159" s="15">
        <f t="shared" ca="1" si="29"/>
        <v>6.4404941015832086E-3</v>
      </c>
      <c r="U159" s="15">
        <f t="shared" ca="1" si="30"/>
        <v>10.482674541287958</v>
      </c>
      <c r="V159" s="15">
        <f t="shared" ca="1" si="31"/>
        <v>10.482674536873278</v>
      </c>
      <c r="X159" s="15">
        <f t="shared" si="32"/>
        <v>10.5</v>
      </c>
      <c r="Y159" s="15">
        <f t="shared" si="33"/>
        <v>9.5</v>
      </c>
      <c r="Z159" s="15">
        <f t="shared" ca="1" si="34"/>
        <v>1</v>
      </c>
    </row>
    <row r="160" spans="12:26" x14ac:dyDescent="0.3">
      <c r="L160" s="15">
        <v>158</v>
      </c>
      <c r="M160" s="15">
        <f t="shared" si="26"/>
        <v>10</v>
      </c>
      <c r="N160" s="15">
        <f t="shared" ca="1" si="27"/>
        <v>-0.47793766727622966</v>
      </c>
      <c r="O160" s="15">
        <f t="shared" ca="1" si="36"/>
        <v>2.5325903000483208</v>
      </c>
      <c r="P160" s="15">
        <f t="shared" ca="1" si="35"/>
        <v>2.5325902976404389</v>
      </c>
      <c r="Q160" s="15">
        <v>0</v>
      </c>
      <c r="R160" s="15">
        <f t="shared" ca="1" si="28"/>
        <v>2.5325902976404389</v>
      </c>
      <c r="S160" s="15">
        <f t="shared" ca="1" si="37"/>
        <v>10.475701685902369</v>
      </c>
      <c r="T160" s="15">
        <f t="shared" ca="1" si="29"/>
        <v>2.2359842642854645E-3</v>
      </c>
      <c r="U160" s="15">
        <f t="shared" ca="1" si="30"/>
        <v>10.477937670166654</v>
      </c>
      <c r="V160" s="15">
        <f t="shared" ca="1" si="31"/>
        <v>10.47793766727623</v>
      </c>
      <c r="X160" s="15">
        <f t="shared" si="32"/>
        <v>10.5</v>
      </c>
      <c r="Y160" s="15">
        <f t="shared" si="33"/>
        <v>9.5</v>
      </c>
      <c r="Z160" s="15">
        <f t="shared" ca="1" si="34"/>
        <v>1</v>
      </c>
    </row>
    <row r="161" spans="12:26" x14ac:dyDescent="0.3">
      <c r="L161" s="15">
        <v>159</v>
      </c>
      <c r="M161" s="15">
        <f t="shared" si="26"/>
        <v>10</v>
      </c>
      <c r="N161" s="15">
        <f t="shared" ca="1" si="27"/>
        <v>-0.47576372755592899</v>
      </c>
      <c r="O161" s="15">
        <f t="shared" ca="1" si="36"/>
        <v>2.5310289073650987</v>
      </c>
      <c r="P161" s="15">
        <f t="shared" ca="1" si="35"/>
        <v>2.5310288887776036</v>
      </c>
      <c r="Q161" s="15">
        <v>0</v>
      </c>
      <c r="R161" s="15">
        <f t="shared" ca="1" si="28"/>
        <v>2.5310288887776036</v>
      </c>
      <c r="S161" s="15">
        <f t="shared" ca="1" si="37"/>
        <v>10.474675541438367</v>
      </c>
      <c r="T161" s="15">
        <f t="shared" ca="1" si="29"/>
        <v>1.0881928330063095E-3</v>
      </c>
      <c r="U161" s="15">
        <f t="shared" ca="1" si="30"/>
        <v>10.475763734271373</v>
      </c>
      <c r="V161" s="15">
        <f t="shared" ca="1" si="31"/>
        <v>10.475763727555929</v>
      </c>
      <c r="X161" s="15">
        <f t="shared" si="32"/>
        <v>10.5</v>
      </c>
      <c r="Y161" s="15">
        <f t="shared" si="33"/>
        <v>9.5</v>
      </c>
      <c r="Z161" s="15">
        <f t="shared" ca="1" si="34"/>
        <v>1</v>
      </c>
    </row>
    <row r="162" spans="12:26" x14ac:dyDescent="0.3">
      <c r="L162" s="15">
        <v>160</v>
      </c>
      <c r="M162" s="15">
        <f t="shared" si="26"/>
        <v>10</v>
      </c>
      <c r="N162" s="15">
        <f t="shared" ca="1" si="27"/>
        <v>-0.48289677372269679</v>
      </c>
      <c r="O162" s="15">
        <f t="shared" ca="1" si="36"/>
        <v>2.5310289073650987</v>
      </c>
      <c r="P162" s="15">
        <f t="shared" ca="1" si="35"/>
        <v>2.5310288887776036</v>
      </c>
      <c r="Q162" s="15">
        <v>0</v>
      </c>
      <c r="R162" s="15">
        <f t="shared" ca="1" si="28"/>
        <v>2.5310288887776036</v>
      </c>
      <c r="S162" s="15">
        <f t="shared" ca="1" si="37"/>
        <v>10.473094834034596</v>
      </c>
      <c r="T162" s="15">
        <f t="shared" ca="1" si="29"/>
        <v>9.8019493278431007E-3</v>
      </c>
      <c r="U162" s="15">
        <f t="shared" ca="1" si="30"/>
        <v>10.482896783362438</v>
      </c>
      <c r="V162" s="15">
        <f t="shared" ca="1" si="31"/>
        <v>10.482896773722697</v>
      </c>
      <c r="X162" s="15">
        <f t="shared" si="32"/>
        <v>10.5</v>
      </c>
      <c r="Y162" s="15">
        <f t="shared" si="33"/>
        <v>9.5</v>
      </c>
      <c r="Z162" s="15">
        <f t="shared" ca="1" si="34"/>
        <v>1</v>
      </c>
    </row>
    <row r="163" spans="12:26" x14ac:dyDescent="0.3">
      <c r="L163" s="15">
        <v>161</v>
      </c>
      <c r="M163" s="15">
        <f t="shared" si="26"/>
        <v>10</v>
      </c>
      <c r="N163" s="15">
        <f t="shared" ca="1" si="27"/>
        <v>-0.47268547361546354</v>
      </c>
      <c r="O163" s="15">
        <f t="shared" ca="1" si="36"/>
        <v>2.5310289073650987</v>
      </c>
      <c r="P163" s="15">
        <f t="shared" ca="1" si="35"/>
        <v>2.5310288887776036</v>
      </c>
      <c r="Q163" s="15">
        <v>0</v>
      </c>
      <c r="R163" s="15">
        <f t="shared" ca="1" si="28"/>
        <v>2.5310288887776036</v>
      </c>
      <c r="S163" s="15">
        <f t="shared" ca="1" si="37"/>
        <v>10.471036643561941</v>
      </c>
      <c r="T163" s="15">
        <f t="shared" ca="1" si="29"/>
        <v>1.6488349199375375E-3</v>
      </c>
      <c r="U163" s="15">
        <f t="shared" ca="1" si="30"/>
        <v>10.472685478481878</v>
      </c>
      <c r="V163" s="15">
        <f t="shared" ca="1" si="31"/>
        <v>10.472685473615464</v>
      </c>
      <c r="X163" s="15">
        <f t="shared" si="32"/>
        <v>10.5</v>
      </c>
      <c r="Y163" s="15">
        <f t="shared" si="33"/>
        <v>9.5</v>
      </c>
      <c r="Z163" s="15">
        <f t="shared" ca="1" si="34"/>
        <v>1</v>
      </c>
    </row>
    <row r="164" spans="12:26" x14ac:dyDescent="0.3">
      <c r="L164" s="15">
        <v>162</v>
      </c>
      <c r="M164" s="15">
        <f t="shared" si="26"/>
        <v>10</v>
      </c>
      <c r="N164" s="15">
        <f t="shared" ca="1" si="27"/>
        <v>-0.47783913334781403</v>
      </c>
      <c r="O164" s="15">
        <f t="shared" ca="1" si="36"/>
        <v>2.5163373488052168</v>
      </c>
      <c r="P164" s="15">
        <f t="shared" ca="1" si="35"/>
        <v>2.5163373450088167</v>
      </c>
      <c r="Q164" s="15">
        <v>0</v>
      </c>
      <c r="R164" s="15">
        <f t="shared" ca="1" si="28"/>
        <v>2.5163373450088167</v>
      </c>
      <c r="S164" s="15">
        <f t="shared" ca="1" si="37"/>
        <v>10.468537460125084</v>
      </c>
      <c r="T164" s="15">
        <f t="shared" ca="1" si="29"/>
        <v>9.3016915108693737E-3</v>
      </c>
      <c r="U164" s="15">
        <f t="shared" ca="1" si="30"/>
        <v>10.477839151635953</v>
      </c>
      <c r="V164" s="15">
        <f t="shared" ca="1" si="31"/>
        <v>10.477839133347814</v>
      </c>
      <c r="X164" s="15">
        <f t="shared" si="32"/>
        <v>10.5</v>
      </c>
      <c r="Y164" s="15">
        <f t="shared" si="33"/>
        <v>9.5</v>
      </c>
      <c r="Z164" s="15">
        <f t="shared" ca="1" si="34"/>
        <v>1</v>
      </c>
    </row>
    <row r="165" spans="12:26" x14ac:dyDescent="0.3">
      <c r="L165" s="15">
        <v>163</v>
      </c>
      <c r="M165" s="15">
        <f t="shared" si="26"/>
        <v>10</v>
      </c>
      <c r="N165" s="15">
        <f t="shared" ca="1" si="27"/>
        <v>-0.46872453542163761</v>
      </c>
      <c r="O165" s="15">
        <f t="shared" ca="1" si="36"/>
        <v>2.5163373488052168</v>
      </c>
      <c r="P165" s="15">
        <f t="shared" ca="1" si="35"/>
        <v>2.5163373450088167</v>
      </c>
      <c r="Q165" s="15">
        <v>0</v>
      </c>
      <c r="R165" s="15">
        <f t="shared" ca="1" si="28"/>
        <v>2.5163373450088167</v>
      </c>
      <c r="S165" s="15">
        <f t="shared" ca="1" si="37"/>
        <v>10.465632459359879</v>
      </c>
      <c r="T165" s="15">
        <f t="shared" ca="1" si="29"/>
        <v>3.0920818621473947E-3</v>
      </c>
      <c r="U165" s="15">
        <f t="shared" ca="1" si="30"/>
        <v>10.468724541222027</v>
      </c>
      <c r="V165" s="15">
        <f t="shared" ca="1" si="31"/>
        <v>10.468724535421638</v>
      </c>
      <c r="X165" s="15">
        <f t="shared" si="32"/>
        <v>10.5</v>
      </c>
      <c r="Y165" s="15">
        <f t="shared" si="33"/>
        <v>9.5</v>
      </c>
      <c r="Z165" s="15">
        <f t="shared" ca="1" si="34"/>
        <v>1</v>
      </c>
    </row>
    <row r="166" spans="12:26" x14ac:dyDescent="0.3">
      <c r="L166" s="15">
        <v>164</v>
      </c>
      <c r="M166" s="15">
        <f t="shared" si="26"/>
        <v>10</v>
      </c>
      <c r="N166" s="15">
        <f t="shared" ca="1" si="27"/>
        <v>-0.46824374014238046</v>
      </c>
      <c r="O166" s="15">
        <f t="shared" ca="1" si="36"/>
        <v>2.5163373488052168</v>
      </c>
      <c r="P166" s="15">
        <f t="shared" ca="1" si="35"/>
        <v>2.5163373450088167</v>
      </c>
      <c r="Q166" s="15">
        <v>0</v>
      </c>
      <c r="R166" s="15">
        <f t="shared" ca="1" si="28"/>
        <v>2.5163373450088167</v>
      </c>
      <c r="S166" s="15">
        <f t="shared" ca="1" si="37"/>
        <v>10.462385441185003</v>
      </c>
      <c r="T166" s="15">
        <f t="shared" ca="1" si="29"/>
        <v>5.8583103412491438E-3</v>
      </c>
      <c r="U166" s="15">
        <f t="shared" ca="1" si="30"/>
        <v>10.468243751526252</v>
      </c>
      <c r="V166" s="15">
        <f t="shared" ca="1" si="31"/>
        <v>10.46824374014238</v>
      </c>
      <c r="X166" s="15">
        <f t="shared" si="32"/>
        <v>10.5</v>
      </c>
      <c r="Y166" s="15">
        <f t="shared" si="33"/>
        <v>9.5</v>
      </c>
      <c r="Z166" s="15">
        <f t="shared" ca="1" si="34"/>
        <v>1</v>
      </c>
    </row>
    <row r="167" spans="12:26" x14ac:dyDescent="0.3">
      <c r="L167" s="15">
        <v>165</v>
      </c>
      <c r="M167" s="15">
        <f t="shared" si="26"/>
        <v>10</v>
      </c>
      <c r="N167" s="15">
        <f t="shared" ca="1" si="27"/>
        <v>-0.45946490728749545</v>
      </c>
      <c r="O167" s="15">
        <f t="shared" ca="1" si="36"/>
        <v>2.5227118671175224</v>
      </c>
      <c r="P167" s="15">
        <f t="shared" ca="1" si="35"/>
        <v>2.5227118522214496</v>
      </c>
      <c r="Q167" s="15">
        <v>0</v>
      </c>
      <c r="R167" s="15">
        <f t="shared" ca="1" si="28"/>
        <v>2.5227118522214496</v>
      </c>
      <c r="S167" s="15">
        <f t="shared" ca="1" si="37"/>
        <v>10.458778317986235</v>
      </c>
      <c r="T167" s="15">
        <f t="shared" ca="1" si="29"/>
        <v>6.8659748207527407E-4</v>
      </c>
      <c r="U167" s="15">
        <f t="shared" ca="1" si="30"/>
        <v>10.45946491546831</v>
      </c>
      <c r="V167" s="15">
        <f t="shared" ca="1" si="31"/>
        <v>10.459464907287495</v>
      </c>
      <c r="X167" s="15">
        <f t="shared" si="32"/>
        <v>10.5</v>
      </c>
      <c r="Y167" s="15">
        <f t="shared" si="33"/>
        <v>9.5</v>
      </c>
      <c r="Z167" s="15">
        <f t="shared" ca="1" si="34"/>
        <v>1</v>
      </c>
    </row>
    <row r="168" spans="12:26" x14ac:dyDescent="0.3">
      <c r="L168" s="15">
        <v>166</v>
      </c>
      <c r="M168" s="15">
        <f t="shared" si="26"/>
        <v>10</v>
      </c>
      <c r="N168" s="15">
        <f t="shared" ca="1" si="27"/>
        <v>-0.46147127879352112</v>
      </c>
      <c r="O168" s="15">
        <f t="shared" ca="1" si="36"/>
        <v>2.5227118671175224</v>
      </c>
      <c r="P168" s="15">
        <f t="shared" ca="1" si="35"/>
        <v>2.5227118522214496</v>
      </c>
      <c r="Q168" s="15">
        <v>0</v>
      </c>
      <c r="R168" s="15">
        <f t="shared" ca="1" si="28"/>
        <v>2.5227118522214496</v>
      </c>
      <c r="S168" s="15">
        <f t="shared" ca="1" si="37"/>
        <v>10.454800149726754</v>
      </c>
      <c r="T168" s="15">
        <f t="shared" ca="1" si="29"/>
        <v>6.6711445246335991E-3</v>
      </c>
      <c r="U168" s="15">
        <f t="shared" ca="1" si="30"/>
        <v>10.461471294251387</v>
      </c>
      <c r="V168" s="15">
        <f t="shared" ca="1" si="31"/>
        <v>10.461471278793521</v>
      </c>
      <c r="X168" s="15">
        <f t="shared" si="32"/>
        <v>10.5</v>
      </c>
      <c r="Y168" s="15">
        <f t="shared" si="33"/>
        <v>9.5</v>
      </c>
      <c r="Z168" s="15">
        <f t="shared" ca="1" si="34"/>
        <v>1</v>
      </c>
    </row>
    <row r="169" spans="12:26" x14ac:dyDescent="0.3">
      <c r="L169" s="15">
        <v>167</v>
      </c>
      <c r="M169" s="15">
        <f t="shared" si="26"/>
        <v>10</v>
      </c>
      <c r="N169" s="15">
        <f t="shared" ca="1" si="27"/>
        <v>-0.4505719175680003</v>
      </c>
      <c r="O169" s="15">
        <f t="shared" ca="1" si="36"/>
        <v>2.5227118671175224</v>
      </c>
      <c r="P169" s="15">
        <f t="shared" ca="1" si="35"/>
        <v>2.5227118522214496</v>
      </c>
      <c r="Q169" s="15">
        <v>0</v>
      </c>
      <c r="R169" s="15">
        <f t="shared" ca="1" si="28"/>
        <v>2.5227118522214496</v>
      </c>
      <c r="S169" s="15">
        <f t="shared" ca="1" si="37"/>
        <v>10.45051486154771</v>
      </c>
      <c r="T169" s="15">
        <f t="shared" ca="1" si="29"/>
        <v>5.7074553926722561E-5</v>
      </c>
      <c r="U169" s="15">
        <f t="shared" ca="1" si="30"/>
        <v>10.450571936101637</v>
      </c>
      <c r="V169" s="15">
        <f t="shared" ca="1" si="31"/>
        <v>10.450571917568</v>
      </c>
      <c r="X169" s="15">
        <f t="shared" si="32"/>
        <v>10.5</v>
      </c>
      <c r="Y169" s="15">
        <f t="shared" si="33"/>
        <v>9.5</v>
      </c>
      <c r="Z169" s="15">
        <f t="shared" ca="1" si="34"/>
        <v>1</v>
      </c>
    </row>
    <row r="170" spans="12:26" x14ac:dyDescent="0.3">
      <c r="L170" s="15">
        <v>168</v>
      </c>
      <c r="M170" s="15">
        <f t="shared" si="26"/>
        <v>10</v>
      </c>
      <c r="N170" s="15">
        <f t="shared" ca="1" si="27"/>
        <v>-0.45459478871305414</v>
      </c>
      <c r="O170" s="15">
        <f t="shared" ca="1" si="36"/>
        <v>2.5065116196813899</v>
      </c>
      <c r="P170" s="15">
        <f t="shared" ca="1" si="35"/>
        <v>2.5065116124475635</v>
      </c>
      <c r="Q170" s="15">
        <v>0</v>
      </c>
      <c r="R170" s="15">
        <f t="shared" ca="1" si="28"/>
        <v>2.5065116124475635</v>
      </c>
      <c r="S170" s="15">
        <f t="shared" ca="1" si="37"/>
        <v>10.445889819454658</v>
      </c>
      <c r="T170" s="15">
        <f t="shared" ca="1" si="29"/>
        <v>8.7049832165828241E-3</v>
      </c>
      <c r="U170" s="15">
        <f t="shared" ca="1" si="30"/>
        <v>10.454594802671242</v>
      </c>
      <c r="V170" s="15">
        <f t="shared" ca="1" si="31"/>
        <v>10.454594788713054</v>
      </c>
      <c r="X170" s="15">
        <f t="shared" si="32"/>
        <v>10.5</v>
      </c>
      <c r="Y170" s="15">
        <f t="shared" si="33"/>
        <v>9.5</v>
      </c>
      <c r="Z170" s="15">
        <f t="shared" ca="1" si="34"/>
        <v>1</v>
      </c>
    </row>
    <row r="171" spans="12:26" x14ac:dyDescent="0.3">
      <c r="L171" s="15">
        <v>169</v>
      </c>
      <c r="M171" s="15">
        <f t="shared" si="26"/>
        <v>10</v>
      </c>
      <c r="N171" s="15">
        <f t="shared" ca="1" si="27"/>
        <v>-0.44195967503868872</v>
      </c>
      <c r="O171" s="15">
        <f t="shared" ca="1" si="36"/>
        <v>2.5065116196813899</v>
      </c>
      <c r="P171" s="15">
        <f t="shared" ca="1" si="35"/>
        <v>2.5065116124475635</v>
      </c>
      <c r="Q171" s="15">
        <v>0</v>
      </c>
      <c r="R171" s="15">
        <f t="shared" ca="1" si="28"/>
        <v>2.5065116124475635</v>
      </c>
      <c r="S171" s="15">
        <f t="shared" ca="1" si="37"/>
        <v>10.440901939268462</v>
      </c>
      <c r="T171" s="15">
        <f t="shared" ca="1" si="29"/>
        <v>1.0577560357432735E-3</v>
      </c>
      <c r="U171" s="15">
        <f t="shared" ca="1" si="30"/>
        <v>10.441959695304206</v>
      </c>
      <c r="V171" s="15">
        <f t="shared" ca="1" si="31"/>
        <v>10.441959675038689</v>
      </c>
      <c r="X171" s="15">
        <f t="shared" si="32"/>
        <v>10.5</v>
      </c>
      <c r="Y171" s="15">
        <f t="shared" si="33"/>
        <v>9.5</v>
      </c>
      <c r="Z171" s="15">
        <f t="shared" ca="1" si="34"/>
        <v>1</v>
      </c>
    </row>
    <row r="172" spans="12:26" x14ac:dyDescent="0.3">
      <c r="L172" s="15">
        <v>170</v>
      </c>
      <c r="M172" s="15">
        <f t="shared" si="26"/>
        <v>10</v>
      </c>
      <c r="N172" s="15">
        <f t="shared" ca="1" si="27"/>
        <v>-0.43984603845510861</v>
      </c>
      <c r="O172" s="15">
        <f t="shared" ca="1" si="36"/>
        <v>2.5065116196813899</v>
      </c>
      <c r="P172" s="15">
        <f t="shared" ca="1" si="35"/>
        <v>2.5065116124475635</v>
      </c>
      <c r="Q172" s="15">
        <v>0</v>
      </c>
      <c r="R172" s="15">
        <f t="shared" ca="1" si="28"/>
        <v>2.5065116124475635</v>
      </c>
      <c r="S172" s="15">
        <f t="shared" ca="1" si="37"/>
        <v>10.43561837505775</v>
      </c>
      <c r="T172" s="15">
        <f t="shared" ca="1" si="29"/>
        <v>4.2276864216271226E-3</v>
      </c>
      <c r="U172" s="15">
        <f t="shared" ca="1" si="30"/>
        <v>10.439846061479377</v>
      </c>
      <c r="V172" s="15">
        <f t="shared" ca="1" si="31"/>
        <v>10.439846038455109</v>
      </c>
      <c r="X172" s="15">
        <f t="shared" si="32"/>
        <v>10.5</v>
      </c>
      <c r="Y172" s="15">
        <f t="shared" si="33"/>
        <v>9.5</v>
      </c>
      <c r="Z172" s="15">
        <f t="shared" ca="1" si="34"/>
        <v>1</v>
      </c>
    </row>
    <row r="173" spans="12:26" x14ac:dyDescent="0.3">
      <c r="L173" s="15">
        <v>171</v>
      </c>
      <c r="M173" s="15">
        <f t="shared" si="26"/>
        <v>10</v>
      </c>
      <c r="N173" s="15">
        <f t="shared" ca="1" si="27"/>
        <v>-0.43450285457877946</v>
      </c>
      <c r="O173" s="15">
        <f t="shared" ca="1" si="36"/>
        <v>2.5105319348455031</v>
      </c>
      <c r="P173" s="15">
        <f t="shared" ca="1" si="35"/>
        <v>2.5105319224555349</v>
      </c>
      <c r="Q173" s="15">
        <v>0</v>
      </c>
      <c r="R173" s="15">
        <f t="shared" ca="1" si="28"/>
        <v>2.5105319224555349</v>
      </c>
      <c r="S173" s="15">
        <f t="shared" ca="1" si="37"/>
        <v>10.430024375254701</v>
      </c>
      <c r="T173" s="15">
        <f t="shared" ca="1" si="29"/>
        <v>4.478494978922303E-3</v>
      </c>
      <c r="U173" s="15">
        <f t="shared" ca="1" si="30"/>
        <v>10.434502870233624</v>
      </c>
      <c r="V173" s="15">
        <f t="shared" ca="1" si="31"/>
        <v>10.434502854578779</v>
      </c>
      <c r="X173" s="15">
        <f t="shared" si="32"/>
        <v>10.5</v>
      </c>
      <c r="Y173" s="15">
        <f t="shared" si="33"/>
        <v>9.5</v>
      </c>
      <c r="Z173" s="15">
        <f t="shared" ca="1" si="34"/>
        <v>1</v>
      </c>
    </row>
    <row r="174" spans="12:26" x14ac:dyDescent="0.3">
      <c r="L174" s="15">
        <v>172</v>
      </c>
      <c r="M174" s="15">
        <f t="shared" si="26"/>
        <v>10</v>
      </c>
      <c r="N174" s="15">
        <f t="shared" ca="1" si="27"/>
        <v>-0.42546783816662348</v>
      </c>
      <c r="O174" s="15">
        <f t="shared" ca="1" si="36"/>
        <v>2.5105319348455031</v>
      </c>
      <c r="P174" s="15">
        <f t="shared" ca="1" si="35"/>
        <v>2.5105319224555349</v>
      </c>
      <c r="Q174" s="15">
        <v>0</v>
      </c>
      <c r="R174" s="15">
        <f t="shared" ca="1" si="28"/>
        <v>2.5105319224555349</v>
      </c>
      <c r="S174" s="15">
        <f t="shared" ca="1" si="37"/>
        <v>10.424111675616309</v>
      </c>
      <c r="T174" s="15">
        <f t="shared" ca="1" si="29"/>
        <v>1.3561857275311551E-3</v>
      </c>
      <c r="U174" s="15">
        <f t="shared" ca="1" si="30"/>
        <v>10.42546786134384</v>
      </c>
      <c r="V174" s="15">
        <f t="shared" ca="1" si="31"/>
        <v>10.425467838166623</v>
      </c>
      <c r="X174" s="15">
        <f t="shared" si="32"/>
        <v>10.5</v>
      </c>
      <c r="Y174" s="15">
        <f t="shared" si="33"/>
        <v>9.5</v>
      </c>
      <c r="Z174" s="15">
        <f t="shared" ca="1" si="34"/>
        <v>1</v>
      </c>
    </row>
    <row r="175" spans="12:26" x14ac:dyDescent="0.3">
      <c r="L175" s="15">
        <v>173</v>
      </c>
      <c r="M175" s="15">
        <f t="shared" si="26"/>
        <v>10</v>
      </c>
      <c r="N175" s="15">
        <f t="shared" ca="1" si="27"/>
        <v>-0.42044835873424269</v>
      </c>
      <c r="O175" s="15">
        <f t="shared" ca="1" si="36"/>
        <v>2.5105319348455031</v>
      </c>
      <c r="P175" s="15">
        <f t="shared" ca="1" si="35"/>
        <v>2.5105319224555349</v>
      </c>
      <c r="Q175" s="15">
        <v>0</v>
      </c>
      <c r="R175" s="15">
        <f t="shared" ca="1" si="28"/>
        <v>2.5105319224555349</v>
      </c>
      <c r="S175" s="15">
        <f t="shared" ca="1" si="37"/>
        <v>10.417945739096304</v>
      </c>
      <c r="T175" s="15">
        <f t="shared" ca="1" si="29"/>
        <v>2.5026258501052679E-3</v>
      </c>
      <c r="U175" s="15">
        <f t="shared" ca="1" si="30"/>
        <v>10.420448364946409</v>
      </c>
      <c r="V175" s="15">
        <f t="shared" ca="1" si="31"/>
        <v>10.420448358734243</v>
      </c>
      <c r="X175" s="15">
        <f t="shared" si="32"/>
        <v>10.5</v>
      </c>
      <c r="Y175" s="15">
        <f t="shared" si="33"/>
        <v>9.5</v>
      </c>
      <c r="Z175" s="15">
        <f t="shared" ca="1" si="34"/>
        <v>1</v>
      </c>
    </row>
    <row r="176" spans="12:26" x14ac:dyDescent="0.3">
      <c r="L176" s="15">
        <v>174</v>
      </c>
      <c r="M176" s="15">
        <f t="shared" si="26"/>
        <v>10</v>
      </c>
      <c r="N176" s="15">
        <f t="shared" ca="1" si="27"/>
        <v>-0.41755476277730352</v>
      </c>
      <c r="O176" s="15">
        <f t="shared" ca="1" si="36"/>
        <v>2.5033306293633206</v>
      </c>
      <c r="P176" s="15">
        <f t="shared" ca="1" si="35"/>
        <v>2.5033306103440305</v>
      </c>
      <c r="Q176" s="15">
        <v>0</v>
      </c>
      <c r="R176" s="15">
        <f t="shared" ca="1" si="28"/>
        <v>2.5033306103440305</v>
      </c>
      <c r="S176" s="15">
        <f t="shared" ca="1" si="37"/>
        <v>10.411534776117524</v>
      </c>
      <c r="T176" s="15">
        <f t="shared" ca="1" si="29"/>
        <v>6.0199921605511089E-3</v>
      </c>
      <c r="U176" s="15">
        <f t="shared" ca="1" si="30"/>
        <v>10.417554768278075</v>
      </c>
      <c r="V176" s="15">
        <f t="shared" ca="1" si="31"/>
        <v>10.417554762777304</v>
      </c>
      <c r="X176" s="15">
        <f t="shared" si="32"/>
        <v>10.5</v>
      </c>
      <c r="Y176" s="15">
        <f t="shared" si="33"/>
        <v>9.5</v>
      </c>
      <c r="Z176" s="15">
        <f t="shared" ca="1" si="34"/>
        <v>1</v>
      </c>
    </row>
    <row r="177" spans="12:26" x14ac:dyDescent="0.3">
      <c r="L177" s="15">
        <v>175</v>
      </c>
      <c r="M177" s="15">
        <f t="shared" si="26"/>
        <v>10</v>
      </c>
      <c r="N177" s="15">
        <f t="shared" ca="1" si="27"/>
        <v>-0.40545616075523583</v>
      </c>
      <c r="O177" s="15">
        <f t="shared" ca="1" si="36"/>
        <v>2.5033306293633206</v>
      </c>
      <c r="P177" s="15">
        <f t="shared" ca="1" si="35"/>
        <v>2.5033306103440305</v>
      </c>
      <c r="Q177" s="15">
        <v>0</v>
      </c>
      <c r="R177" s="15">
        <f t="shared" ca="1" si="28"/>
        <v>2.5033306103440305</v>
      </c>
      <c r="S177" s="15">
        <f t="shared" ca="1" si="37"/>
        <v>10.404889203940808</v>
      </c>
      <c r="T177" s="15">
        <f t="shared" ca="1" si="29"/>
        <v>5.6697579956624833E-4</v>
      </c>
      <c r="U177" s="15">
        <f t="shared" ca="1" si="30"/>
        <v>10.405456179740375</v>
      </c>
      <c r="V177" s="15">
        <f t="shared" ca="1" si="31"/>
        <v>10.405456160755236</v>
      </c>
      <c r="X177" s="15">
        <f t="shared" si="32"/>
        <v>10.5</v>
      </c>
      <c r="Y177" s="15">
        <f t="shared" si="33"/>
        <v>9.5</v>
      </c>
      <c r="Z177" s="15">
        <f t="shared" ca="1" si="34"/>
        <v>1</v>
      </c>
    </row>
    <row r="178" spans="12:26" x14ac:dyDescent="0.3">
      <c r="L178" s="15">
        <v>176</v>
      </c>
      <c r="M178" s="15">
        <f t="shared" si="26"/>
        <v>10</v>
      </c>
      <c r="N178" s="15">
        <f t="shared" ca="1" si="27"/>
        <v>-0.40107836257691432</v>
      </c>
      <c r="O178" s="15">
        <f t="shared" ca="1" si="36"/>
        <v>2.5033306293633206</v>
      </c>
      <c r="P178" s="15">
        <f t="shared" ca="1" si="35"/>
        <v>2.5033306103440305</v>
      </c>
      <c r="Q178" s="15">
        <v>0</v>
      </c>
      <c r="R178" s="15">
        <f t="shared" ca="1" si="28"/>
        <v>2.5033306103440305</v>
      </c>
      <c r="S178" s="15">
        <f t="shared" ca="1" si="37"/>
        <v>10.398066911142331</v>
      </c>
      <c r="T178" s="15">
        <f t="shared" ca="1" si="29"/>
        <v>3.011455782799515E-3</v>
      </c>
      <c r="U178" s="15">
        <f t="shared" ca="1" si="30"/>
        <v>10.40107836692513</v>
      </c>
      <c r="V178" s="15">
        <f t="shared" ca="1" si="31"/>
        <v>10.401078362576914</v>
      </c>
      <c r="X178" s="15">
        <f t="shared" si="32"/>
        <v>10.5</v>
      </c>
      <c r="Y178" s="15">
        <f t="shared" si="33"/>
        <v>9.5</v>
      </c>
      <c r="Z178" s="15">
        <f t="shared" ca="1" si="34"/>
        <v>1</v>
      </c>
    </row>
    <row r="179" spans="12:26" x14ac:dyDescent="0.3">
      <c r="L179" s="15">
        <v>177</v>
      </c>
      <c r="M179" s="15">
        <f t="shared" si="26"/>
        <v>10</v>
      </c>
      <c r="N179" s="15">
        <f t="shared" ca="1" si="27"/>
        <v>-0.39754841718765555</v>
      </c>
      <c r="O179" s="15">
        <f t="shared" ca="1" si="36"/>
        <v>2.5007638926208862</v>
      </c>
      <c r="P179" s="15">
        <f t="shared" ca="1" si="35"/>
        <v>2.5007638853277925</v>
      </c>
      <c r="Q179" s="15">
        <v>0</v>
      </c>
      <c r="R179" s="15">
        <f t="shared" ca="1" si="28"/>
        <v>2.5007638853277925</v>
      </c>
      <c r="S179" s="15">
        <f t="shared" ca="1" si="37"/>
        <v>10.391047161097955</v>
      </c>
      <c r="T179" s="15">
        <f t="shared" ca="1" si="29"/>
        <v>6.5012723242043984E-3</v>
      </c>
      <c r="U179" s="15">
        <f t="shared" ca="1" si="30"/>
        <v>10.397548433422159</v>
      </c>
      <c r="V179" s="15">
        <f t="shared" ca="1" si="31"/>
        <v>10.397548417187656</v>
      </c>
      <c r="X179" s="15">
        <f t="shared" si="32"/>
        <v>10.5</v>
      </c>
      <c r="Y179" s="15">
        <f t="shared" si="33"/>
        <v>9.5</v>
      </c>
      <c r="Z179" s="15">
        <f t="shared" ca="1" si="34"/>
        <v>1</v>
      </c>
    </row>
    <row r="180" spans="12:26" x14ac:dyDescent="0.3">
      <c r="L180" s="15">
        <v>178</v>
      </c>
      <c r="M180" s="15">
        <f t="shared" si="26"/>
        <v>10</v>
      </c>
      <c r="N180" s="15">
        <f t="shared" ca="1" si="27"/>
        <v>-0.38806899692585439</v>
      </c>
      <c r="O180" s="15">
        <f t="shared" ca="1" si="36"/>
        <v>2.5007638926208862</v>
      </c>
      <c r="P180" s="15">
        <f t="shared" ca="1" si="35"/>
        <v>2.5007638853277925</v>
      </c>
      <c r="Q180" s="15">
        <v>0</v>
      </c>
      <c r="R180" s="15">
        <f t="shared" ca="1" si="28"/>
        <v>2.5007638853277925</v>
      </c>
      <c r="S180" s="15">
        <f t="shared" ca="1" si="37"/>
        <v>10.383815871016479</v>
      </c>
      <c r="T180" s="15">
        <f t="shared" ca="1" si="29"/>
        <v>4.2531371749081935E-3</v>
      </c>
      <c r="U180" s="15">
        <f t="shared" ca="1" si="30"/>
        <v>10.388069008191387</v>
      </c>
      <c r="V180" s="15">
        <f t="shared" ca="1" si="31"/>
        <v>10.388068996925854</v>
      </c>
      <c r="X180" s="15">
        <f t="shared" si="32"/>
        <v>10.5</v>
      </c>
      <c r="Y180" s="15">
        <f t="shared" si="33"/>
        <v>9.5</v>
      </c>
      <c r="Z180" s="15">
        <f t="shared" ca="1" si="34"/>
        <v>1</v>
      </c>
    </row>
    <row r="181" spans="12:26" x14ac:dyDescent="0.3">
      <c r="L181" s="15">
        <v>179</v>
      </c>
      <c r="M181" s="15">
        <f t="shared" si="26"/>
        <v>10</v>
      </c>
      <c r="N181" s="15">
        <f t="shared" ca="1" si="27"/>
        <v>-0.3780850792252668</v>
      </c>
      <c r="O181" s="15">
        <f t="shared" ca="1" si="36"/>
        <v>2.5007638926208862</v>
      </c>
      <c r="P181" s="15">
        <f t="shared" ca="1" si="35"/>
        <v>2.5007638853277925</v>
      </c>
      <c r="Q181" s="15">
        <v>0</v>
      </c>
      <c r="R181" s="15">
        <f t="shared" ca="1" si="28"/>
        <v>2.5007638853277925</v>
      </c>
      <c r="S181" s="15">
        <f t="shared" ca="1" si="37"/>
        <v>10.376430478522009</v>
      </c>
      <c r="T181" s="15">
        <f t="shared" ca="1" si="29"/>
        <v>1.6546041536646106E-3</v>
      </c>
      <c r="U181" s="15">
        <f t="shared" ca="1" si="30"/>
        <v>10.378085082675673</v>
      </c>
      <c r="V181" s="15">
        <f t="shared" ca="1" si="31"/>
        <v>10.378085079225267</v>
      </c>
      <c r="X181" s="15">
        <f t="shared" si="32"/>
        <v>10.5</v>
      </c>
      <c r="Y181" s="15">
        <f t="shared" si="33"/>
        <v>9.5</v>
      </c>
      <c r="Z181" s="15">
        <f t="shared" ca="1" si="34"/>
        <v>1</v>
      </c>
    </row>
    <row r="182" spans="12:26" x14ac:dyDescent="0.3">
      <c r="L182" s="15">
        <v>180</v>
      </c>
      <c r="M182" s="15">
        <f t="shared" si="26"/>
        <v>10</v>
      </c>
      <c r="N182" s="15">
        <f t="shared" ca="1" si="27"/>
        <v>-0.36905495225662754</v>
      </c>
      <c r="O182" s="15">
        <f t="shared" ca="1" si="36"/>
        <v>2.5034583366496643</v>
      </c>
      <c r="P182" s="15">
        <f t="shared" ca="1" si="35"/>
        <v>2.5034583179521044</v>
      </c>
      <c r="Q182" s="15">
        <v>0</v>
      </c>
      <c r="R182" s="15">
        <f t="shared" ca="1" si="28"/>
        <v>2.5034583179521044</v>
      </c>
      <c r="S182" s="15">
        <f t="shared" ca="1" si="37"/>
        <v>10.368928275032745</v>
      </c>
      <c r="T182" s="15">
        <f t="shared" ca="1" si="29"/>
        <v>1.2669061383276283E-4</v>
      </c>
      <c r="U182" s="15">
        <f t="shared" ca="1" si="30"/>
        <v>10.369054965646578</v>
      </c>
      <c r="V182" s="15">
        <f t="shared" ca="1" si="31"/>
        <v>10.369054952256628</v>
      </c>
      <c r="X182" s="15">
        <f t="shared" si="32"/>
        <v>10.5</v>
      </c>
      <c r="Y182" s="15">
        <f t="shared" si="33"/>
        <v>9.5</v>
      </c>
      <c r="Z182" s="15">
        <f t="shared" ca="1" si="34"/>
        <v>1</v>
      </c>
    </row>
    <row r="183" spans="12:26" x14ac:dyDescent="0.3">
      <c r="L183" s="15">
        <v>181</v>
      </c>
      <c r="M183" s="15">
        <f t="shared" si="26"/>
        <v>10</v>
      </c>
      <c r="N183" s="15">
        <f t="shared" ca="1" si="27"/>
        <v>-0.36145473140325812</v>
      </c>
      <c r="O183" s="15">
        <f t="shared" ca="1" si="36"/>
        <v>2.5034583366496643</v>
      </c>
      <c r="P183" s="15">
        <f t="shared" ca="1" si="35"/>
        <v>2.5034583179521044</v>
      </c>
      <c r="Q183" s="15">
        <v>0</v>
      </c>
      <c r="R183" s="15">
        <f t="shared" ca="1" si="28"/>
        <v>2.5034583179521044</v>
      </c>
      <c r="S183" s="15">
        <f t="shared" ca="1" si="37"/>
        <v>10.361342909969661</v>
      </c>
      <c r="T183" s="15">
        <f t="shared" ca="1" si="29"/>
        <v>1.1182866839316353E-4</v>
      </c>
      <c r="U183" s="15">
        <f t="shared" ca="1" si="30"/>
        <v>10.361454738638054</v>
      </c>
      <c r="V183" s="15">
        <f t="shared" ca="1" si="31"/>
        <v>10.361454731403258</v>
      </c>
      <c r="X183" s="15">
        <f t="shared" si="32"/>
        <v>10.5</v>
      </c>
      <c r="Y183" s="15">
        <f t="shared" si="33"/>
        <v>9.5</v>
      </c>
      <c r="Z183" s="15">
        <f t="shared" ca="1" si="34"/>
        <v>1</v>
      </c>
    </row>
    <row r="184" spans="12:26" x14ac:dyDescent="0.3">
      <c r="L184" s="15">
        <v>182</v>
      </c>
      <c r="M184" s="15">
        <f t="shared" si="26"/>
        <v>10</v>
      </c>
      <c r="N184" s="15">
        <f t="shared" ca="1" si="27"/>
        <v>-0.36078424899857175</v>
      </c>
      <c r="O184" s="15">
        <f t="shared" ca="1" si="36"/>
        <v>2.5034583366496643</v>
      </c>
      <c r="P184" s="15">
        <f t="shared" ca="1" si="35"/>
        <v>2.5034583179521044</v>
      </c>
      <c r="Q184" s="15">
        <v>0</v>
      </c>
      <c r="R184" s="15">
        <f t="shared" ca="1" si="28"/>
        <v>2.5034583179521044</v>
      </c>
      <c r="S184" s="15">
        <f t="shared" ca="1" si="37"/>
        <v>10.353717022686219</v>
      </c>
      <c r="T184" s="15">
        <f t="shared" ca="1" si="29"/>
        <v>7.0672384728573592E-3</v>
      </c>
      <c r="U184" s="15">
        <f t="shared" ca="1" si="30"/>
        <v>10.360784261159075</v>
      </c>
      <c r="V184" s="15">
        <f t="shared" ca="1" si="31"/>
        <v>10.360784248998572</v>
      </c>
      <c r="X184" s="15">
        <f t="shared" si="32"/>
        <v>10.5</v>
      </c>
      <c r="Y184" s="15">
        <f t="shared" si="33"/>
        <v>9.5</v>
      </c>
      <c r="Z184" s="15">
        <f t="shared" ca="1" si="34"/>
        <v>1</v>
      </c>
    </row>
    <row r="185" spans="12:26" x14ac:dyDescent="0.3">
      <c r="L185" s="15">
        <v>183</v>
      </c>
      <c r="M185" s="15">
        <f t="shared" si="26"/>
        <v>10</v>
      </c>
      <c r="N185" s="15">
        <f t="shared" ca="1" si="27"/>
        <v>-0.34974211602233041</v>
      </c>
      <c r="O185" s="15">
        <f t="shared" ca="1" si="36"/>
        <v>2.4943689896470604</v>
      </c>
      <c r="P185" s="15">
        <f t="shared" ca="1" si="35"/>
        <v>2.4943689821507711</v>
      </c>
      <c r="Q185" s="15">
        <v>0</v>
      </c>
      <c r="R185" s="15">
        <f t="shared" ca="1" si="28"/>
        <v>2.4943689821507711</v>
      </c>
      <c r="S185" s="15">
        <f t="shared" ca="1" si="37"/>
        <v>10.345960921125087</v>
      </c>
      <c r="T185" s="15">
        <f t="shared" ca="1" si="29"/>
        <v>3.7812154617284212E-3</v>
      </c>
      <c r="U185" s="15">
        <f t="shared" ca="1" si="30"/>
        <v>10.349742136586816</v>
      </c>
      <c r="V185" s="15">
        <f t="shared" ca="1" si="31"/>
        <v>10.34974211602233</v>
      </c>
      <c r="X185" s="15">
        <f t="shared" si="32"/>
        <v>10.5</v>
      </c>
      <c r="Y185" s="15">
        <f t="shared" si="33"/>
        <v>9.5</v>
      </c>
      <c r="Z185" s="15">
        <f t="shared" ca="1" si="34"/>
        <v>1</v>
      </c>
    </row>
    <row r="186" spans="12:26" x14ac:dyDescent="0.3">
      <c r="L186" s="15">
        <v>184</v>
      </c>
      <c r="M186" s="15">
        <f t="shared" si="26"/>
        <v>10</v>
      </c>
      <c r="N186" s="15">
        <f t="shared" ca="1" si="27"/>
        <v>-0.34039866885645331</v>
      </c>
      <c r="O186" s="15">
        <f t="shared" ca="1" si="36"/>
        <v>2.4943689896470604</v>
      </c>
      <c r="P186" s="15">
        <f t="shared" ca="1" si="35"/>
        <v>2.4943689821507711</v>
      </c>
      <c r="Q186" s="15">
        <v>0</v>
      </c>
      <c r="R186" s="15">
        <f t="shared" ca="1" si="28"/>
        <v>2.4943689821507711</v>
      </c>
      <c r="S186" s="15">
        <f t="shared" ca="1" si="37"/>
        <v>10.338002471757131</v>
      </c>
      <c r="T186" s="15">
        <f t="shared" ca="1" si="29"/>
        <v>2.3962009862754964E-3</v>
      </c>
      <c r="U186" s="15">
        <f t="shared" ca="1" si="30"/>
        <v>10.340398672743406</v>
      </c>
      <c r="V186" s="15">
        <f t="shared" ca="1" si="31"/>
        <v>10.340398668856453</v>
      </c>
      <c r="X186" s="15">
        <f t="shared" si="32"/>
        <v>10.5</v>
      </c>
      <c r="Y186" s="15">
        <f t="shared" si="33"/>
        <v>9.5</v>
      </c>
      <c r="Z186" s="15">
        <f t="shared" ca="1" si="34"/>
        <v>1</v>
      </c>
    </row>
    <row r="187" spans="12:26" x14ac:dyDescent="0.3">
      <c r="L187" s="15">
        <v>185</v>
      </c>
      <c r="M187" s="15">
        <f t="shared" si="26"/>
        <v>10</v>
      </c>
      <c r="N187" s="15">
        <f t="shared" ca="1" si="27"/>
        <v>-0.33034967499094847</v>
      </c>
      <c r="O187" s="15">
        <f t="shared" ca="1" si="36"/>
        <v>2.4943689896470604</v>
      </c>
      <c r="P187" s="15">
        <f t="shared" ca="1" si="35"/>
        <v>2.4943689821507711</v>
      </c>
      <c r="Q187" s="15">
        <v>0</v>
      </c>
      <c r="R187" s="15">
        <f t="shared" ca="1" si="28"/>
        <v>2.4943689821507711</v>
      </c>
      <c r="S187" s="15">
        <f t="shared" ca="1" si="37"/>
        <v>10.329901020980758</v>
      </c>
      <c r="T187" s="15">
        <f t="shared" ca="1" si="29"/>
        <v>4.4867122101500565E-4</v>
      </c>
      <c r="U187" s="15">
        <f t="shared" ca="1" si="30"/>
        <v>10.330349692201773</v>
      </c>
      <c r="V187" s="15">
        <f t="shared" ca="1" si="31"/>
        <v>10.330349674990948</v>
      </c>
      <c r="X187" s="15">
        <f t="shared" si="32"/>
        <v>10.5</v>
      </c>
      <c r="Y187" s="15">
        <f t="shared" si="33"/>
        <v>9.5</v>
      </c>
      <c r="Z187" s="15">
        <f t="shared" ca="1" si="34"/>
        <v>1</v>
      </c>
    </row>
    <row r="188" spans="12:26" x14ac:dyDescent="0.3">
      <c r="L188" s="15">
        <v>186</v>
      </c>
      <c r="M188" s="15">
        <f t="shared" si="26"/>
        <v>10</v>
      </c>
      <c r="N188" s="15">
        <f t="shared" ca="1" si="27"/>
        <v>-0.3306197119715204</v>
      </c>
      <c r="O188" s="15">
        <f t="shared" ca="1" si="36"/>
        <v>2.49101684693672</v>
      </c>
      <c r="P188" s="15">
        <f t="shared" ca="1" si="35"/>
        <v>2.4910168262410481</v>
      </c>
      <c r="Q188" s="15">
        <v>0</v>
      </c>
      <c r="R188" s="15">
        <f t="shared" ca="1" si="28"/>
        <v>2.4910168262410481</v>
      </c>
      <c r="S188" s="15">
        <f t="shared" ca="1" si="37"/>
        <v>10.321764129994678</v>
      </c>
      <c r="T188" s="15">
        <f t="shared" ca="1" si="29"/>
        <v>8.8555916106023685E-3</v>
      </c>
      <c r="U188" s="15">
        <f t="shared" ca="1" si="30"/>
        <v>10.330619721605281</v>
      </c>
      <c r="V188" s="15">
        <f t="shared" ca="1" si="31"/>
        <v>10.33061971197152</v>
      </c>
      <c r="X188" s="15">
        <f t="shared" si="32"/>
        <v>10.5</v>
      </c>
      <c r="Y188" s="15">
        <f t="shared" si="33"/>
        <v>9.5</v>
      </c>
      <c r="Z188" s="15">
        <f t="shared" ca="1" si="34"/>
        <v>1</v>
      </c>
    </row>
    <row r="189" spans="12:26" x14ac:dyDescent="0.3">
      <c r="L189" s="15">
        <v>187</v>
      </c>
      <c r="M189" s="15">
        <f t="shared" si="26"/>
        <v>10</v>
      </c>
      <c r="N189" s="15">
        <f t="shared" ca="1" si="27"/>
        <v>-0.32338631579731292</v>
      </c>
      <c r="O189" s="15">
        <f t="shared" ca="1" si="36"/>
        <v>2.49101684693672</v>
      </c>
      <c r="P189" s="15">
        <f t="shared" ca="1" si="35"/>
        <v>2.4910168262410481</v>
      </c>
      <c r="Q189" s="15">
        <v>0</v>
      </c>
      <c r="R189" s="15">
        <f t="shared" ca="1" si="28"/>
        <v>2.4910168262410481</v>
      </c>
      <c r="S189" s="15">
        <f t="shared" ca="1" si="37"/>
        <v>10.313683416899465</v>
      </c>
      <c r="T189" s="15">
        <f t="shared" ca="1" si="29"/>
        <v>9.7029117072035039E-3</v>
      </c>
      <c r="U189" s="15">
        <f t="shared" ca="1" si="30"/>
        <v>10.323386328606668</v>
      </c>
      <c r="V189" s="15">
        <f t="shared" ca="1" si="31"/>
        <v>10.323386315797313</v>
      </c>
      <c r="X189" s="15">
        <f t="shared" si="32"/>
        <v>10.5</v>
      </c>
      <c r="Y189" s="15">
        <f t="shared" si="33"/>
        <v>9.5</v>
      </c>
      <c r="Z189" s="15">
        <f t="shared" ca="1" si="34"/>
        <v>1</v>
      </c>
    </row>
    <row r="190" spans="12:26" x14ac:dyDescent="0.3">
      <c r="L190" s="15">
        <v>188</v>
      </c>
      <c r="M190" s="15">
        <f t="shared" si="26"/>
        <v>10</v>
      </c>
      <c r="N190" s="15">
        <f t="shared" ca="1" si="27"/>
        <v>-0.30817737577207716</v>
      </c>
      <c r="O190" s="15">
        <f t="shared" ca="1" si="36"/>
        <v>2.49101684693672</v>
      </c>
      <c r="P190" s="15">
        <f t="shared" ca="1" si="35"/>
        <v>2.4910168262410481</v>
      </c>
      <c r="Q190" s="15">
        <v>0</v>
      </c>
      <c r="R190" s="15">
        <f t="shared" ca="1" si="28"/>
        <v>2.4910168262410481</v>
      </c>
      <c r="S190" s="15">
        <f t="shared" ca="1" si="37"/>
        <v>10.305685928960457</v>
      </c>
      <c r="T190" s="15">
        <f t="shared" ca="1" si="29"/>
        <v>2.4914497992233344E-3</v>
      </c>
      <c r="U190" s="15">
        <f t="shared" ca="1" si="30"/>
        <v>10.30817737875968</v>
      </c>
      <c r="V190" s="15">
        <f t="shared" ca="1" si="31"/>
        <v>10.308177375772077</v>
      </c>
      <c r="X190" s="15">
        <f t="shared" si="32"/>
        <v>10.5</v>
      </c>
      <c r="Y190" s="15">
        <f t="shared" si="33"/>
        <v>9.5</v>
      </c>
      <c r="Z190" s="15">
        <f t="shared" ca="1" si="34"/>
        <v>1</v>
      </c>
    </row>
    <row r="191" spans="12:26" x14ac:dyDescent="0.3">
      <c r="L191" s="15">
        <v>189</v>
      </c>
      <c r="M191" s="15">
        <f t="shared" si="26"/>
        <v>10</v>
      </c>
      <c r="N191" s="15">
        <f t="shared" ca="1" si="27"/>
        <v>-0.30152475235553489</v>
      </c>
      <c r="O191" s="15">
        <f t="shared" ca="1" si="36"/>
        <v>2.4960309637205822</v>
      </c>
      <c r="P191" s="15">
        <f t="shared" ca="1" si="35"/>
        <v>2.4960309505686236</v>
      </c>
      <c r="Q191" s="15">
        <v>0</v>
      </c>
      <c r="R191" s="15">
        <f t="shared" ca="1" si="28"/>
        <v>2.4960309505686236</v>
      </c>
      <c r="S191" s="15">
        <f t="shared" ca="1" si="37"/>
        <v>10.297654786738162</v>
      </c>
      <c r="T191" s="15">
        <f t="shared" ca="1" si="29"/>
        <v>3.8699724801789103E-3</v>
      </c>
      <c r="U191" s="15">
        <f t="shared" ca="1" si="30"/>
        <v>10.30152475921834</v>
      </c>
      <c r="V191" s="15">
        <f t="shared" ca="1" si="31"/>
        <v>10.301524752355535</v>
      </c>
      <c r="X191" s="15">
        <f t="shared" si="32"/>
        <v>10.5</v>
      </c>
      <c r="Y191" s="15">
        <f t="shared" si="33"/>
        <v>9.5</v>
      </c>
      <c r="Z191" s="15">
        <f t="shared" ca="1" si="34"/>
        <v>1</v>
      </c>
    </row>
    <row r="192" spans="12:26" x14ac:dyDescent="0.3">
      <c r="L192" s="15">
        <v>190</v>
      </c>
      <c r="M192" s="15">
        <f t="shared" si="26"/>
        <v>10</v>
      </c>
      <c r="N192" s="15">
        <f t="shared" ca="1" si="27"/>
        <v>-0.29828763806686887</v>
      </c>
      <c r="O192" s="15">
        <f t="shared" ca="1" si="36"/>
        <v>2.4960309637205822</v>
      </c>
      <c r="P192" s="15">
        <f t="shared" ca="1" si="35"/>
        <v>2.4960309505686236</v>
      </c>
      <c r="Q192" s="15">
        <v>0</v>
      </c>
      <c r="R192" s="15">
        <f t="shared" ca="1" si="28"/>
        <v>2.4960309505686236</v>
      </c>
      <c r="S192" s="15">
        <f t="shared" ca="1" si="37"/>
        <v>10.289494289365813</v>
      </c>
      <c r="T192" s="15">
        <f t="shared" ca="1" si="29"/>
        <v>8.7933566818822889E-3</v>
      </c>
      <c r="U192" s="15">
        <f t="shared" ca="1" si="30"/>
        <v>10.298287646047696</v>
      </c>
      <c r="V192" s="15">
        <f t="shared" ca="1" si="31"/>
        <v>10.298287638066869</v>
      </c>
      <c r="X192" s="15">
        <f t="shared" si="32"/>
        <v>10.5</v>
      </c>
      <c r="Y192" s="15">
        <f t="shared" si="33"/>
        <v>9.5</v>
      </c>
      <c r="Z192" s="15">
        <f t="shared" ca="1" si="34"/>
        <v>1</v>
      </c>
    </row>
    <row r="193" spans="12:26" x14ac:dyDescent="0.3">
      <c r="L193" s="15">
        <v>191</v>
      </c>
      <c r="M193" s="15">
        <f t="shared" si="26"/>
        <v>10</v>
      </c>
      <c r="N193" s="15">
        <f t="shared" ca="1" si="27"/>
        <v>-0.28766886105008105</v>
      </c>
      <c r="O193" s="15">
        <f t="shared" ca="1" si="36"/>
        <v>2.4960309637205822</v>
      </c>
      <c r="P193" s="15">
        <f t="shared" ca="1" si="35"/>
        <v>2.4960309505686236</v>
      </c>
      <c r="Q193" s="15">
        <v>0</v>
      </c>
      <c r="R193" s="15">
        <f t="shared" ca="1" si="28"/>
        <v>2.4960309505686236</v>
      </c>
      <c r="S193" s="15">
        <f t="shared" ca="1" si="37"/>
        <v>10.281255372418196</v>
      </c>
      <c r="T193" s="15">
        <f t="shared" ca="1" si="29"/>
        <v>6.41348931067693E-3</v>
      </c>
      <c r="U193" s="15">
        <f t="shared" ca="1" si="30"/>
        <v>10.287668861728873</v>
      </c>
      <c r="V193" s="15">
        <f t="shared" ca="1" si="31"/>
        <v>10.287668861050081</v>
      </c>
      <c r="X193" s="15">
        <f t="shared" si="32"/>
        <v>10.5</v>
      </c>
      <c r="Y193" s="15">
        <f t="shared" si="33"/>
        <v>9.5</v>
      </c>
      <c r="Z193" s="15">
        <f t="shared" ca="1" si="34"/>
        <v>1</v>
      </c>
    </row>
    <row r="194" spans="12:26" x14ac:dyDescent="0.3">
      <c r="L194" s="15">
        <v>192</v>
      </c>
      <c r="M194" s="15">
        <f t="shared" si="26"/>
        <v>10</v>
      </c>
      <c r="N194" s="15">
        <f t="shared" ca="1" si="27"/>
        <v>-0.2750580316118576</v>
      </c>
      <c r="O194" s="15">
        <f t="shared" ca="1" si="36"/>
        <v>2.4935570355248338</v>
      </c>
      <c r="P194" s="15">
        <f t="shared" ca="1" si="35"/>
        <v>2.4935570318469678</v>
      </c>
      <c r="Q194" s="15">
        <v>0</v>
      </c>
      <c r="R194" s="15">
        <f t="shared" ca="1" si="28"/>
        <v>2.4935570318469678</v>
      </c>
      <c r="S194" s="15">
        <f t="shared" ca="1" si="37"/>
        <v>10.273017615588326</v>
      </c>
      <c r="T194" s="15">
        <f t="shared" ca="1" si="29"/>
        <v>2.0404235287317975E-3</v>
      </c>
      <c r="U194" s="15">
        <f t="shared" ca="1" si="30"/>
        <v>10.275058039117058</v>
      </c>
      <c r="V194" s="15">
        <f t="shared" ca="1" si="31"/>
        <v>10.275058031611858</v>
      </c>
      <c r="X194" s="15">
        <f t="shared" si="32"/>
        <v>10.5</v>
      </c>
      <c r="Y194" s="15">
        <f t="shared" si="33"/>
        <v>9.5</v>
      </c>
      <c r="Z194" s="15">
        <f t="shared" ca="1" si="34"/>
        <v>1</v>
      </c>
    </row>
    <row r="195" spans="12:26" x14ac:dyDescent="0.3">
      <c r="L195" s="15">
        <v>193</v>
      </c>
      <c r="M195" s="15">
        <f t="shared" ref="M195:M258" si="38">IF(L195&lt;$D$16,$D$13,IF(L195&lt;$E$16,$E$13,$F$13))</f>
        <v>10</v>
      </c>
      <c r="N195" s="15">
        <f t="shared" ref="N195:N258" ca="1" si="39">M195-V195</f>
        <v>-0.2685548621855105</v>
      </c>
      <c r="O195" s="15">
        <f t="shared" ca="1" si="36"/>
        <v>2.4935570355248338</v>
      </c>
      <c r="P195" s="15">
        <f t="shared" ca="1" si="35"/>
        <v>2.4935570318469678</v>
      </c>
      <c r="Q195" s="15">
        <v>0</v>
      </c>
      <c r="R195" s="15">
        <f t="shared" ref="R195:R258" ca="1" si="40">P195+Q195</f>
        <v>2.4935570318469678</v>
      </c>
      <c r="S195" s="15">
        <f t="shared" ca="1" si="37"/>
        <v>10.264848953506753</v>
      </c>
      <c r="T195" s="15">
        <f t="shared" ref="T195:T258" ca="1" si="41">RAND()*$G$12</f>
        <v>3.7059201332414805E-3</v>
      </c>
      <c r="U195" s="15">
        <f t="shared" ref="U195:U258" ca="1" si="42">S195+T195</f>
        <v>10.268554873639994</v>
      </c>
      <c r="V195" s="15">
        <f t="shared" ref="V195:V258" ca="1" si="43">INT((2^$J$12-1)*U195/100)/(2^$J$12-1)*100</f>
        <v>10.268554862185511</v>
      </c>
      <c r="X195" s="15">
        <f t="shared" ref="X195:X258" si="44">M195 * 1.05</f>
        <v>10.5</v>
      </c>
      <c r="Y195" s="15">
        <f t="shared" ref="Y195:Y258" si="45">M195 * 0.95</f>
        <v>9.5</v>
      </c>
      <c r="Z195" s="15">
        <f t="shared" ref="Z195:Z258" ca="1" si="46">IF(AND(V195 &lt;= X195, V195 &gt;= Y195), 1, 0)</f>
        <v>1</v>
      </c>
    </row>
    <row r="196" spans="12:26" x14ac:dyDescent="0.3">
      <c r="L196" s="15">
        <v>194</v>
      </c>
      <c r="M196" s="15">
        <f t="shared" si="38"/>
        <v>10</v>
      </c>
      <c r="N196" s="15">
        <f t="shared" ca="1" si="39"/>
        <v>-0.2636070713083285</v>
      </c>
      <c r="O196" s="15">
        <f t="shared" ca="1" si="36"/>
        <v>2.4935570355248338</v>
      </c>
      <c r="P196" s="15">
        <f t="shared" ca="1" si="35"/>
        <v>2.4935570318469678</v>
      </c>
      <c r="Q196" s="15">
        <v>0</v>
      </c>
      <c r="R196" s="15">
        <f t="shared" ca="1" si="40"/>
        <v>2.4935570318469678</v>
      </c>
      <c r="S196" s="15">
        <f t="shared" ca="1" si="37"/>
        <v>10.25677516581243</v>
      </c>
      <c r="T196" s="15">
        <f t="shared" ca="1" si="41"/>
        <v>6.8319108373034012E-3</v>
      </c>
      <c r="U196" s="15">
        <f t="shared" ca="1" si="42"/>
        <v>10.263607076649734</v>
      </c>
      <c r="V196" s="15">
        <f t="shared" ca="1" si="43"/>
        <v>10.263607071308328</v>
      </c>
      <c r="X196" s="15">
        <f t="shared" si="44"/>
        <v>10.5</v>
      </c>
      <c r="Y196" s="15">
        <f t="shared" si="45"/>
        <v>9.5</v>
      </c>
      <c r="Z196" s="15">
        <f t="shared" ca="1" si="46"/>
        <v>1</v>
      </c>
    </row>
    <row r="197" spans="12:26" x14ac:dyDescent="0.3">
      <c r="L197" s="15">
        <v>195</v>
      </c>
      <c r="M197" s="15">
        <f t="shared" si="38"/>
        <v>10</v>
      </c>
      <c r="N197" s="15">
        <f t="shared" ca="1" si="39"/>
        <v>-0.25282633729577775</v>
      </c>
      <c r="O197" s="15">
        <f t="shared" ca="1" si="36"/>
        <v>2.4898348599322588</v>
      </c>
      <c r="P197" s="15">
        <f t="shared" ca="1" si="35"/>
        <v>2.4898348381952</v>
      </c>
      <c r="Q197" s="15">
        <v>0</v>
      </c>
      <c r="R197" s="15">
        <f t="shared" ca="1" si="40"/>
        <v>2.4898348381952</v>
      </c>
      <c r="S197" s="15">
        <f t="shared" ca="1" si="37"/>
        <v>10.24875606299042</v>
      </c>
      <c r="T197" s="15">
        <f t="shared" ca="1" si="41"/>
        <v>4.0702817091218257E-3</v>
      </c>
      <c r="U197" s="15">
        <f t="shared" ca="1" si="42"/>
        <v>10.252826344699542</v>
      </c>
      <c r="V197" s="15">
        <f t="shared" ca="1" si="43"/>
        <v>10.252826337295778</v>
      </c>
      <c r="X197" s="15">
        <f t="shared" si="44"/>
        <v>10.5</v>
      </c>
      <c r="Y197" s="15">
        <f t="shared" si="45"/>
        <v>9.5</v>
      </c>
      <c r="Z197" s="15">
        <f t="shared" ca="1" si="46"/>
        <v>1</v>
      </c>
    </row>
    <row r="198" spans="12:26" x14ac:dyDescent="0.3">
      <c r="L198" s="15">
        <v>196</v>
      </c>
      <c r="M198" s="15">
        <f t="shared" si="38"/>
        <v>10</v>
      </c>
      <c r="N198" s="15">
        <f t="shared" ca="1" si="39"/>
        <v>-0.24291680898585177</v>
      </c>
      <c r="O198" s="15">
        <f t="shared" ca="1" si="36"/>
        <v>2.4898348599322588</v>
      </c>
      <c r="P198" s="15">
        <f t="shared" ca="1" si="35"/>
        <v>2.4898348381952</v>
      </c>
      <c r="Q198" s="15">
        <v>0</v>
      </c>
      <c r="R198" s="15">
        <f t="shared" ca="1" si="40"/>
        <v>2.4898348381952</v>
      </c>
      <c r="S198" s="15">
        <f t="shared" ca="1" si="37"/>
        <v>10.240759081750046</v>
      </c>
      <c r="T198" s="15">
        <f t="shared" ca="1" si="41"/>
        <v>2.1577388932792906E-3</v>
      </c>
      <c r="U198" s="15">
        <f t="shared" ca="1" si="42"/>
        <v>10.242916820643325</v>
      </c>
      <c r="V198" s="15">
        <f t="shared" ca="1" si="43"/>
        <v>10.242916808985852</v>
      </c>
      <c r="X198" s="15">
        <f t="shared" si="44"/>
        <v>10.5</v>
      </c>
      <c r="Y198" s="15">
        <f t="shared" si="45"/>
        <v>9.5</v>
      </c>
      <c r="Z198" s="15">
        <f t="shared" ca="1" si="46"/>
        <v>1</v>
      </c>
    </row>
    <row r="199" spans="12:26" x14ac:dyDescent="0.3">
      <c r="L199" s="15">
        <v>197</v>
      </c>
      <c r="M199" s="15">
        <f t="shared" si="38"/>
        <v>10</v>
      </c>
      <c r="N199" s="15">
        <f t="shared" ca="1" si="39"/>
        <v>-0.23314150754202601</v>
      </c>
      <c r="O199" s="15">
        <f t="shared" ca="1" si="36"/>
        <v>2.4898348599322588</v>
      </c>
      <c r="P199" s="15">
        <f t="shared" ca="1" si="35"/>
        <v>2.4898348381952</v>
      </c>
      <c r="Q199" s="15">
        <v>0</v>
      </c>
      <c r="R199" s="15">
        <f t="shared" ca="1" si="40"/>
        <v>2.4898348381952</v>
      </c>
      <c r="S199" s="15">
        <f t="shared" ca="1" si="37"/>
        <v>10.23281523818083</v>
      </c>
      <c r="T199" s="15">
        <f t="shared" ca="1" si="41"/>
        <v>3.2628608387353817E-4</v>
      </c>
      <c r="U199" s="15">
        <f t="shared" ca="1" si="42"/>
        <v>10.233141524264704</v>
      </c>
      <c r="V199" s="15">
        <f t="shared" ca="1" si="43"/>
        <v>10.233141507542026</v>
      </c>
      <c r="X199" s="15">
        <f t="shared" si="44"/>
        <v>10.5</v>
      </c>
      <c r="Y199" s="15">
        <f t="shared" si="45"/>
        <v>9.5</v>
      </c>
      <c r="Z199" s="15">
        <f t="shared" ca="1" si="46"/>
        <v>1</v>
      </c>
    </row>
    <row r="200" spans="12:26" x14ac:dyDescent="0.3">
      <c r="L200" s="15">
        <v>198</v>
      </c>
      <c r="M200" s="15">
        <f t="shared" si="38"/>
        <v>10</v>
      </c>
      <c r="N200" s="15">
        <f t="shared" ca="1" si="39"/>
        <v>-0.22561812080108012</v>
      </c>
      <c r="O200" s="15">
        <f t="shared" ca="1" si="36"/>
        <v>2.4930207975289789</v>
      </c>
      <c r="P200" s="15">
        <f t="shared" ca="1" si="35"/>
        <v>2.4930207763083794</v>
      </c>
      <c r="Q200" s="15">
        <v>0</v>
      </c>
      <c r="R200" s="15">
        <f t="shared" ca="1" si="40"/>
        <v>2.4930207763083794</v>
      </c>
      <c r="S200" s="15">
        <f t="shared" ca="1" si="37"/>
        <v>10.224929182905198</v>
      </c>
      <c r="T200" s="15">
        <f t="shared" ca="1" si="41"/>
        <v>6.8895765465669997E-4</v>
      </c>
      <c r="U200" s="15">
        <f t="shared" ca="1" si="42"/>
        <v>10.225618140559854</v>
      </c>
      <c r="V200" s="15">
        <f t="shared" ca="1" si="43"/>
        <v>10.22561812080108</v>
      </c>
      <c r="X200" s="15">
        <f t="shared" si="44"/>
        <v>10.5</v>
      </c>
      <c r="Y200" s="15">
        <f t="shared" si="45"/>
        <v>9.5</v>
      </c>
      <c r="Z200" s="15">
        <f t="shared" ca="1" si="46"/>
        <v>1</v>
      </c>
    </row>
    <row r="201" spans="12:26" x14ac:dyDescent="0.3">
      <c r="L201" s="15">
        <v>199</v>
      </c>
      <c r="M201" s="15">
        <f t="shared" si="38"/>
        <v>10</v>
      </c>
      <c r="N201" s="15">
        <f t="shared" ca="1" si="39"/>
        <v>-0.22152216411696735</v>
      </c>
      <c r="O201" s="15">
        <f t="shared" ca="1" si="36"/>
        <v>2.4930207975289789</v>
      </c>
      <c r="P201" s="15">
        <f t="shared" ca="1" si="35"/>
        <v>2.4930207763083794</v>
      </c>
      <c r="Q201" s="15">
        <v>0</v>
      </c>
      <c r="R201" s="15">
        <f t="shared" ca="1" si="40"/>
        <v>2.4930207763083794</v>
      </c>
      <c r="S201" s="15">
        <f t="shared" ca="1" si="37"/>
        <v>10.217105714103743</v>
      </c>
      <c r="T201" s="15">
        <f t="shared" ca="1" si="41"/>
        <v>4.4164696279411332E-3</v>
      </c>
      <c r="U201" s="15">
        <f t="shared" ca="1" si="42"/>
        <v>10.221522183731684</v>
      </c>
      <c r="V201" s="15">
        <f t="shared" ca="1" si="43"/>
        <v>10.221522164116967</v>
      </c>
      <c r="X201" s="15">
        <f t="shared" si="44"/>
        <v>10.5</v>
      </c>
      <c r="Y201" s="15">
        <f t="shared" si="45"/>
        <v>9.5</v>
      </c>
      <c r="Z201" s="15">
        <f t="shared" ca="1" si="46"/>
        <v>1</v>
      </c>
    </row>
    <row r="202" spans="12:26" x14ac:dyDescent="0.3">
      <c r="L202" s="15">
        <v>200</v>
      </c>
      <c r="M202" s="15">
        <f t="shared" si="38"/>
        <v>10</v>
      </c>
      <c r="N202" s="15">
        <f t="shared" ca="1" si="39"/>
        <v>-0.21053812238633185</v>
      </c>
      <c r="O202" s="15">
        <f t="shared" ca="1" si="36"/>
        <v>2.4930207975289789</v>
      </c>
      <c r="P202" s="15">
        <f t="shared" ca="1" si="35"/>
        <v>2.4930207763083794</v>
      </c>
      <c r="Q202" s="15">
        <v>0</v>
      </c>
      <c r="R202" s="15">
        <f t="shared" ca="1" si="40"/>
        <v>2.4930207763083794</v>
      </c>
      <c r="S202" s="15">
        <f t="shared" ca="1" si="37"/>
        <v>10.209369977517557</v>
      </c>
      <c r="T202" s="15">
        <f t="shared" ca="1" si="41"/>
        <v>1.1681551855601835E-3</v>
      </c>
      <c r="U202" s="15">
        <f t="shared" ca="1" si="42"/>
        <v>10.210538132703117</v>
      </c>
      <c r="V202" s="15">
        <f t="shared" ca="1" si="43"/>
        <v>10.210538122386332</v>
      </c>
      <c r="X202" s="15">
        <f t="shared" si="44"/>
        <v>10.5</v>
      </c>
      <c r="Y202" s="15">
        <f t="shared" si="45"/>
        <v>9.5</v>
      </c>
      <c r="Z202" s="15">
        <f t="shared" ca="1" si="46"/>
        <v>1</v>
      </c>
    </row>
    <row r="203" spans="12:26" x14ac:dyDescent="0.3">
      <c r="L203" s="15">
        <v>201</v>
      </c>
      <c r="M203" s="15">
        <f t="shared" si="38"/>
        <v>10</v>
      </c>
      <c r="N203" s="15">
        <f t="shared" ca="1" si="39"/>
        <v>-0.20829219143099387</v>
      </c>
      <c r="O203" s="15">
        <f t="shared" ca="1" si="36"/>
        <v>2.4859498822025485</v>
      </c>
      <c r="P203" s="15">
        <f t="shared" ca="1" si="35"/>
        <v>2.4859498726404157</v>
      </c>
      <c r="Q203" s="15">
        <v>0</v>
      </c>
      <c r="R203" s="15">
        <f t="shared" ca="1" si="40"/>
        <v>2.4859498726404157</v>
      </c>
      <c r="S203" s="15">
        <f t="shared" ca="1" si="37"/>
        <v>10.201766864307018</v>
      </c>
      <c r="T203" s="15">
        <f t="shared" ca="1" si="41"/>
        <v>6.5253355556536621E-3</v>
      </c>
      <c r="U203" s="15">
        <f t="shared" ca="1" si="42"/>
        <v>10.208292199862672</v>
      </c>
      <c r="V203" s="15">
        <f t="shared" ca="1" si="43"/>
        <v>10.208292191430994</v>
      </c>
      <c r="X203" s="15">
        <f t="shared" si="44"/>
        <v>10.5</v>
      </c>
      <c r="Y203" s="15">
        <f t="shared" si="45"/>
        <v>9.5</v>
      </c>
      <c r="Z203" s="15">
        <f t="shared" ca="1" si="46"/>
        <v>1</v>
      </c>
    </row>
    <row r="204" spans="12:26" x14ac:dyDescent="0.3">
      <c r="L204" s="15">
        <v>202</v>
      </c>
      <c r="M204" s="15">
        <f t="shared" si="38"/>
        <v>10</v>
      </c>
      <c r="N204" s="15">
        <f t="shared" ca="1" si="39"/>
        <v>-0.19678632966167875</v>
      </c>
      <c r="O204" s="15">
        <f t="shared" ca="1" si="36"/>
        <v>2.4859498822025485</v>
      </c>
      <c r="P204" s="15">
        <f t="shared" ca="1" si="35"/>
        <v>2.4859498726404157</v>
      </c>
      <c r="Q204" s="15">
        <v>0</v>
      </c>
      <c r="R204" s="15">
        <f t="shared" ca="1" si="40"/>
        <v>2.4859498726404157</v>
      </c>
      <c r="S204" s="15">
        <f t="shared" ca="1" si="37"/>
        <v>10.194333975188046</v>
      </c>
      <c r="T204" s="15">
        <f t="shared" ca="1" si="41"/>
        <v>2.45235860084725E-3</v>
      </c>
      <c r="U204" s="15">
        <f t="shared" ca="1" si="42"/>
        <v>10.196786333788893</v>
      </c>
      <c r="V204" s="15">
        <f t="shared" ca="1" si="43"/>
        <v>10.196786329661679</v>
      </c>
      <c r="X204" s="15">
        <f t="shared" si="44"/>
        <v>10.5</v>
      </c>
      <c r="Y204" s="15">
        <f t="shared" si="45"/>
        <v>9.5</v>
      </c>
      <c r="Z204" s="15">
        <f t="shared" ca="1" si="46"/>
        <v>1</v>
      </c>
    </row>
    <row r="205" spans="12:26" x14ac:dyDescent="0.3">
      <c r="L205" s="15">
        <v>203</v>
      </c>
      <c r="M205" s="15">
        <f t="shared" si="38"/>
        <v>10</v>
      </c>
      <c r="N205" s="15">
        <f t="shared" ca="1" si="39"/>
        <v>-0.19626299622381715</v>
      </c>
      <c r="O205" s="15">
        <f t="shared" ca="1" si="36"/>
        <v>2.4859498822025485</v>
      </c>
      <c r="P205" s="15">
        <f t="shared" ref="P205:P268" ca="1" si="47">INT((2^$J$12-1)*O205/100)/(2^$J$12-1)*100</f>
        <v>2.4859498726404157</v>
      </c>
      <c r="Q205" s="15">
        <v>0</v>
      </c>
      <c r="R205" s="15">
        <f t="shared" ca="1" si="40"/>
        <v>2.4859498726404157</v>
      </c>
      <c r="S205" s="15">
        <f t="shared" ca="1" si="37"/>
        <v>10.187081140795144</v>
      </c>
      <c r="T205" s="15">
        <f t="shared" ca="1" si="41"/>
        <v>9.1818732163350333E-3</v>
      </c>
      <c r="U205" s="15">
        <f t="shared" ca="1" si="42"/>
        <v>10.196263014011478</v>
      </c>
      <c r="V205" s="15">
        <f t="shared" ca="1" si="43"/>
        <v>10.196262996223817</v>
      </c>
      <c r="X205" s="15">
        <f t="shared" si="44"/>
        <v>10.5</v>
      </c>
      <c r="Y205" s="15">
        <f t="shared" si="45"/>
        <v>9.5</v>
      </c>
      <c r="Z205" s="15">
        <f t="shared" ca="1" si="46"/>
        <v>1</v>
      </c>
    </row>
    <row r="206" spans="12:26" x14ac:dyDescent="0.3">
      <c r="L206" s="15">
        <v>204</v>
      </c>
      <c r="M206" s="15">
        <f t="shared" si="38"/>
        <v>10</v>
      </c>
      <c r="N206" s="15">
        <f t="shared" ca="1" si="39"/>
        <v>-0.18368588066280012</v>
      </c>
      <c r="O206" s="15">
        <f t="shared" ca="1" si="36"/>
        <v>2.4908987349991305</v>
      </c>
      <c r="P206" s="15">
        <f t="shared" ca="1" si="47"/>
        <v>2.4908987345385594</v>
      </c>
      <c r="Q206" s="15">
        <v>0</v>
      </c>
      <c r="R206" s="15">
        <f t="shared" ca="1" si="40"/>
        <v>2.4908987345385594</v>
      </c>
      <c r="S206" s="15">
        <f t="shared" ca="1" si="37"/>
        <v>10.179937554340771</v>
      </c>
      <c r="T206" s="15">
        <f t="shared" ca="1" si="41"/>
        <v>3.7483410430587472E-3</v>
      </c>
      <c r="U206" s="15">
        <f t="shared" ca="1" si="42"/>
        <v>10.18368589538383</v>
      </c>
      <c r="V206" s="15">
        <f t="shared" ca="1" si="43"/>
        <v>10.1836858806628</v>
      </c>
      <c r="X206" s="15">
        <f t="shared" si="44"/>
        <v>10.5</v>
      </c>
      <c r="Y206" s="15">
        <f t="shared" si="45"/>
        <v>9.5</v>
      </c>
      <c r="Z206" s="15">
        <f t="shared" ca="1" si="46"/>
        <v>1</v>
      </c>
    </row>
    <row r="207" spans="12:26" x14ac:dyDescent="0.3">
      <c r="L207" s="15">
        <v>205</v>
      </c>
      <c r="M207" s="15">
        <f t="shared" si="38"/>
        <v>10</v>
      </c>
      <c r="N207" s="15">
        <f t="shared" ca="1" si="39"/>
        <v>-0.17393027669143102</v>
      </c>
      <c r="O207" s="15">
        <f t="shared" ca="1" si="36"/>
        <v>2.4908987349991305</v>
      </c>
      <c r="P207" s="15">
        <f t="shared" ca="1" si="47"/>
        <v>2.4908987345385594</v>
      </c>
      <c r="Q207" s="15">
        <v>0</v>
      </c>
      <c r="R207" s="15">
        <f t="shared" ca="1" si="40"/>
        <v>2.4908987345385594</v>
      </c>
      <c r="S207" s="15">
        <f t="shared" ca="1" si="37"/>
        <v>10.172844413486619</v>
      </c>
      <c r="T207" s="15">
        <f t="shared" ca="1" si="41"/>
        <v>1.085886190864368E-3</v>
      </c>
      <c r="U207" s="15">
        <f t="shared" ca="1" si="42"/>
        <v>10.173930299677483</v>
      </c>
      <c r="V207" s="15">
        <f t="shared" ca="1" si="43"/>
        <v>10.173930276691431</v>
      </c>
      <c r="X207" s="15">
        <f t="shared" si="44"/>
        <v>10.5</v>
      </c>
      <c r="Y207" s="15">
        <f t="shared" si="45"/>
        <v>9.5</v>
      </c>
      <c r="Z207" s="15">
        <f t="shared" ca="1" si="46"/>
        <v>1</v>
      </c>
    </row>
    <row r="208" spans="12:26" x14ac:dyDescent="0.3">
      <c r="L208" s="15">
        <v>206</v>
      </c>
      <c r="M208" s="15">
        <f t="shared" si="38"/>
        <v>10</v>
      </c>
      <c r="N208" s="15">
        <f t="shared" ca="1" si="39"/>
        <v>-0.16742803858766031</v>
      </c>
      <c r="O208" s="15">
        <f t="shared" ca="1" si="36"/>
        <v>2.4908987349991305</v>
      </c>
      <c r="P208" s="15">
        <f t="shared" ca="1" si="47"/>
        <v>2.4908987345385594</v>
      </c>
      <c r="Q208" s="15">
        <v>0</v>
      </c>
      <c r="R208" s="15">
        <f t="shared" ca="1" si="40"/>
        <v>2.4908987345385594</v>
      </c>
      <c r="S208" s="15">
        <f t="shared" ca="1" si="37"/>
        <v>10.165825316086799</v>
      </c>
      <c r="T208" s="15">
        <f t="shared" ca="1" si="41"/>
        <v>1.6027429940044414E-3</v>
      </c>
      <c r="U208" s="15">
        <f t="shared" ca="1" si="42"/>
        <v>10.167428059080803</v>
      </c>
      <c r="V208" s="15">
        <f t="shared" ca="1" si="43"/>
        <v>10.16742803858766</v>
      </c>
      <c r="X208" s="15">
        <f t="shared" si="44"/>
        <v>10.5</v>
      </c>
      <c r="Y208" s="15">
        <f t="shared" si="45"/>
        <v>9.5</v>
      </c>
      <c r="Z208" s="15">
        <f t="shared" ca="1" si="46"/>
        <v>1</v>
      </c>
    </row>
    <row r="209" spans="12:26" x14ac:dyDescent="0.3">
      <c r="L209" s="15">
        <v>207</v>
      </c>
      <c r="M209" s="15">
        <f t="shared" si="38"/>
        <v>10</v>
      </c>
      <c r="N209" s="15">
        <f t="shared" ca="1" si="39"/>
        <v>-0.16093697635478676</v>
      </c>
      <c r="O209" s="15">
        <f t="shared" ca="1" si="36"/>
        <v>2.4904955240295652</v>
      </c>
      <c r="P209" s="15">
        <f t="shared" ca="1" si="47"/>
        <v>2.4904955184297859</v>
      </c>
      <c r="Q209" s="15">
        <v>0</v>
      </c>
      <c r="R209" s="15">
        <f t="shared" ca="1" si="40"/>
        <v>2.4904955184297859</v>
      </c>
      <c r="S209" s="15">
        <f t="shared" ca="1" si="37"/>
        <v>10.158871553317086</v>
      </c>
      <c r="T209" s="15">
        <f t="shared" ca="1" si="41"/>
        <v>2.0654274259111348E-3</v>
      </c>
      <c r="U209" s="15">
        <f t="shared" ca="1" si="42"/>
        <v>10.160936980742997</v>
      </c>
      <c r="V209" s="15">
        <f t="shared" ca="1" si="43"/>
        <v>10.160936976354787</v>
      </c>
      <c r="X209" s="15">
        <f t="shared" si="44"/>
        <v>10.5</v>
      </c>
      <c r="Y209" s="15">
        <f t="shared" si="45"/>
        <v>9.5</v>
      </c>
      <c r="Z209" s="15">
        <f t="shared" ca="1" si="46"/>
        <v>1</v>
      </c>
    </row>
    <row r="210" spans="12:26" x14ac:dyDescent="0.3">
      <c r="L210" s="15">
        <v>208</v>
      </c>
      <c r="M210" s="15">
        <f t="shared" si="38"/>
        <v>10</v>
      </c>
      <c r="N210" s="15">
        <f t="shared" ca="1" si="39"/>
        <v>-0.15677391787915873</v>
      </c>
      <c r="O210" s="15">
        <f t="shared" ca="1" si="36"/>
        <v>2.4904955240295652</v>
      </c>
      <c r="P210" s="15">
        <f t="shared" ca="1" si="47"/>
        <v>2.4904955184297859</v>
      </c>
      <c r="Q210" s="15">
        <v>0</v>
      </c>
      <c r="R210" s="15">
        <f t="shared" ca="1" si="40"/>
        <v>2.4904955184297859</v>
      </c>
      <c r="S210" s="15">
        <f t="shared" ca="1" si="37"/>
        <v>10.151976528382873</v>
      </c>
      <c r="T210" s="15">
        <f t="shared" ca="1" si="41"/>
        <v>4.7974095986964083E-3</v>
      </c>
      <c r="U210" s="15">
        <f t="shared" ca="1" si="42"/>
        <v>10.156773937981569</v>
      </c>
      <c r="V210" s="15">
        <f t="shared" ca="1" si="43"/>
        <v>10.156773917879159</v>
      </c>
      <c r="X210" s="15">
        <f t="shared" si="44"/>
        <v>10.5</v>
      </c>
      <c r="Y210" s="15">
        <f t="shared" si="45"/>
        <v>9.5</v>
      </c>
      <c r="Z210" s="15">
        <f t="shared" ca="1" si="46"/>
        <v>1</v>
      </c>
    </row>
    <row r="211" spans="12:26" x14ac:dyDescent="0.3">
      <c r="L211" s="15">
        <v>209</v>
      </c>
      <c r="M211" s="15">
        <f t="shared" si="38"/>
        <v>10</v>
      </c>
      <c r="N211" s="15">
        <f t="shared" ca="1" si="39"/>
        <v>-0.14915439536542507</v>
      </c>
      <c r="O211" s="15">
        <f t="shared" ca="1" si="36"/>
        <v>2.4904955240295652</v>
      </c>
      <c r="P211" s="15">
        <f t="shared" ca="1" si="47"/>
        <v>2.4904955184297859</v>
      </c>
      <c r="Q211" s="15">
        <v>0</v>
      </c>
      <c r="R211" s="15">
        <f t="shared" ca="1" si="40"/>
        <v>2.4904955184297859</v>
      </c>
      <c r="S211" s="15">
        <f t="shared" ca="1" si="37"/>
        <v>10.145161948600478</v>
      </c>
      <c r="T211" s="15">
        <f t="shared" ca="1" si="41"/>
        <v>3.9924506626319214E-3</v>
      </c>
      <c r="U211" s="15">
        <f t="shared" ca="1" si="42"/>
        <v>10.149154399263111</v>
      </c>
      <c r="V211" s="15">
        <f t="shared" ca="1" si="43"/>
        <v>10.149154395365425</v>
      </c>
      <c r="X211" s="15">
        <f t="shared" si="44"/>
        <v>10.5</v>
      </c>
      <c r="Y211" s="15">
        <f t="shared" si="45"/>
        <v>9.5</v>
      </c>
      <c r="Z211" s="15">
        <f t="shared" ca="1" si="46"/>
        <v>1</v>
      </c>
    </row>
    <row r="212" spans="12:26" x14ac:dyDescent="0.3">
      <c r="L212" s="15">
        <v>210</v>
      </c>
      <c r="M212" s="15">
        <f t="shared" si="38"/>
        <v>10</v>
      </c>
      <c r="N212" s="15">
        <f t="shared" ca="1" si="39"/>
        <v>-0.1396127627556254</v>
      </c>
      <c r="O212" s="15">
        <f t="shared" ca="1" si="36"/>
        <v>2.4905282160681104</v>
      </c>
      <c r="P212" s="15">
        <f t="shared" ca="1" si="47"/>
        <v>2.4905282078521624</v>
      </c>
      <c r="Q212" s="15">
        <v>0</v>
      </c>
      <c r="R212" s="15">
        <f t="shared" ca="1" si="40"/>
        <v>2.4905282078521624</v>
      </c>
      <c r="S212" s="15">
        <f t="shared" ca="1" si="37"/>
        <v>10.138489800658675</v>
      </c>
      <c r="T212" s="15">
        <f t="shared" ca="1" si="41"/>
        <v>1.1229784884651717E-3</v>
      </c>
      <c r="U212" s="15">
        <f t="shared" ca="1" si="42"/>
        <v>10.139612779147141</v>
      </c>
      <c r="V212" s="15">
        <f t="shared" ca="1" si="43"/>
        <v>10.139612762755625</v>
      </c>
      <c r="X212" s="15">
        <f t="shared" si="44"/>
        <v>10.5</v>
      </c>
      <c r="Y212" s="15">
        <f t="shared" si="45"/>
        <v>9.5</v>
      </c>
      <c r="Z212" s="15">
        <f t="shared" ca="1" si="46"/>
        <v>1</v>
      </c>
    </row>
    <row r="213" spans="12:26" x14ac:dyDescent="0.3">
      <c r="L213" s="15">
        <v>211</v>
      </c>
      <c r="M213" s="15">
        <f t="shared" si="38"/>
        <v>10</v>
      </c>
      <c r="N213" s="15">
        <f t="shared" ca="1" si="39"/>
        <v>-0.13906242096309107</v>
      </c>
      <c r="O213" s="15">
        <f t="shared" ca="1" si="36"/>
        <v>2.4905282160681104</v>
      </c>
      <c r="P213" s="15">
        <f t="shared" ca="1" si="47"/>
        <v>2.4905282078521624</v>
      </c>
      <c r="Q213" s="15">
        <v>0</v>
      </c>
      <c r="R213" s="15">
        <f t="shared" ca="1" si="40"/>
        <v>2.4905282078521624</v>
      </c>
      <c r="S213" s="15">
        <f t="shared" ca="1" si="37"/>
        <v>10.132011681504821</v>
      </c>
      <c r="T213" s="15">
        <f t="shared" ca="1" si="41"/>
        <v>7.0507435882107708E-3</v>
      </c>
      <c r="U213" s="15">
        <f t="shared" ca="1" si="42"/>
        <v>10.139062425093032</v>
      </c>
      <c r="V213" s="15">
        <f t="shared" ca="1" si="43"/>
        <v>10.139062420963091</v>
      </c>
      <c r="X213" s="15">
        <f t="shared" si="44"/>
        <v>10.5</v>
      </c>
      <c r="Y213" s="15">
        <f t="shared" si="45"/>
        <v>9.5</v>
      </c>
      <c r="Z213" s="15">
        <f t="shared" ca="1" si="46"/>
        <v>1</v>
      </c>
    </row>
    <row r="214" spans="12:26" x14ac:dyDescent="0.3">
      <c r="L214" s="15">
        <v>212</v>
      </c>
      <c r="M214" s="15">
        <f t="shared" si="38"/>
        <v>10</v>
      </c>
      <c r="N214" s="15">
        <f t="shared" ca="1" si="39"/>
        <v>-0.13480650962675078</v>
      </c>
      <c r="O214" s="15">
        <f t="shared" ca="1" si="36"/>
        <v>2.4905282160681104</v>
      </c>
      <c r="P214" s="15">
        <f t="shared" ca="1" si="47"/>
        <v>2.4905282078521624</v>
      </c>
      <c r="Q214" s="15">
        <v>0</v>
      </c>
      <c r="R214" s="15">
        <f t="shared" ca="1" si="40"/>
        <v>2.4905282078521624</v>
      </c>
      <c r="S214" s="15">
        <f t="shared" ca="1" si="37"/>
        <v>10.125730361791145</v>
      </c>
      <c r="T214" s="15">
        <f t="shared" ca="1" si="41"/>
        <v>9.0761509226767439E-3</v>
      </c>
      <c r="U214" s="15">
        <f t="shared" ca="1" si="42"/>
        <v>10.134806512713823</v>
      </c>
      <c r="V214" s="15">
        <f t="shared" ca="1" si="43"/>
        <v>10.134806509626751</v>
      </c>
      <c r="X214" s="15">
        <f t="shared" si="44"/>
        <v>10.5</v>
      </c>
      <c r="Y214" s="15">
        <f t="shared" si="45"/>
        <v>9.5</v>
      </c>
      <c r="Z214" s="15">
        <f t="shared" ca="1" si="46"/>
        <v>1</v>
      </c>
    </row>
    <row r="215" spans="12:26" x14ac:dyDescent="0.3">
      <c r="L215" s="15">
        <v>213</v>
      </c>
      <c r="M215" s="15">
        <f t="shared" si="38"/>
        <v>10</v>
      </c>
      <c r="N215" s="15">
        <f t="shared" ca="1" si="39"/>
        <v>-0.12595196024653355</v>
      </c>
      <c r="O215" s="15">
        <f t="shared" ref="O215:O278" ca="1" si="48">IF(MOD(L215,$B$11)=0,OFFSET(O215,-$B$11,0)+ $E$2*N215+$E$3*OFFSET(N215,-$B$11,0)+ $E$4*OFFSET(N215,-2* $B$11,0), O214)</f>
        <v>2.4857817511307747</v>
      </c>
      <c r="P215" s="15">
        <f t="shared" ca="1" si="47"/>
        <v>2.4857817456325941</v>
      </c>
      <c r="Q215" s="15">
        <v>0</v>
      </c>
      <c r="R215" s="15">
        <f t="shared" ca="1" si="40"/>
        <v>2.4857817456325941</v>
      </c>
      <c r="S215" s="15">
        <f t="shared" ca="1" si="37"/>
        <v>10.119626027264921</v>
      </c>
      <c r="T215" s="15">
        <f t="shared" ca="1" si="41"/>
        <v>6.3259388843149656E-3</v>
      </c>
      <c r="U215" s="15">
        <f t="shared" ca="1" si="42"/>
        <v>10.125951966149236</v>
      </c>
      <c r="V215" s="15">
        <f t="shared" ca="1" si="43"/>
        <v>10.125951960246534</v>
      </c>
      <c r="X215" s="15">
        <f t="shared" si="44"/>
        <v>10.5</v>
      </c>
      <c r="Y215" s="15">
        <f t="shared" si="45"/>
        <v>9.5</v>
      </c>
      <c r="Z215" s="15">
        <f t="shared" ca="1" si="46"/>
        <v>1</v>
      </c>
    </row>
    <row r="216" spans="12:26" x14ac:dyDescent="0.3">
      <c r="L216" s="15">
        <v>214</v>
      </c>
      <c r="M216" s="15">
        <f t="shared" si="38"/>
        <v>10</v>
      </c>
      <c r="N216" s="15">
        <f t="shared" ca="1" si="39"/>
        <v>-0.11734355942284402</v>
      </c>
      <c r="O216" s="15">
        <f t="shared" ca="1" si="48"/>
        <v>2.4857817511307747</v>
      </c>
      <c r="P216" s="15">
        <f t="shared" ca="1" si="47"/>
        <v>2.4857817456325941</v>
      </c>
      <c r="Q216" s="15">
        <v>0</v>
      </c>
      <c r="R216" s="15">
        <f t="shared" ca="1" si="40"/>
        <v>2.4857817456325941</v>
      </c>
      <c r="S216" s="15">
        <f t="shared" ca="1" si="37"/>
        <v>10.113681577034662</v>
      </c>
      <c r="T216" s="15">
        <f t="shared" ca="1" si="41"/>
        <v>3.6619953187609767E-3</v>
      </c>
      <c r="U216" s="15">
        <f t="shared" ca="1" si="42"/>
        <v>10.117343572353423</v>
      </c>
      <c r="V216" s="15">
        <f t="shared" ca="1" si="43"/>
        <v>10.117343559422844</v>
      </c>
      <c r="X216" s="15">
        <f t="shared" si="44"/>
        <v>10.5</v>
      </c>
      <c r="Y216" s="15">
        <f t="shared" si="45"/>
        <v>9.5</v>
      </c>
      <c r="Z216" s="15">
        <f t="shared" ca="1" si="46"/>
        <v>1</v>
      </c>
    </row>
    <row r="217" spans="12:26" x14ac:dyDescent="0.3">
      <c r="L217" s="15">
        <v>215</v>
      </c>
      <c r="M217" s="15">
        <f t="shared" si="38"/>
        <v>10</v>
      </c>
      <c r="N217" s="15">
        <f t="shared" ca="1" si="39"/>
        <v>-0.10947635167033454</v>
      </c>
      <c r="O217" s="15">
        <f t="shared" ca="1" si="48"/>
        <v>2.4857817511307747</v>
      </c>
      <c r="P217" s="15">
        <f t="shared" ca="1" si="47"/>
        <v>2.4857817456325941</v>
      </c>
      <c r="Q217" s="15">
        <v>0</v>
      </c>
      <c r="R217" s="15">
        <f t="shared" ca="1" si="40"/>
        <v>2.4857817456325941</v>
      </c>
      <c r="S217" s="15">
        <f t="shared" ref="S217:S280" ca="1" si="49">$I$1*S216-$I$2*S215+$I$3*R196+$I$4*R195</f>
        <v>10.107901858711674</v>
      </c>
      <c r="T217" s="15">
        <f t="shared" ca="1" si="41"/>
        <v>1.5744962481957969E-3</v>
      </c>
      <c r="U217" s="15">
        <f t="shared" ca="1" si="42"/>
        <v>10.10947635495987</v>
      </c>
      <c r="V217" s="15">
        <f t="shared" ca="1" si="43"/>
        <v>10.109476351670335</v>
      </c>
      <c r="X217" s="15">
        <f t="shared" si="44"/>
        <v>10.5</v>
      </c>
      <c r="Y217" s="15">
        <f t="shared" si="45"/>
        <v>9.5</v>
      </c>
      <c r="Z217" s="15">
        <f t="shared" ca="1" si="46"/>
        <v>1</v>
      </c>
    </row>
    <row r="218" spans="12:26" x14ac:dyDescent="0.3">
      <c r="L218" s="15">
        <v>216</v>
      </c>
      <c r="M218" s="15">
        <f t="shared" si="38"/>
        <v>10</v>
      </c>
      <c r="N218" s="15">
        <f t="shared" ca="1" si="39"/>
        <v>-0.11103096187837203</v>
      </c>
      <c r="O218" s="15">
        <f t="shared" ca="1" si="48"/>
        <v>2.4868969069352591</v>
      </c>
      <c r="P218" s="15">
        <f t="shared" ca="1" si="47"/>
        <v>2.4868968880006337</v>
      </c>
      <c r="Q218" s="15">
        <v>0</v>
      </c>
      <c r="R218" s="15">
        <f t="shared" ca="1" si="40"/>
        <v>2.4868968880006337</v>
      </c>
      <c r="S218" s="15">
        <f t="shared" ca="1" si="49"/>
        <v>10.102258208696098</v>
      </c>
      <c r="T218" s="15">
        <f t="shared" ca="1" si="41"/>
        <v>8.7727531870280123E-3</v>
      </c>
      <c r="U218" s="15">
        <f t="shared" ca="1" si="42"/>
        <v>10.111030961883126</v>
      </c>
      <c r="V218" s="15">
        <f t="shared" ca="1" si="43"/>
        <v>10.111030961878372</v>
      </c>
      <c r="X218" s="15">
        <f t="shared" si="44"/>
        <v>10.5</v>
      </c>
      <c r="Y218" s="15">
        <f t="shared" si="45"/>
        <v>9.5</v>
      </c>
      <c r="Z218" s="15">
        <f t="shared" ca="1" si="46"/>
        <v>1</v>
      </c>
    </row>
    <row r="219" spans="12:26" x14ac:dyDescent="0.3">
      <c r="L219" s="15">
        <v>217</v>
      </c>
      <c r="M219" s="15">
        <f t="shared" si="38"/>
        <v>10</v>
      </c>
      <c r="N219" s="15">
        <f t="shared" ca="1" si="39"/>
        <v>-9.8130654100824444E-2</v>
      </c>
      <c r="O219" s="15">
        <f t="shared" ca="1" si="48"/>
        <v>2.4868969069352591</v>
      </c>
      <c r="P219" s="15">
        <f t="shared" ca="1" si="47"/>
        <v>2.4868968880006337</v>
      </c>
      <c r="Q219" s="15">
        <v>0</v>
      </c>
      <c r="R219" s="15">
        <f t="shared" ca="1" si="40"/>
        <v>2.4868968880006337</v>
      </c>
      <c r="S219" s="15">
        <f t="shared" ca="1" si="49"/>
        <v>10.096726450841787</v>
      </c>
      <c r="T219" s="15">
        <f t="shared" ca="1" si="41"/>
        <v>1.404210264321012E-3</v>
      </c>
      <c r="U219" s="15">
        <f t="shared" ca="1" si="42"/>
        <v>10.098130661106108</v>
      </c>
      <c r="V219" s="15">
        <f t="shared" ca="1" si="43"/>
        <v>10.098130654100824</v>
      </c>
      <c r="X219" s="15">
        <f t="shared" si="44"/>
        <v>10.5</v>
      </c>
      <c r="Y219" s="15">
        <f t="shared" si="45"/>
        <v>9.5</v>
      </c>
      <c r="Z219" s="15">
        <f t="shared" ca="1" si="46"/>
        <v>1</v>
      </c>
    </row>
    <row r="220" spans="12:26" x14ac:dyDescent="0.3">
      <c r="L220" s="15">
        <v>218</v>
      </c>
      <c r="M220" s="15">
        <f t="shared" si="38"/>
        <v>10</v>
      </c>
      <c r="N220" s="15">
        <f t="shared" ca="1" si="39"/>
        <v>-9.5795386027496932E-2</v>
      </c>
      <c r="O220" s="15">
        <f t="shared" ca="1" si="48"/>
        <v>2.4868969069352591</v>
      </c>
      <c r="P220" s="15">
        <f t="shared" ca="1" si="47"/>
        <v>2.4868968880006337</v>
      </c>
      <c r="Q220" s="15">
        <v>0</v>
      </c>
      <c r="R220" s="15">
        <f t="shared" ca="1" si="40"/>
        <v>2.4868968880006337</v>
      </c>
      <c r="S220" s="15">
        <f t="shared" ca="1" si="49"/>
        <v>10.091315779169527</v>
      </c>
      <c r="T220" s="15">
        <f t="shared" ca="1" si="41"/>
        <v>4.4796143730724616E-3</v>
      </c>
      <c r="U220" s="15">
        <f t="shared" ca="1" si="42"/>
        <v>10.0957953935426</v>
      </c>
      <c r="V220" s="15">
        <f t="shared" ca="1" si="43"/>
        <v>10.095795386027497</v>
      </c>
      <c r="X220" s="15">
        <f t="shared" si="44"/>
        <v>10.5</v>
      </c>
      <c r="Y220" s="15">
        <f t="shared" si="45"/>
        <v>9.5</v>
      </c>
      <c r="Z220" s="15">
        <f t="shared" ca="1" si="46"/>
        <v>1</v>
      </c>
    </row>
    <row r="221" spans="12:26" x14ac:dyDescent="0.3">
      <c r="L221" s="15">
        <v>219</v>
      </c>
      <c r="M221" s="15">
        <f t="shared" si="38"/>
        <v>10</v>
      </c>
      <c r="N221" s="15">
        <f t="shared" ca="1" si="39"/>
        <v>-9.4732258025262084E-2</v>
      </c>
      <c r="O221" s="15">
        <f t="shared" ca="1" si="48"/>
        <v>2.4886370762152792</v>
      </c>
      <c r="P221" s="15">
        <f t="shared" ca="1" si="47"/>
        <v>2.4886370642317077</v>
      </c>
      <c r="Q221" s="15">
        <v>0</v>
      </c>
      <c r="R221" s="15">
        <f t="shared" ca="1" si="40"/>
        <v>2.4886370642317077</v>
      </c>
      <c r="S221" s="15">
        <f t="shared" ca="1" si="49"/>
        <v>10.086061268701304</v>
      </c>
      <c r="T221" s="15">
        <f t="shared" ca="1" si="41"/>
        <v>8.6710025708613761E-3</v>
      </c>
      <c r="U221" s="15">
        <f t="shared" ca="1" si="42"/>
        <v>10.094732271272164</v>
      </c>
      <c r="V221" s="15">
        <f t="shared" ca="1" si="43"/>
        <v>10.094732258025262</v>
      </c>
      <c r="X221" s="15">
        <f t="shared" si="44"/>
        <v>10.5</v>
      </c>
      <c r="Y221" s="15">
        <f t="shared" si="45"/>
        <v>9.5</v>
      </c>
      <c r="Z221" s="15">
        <f t="shared" ca="1" si="46"/>
        <v>1</v>
      </c>
    </row>
    <row r="222" spans="12:26" x14ac:dyDescent="0.3">
      <c r="L222" s="15">
        <v>220</v>
      </c>
      <c r="M222" s="15">
        <f t="shared" si="38"/>
        <v>10</v>
      </c>
      <c r="N222" s="15">
        <f t="shared" ca="1" si="39"/>
        <v>-8.4628106580261431E-2</v>
      </c>
      <c r="O222" s="15">
        <f t="shared" ca="1" si="48"/>
        <v>2.4886370762152792</v>
      </c>
      <c r="P222" s="15">
        <f t="shared" ca="1" si="47"/>
        <v>2.4886370642317077</v>
      </c>
      <c r="Q222" s="15">
        <v>0</v>
      </c>
      <c r="R222" s="15">
        <f t="shared" ca="1" si="40"/>
        <v>2.4886370642317077</v>
      </c>
      <c r="S222" s="15">
        <f t="shared" ca="1" si="49"/>
        <v>10.080991662377508</v>
      </c>
      <c r="T222" s="15">
        <f t="shared" ca="1" si="41"/>
        <v>3.6364456007346602E-3</v>
      </c>
      <c r="U222" s="15">
        <f t="shared" ca="1" si="42"/>
        <v>10.084628107978244</v>
      </c>
      <c r="V222" s="15">
        <f t="shared" ca="1" si="43"/>
        <v>10.084628106580261</v>
      </c>
      <c r="X222" s="15">
        <f t="shared" si="44"/>
        <v>10.5</v>
      </c>
      <c r="Y222" s="15">
        <f t="shared" si="45"/>
        <v>9.5</v>
      </c>
      <c r="Z222" s="15">
        <f t="shared" ca="1" si="46"/>
        <v>1</v>
      </c>
    </row>
    <row r="223" spans="12:26" x14ac:dyDescent="0.3">
      <c r="L223" s="15">
        <v>221</v>
      </c>
      <c r="M223" s="15">
        <f t="shared" si="38"/>
        <v>10</v>
      </c>
      <c r="N223" s="15">
        <f t="shared" ca="1" si="39"/>
        <v>-8.4389920831748455E-2</v>
      </c>
      <c r="O223" s="15">
        <f t="shared" ca="1" si="48"/>
        <v>2.4886370762152792</v>
      </c>
      <c r="P223" s="15">
        <f t="shared" ca="1" si="47"/>
        <v>2.4886370642317077</v>
      </c>
      <c r="Q223" s="15">
        <v>0</v>
      </c>
      <c r="R223" s="15">
        <f t="shared" ca="1" si="40"/>
        <v>2.4886370642317077</v>
      </c>
      <c r="S223" s="15">
        <f t="shared" ca="1" si="49"/>
        <v>10.076104931636548</v>
      </c>
      <c r="T223" s="15">
        <f t="shared" ca="1" si="41"/>
        <v>8.2849938361501882E-3</v>
      </c>
      <c r="U223" s="15">
        <f t="shared" ca="1" si="42"/>
        <v>10.084389925472699</v>
      </c>
      <c r="V223" s="15">
        <f t="shared" ca="1" si="43"/>
        <v>10.084389920831748</v>
      </c>
      <c r="X223" s="15">
        <f t="shared" si="44"/>
        <v>10.5</v>
      </c>
      <c r="Y223" s="15">
        <f t="shared" si="45"/>
        <v>9.5</v>
      </c>
      <c r="Z223" s="15">
        <f t="shared" ca="1" si="46"/>
        <v>1</v>
      </c>
    </row>
    <row r="224" spans="12:26" x14ac:dyDescent="0.3">
      <c r="L224" s="15">
        <v>222</v>
      </c>
      <c r="M224" s="15">
        <f t="shared" si="38"/>
        <v>10</v>
      </c>
      <c r="N224" s="15">
        <f t="shared" ca="1" si="39"/>
        <v>-7.9302734248177131E-2</v>
      </c>
      <c r="O224" s="15">
        <f t="shared" ca="1" si="48"/>
        <v>2.4891841752526731</v>
      </c>
      <c r="P224" s="15">
        <f t="shared" ca="1" si="47"/>
        <v>2.489184169678293</v>
      </c>
      <c r="Q224" s="15">
        <v>0</v>
      </c>
      <c r="R224" s="15">
        <f t="shared" ca="1" si="40"/>
        <v>2.489184169678293</v>
      </c>
      <c r="S224" s="15">
        <f t="shared" ca="1" si="49"/>
        <v>10.071337364526777</v>
      </c>
      <c r="T224" s="15">
        <f t="shared" ca="1" si="41"/>
        <v>7.9653698479287965E-3</v>
      </c>
      <c r="U224" s="15">
        <f t="shared" ca="1" si="42"/>
        <v>10.079302734374705</v>
      </c>
      <c r="V224" s="15">
        <f t="shared" ca="1" si="43"/>
        <v>10.079302734248177</v>
      </c>
      <c r="X224" s="15">
        <f t="shared" si="44"/>
        <v>10.5</v>
      </c>
      <c r="Y224" s="15">
        <f t="shared" si="45"/>
        <v>9.5</v>
      </c>
      <c r="Z224" s="15">
        <f t="shared" ca="1" si="46"/>
        <v>1</v>
      </c>
    </row>
    <row r="225" spans="12:26" x14ac:dyDescent="0.3">
      <c r="L225" s="15">
        <v>223</v>
      </c>
      <c r="M225" s="15">
        <f t="shared" si="38"/>
        <v>10</v>
      </c>
      <c r="N225" s="15">
        <f t="shared" ca="1" si="39"/>
        <v>-7.6276261842874504E-2</v>
      </c>
      <c r="O225" s="15">
        <f t="shared" ca="1" si="48"/>
        <v>2.4891841752526731</v>
      </c>
      <c r="P225" s="15">
        <f t="shared" ca="1" si="47"/>
        <v>2.489184169678293</v>
      </c>
      <c r="Q225" s="15">
        <v>0</v>
      </c>
      <c r="R225" s="15">
        <f t="shared" ca="1" si="40"/>
        <v>2.489184169678293</v>
      </c>
      <c r="S225" s="15">
        <f t="shared" ca="1" si="49"/>
        <v>10.066635538540019</v>
      </c>
      <c r="T225" s="15">
        <f t="shared" ca="1" si="41"/>
        <v>9.6407410356701001E-3</v>
      </c>
      <c r="U225" s="15">
        <f t="shared" ca="1" si="42"/>
        <v>10.076276279575689</v>
      </c>
      <c r="V225" s="15">
        <f t="shared" ca="1" si="43"/>
        <v>10.076276261842875</v>
      </c>
      <c r="X225" s="15">
        <f t="shared" si="44"/>
        <v>10.5</v>
      </c>
      <c r="Y225" s="15">
        <f t="shared" si="45"/>
        <v>9.5</v>
      </c>
      <c r="Z225" s="15">
        <f t="shared" ca="1" si="46"/>
        <v>1</v>
      </c>
    </row>
    <row r="226" spans="12:26" x14ac:dyDescent="0.3">
      <c r="L226" s="15">
        <v>224</v>
      </c>
      <c r="M226" s="15">
        <f t="shared" si="38"/>
        <v>10</v>
      </c>
      <c r="N226" s="15">
        <f t="shared" ca="1" si="39"/>
        <v>-6.9422286485654183E-2</v>
      </c>
      <c r="O226" s="15">
        <f t="shared" ca="1" si="48"/>
        <v>2.4891841752526731</v>
      </c>
      <c r="P226" s="15">
        <f t="shared" ca="1" si="47"/>
        <v>2.489184169678293</v>
      </c>
      <c r="Q226" s="15">
        <v>0</v>
      </c>
      <c r="R226" s="15">
        <f t="shared" ca="1" si="40"/>
        <v>2.489184169678293</v>
      </c>
      <c r="S226" s="15">
        <f t="shared" ca="1" si="49"/>
        <v>10.062010995644144</v>
      </c>
      <c r="T226" s="15">
        <f t="shared" ca="1" si="41"/>
        <v>7.411299802735861E-3</v>
      </c>
      <c r="U226" s="15">
        <f t="shared" ca="1" si="42"/>
        <v>10.069422295446881</v>
      </c>
      <c r="V226" s="15">
        <f t="shared" ca="1" si="43"/>
        <v>10.069422286485654</v>
      </c>
      <c r="X226" s="15">
        <f t="shared" si="44"/>
        <v>10.5</v>
      </c>
      <c r="Y226" s="15">
        <f t="shared" si="45"/>
        <v>9.5</v>
      </c>
      <c r="Z226" s="15">
        <f t="shared" ca="1" si="46"/>
        <v>1</v>
      </c>
    </row>
    <row r="227" spans="12:26" x14ac:dyDescent="0.3">
      <c r="L227" s="15">
        <v>225</v>
      </c>
      <c r="M227" s="15">
        <f t="shared" si="38"/>
        <v>10</v>
      </c>
      <c r="N227" s="15">
        <f t="shared" ca="1" si="39"/>
        <v>-5.9820257606874705E-2</v>
      </c>
      <c r="O227" s="15">
        <f t="shared" ca="1" si="48"/>
        <v>2.4937568579375156</v>
      </c>
      <c r="P227" s="15">
        <f t="shared" ca="1" si="47"/>
        <v>2.4937568471053981</v>
      </c>
      <c r="Q227" s="15">
        <v>0</v>
      </c>
      <c r="R227" s="15">
        <f t="shared" ca="1" si="40"/>
        <v>2.4937568471053981</v>
      </c>
      <c r="S227" s="15">
        <f t="shared" ca="1" si="49"/>
        <v>10.057516296346474</v>
      </c>
      <c r="T227" s="15">
        <f t="shared" ca="1" si="41"/>
        <v>2.3039803094331325E-3</v>
      </c>
      <c r="U227" s="15">
        <f t="shared" ca="1" si="42"/>
        <v>10.059820276655907</v>
      </c>
      <c r="V227" s="15">
        <f t="shared" ca="1" si="43"/>
        <v>10.059820257606875</v>
      </c>
      <c r="X227" s="15">
        <f t="shared" si="44"/>
        <v>10.5</v>
      </c>
      <c r="Y227" s="15">
        <f t="shared" si="45"/>
        <v>9.5</v>
      </c>
      <c r="Z227" s="15">
        <f t="shared" ca="1" si="46"/>
        <v>1</v>
      </c>
    </row>
    <row r="228" spans="12:26" x14ac:dyDescent="0.3">
      <c r="L228" s="15">
        <v>226</v>
      </c>
      <c r="M228" s="15">
        <f t="shared" si="38"/>
        <v>10</v>
      </c>
      <c r="N228" s="15">
        <f t="shared" ca="1" si="39"/>
        <v>-5.4671068222884145E-2</v>
      </c>
      <c r="O228" s="15">
        <f t="shared" ca="1" si="48"/>
        <v>2.4937568579375156</v>
      </c>
      <c r="P228" s="15">
        <f t="shared" ca="1" si="47"/>
        <v>2.4937568471053981</v>
      </c>
      <c r="Q228" s="15">
        <v>0</v>
      </c>
      <c r="R228" s="15">
        <f t="shared" ca="1" si="40"/>
        <v>2.4937568471053981</v>
      </c>
      <c r="S228" s="15">
        <f t="shared" ca="1" si="49"/>
        <v>10.053194886156231</v>
      </c>
      <c r="T228" s="15">
        <f t="shared" ca="1" si="41"/>
        <v>1.4761906631440269E-3</v>
      </c>
      <c r="U228" s="15">
        <f t="shared" ca="1" si="42"/>
        <v>10.054671076819375</v>
      </c>
      <c r="V228" s="15">
        <f t="shared" ca="1" si="43"/>
        <v>10.054671068222884</v>
      </c>
      <c r="X228" s="15">
        <f t="shared" si="44"/>
        <v>10.5</v>
      </c>
      <c r="Y228" s="15">
        <f t="shared" si="45"/>
        <v>9.5</v>
      </c>
      <c r="Z228" s="15">
        <f t="shared" ca="1" si="46"/>
        <v>1</v>
      </c>
    </row>
    <row r="229" spans="12:26" x14ac:dyDescent="0.3">
      <c r="L229" s="15">
        <v>227</v>
      </c>
      <c r="M229" s="15">
        <f t="shared" si="38"/>
        <v>10</v>
      </c>
      <c r="N229" s="15">
        <f t="shared" ca="1" si="39"/>
        <v>-5.3529476293718403E-2</v>
      </c>
      <c r="O229" s="15">
        <f t="shared" ca="1" si="48"/>
        <v>2.4937568579375156</v>
      </c>
      <c r="P229" s="15">
        <f t="shared" ca="1" si="47"/>
        <v>2.4937568471053981</v>
      </c>
      <c r="Q229" s="15">
        <v>0</v>
      </c>
      <c r="R229" s="15">
        <f t="shared" ca="1" si="40"/>
        <v>2.4937568471053981</v>
      </c>
      <c r="S229" s="15">
        <f t="shared" ca="1" si="49"/>
        <v>10.049043046301637</v>
      </c>
      <c r="T229" s="15">
        <f t="shared" ca="1" si="41"/>
        <v>4.486432555284455E-3</v>
      </c>
      <c r="U229" s="15">
        <f t="shared" ca="1" si="42"/>
        <v>10.053529478856921</v>
      </c>
      <c r="V229" s="15">
        <f t="shared" ca="1" si="43"/>
        <v>10.053529476293718</v>
      </c>
      <c r="X229" s="15">
        <f t="shared" si="44"/>
        <v>10.5</v>
      </c>
      <c r="Y229" s="15">
        <f t="shared" si="45"/>
        <v>9.5</v>
      </c>
      <c r="Z229" s="15">
        <f t="shared" ca="1" si="46"/>
        <v>1</v>
      </c>
    </row>
    <row r="230" spans="12:26" x14ac:dyDescent="0.3">
      <c r="L230" s="15">
        <v>228</v>
      </c>
      <c r="M230" s="15">
        <f t="shared" si="38"/>
        <v>10</v>
      </c>
      <c r="N230" s="15">
        <f t="shared" ca="1" si="39"/>
        <v>-5.4809416191375249E-2</v>
      </c>
      <c r="O230" s="15">
        <f t="shared" ca="1" si="48"/>
        <v>2.4848503732777134</v>
      </c>
      <c r="P230" s="15">
        <f t="shared" ca="1" si="47"/>
        <v>2.4848503532085684</v>
      </c>
      <c r="Q230" s="15">
        <v>0</v>
      </c>
      <c r="R230" s="15">
        <f t="shared" ca="1" si="40"/>
        <v>2.4848503532085684</v>
      </c>
      <c r="S230" s="15">
        <f t="shared" ca="1" si="49"/>
        <v>10.045053324789107</v>
      </c>
      <c r="T230" s="15">
        <f t="shared" ca="1" si="41"/>
        <v>9.7561063355663842E-3</v>
      </c>
      <c r="U230" s="15">
        <f t="shared" ca="1" si="42"/>
        <v>10.054809431124673</v>
      </c>
      <c r="V230" s="15">
        <f t="shared" ca="1" si="43"/>
        <v>10.054809416191375</v>
      </c>
      <c r="X230" s="15">
        <f t="shared" si="44"/>
        <v>10.5</v>
      </c>
      <c r="Y230" s="15">
        <f t="shared" si="45"/>
        <v>9.5</v>
      </c>
      <c r="Z230" s="15">
        <f t="shared" ca="1" si="46"/>
        <v>1</v>
      </c>
    </row>
    <row r="231" spans="12:26" x14ac:dyDescent="0.3">
      <c r="L231" s="15">
        <v>229</v>
      </c>
      <c r="M231" s="15">
        <f t="shared" si="38"/>
        <v>10</v>
      </c>
      <c r="N231" s="15">
        <f t="shared" ca="1" si="39"/>
        <v>-4.6206952549100677E-2</v>
      </c>
      <c r="O231" s="15">
        <f t="shared" ca="1" si="48"/>
        <v>2.4848503732777134</v>
      </c>
      <c r="P231" s="15">
        <f t="shared" ca="1" si="47"/>
        <v>2.4848503532085684</v>
      </c>
      <c r="Q231" s="15">
        <v>0</v>
      </c>
      <c r="R231" s="15">
        <f t="shared" ca="1" si="40"/>
        <v>2.4848503532085684</v>
      </c>
      <c r="S231" s="15">
        <f t="shared" ca="1" si="49"/>
        <v>10.04121868417006</v>
      </c>
      <c r="T231" s="15">
        <f t="shared" ca="1" si="41"/>
        <v>4.9882730798782868E-3</v>
      </c>
      <c r="U231" s="15">
        <f t="shared" ca="1" si="42"/>
        <v>10.046206957249938</v>
      </c>
      <c r="V231" s="15">
        <f t="shared" ca="1" si="43"/>
        <v>10.046206952549101</v>
      </c>
      <c r="X231" s="15">
        <f t="shared" si="44"/>
        <v>10.5</v>
      </c>
      <c r="Y231" s="15">
        <f t="shared" si="45"/>
        <v>9.5</v>
      </c>
      <c r="Z231" s="15">
        <f t="shared" ca="1" si="46"/>
        <v>1</v>
      </c>
    </row>
    <row r="232" spans="12:26" x14ac:dyDescent="0.3">
      <c r="L232" s="15">
        <v>230</v>
      </c>
      <c r="M232" s="15">
        <f t="shared" si="38"/>
        <v>10</v>
      </c>
      <c r="N232" s="15">
        <f t="shared" ca="1" si="39"/>
        <v>-3.8732204129624748E-2</v>
      </c>
      <c r="O232" s="15">
        <f t="shared" ca="1" si="48"/>
        <v>2.4848503732777134</v>
      </c>
      <c r="P232" s="15">
        <f t="shared" ca="1" si="47"/>
        <v>2.4848503532085684</v>
      </c>
      <c r="Q232" s="15">
        <v>0</v>
      </c>
      <c r="R232" s="15">
        <f t="shared" ca="1" si="40"/>
        <v>2.4848503532085684</v>
      </c>
      <c r="S232" s="15">
        <f t="shared" ca="1" si="49"/>
        <v>10.037535658107762</v>
      </c>
      <c r="T232" s="15">
        <f t="shared" ca="1" si="41"/>
        <v>1.1965552545721214E-3</v>
      </c>
      <c r="U232" s="15">
        <f t="shared" ca="1" si="42"/>
        <v>10.038732213362334</v>
      </c>
      <c r="V232" s="15">
        <f t="shared" ca="1" si="43"/>
        <v>10.038732204129625</v>
      </c>
      <c r="X232" s="15">
        <f t="shared" si="44"/>
        <v>10.5</v>
      </c>
      <c r="Y232" s="15">
        <f t="shared" si="45"/>
        <v>9.5</v>
      </c>
      <c r="Z232" s="15">
        <f t="shared" ca="1" si="46"/>
        <v>1</v>
      </c>
    </row>
    <row r="233" spans="12:26" x14ac:dyDescent="0.3">
      <c r="L233" s="15">
        <v>231</v>
      </c>
      <c r="M233" s="15">
        <f t="shared" si="38"/>
        <v>10</v>
      </c>
      <c r="N233" s="15">
        <f t="shared" ca="1" si="39"/>
        <v>-4.2071414655556083E-2</v>
      </c>
      <c r="O233" s="15">
        <f t="shared" ca="1" si="48"/>
        <v>2.4908283160144009</v>
      </c>
      <c r="P233" s="15">
        <f t="shared" ca="1" si="47"/>
        <v>2.4908283032688381</v>
      </c>
      <c r="Q233" s="15">
        <v>0</v>
      </c>
      <c r="R233" s="15">
        <f t="shared" ca="1" si="40"/>
        <v>2.4908283032688381</v>
      </c>
      <c r="S233" s="15">
        <f t="shared" ca="1" si="49"/>
        <v>10.034000861780768</v>
      </c>
      <c r="T233" s="15">
        <f t="shared" ca="1" si="41"/>
        <v>8.0705683142492067E-3</v>
      </c>
      <c r="U233" s="15">
        <f t="shared" ca="1" si="42"/>
        <v>10.042071430095017</v>
      </c>
      <c r="V233" s="15">
        <f t="shared" ca="1" si="43"/>
        <v>10.042071414655556</v>
      </c>
      <c r="X233" s="15">
        <f t="shared" si="44"/>
        <v>10.5</v>
      </c>
      <c r="Y233" s="15">
        <f t="shared" si="45"/>
        <v>9.5</v>
      </c>
      <c r="Z233" s="15">
        <f t="shared" ca="1" si="46"/>
        <v>1</v>
      </c>
    </row>
    <row r="234" spans="12:26" x14ac:dyDescent="0.3">
      <c r="L234" s="15">
        <v>232</v>
      </c>
      <c r="M234" s="15">
        <f t="shared" si="38"/>
        <v>10</v>
      </c>
      <c r="N234" s="15">
        <f t="shared" ca="1" si="39"/>
        <v>-3.2816396568160044E-2</v>
      </c>
      <c r="O234" s="15">
        <f t="shared" ca="1" si="48"/>
        <v>2.4908283160144009</v>
      </c>
      <c r="P234" s="15">
        <f t="shared" ca="1" si="47"/>
        <v>2.4908283032688381</v>
      </c>
      <c r="Q234" s="15">
        <v>0</v>
      </c>
      <c r="R234" s="15">
        <f t="shared" ca="1" si="40"/>
        <v>2.4908283032688381</v>
      </c>
      <c r="S234" s="15">
        <f t="shared" ca="1" si="49"/>
        <v>10.030610700559222</v>
      </c>
      <c r="T234" s="15">
        <f t="shared" ca="1" si="41"/>
        <v>2.2057134077635289E-3</v>
      </c>
      <c r="U234" s="15">
        <f t="shared" ca="1" si="42"/>
        <v>10.032816413966986</v>
      </c>
      <c r="V234" s="15">
        <f t="shared" ca="1" si="43"/>
        <v>10.03281639656816</v>
      </c>
      <c r="X234" s="15">
        <f t="shared" si="44"/>
        <v>10.5</v>
      </c>
      <c r="Y234" s="15">
        <f t="shared" si="45"/>
        <v>9.5</v>
      </c>
      <c r="Z234" s="15">
        <f t="shared" ca="1" si="46"/>
        <v>1</v>
      </c>
    </row>
    <row r="235" spans="12:26" x14ac:dyDescent="0.3">
      <c r="L235" s="15">
        <v>233</v>
      </c>
      <c r="M235" s="15">
        <f t="shared" si="38"/>
        <v>10</v>
      </c>
      <c r="N235" s="15">
        <f t="shared" ca="1" si="39"/>
        <v>-3.6572932739876052E-2</v>
      </c>
      <c r="O235" s="15">
        <f t="shared" ca="1" si="48"/>
        <v>2.4908283160144009</v>
      </c>
      <c r="P235" s="15">
        <f t="shared" ca="1" si="47"/>
        <v>2.4908283032688381</v>
      </c>
      <c r="Q235" s="15">
        <v>0</v>
      </c>
      <c r="R235" s="15">
        <f t="shared" ca="1" si="40"/>
        <v>2.4908283032688381</v>
      </c>
      <c r="S235" s="15">
        <f t="shared" ca="1" si="49"/>
        <v>10.02736115407982</v>
      </c>
      <c r="T235" s="15">
        <f t="shared" ca="1" si="41"/>
        <v>9.2117888637296679E-3</v>
      </c>
      <c r="U235" s="15">
        <f t="shared" ca="1" si="42"/>
        <v>10.03657294294355</v>
      </c>
      <c r="V235" s="15">
        <f t="shared" ca="1" si="43"/>
        <v>10.036572932739876</v>
      </c>
      <c r="X235" s="15">
        <f t="shared" si="44"/>
        <v>10.5</v>
      </c>
      <c r="Y235" s="15">
        <f t="shared" si="45"/>
        <v>9.5</v>
      </c>
      <c r="Z235" s="15">
        <f t="shared" ca="1" si="46"/>
        <v>1</v>
      </c>
    </row>
    <row r="236" spans="12:26" x14ac:dyDescent="0.3">
      <c r="L236" s="15">
        <v>234</v>
      </c>
      <c r="M236" s="15">
        <f t="shared" si="38"/>
        <v>10</v>
      </c>
      <c r="N236" s="15">
        <f t="shared" ca="1" si="39"/>
        <v>-3.274137853475878E-2</v>
      </c>
      <c r="O236" s="15">
        <f t="shared" ca="1" si="48"/>
        <v>2.4897284176612624</v>
      </c>
      <c r="P236" s="15">
        <f t="shared" ca="1" si="47"/>
        <v>2.4897284113079605</v>
      </c>
      <c r="Q236" s="15">
        <v>0</v>
      </c>
      <c r="R236" s="15">
        <f t="shared" ca="1" si="40"/>
        <v>2.4897284113079605</v>
      </c>
      <c r="S236" s="15">
        <f t="shared" ca="1" si="49"/>
        <v>10.024207057927086</v>
      </c>
      <c r="T236" s="15">
        <f t="shared" ca="1" si="41"/>
        <v>8.5343260645759662E-3</v>
      </c>
      <c r="U236" s="15">
        <f t="shared" ca="1" si="42"/>
        <v>10.032741383991661</v>
      </c>
      <c r="V236" s="15">
        <f t="shared" ca="1" si="43"/>
        <v>10.032741378534759</v>
      </c>
      <c r="X236" s="15">
        <f t="shared" si="44"/>
        <v>10.5</v>
      </c>
      <c r="Y236" s="15">
        <f t="shared" si="45"/>
        <v>9.5</v>
      </c>
      <c r="Z236" s="15">
        <f t="shared" ca="1" si="46"/>
        <v>1</v>
      </c>
    </row>
    <row r="237" spans="12:26" x14ac:dyDescent="0.3">
      <c r="L237" s="15">
        <v>235</v>
      </c>
      <c r="M237" s="15">
        <f t="shared" si="38"/>
        <v>10</v>
      </c>
      <c r="N237" s="15">
        <f t="shared" ca="1" si="39"/>
        <v>-2.9515929061341595E-2</v>
      </c>
      <c r="O237" s="15">
        <f t="shared" ca="1" si="48"/>
        <v>2.4897284176612624</v>
      </c>
      <c r="P237" s="15">
        <f t="shared" ca="1" si="47"/>
        <v>2.4897284113079605</v>
      </c>
      <c r="Q237" s="15">
        <v>0</v>
      </c>
      <c r="R237" s="15">
        <f t="shared" ca="1" si="40"/>
        <v>2.4897284113079605</v>
      </c>
      <c r="S237" s="15">
        <f t="shared" ca="1" si="49"/>
        <v>10.021110393486021</v>
      </c>
      <c r="T237" s="15">
        <f t="shared" ca="1" si="41"/>
        <v>8.4055487558884201E-3</v>
      </c>
      <c r="U237" s="15">
        <f t="shared" ca="1" si="42"/>
        <v>10.029515942241909</v>
      </c>
      <c r="V237" s="15">
        <f t="shared" ca="1" si="43"/>
        <v>10.029515929061342</v>
      </c>
      <c r="X237" s="15">
        <f t="shared" si="44"/>
        <v>10.5</v>
      </c>
      <c r="Y237" s="15">
        <f t="shared" si="45"/>
        <v>9.5</v>
      </c>
      <c r="Z237" s="15">
        <f t="shared" ca="1" si="46"/>
        <v>1</v>
      </c>
    </row>
    <row r="238" spans="12:26" x14ac:dyDescent="0.3">
      <c r="L238" s="15">
        <v>236</v>
      </c>
      <c r="M238" s="15">
        <f t="shared" si="38"/>
        <v>10</v>
      </c>
      <c r="N238" s="15">
        <f t="shared" ca="1" si="39"/>
        <v>-2.3637514101256585E-2</v>
      </c>
      <c r="O238" s="15">
        <f t="shared" ca="1" si="48"/>
        <v>2.4897284176612624</v>
      </c>
      <c r="P238" s="15">
        <f t="shared" ca="1" si="47"/>
        <v>2.4897284113079605</v>
      </c>
      <c r="Q238" s="15">
        <v>0</v>
      </c>
      <c r="R238" s="15">
        <f t="shared" ca="1" si="40"/>
        <v>2.4897284113079605</v>
      </c>
      <c r="S238" s="15">
        <f t="shared" ca="1" si="49"/>
        <v>10.018076968280694</v>
      </c>
      <c r="T238" s="15">
        <f t="shared" ca="1" si="41"/>
        <v>5.5605686898153386E-3</v>
      </c>
      <c r="U238" s="15">
        <f t="shared" ca="1" si="42"/>
        <v>10.02363753697051</v>
      </c>
      <c r="V238" s="15">
        <f t="shared" ca="1" si="43"/>
        <v>10.023637514101257</v>
      </c>
      <c r="X238" s="15">
        <f t="shared" si="44"/>
        <v>10.5</v>
      </c>
      <c r="Y238" s="15">
        <f t="shared" si="45"/>
        <v>9.5</v>
      </c>
      <c r="Z238" s="15">
        <f t="shared" ca="1" si="46"/>
        <v>1</v>
      </c>
    </row>
    <row r="239" spans="12:26" x14ac:dyDescent="0.3">
      <c r="L239" s="15">
        <v>237</v>
      </c>
      <c r="M239" s="15">
        <f t="shared" si="38"/>
        <v>10</v>
      </c>
      <c r="N239" s="15">
        <f t="shared" ca="1" si="39"/>
        <v>-1.7031037718297171E-2</v>
      </c>
      <c r="O239" s="15">
        <f t="shared" ca="1" si="48"/>
        <v>2.4958957871933212</v>
      </c>
      <c r="P239" s="15">
        <f t="shared" ca="1" si="47"/>
        <v>2.4958957690968866</v>
      </c>
      <c r="Q239" s="15">
        <v>0</v>
      </c>
      <c r="R239" s="15">
        <f t="shared" ca="1" si="40"/>
        <v>2.4958957690968866</v>
      </c>
      <c r="S239" s="15">
        <f t="shared" ca="1" si="49"/>
        <v>10.015121231797693</v>
      </c>
      <c r="T239" s="15">
        <f t="shared" ca="1" si="41"/>
        <v>1.9098077368738143E-3</v>
      </c>
      <c r="U239" s="15">
        <f t="shared" ca="1" si="42"/>
        <v>10.017031039534567</v>
      </c>
      <c r="V239" s="15">
        <f t="shared" ca="1" si="43"/>
        <v>10.017031037718297</v>
      </c>
      <c r="X239" s="15">
        <f t="shared" si="44"/>
        <v>10.5</v>
      </c>
      <c r="Y239" s="15">
        <f t="shared" si="45"/>
        <v>9.5</v>
      </c>
      <c r="Z239" s="15">
        <f t="shared" ca="1" si="46"/>
        <v>1</v>
      </c>
    </row>
    <row r="240" spans="12:26" x14ac:dyDescent="0.3">
      <c r="L240" s="15">
        <v>238</v>
      </c>
      <c r="M240" s="15">
        <f t="shared" si="38"/>
        <v>10</v>
      </c>
      <c r="N240" s="15">
        <f t="shared" ca="1" si="39"/>
        <v>-1.5311187602419452E-2</v>
      </c>
      <c r="O240" s="15">
        <f t="shared" ca="1" si="48"/>
        <v>2.4958957871933212</v>
      </c>
      <c r="P240" s="15">
        <f t="shared" ca="1" si="47"/>
        <v>2.4958957690968866</v>
      </c>
      <c r="Q240" s="15">
        <v>0</v>
      </c>
      <c r="R240" s="15">
        <f t="shared" ca="1" si="40"/>
        <v>2.4958957690968866</v>
      </c>
      <c r="S240" s="15">
        <f t="shared" ca="1" si="49"/>
        <v>10.012255043991527</v>
      </c>
      <c r="T240" s="15">
        <f t="shared" ca="1" si="41"/>
        <v>3.0561470744441322E-3</v>
      </c>
      <c r="U240" s="15">
        <f t="shared" ca="1" si="42"/>
        <v>10.015311191065971</v>
      </c>
      <c r="V240" s="15">
        <f t="shared" ca="1" si="43"/>
        <v>10.015311187602419</v>
      </c>
      <c r="X240" s="15">
        <f t="shared" si="44"/>
        <v>10.5</v>
      </c>
      <c r="Y240" s="15">
        <f t="shared" si="45"/>
        <v>9.5</v>
      </c>
      <c r="Z240" s="15">
        <f t="shared" ca="1" si="46"/>
        <v>1</v>
      </c>
    </row>
    <row r="241" spans="12:26" x14ac:dyDescent="0.3">
      <c r="L241" s="15">
        <v>239</v>
      </c>
      <c r="M241" s="15">
        <f t="shared" si="38"/>
        <v>10</v>
      </c>
      <c r="N241" s="15">
        <f t="shared" ca="1" si="39"/>
        <v>-1.6959419012293253E-2</v>
      </c>
      <c r="O241" s="15">
        <f t="shared" ca="1" si="48"/>
        <v>2.4958957871933212</v>
      </c>
      <c r="P241" s="15">
        <f t="shared" ca="1" si="47"/>
        <v>2.4958957690968866</v>
      </c>
      <c r="Q241" s="15">
        <v>0</v>
      </c>
      <c r="R241" s="15">
        <f t="shared" ca="1" si="40"/>
        <v>2.4958957690968866</v>
      </c>
      <c r="S241" s="15">
        <f t="shared" ca="1" si="49"/>
        <v>10.009479160755353</v>
      </c>
      <c r="T241" s="15">
        <f t="shared" ca="1" si="41"/>
        <v>7.4802768557848389E-3</v>
      </c>
      <c r="U241" s="15">
        <f t="shared" ca="1" si="42"/>
        <v>10.016959437611138</v>
      </c>
      <c r="V241" s="15">
        <f t="shared" ca="1" si="43"/>
        <v>10.016959419012293</v>
      </c>
      <c r="X241" s="15">
        <f t="shared" si="44"/>
        <v>10.5</v>
      </c>
      <c r="Y241" s="15">
        <f t="shared" si="45"/>
        <v>9.5</v>
      </c>
      <c r="Z241" s="15">
        <f t="shared" ca="1" si="46"/>
        <v>1</v>
      </c>
    </row>
    <row r="242" spans="12:26" x14ac:dyDescent="0.3">
      <c r="L242" s="15">
        <v>240</v>
      </c>
      <c r="M242" s="15">
        <f t="shared" si="38"/>
        <v>10</v>
      </c>
      <c r="N242" s="15">
        <f t="shared" ca="1" si="39"/>
        <v>-1.5755009375455487E-2</v>
      </c>
      <c r="O242" s="15">
        <f t="shared" ca="1" si="48"/>
        <v>2.4871429854393949</v>
      </c>
      <c r="P242" s="15">
        <f t="shared" ca="1" si="47"/>
        <v>2.4871429667079687</v>
      </c>
      <c r="Q242" s="15">
        <v>0</v>
      </c>
      <c r="R242" s="15">
        <f t="shared" ca="1" si="40"/>
        <v>2.4871429667079687</v>
      </c>
      <c r="S242" s="15">
        <f t="shared" ca="1" si="49"/>
        <v>10.006808913607127</v>
      </c>
      <c r="T242" s="15">
        <f t="shared" ca="1" si="41"/>
        <v>8.9461112350107327E-3</v>
      </c>
      <c r="U242" s="15">
        <f t="shared" ca="1" si="42"/>
        <v>10.015755024842138</v>
      </c>
      <c r="V242" s="15">
        <f t="shared" ca="1" si="43"/>
        <v>10.015755009375455</v>
      </c>
      <c r="X242" s="15">
        <f t="shared" si="44"/>
        <v>10.5</v>
      </c>
      <c r="Y242" s="15">
        <f t="shared" si="45"/>
        <v>9.5</v>
      </c>
      <c r="Z242" s="15">
        <f t="shared" ca="1" si="46"/>
        <v>1</v>
      </c>
    </row>
    <row r="243" spans="12:26" x14ac:dyDescent="0.3">
      <c r="L243" s="15">
        <v>241</v>
      </c>
      <c r="M243" s="15">
        <f t="shared" si="38"/>
        <v>10</v>
      </c>
      <c r="N243" s="15">
        <f t="shared" ca="1" si="39"/>
        <v>-8.1496895309882689E-3</v>
      </c>
      <c r="O243" s="15">
        <f t="shared" ca="1" si="48"/>
        <v>2.4871429854393949</v>
      </c>
      <c r="P243" s="15">
        <f t="shared" ca="1" si="47"/>
        <v>2.4871429667079687</v>
      </c>
      <c r="Q243" s="15">
        <v>0</v>
      </c>
      <c r="R243" s="15">
        <f t="shared" ca="1" si="40"/>
        <v>2.4871429667079687</v>
      </c>
      <c r="S243" s="15">
        <f t="shared" ca="1" si="49"/>
        <v>10.00425657515761</v>
      </c>
      <c r="T243" s="15">
        <f t="shared" ca="1" si="41"/>
        <v>3.8931271359832985E-3</v>
      </c>
      <c r="U243" s="15">
        <f t="shared" ca="1" si="42"/>
        <v>10.008149702293593</v>
      </c>
      <c r="V243" s="15">
        <f t="shared" ca="1" si="43"/>
        <v>10.008149689530988</v>
      </c>
      <c r="X243" s="15">
        <f t="shared" si="44"/>
        <v>10.5</v>
      </c>
      <c r="Y243" s="15">
        <f t="shared" si="45"/>
        <v>9.5</v>
      </c>
      <c r="Z243" s="15">
        <f t="shared" ca="1" si="46"/>
        <v>1</v>
      </c>
    </row>
    <row r="244" spans="12:26" x14ac:dyDescent="0.3">
      <c r="L244" s="15">
        <v>242</v>
      </c>
      <c r="M244" s="15">
        <f t="shared" si="38"/>
        <v>10</v>
      </c>
      <c r="N244" s="15">
        <f t="shared" ca="1" si="39"/>
        <v>-2.0498759118030563E-3</v>
      </c>
      <c r="O244" s="15">
        <f t="shared" ca="1" si="48"/>
        <v>2.4871429854393949</v>
      </c>
      <c r="P244" s="15">
        <f t="shared" ca="1" si="47"/>
        <v>2.4871429667079687</v>
      </c>
      <c r="Q244" s="15">
        <v>0</v>
      </c>
      <c r="R244" s="15">
        <f t="shared" ca="1" si="40"/>
        <v>2.4871429667079687</v>
      </c>
      <c r="S244" s="15">
        <f t="shared" ca="1" si="49"/>
        <v>10.001817973926864</v>
      </c>
      <c r="T244" s="15">
        <f t="shared" ca="1" si="41"/>
        <v>2.3190740818461399E-4</v>
      </c>
      <c r="U244" s="15">
        <f t="shared" ca="1" si="42"/>
        <v>10.002049881335049</v>
      </c>
      <c r="V244" s="15">
        <f t="shared" ca="1" si="43"/>
        <v>10.002049875911803</v>
      </c>
      <c r="X244" s="15">
        <f t="shared" si="44"/>
        <v>10.5</v>
      </c>
      <c r="Y244" s="15">
        <f t="shared" si="45"/>
        <v>9.5</v>
      </c>
      <c r="Z244" s="15">
        <f t="shared" ca="1" si="46"/>
        <v>1</v>
      </c>
    </row>
    <row r="245" spans="12:26" x14ac:dyDescent="0.3">
      <c r="L245" s="15">
        <v>243</v>
      </c>
      <c r="M245" s="15">
        <f t="shared" si="38"/>
        <v>10</v>
      </c>
      <c r="N245" s="15">
        <f t="shared" ca="1" si="39"/>
        <v>-1.2560863982074011E-3</v>
      </c>
      <c r="O245" s="15">
        <f t="shared" ca="1" si="48"/>
        <v>2.4975195103247114</v>
      </c>
      <c r="P245" s="15">
        <f t="shared" ca="1" si="47"/>
        <v>2.4975195067230427</v>
      </c>
      <c r="Q245" s="15">
        <v>0</v>
      </c>
      <c r="R245" s="15">
        <f t="shared" ca="1" si="40"/>
        <v>2.4975195067230427</v>
      </c>
      <c r="S245" s="15">
        <f t="shared" ca="1" si="49"/>
        <v>9.9994937196601459</v>
      </c>
      <c r="T245" s="15">
        <f t="shared" ca="1" si="41"/>
        <v>1.7623806817383425E-3</v>
      </c>
      <c r="U245" s="15">
        <f t="shared" ca="1" si="42"/>
        <v>10.001256100341884</v>
      </c>
      <c r="V245" s="15">
        <f t="shared" ca="1" si="43"/>
        <v>10.001256086398207</v>
      </c>
      <c r="X245" s="15">
        <f t="shared" si="44"/>
        <v>10.5</v>
      </c>
      <c r="Y245" s="15">
        <f t="shared" si="45"/>
        <v>9.5</v>
      </c>
      <c r="Z245" s="15">
        <f t="shared" ca="1" si="46"/>
        <v>1</v>
      </c>
    </row>
    <row r="246" spans="12:26" x14ac:dyDescent="0.3">
      <c r="L246" s="15">
        <v>244</v>
      </c>
      <c r="M246" s="15">
        <f t="shared" si="38"/>
        <v>10</v>
      </c>
      <c r="N246" s="15">
        <f t="shared" ca="1" si="39"/>
        <v>7.3559349420015963E-4</v>
      </c>
      <c r="O246" s="15">
        <f t="shared" ca="1" si="48"/>
        <v>2.4975195103247114</v>
      </c>
      <c r="P246" s="15">
        <f t="shared" ca="1" si="47"/>
        <v>2.4975195067230427</v>
      </c>
      <c r="Q246" s="15">
        <v>0</v>
      </c>
      <c r="R246" s="15">
        <f t="shared" ca="1" si="40"/>
        <v>2.4975195067230427</v>
      </c>
      <c r="S246" s="15">
        <f t="shared" ca="1" si="49"/>
        <v>9.997283651677888</v>
      </c>
      <c r="T246" s="15">
        <f t="shared" ca="1" si="41"/>
        <v>1.9807591493038201E-3</v>
      </c>
      <c r="U246" s="15">
        <f t="shared" ca="1" si="42"/>
        <v>9.9992644108271911</v>
      </c>
      <c r="V246" s="15">
        <f t="shared" ca="1" si="43"/>
        <v>9.9992644065057998</v>
      </c>
      <c r="X246" s="15">
        <f t="shared" si="44"/>
        <v>10.5</v>
      </c>
      <c r="Y246" s="15">
        <f t="shared" si="45"/>
        <v>9.5</v>
      </c>
      <c r="Z246" s="15">
        <f t="shared" ca="1" si="46"/>
        <v>1</v>
      </c>
    </row>
    <row r="247" spans="12:26" x14ac:dyDescent="0.3">
      <c r="L247" s="15">
        <v>245</v>
      </c>
      <c r="M247" s="15">
        <f t="shared" si="38"/>
        <v>10</v>
      </c>
      <c r="N247" s="15">
        <f t="shared" ca="1" si="39"/>
        <v>-1.8306658607514237E-3</v>
      </c>
      <c r="O247" s="15">
        <f t="shared" ca="1" si="48"/>
        <v>2.4975195103247114</v>
      </c>
      <c r="P247" s="15">
        <f t="shared" ca="1" si="47"/>
        <v>2.4975195067230427</v>
      </c>
      <c r="Q247" s="15">
        <v>0</v>
      </c>
      <c r="R247" s="15">
        <f t="shared" ca="1" si="40"/>
        <v>2.4975195067230427</v>
      </c>
      <c r="S247" s="15">
        <f t="shared" ca="1" si="49"/>
        <v>9.9951826233382803</v>
      </c>
      <c r="T247" s="15">
        <f t="shared" ca="1" si="41"/>
        <v>6.6480469144423217E-3</v>
      </c>
      <c r="U247" s="15">
        <f t="shared" ca="1" si="42"/>
        <v>10.001830670252723</v>
      </c>
      <c r="V247" s="15">
        <f t="shared" ca="1" si="43"/>
        <v>10.001830665860751</v>
      </c>
      <c r="X247" s="15">
        <f t="shared" si="44"/>
        <v>10.5</v>
      </c>
      <c r="Y247" s="15">
        <f t="shared" si="45"/>
        <v>9.5</v>
      </c>
      <c r="Z247" s="15">
        <f t="shared" ca="1" si="46"/>
        <v>1</v>
      </c>
    </row>
    <row r="248" spans="12:26" x14ac:dyDescent="0.3">
      <c r="L248" s="15">
        <v>246</v>
      </c>
      <c r="M248" s="15">
        <f t="shared" si="38"/>
        <v>10</v>
      </c>
      <c r="N248" s="15">
        <f t="shared" ca="1" si="39"/>
        <v>6.1258906512762223E-4</v>
      </c>
      <c r="O248" s="15">
        <f t="shared" ca="1" si="48"/>
        <v>2.4902714054259483</v>
      </c>
      <c r="P248" s="15">
        <f t="shared" ca="1" si="47"/>
        <v>2.4902713956521527</v>
      </c>
      <c r="Q248" s="15">
        <v>0</v>
      </c>
      <c r="R248" s="15">
        <f t="shared" ca="1" si="40"/>
        <v>2.4902713956521527</v>
      </c>
      <c r="S248" s="15">
        <f t="shared" ca="1" si="49"/>
        <v>9.9932252363965866</v>
      </c>
      <c r="T248" s="15">
        <f t="shared" ca="1" si="41"/>
        <v>6.1621969161851928E-3</v>
      </c>
      <c r="U248" s="15">
        <f t="shared" ca="1" si="42"/>
        <v>9.999387433312771</v>
      </c>
      <c r="V248" s="15">
        <f t="shared" ca="1" si="43"/>
        <v>9.9993874109348724</v>
      </c>
      <c r="X248" s="15">
        <f t="shared" si="44"/>
        <v>10.5</v>
      </c>
      <c r="Y248" s="15">
        <f t="shared" si="45"/>
        <v>9.5</v>
      </c>
      <c r="Z248" s="15">
        <f t="shared" ca="1" si="46"/>
        <v>1</v>
      </c>
    </row>
    <row r="249" spans="12:26" x14ac:dyDescent="0.3">
      <c r="L249" s="15">
        <v>247</v>
      </c>
      <c r="M249" s="15">
        <f t="shared" si="38"/>
        <v>10</v>
      </c>
      <c r="N249" s="15">
        <f t="shared" ca="1" si="39"/>
        <v>4.6209548610782747E-3</v>
      </c>
      <c r="O249" s="15">
        <f t="shared" ca="1" si="48"/>
        <v>2.4902714054259483</v>
      </c>
      <c r="P249" s="15">
        <f t="shared" ca="1" si="47"/>
        <v>2.4902713956521527</v>
      </c>
      <c r="Q249" s="15">
        <v>0</v>
      </c>
      <c r="R249" s="15">
        <f t="shared" ca="1" si="40"/>
        <v>2.4902713956521527</v>
      </c>
      <c r="S249" s="15">
        <f t="shared" ca="1" si="49"/>
        <v>9.9914393428354984</v>
      </c>
      <c r="T249" s="15">
        <f t="shared" ca="1" si="41"/>
        <v>3.9397125416465286E-3</v>
      </c>
      <c r="U249" s="15">
        <f t="shared" ca="1" si="42"/>
        <v>9.9953790553771444</v>
      </c>
      <c r="V249" s="15">
        <f t="shared" ca="1" si="43"/>
        <v>9.9953790451389217</v>
      </c>
      <c r="X249" s="15">
        <f t="shared" si="44"/>
        <v>10.5</v>
      </c>
      <c r="Y249" s="15">
        <f t="shared" si="45"/>
        <v>9.5</v>
      </c>
      <c r="Z249" s="15">
        <f t="shared" ca="1" si="46"/>
        <v>1</v>
      </c>
    </row>
    <row r="250" spans="12:26" x14ac:dyDescent="0.3">
      <c r="L250" s="15">
        <v>248</v>
      </c>
      <c r="M250" s="15">
        <f t="shared" si="38"/>
        <v>10</v>
      </c>
      <c r="N250" s="15">
        <f t="shared" ca="1" si="39"/>
        <v>5.3426483658469692E-4</v>
      </c>
      <c r="O250" s="15">
        <f t="shared" ca="1" si="48"/>
        <v>2.4902714054259483</v>
      </c>
      <c r="P250" s="15">
        <f t="shared" ca="1" si="47"/>
        <v>2.4902713956521527</v>
      </c>
      <c r="Q250" s="15">
        <v>0</v>
      </c>
      <c r="R250" s="15">
        <f t="shared" ca="1" si="40"/>
        <v>2.4902713956521527</v>
      </c>
      <c r="S250" s="15">
        <f t="shared" ca="1" si="49"/>
        <v>9.9898107275773782</v>
      </c>
      <c r="T250" s="15">
        <f t="shared" ca="1" si="41"/>
        <v>9.6550199048111868E-3</v>
      </c>
      <c r="U250" s="15">
        <f t="shared" ca="1" si="42"/>
        <v>9.9994657474821889</v>
      </c>
      <c r="V250" s="15">
        <f t="shared" ca="1" si="43"/>
        <v>9.9994657351634153</v>
      </c>
      <c r="X250" s="15">
        <f t="shared" si="44"/>
        <v>10.5</v>
      </c>
      <c r="Y250" s="15">
        <f t="shared" si="45"/>
        <v>9.5</v>
      </c>
      <c r="Z250" s="15">
        <f t="shared" ca="1" si="46"/>
        <v>1</v>
      </c>
    </row>
    <row r="251" spans="12:26" x14ac:dyDescent="0.3">
      <c r="L251" s="15">
        <v>249</v>
      </c>
      <c r="M251" s="15">
        <f t="shared" si="38"/>
        <v>10</v>
      </c>
      <c r="N251" s="15">
        <f t="shared" ca="1" si="39"/>
        <v>4.1764113130451364E-3</v>
      </c>
      <c r="O251" s="15">
        <f t="shared" ca="1" si="48"/>
        <v>2.4919770007777631</v>
      </c>
      <c r="P251" s="15">
        <f t="shared" ca="1" si="47"/>
        <v>2.4919769965326357</v>
      </c>
      <c r="Q251" s="15">
        <v>0</v>
      </c>
      <c r="R251" s="15">
        <f t="shared" ca="1" si="40"/>
        <v>2.4919769965326357</v>
      </c>
      <c r="S251" s="15">
        <f t="shared" ca="1" si="49"/>
        <v>9.9882492684164159</v>
      </c>
      <c r="T251" s="15">
        <f t="shared" ca="1" si="41"/>
        <v>7.5743430918293669E-3</v>
      </c>
      <c r="U251" s="15">
        <f t="shared" ca="1" si="42"/>
        <v>9.9958236115082446</v>
      </c>
      <c r="V251" s="15">
        <f t="shared" ca="1" si="43"/>
        <v>9.9958235886869549</v>
      </c>
      <c r="X251" s="15">
        <f t="shared" si="44"/>
        <v>10.5</v>
      </c>
      <c r="Y251" s="15">
        <f t="shared" si="45"/>
        <v>9.5</v>
      </c>
      <c r="Z251" s="15">
        <f t="shared" ca="1" si="46"/>
        <v>1</v>
      </c>
    </row>
    <row r="252" spans="12:26" x14ac:dyDescent="0.3">
      <c r="L252" s="15">
        <v>250</v>
      </c>
      <c r="M252" s="15">
        <f t="shared" si="38"/>
        <v>10</v>
      </c>
      <c r="N252" s="15">
        <f t="shared" ca="1" si="39"/>
        <v>5.1734852616611704E-3</v>
      </c>
      <c r="O252" s="15">
        <f t="shared" ca="1" si="48"/>
        <v>2.4919770007777631</v>
      </c>
      <c r="P252" s="15">
        <f t="shared" ca="1" si="47"/>
        <v>2.4919769965326357</v>
      </c>
      <c r="Q252" s="15">
        <v>0</v>
      </c>
      <c r="R252" s="15">
        <f t="shared" ca="1" si="40"/>
        <v>2.4919769965326357</v>
      </c>
      <c r="S252" s="15">
        <f t="shared" ca="1" si="49"/>
        <v>9.9866794074777996</v>
      </c>
      <c r="T252" s="15">
        <f t="shared" ca="1" si="41"/>
        <v>8.1471188417021629E-3</v>
      </c>
      <c r="U252" s="15">
        <f t="shared" ca="1" si="42"/>
        <v>9.9948265263195015</v>
      </c>
      <c r="V252" s="15">
        <f t="shared" ca="1" si="43"/>
        <v>9.9948265147383388</v>
      </c>
      <c r="X252" s="15">
        <f t="shared" si="44"/>
        <v>10.5</v>
      </c>
      <c r="Y252" s="15">
        <f t="shared" si="45"/>
        <v>9.5</v>
      </c>
      <c r="Z252" s="15">
        <f t="shared" ca="1" si="46"/>
        <v>1</v>
      </c>
    </row>
    <row r="253" spans="12:26" x14ac:dyDescent="0.3">
      <c r="L253" s="15">
        <v>251</v>
      </c>
      <c r="M253" s="15">
        <f t="shared" si="38"/>
        <v>10</v>
      </c>
      <c r="N253" s="15">
        <f t="shared" ca="1" si="39"/>
        <v>4.9415626574624838E-3</v>
      </c>
      <c r="O253" s="15">
        <f t="shared" ca="1" si="48"/>
        <v>2.4919770007777631</v>
      </c>
      <c r="P253" s="15">
        <f t="shared" ca="1" si="47"/>
        <v>2.4919769965326357</v>
      </c>
      <c r="Q253" s="15">
        <v>0</v>
      </c>
      <c r="R253" s="15">
        <f t="shared" ca="1" si="40"/>
        <v>2.4919769965326357</v>
      </c>
      <c r="S253" s="15">
        <f t="shared" ca="1" si="49"/>
        <v>9.9851088511517716</v>
      </c>
      <c r="T253" s="15">
        <f t="shared" ca="1" si="41"/>
        <v>9.9496025634311629E-3</v>
      </c>
      <c r="U253" s="15">
        <f t="shared" ca="1" si="42"/>
        <v>9.9950584537152025</v>
      </c>
      <c r="V253" s="15">
        <f t="shared" ca="1" si="43"/>
        <v>9.9950584373425375</v>
      </c>
      <c r="X253" s="15">
        <f t="shared" si="44"/>
        <v>10.5</v>
      </c>
      <c r="Y253" s="15">
        <f t="shared" si="45"/>
        <v>9.5</v>
      </c>
      <c r="Z253" s="15">
        <f t="shared" ca="1" si="46"/>
        <v>1</v>
      </c>
    </row>
    <row r="254" spans="12:26" x14ac:dyDescent="0.3">
      <c r="L254" s="15">
        <v>252</v>
      </c>
      <c r="M254" s="15">
        <f t="shared" si="38"/>
        <v>10</v>
      </c>
      <c r="N254" s="15">
        <f t="shared" ca="1" si="39"/>
        <v>6.6375709154264939E-3</v>
      </c>
      <c r="O254" s="15">
        <f t="shared" ca="1" si="48"/>
        <v>2.4918645855625678</v>
      </c>
      <c r="P254" s="15">
        <f t="shared" ca="1" si="47"/>
        <v>2.4918645626147895</v>
      </c>
      <c r="Q254" s="15">
        <v>0</v>
      </c>
      <c r="R254" s="15">
        <f t="shared" ca="1" si="40"/>
        <v>2.4918645626147895</v>
      </c>
      <c r="S254" s="15">
        <f t="shared" ca="1" si="49"/>
        <v>9.9835960432663633</v>
      </c>
      <c r="T254" s="15">
        <f t="shared" ca="1" si="41"/>
        <v>9.7663916500920593E-3</v>
      </c>
      <c r="U254" s="15">
        <f t="shared" ca="1" si="42"/>
        <v>9.993362434916456</v>
      </c>
      <c r="V254" s="15">
        <f t="shared" ca="1" si="43"/>
        <v>9.9933624290845735</v>
      </c>
      <c r="X254" s="15">
        <f t="shared" si="44"/>
        <v>10.5</v>
      </c>
      <c r="Y254" s="15">
        <f t="shared" si="45"/>
        <v>9.5</v>
      </c>
      <c r="Z254" s="15">
        <f t="shared" ca="1" si="46"/>
        <v>1</v>
      </c>
    </row>
    <row r="255" spans="12:26" x14ac:dyDescent="0.3">
      <c r="L255" s="15">
        <v>253</v>
      </c>
      <c r="M255" s="15">
        <f t="shared" si="38"/>
        <v>10</v>
      </c>
      <c r="N255" s="15">
        <f t="shared" ca="1" si="39"/>
        <v>9.9872122541970754E-3</v>
      </c>
      <c r="O255" s="15">
        <f t="shared" ca="1" si="48"/>
        <v>2.4918645855625678</v>
      </c>
      <c r="P255" s="15">
        <f t="shared" ca="1" si="47"/>
        <v>2.4918645626147895</v>
      </c>
      <c r="Q255" s="15">
        <v>0</v>
      </c>
      <c r="R255" s="15">
        <f t="shared" ca="1" si="40"/>
        <v>2.4918645626147895</v>
      </c>
      <c r="S255" s="15">
        <f t="shared" ca="1" si="49"/>
        <v>9.9821894769370463</v>
      </c>
      <c r="T255" s="15">
        <f t="shared" ca="1" si="41"/>
        <v>7.8233288471788228E-3</v>
      </c>
      <c r="U255" s="15">
        <f t="shared" ca="1" si="42"/>
        <v>9.9900128057842252</v>
      </c>
      <c r="V255" s="15">
        <f t="shared" ca="1" si="43"/>
        <v>9.9900127877458029</v>
      </c>
      <c r="X255" s="15">
        <f t="shared" si="44"/>
        <v>10.5</v>
      </c>
      <c r="Y255" s="15">
        <f t="shared" si="45"/>
        <v>9.5</v>
      </c>
      <c r="Z255" s="15">
        <f t="shared" ca="1" si="46"/>
        <v>1</v>
      </c>
    </row>
    <row r="256" spans="12:26" x14ac:dyDescent="0.3">
      <c r="L256" s="15">
        <v>254</v>
      </c>
      <c r="M256" s="15">
        <f t="shared" si="38"/>
        <v>10</v>
      </c>
      <c r="N256" s="15">
        <f t="shared" ca="1" si="39"/>
        <v>1.7709413081806957E-2</v>
      </c>
      <c r="O256" s="15">
        <f t="shared" ca="1" si="48"/>
        <v>2.4918645855625678</v>
      </c>
      <c r="P256" s="15">
        <f t="shared" ca="1" si="47"/>
        <v>2.4918645626147895</v>
      </c>
      <c r="Q256" s="15">
        <v>0</v>
      </c>
      <c r="R256" s="15">
        <f t="shared" ca="1" si="40"/>
        <v>2.4918645626147895</v>
      </c>
      <c r="S256" s="15">
        <f t="shared" ca="1" si="49"/>
        <v>9.9808816154960951</v>
      </c>
      <c r="T256" s="15">
        <f t="shared" ca="1" si="41"/>
        <v>1.4089832842015038E-3</v>
      </c>
      <c r="U256" s="15">
        <f t="shared" ca="1" si="42"/>
        <v>9.9822905987802972</v>
      </c>
      <c r="V256" s="15">
        <f t="shared" ca="1" si="43"/>
        <v>9.982290586918193</v>
      </c>
      <c r="X256" s="15">
        <f t="shared" si="44"/>
        <v>10.5</v>
      </c>
      <c r="Y256" s="15">
        <f t="shared" si="45"/>
        <v>9.5</v>
      </c>
      <c r="Z256" s="15">
        <f t="shared" ca="1" si="46"/>
        <v>1</v>
      </c>
    </row>
    <row r="257" spans="12:26" x14ac:dyDescent="0.3">
      <c r="L257" s="15">
        <v>255</v>
      </c>
      <c r="M257" s="15">
        <f t="shared" si="38"/>
        <v>10</v>
      </c>
      <c r="N257" s="15">
        <f t="shared" ca="1" si="39"/>
        <v>1.0941119401469024E-2</v>
      </c>
      <c r="O257" s="15">
        <f t="shared" ca="1" si="48"/>
        <v>2.4939172483979091</v>
      </c>
      <c r="P257" s="15">
        <f t="shared" ca="1" si="47"/>
        <v>2.4939172441358486</v>
      </c>
      <c r="Q257" s="15">
        <v>0</v>
      </c>
      <c r="R257" s="15">
        <f t="shared" ca="1" si="40"/>
        <v>2.4939172441358486</v>
      </c>
      <c r="S257" s="15">
        <f t="shared" ca="1" si="49"/>
        <v>9.9796559467683394</v>
      </c>
      <c r="T257" s="15">
        <f t="shared" ca="1" si="41"/>
        <v>9.402935346059212E-3</v>
      </c>
      <c r="U257" s="15">
        <f t="shared" ca="1" si="42"/>
        <v>9.9890588821143993</v>
      </c>
      <c r="V257" s="15">
        <f t="shared" ca="1" si="43"/>
        <v>9.989058880598531</v>
      </c>
      <c r="X257" s="15">
        <f t="shared" si="44"/>
        <v>10.5</v>
      </c>
      <c r="Y257" s="15">
        <f t="shared" si="45"/>
        <v>9.5</v>
      </c>
      <c r="Z257" s="15">
        <f t="shared" ca="1" si="46"/>
        <v>1</v>
      </c>
    </row>
    <row r="258" spans="12:26" x14ac:dyDescent="0.3">
      <c r="L258" s="15">
        <v>256</v>
      </c>
      <c r="M258" s="15">
        <f t="shared" si="38"/>
        <v>10</v>
      </c>
      <c r="N258" s="15">
        <f t="shared" ca="1" si="39"/>
        <v>1.9337527924063735E-2</v>
      </c>
      <c r="O258" s="15">
        <f t="shared" ca="1" si="48"/>
        <v>2.4939172483979091</v>
      </c>
      <c r="P258" s="15">
        <f t="shared" ca="1" si="47"/>
        <v>2.4939172441358486</v>
      </c>
      <c r="Q258" s="15">
        <v>0</v>
      </c>
      <c r="R258" s="15">
        <f t="shared" ca="1" si="40"/>
        <v>2.4939172441358486</v>
      </c>
      <c r="S258" s="15">
        <f t="shared" ca="1" si="49"/>
        <v>9.9784981278677254</v>
      </c>
      <c r="T258" s="15">
        <f t="shared" ca="1" si="41"/>
        <v>2.1643465454548815E-3</v>
      </c>
      <c r="U258" s="15">
        <f t="shared" ca="1" si="42"/>
        <v>9.9806624744131796</v>
      </c>
      <c r="V258" s="15">
        <f t="shared" ca="1" si="43"/>
        <v>9.9806624720759363</v>
      </c>
      <c r="X258" s="15">
        <f t="shared" si="44"/>
        <v>10.5</v>
      </c>
      <c r="Y258" s="15">
        <f t="shared" si="45"/>
        <v>9.5</v>
      </c>
      <c r="Z258" s="15">
        <f t="shared" ca="1" si="46"/>
        <v>1</v>
      </c>
    </row>
    <row r="259" spans="12:26" x14ac:dyDescent="0.3">
      <c r="L259" s="15">
        <v>257</v>
      </c>
      <c r="M259" s="15">
        <f t="shared" ref="M259:M322" si="50">IF(L259&lt;$D$16,$D$13,IF(L259&lt;$E$16,$E$13,$F$13))</f>
        <v>10</v>
      </c>
      <c r="N259" s="15">
        <f t="shared" ref="N259:N322" ca="1" si="51">M259-V259</f>
        <v>1.8783344425909121E-2</v>
      </c>
      <c r="O259" s="15">
        <f t="shared" ca="1" si="48"/>
        <v>2.4939172483979091</v>
      </c>
      <c r="P259" s="15">
        <f t="shared" ca="1" si="47"/>
        <v>2.4939172441358486</v>
      </c>
      <c r="Q259" s="15">
        <v>0</v>
      </c>
      <c r="R259" s="15">
        <f t="shared" ref="R259:R322" ca="1" si="52">P259+Q259</f>
        <v>2.4939172441358486</v>
      </c>
      <c r="S259" s="15">
        <f t="shared" ca="1" si="49"/>
        <v>9.977404443320621</v>
      </c>
      <c r="T259" s="15">
        <f t="shared" ref="T259:T322" ca="1" si="53">RAND()*$G$12</f>
        <v>3.8122159972580694E-3</v>
      </c>
      <c r="U259" s="15">
        <f t="shared" ref="U259:U322" ca="1" si="54">S259+T259</f>
        <v>9.9812166593178784</v>
      </c>
      <c r="V259" s="15">
        <f t="shared" ref="V259:V322" ca="1" si="55">INT((2^$J$12-1)*U259/100)/(2^$J$12-1)*100</f>
        <v>9.9812166555740909</v>
      </c>
      <c r="X259" s="15">
        <f t="shared" ref="X259:X322" si="56">M259 * 1.05</f>
        <v>10.5</v>
      </c>
      <c r="Y259" s="15">
        <f t="shared" ref="Y259:Y322" si="57">M259 * 0.95</f>
        <v>9.5</v>
      </c>
      <c r="Z259" s="15">
        <f t="shared" ref="Z259:Z322" ca="1" si="58">IF(AND(V259 &lt;= X259, V259 &gt;= Y259), 1, 0)</f>
        <v>1</v>
      </c>
    </row>
    <row r="260" spans="12:26" x14ac:dyDescent="0.3">
      <c r="L260" s="15">
        <v>258</v>
      </c>
      <c r="M260" s="15">
        <f t="shared" si="50"/>
        <v>10</v>
      </c>
      <c r="N260" s="15">
        <f t="shared" ca="1" si="51"/>
        <v>1.5185016676593222E-2</v>
      </c>
      <c r="O260" s="15">
        <f t="shared" ca="1" si="48"/>
        <v>2.4949018703351014</v>
      </c>
      <c r="P260" s="15">
        <f t="shared" ca="1" si="47"/>
        <v>2.4949018616450256</v>
      </c>
      <c r="Q260" s="15">
        <v>0</v>
      </c>
      <c r="R260" s="15">
        <f t="shared" ca="1" si="52"/>
        <v>2.4949018616450256</v>
      </c>
      <c r="S260" s="15">
        <f t="shared" ca="1" si="49"/>
        <v>9.9764247292203336</v>
      </c>
      <c r="T260" s="15">
        <f t="shared" ca="1" si="53"/>
        <v>8.3902748455171455E-3</v>
      </c>
      <c r="U260" s="15">
        <f t="shared" ca="1" si="54"/>
        <v>9.984815004065851</v>
      </c>
      <c r="V260" s="15">
        <f t="shared" ca="1" si="55"/>
        <v>9.9848149833234068</v>
      </c>
      <c r="X260" s="15">
        <f t="shared" si="56"/>
        <v>10.5</v>
      </c>
      <c r="Y260" s="15">
        <f t="shared" si="57"/>
        <v>9.5</v>
      </c>
      <c r="Z260" s="15">
        <f t="shared" ca="1" si="58"/>
        <v>1</v>
      </c>
    </row>
    <row r="261" spans="12:26" x14ac:dyDescent="0.3">
      <c r="L261" s="15">
        <v>259</v>
      </c>
      <c r="M261" s="15">
        <f t="shared" si="50"/>
        <v>10</v>
      </c>
      <c r="N261" s="15">
        <f t="shared" ca="1" si="51"/>
        <v>1.7007591672475897E-2</v>
      </c>
      <c r="O261" s="15">
        <f t="shared" ca="1" si="48"/>
        <v>2.4949018703351014</v>
      </c>
      <c r="P261" s="15">
        <f t="shared" ca="1" si="47"/>
        <v>2.4949018616450256</v>
      </c>
      <c r="Q261" s="15">
        <v>0</v>
      </c>
      <c r="R261" s="15">
        <f t="shared" ca="1" si="52"/>
        <v>2.4949018616450256</v>
      </c>
      <c r="S261" s="15">
        <f t="shared" ca="1" si="49"/>
        <v>9.9755996532949442</v>
      </c>
      <c r="T261" s="15">
        <f t="shared" ca="1" si="53"/>
        <v>7.3927755351412194E-3</v>
      </c>
      <c r="U261" s="15">
        <f t="shared" ca="1" si="54"/>
        <v>9.9829924288300855</v>
      </c>
      <c r="V261" s="15">
        <f t="shared" ca="1" si="55"/>
        <v>9.9829924083275241</v>
      </c>
      <c r="X261" s="15">
        <f t="shared" si="56"/>
        <v>10.5</v>
      </c>
      <c r="Y261" s="15">
        <f t="shared" si="57"/>
        <v>9.5</v>
      </c>
      <c r="Z261" s="15">
        <f t="shared" ca="1" si="58"/>
        <v>1</v>
      </c>
    </row>
    <row r="262" spans="12:26" x14ac:dyDescent="0.3">
      <c r="L262" s="15">
        <v>260</v>
      </c>
      <c r="M262" s="15">
        <f t="shared" si="50"/>
        <v>10</v>
      </c>
      <c r="N262" s="15">
        <f t="shared" ca="1" si="51"/>
        <v>2.0155787938310965E-2</v>
      </c>
      <c r="O262" s="15">
        <f t="shared" ca="1" si="48"/>
        <v>2.4949018703351014</v>
      </c>
      <c r="P262" s="15">
        <f t="shared" ca="1" si="47"/>
        <v>2.4949018616450256</v>
      </c>
      <c r="Q262" s="15">
        <v>0</v>
      </c>
      <c r="R262" s="15">
        <f t="shared" ca="1" si="52"/>
        <v>2.4949018616450256</v>
      </c>
      <c r="S262" s="15">
        <f t="shared" ca="1" si="49"/>
        <v>9.9749130761173603</v>
      </c>
      <c r="T262" s="15">
        <f t="shared" ca="1" si="53"/>
        <v>4.9311555260102358E-3</v>
      </c>
      <c r="U262" s="15">
        <f t="shared" ca="1" si="54"/>
        <v>9.9798442316433711</v>
      </c>
      <c r="V262" s="15">
        <f t="shared" ca="1" si="55"/>
        <v>9.979844212061689</v>
      </c>
      <c r="X262" s="15">
        <f t="shared" si="56"/>
        <v>10.5</v>
      </c>
      <c r="Y262" s="15">
        <f t="shared" si="57"/>
        <v>9.5</v>
      </c>
      <c r="Z262" s="15">
        <f t="shared" ca="1" si="58"/>
        <v>1</v>
      </c>
    </row>
    <row r="263" spans="12:26" x14ac:dyDescent="0.3">
      <c r="L263" s="15">
        <v>261</v>
      </c>
      <c r="M263" s="15">
        <f t="shared" si="50"/>
        <v>10</v>
      </c>
      <c r="N263" s="15">
        <f t="shared" ca="1" si="51"/>
        <v>2.4157657759300122E-2</v>
      </c>
      <c r="O263" s="15">
        <f t="shared" ca="1" si="48"/>
        <v>2.4997404655453637</v>
      </c>
      <c r="P263" s="15">
        <f t="shared" ca="1" si="47"/>
        <v>2.4997404549503095</v>
      </c>
      <c r="Q263" s="15">
        <v>0</v>
      </c>
      <c r="R263" s="15">
        <f t="shared" ca="1" si="52"/>
        <v>2.4997404549503095</v>
      </c>
      <c r="S263" s="15">
        <f t="shared" ca="1" si="49"/>
        <v>9.9742746043522637</v>
      </c>
      <c r="T263" s="15">
        <f t="shared" ca="1" si="53"/>
        <v>1.5677419976226215E-3</v>
      </c>
      <c r="U263" s="15">
        <f t="shared" ca="1" si="54"/>
        <v>9.9758423463498858</v>
      </c>
      <c r="V263" s="15">
        <f t="shared" ca="1" si="55"/>
        <v>9.9758423422406999</v>
      </c>
      <c r="X263" s="15">
        <f t="shared" si="56"/>
        <v>10.5</v>
      </c>
      <c r="Y263" s="15">
        <f t="shared" si="57"/>
        <v>9.5</v>
      </c>
      <c r="Z263" s="15">
        <f t="shared" ca="1" si="58"/>
        <v>1</v>
      </c>
    </row>
    <row r="264" spans="12:26" x14ac:dyDescent="0.3">
      <c r="L264" s="15">
        <v>262</v>
      </c>
      <c r="M264" s="15">
        <f t="shared" si="50"/>
        <v>10</v>
      </c>
      <c r="N264" s="15">
        <f t="shared" ca="1" si="51"/>
        <v>2.1371652842818278E-2</v>
      </c>
      <c r="O264" s="15">
        <f t="shared" ca="1" si="48"/>
        <v>2.4997404655453637</v>
      </c>
      <c r="P264" s="15">
        <f t="shared" ca="1" si="47"/>
        <v>2.4997404549503095</v>
      </c>
      <c r="Q264" s="15">
        <v>0</v>
      </c>
      <c r="R264" s="15">
        <f t="shared" ca="1" si="52"/>
        <v>2.4997404549503095</v>
      </c>
      <c r="S264" s="15">
        <f t="shared" ca="1" si="49"/>
        <v>9.9736084651691161</v>
      </c>
      <c r="T264" s="15">
        <f t="shared" ca="1" si="53"/>
        <v>5.0198954052544332E-3</v>
      </c>
      <c r="U264" s="15">
        <f t="shared" ca="1" si="54"/>
        <v>9.9786283605743709</v>
      </c>
      <c r="V264" s="15">
        <f t="shared" ca="1" si="55"/>
        <v>9.9786283471571817</v>
      </c>
      <c r="X264" s="15">
        <f t="shared" si="56"/>
        <v>10.5</v>
      </c>
      <c r="Y264" s="15">
        <f t="shared" si="57"/>
        <v>9.5</v>
      </c>
      <c r="Z264" s="15">
        <f t="shared" ca="1" si="58"/>
        <v>1</v>
      </c>
    </row>
    <row r="265" spans="12:26" x14ac:dyDescent="0.3">
      <c r="L265" s="15">
        <v>263</v>
      </c>
      <c r="M265" s="15">
        <f t="shared" si="50"/>
        <v>10</v>
      </c>
      <c r="N265" s="15">
        <f t="shared" ca="1" si="51"/>
        <v>2.2338062995657992E-2</v>
      </c>
      <c r="O265" s="15">
        <f t="shared" ca="1" si="48"/>
        <v>2.4997404655453637</v>
      </c>
      <c r="P265" s="15">
        <f t="shared" ca="1" si="47"/>
        <v>2.4997404549503095</v>
      </c>
      <c r="Q265" s="15">
        <v>0</v>
      </c>
      <c r="R265" s="15">
        <f t="shared" ca="1" si="52"/>
        <v>2.4997404549503095</v>
      </c>
      <c r="S265" s="15">
        <f t="shared" ca="1" si="49"/>
        <v>9.9729209880733958</v>
      </c>
      <c r="T265" s="15">
        <f t="shared" ca="1" si="53"/>
        <v>4.7409497105191621E-3</v>
      </c>
      <c r="U265" s="15">
        <f t="shared" ca="1" si="54"/>
        <v>9.9776619377839157</v>
      </c>
      <c r="V265" s="15">
        <f t="shared" ca="1" si="55"/>
        <v>9.977661937004342</v>
      </c>
      <c r="X265" s="15">
        <f t="shared" si="56"/>
        <v>10.5</v>
      </c>
      <c r="Y265" s="15">
        <f t="shared" si="57"/>
        <v>9.5</v>
      </c>
      <c r="Z265" s="15">
        <f t="shared" ca="1" si="58"/>
        <v>1</v>
      </c>
    </row>
    <row r="266" spans="12:26" x14ac:dyDescent="0.3">
      <c r="L266" s="15">
        <v>264</v>
      </c>
      <c r="M266" s="15">
        <f t="shared" si="50"/>
        <v>10</v>
      </c>
      <c r="N266" s="15">
        <f t="shared" ca="1" si="51"/>
        <v>2.7471070649909279E-2</v>
      </c>
      <c r="O266" s="15">
        <f t="shared" ca="1" si="48"/>
        <v>2.4974482431929781</v>
      </c>
      <c r="P266" s="15">
        <f t="shared" ca="1" si="47"/>
        <v>2.4974482372630034</v>
      </c>
      <c r="Q266" s="15">
        <v>0</v>
      </c>
      <c r="R266" s="15">
        <f t="shared" ca="1" si="52"/>
        <v>2.4974482372630034</v>
      </c>
      <c r="S266" s="15">
        <f t="shared" ca="1" si="49"/>
        <v>9.972307552434982</v>
      </c>
      <c r="T266" s="15">
        <f t="shared" ca="1" si="53"/>
        <v>2.2138604762856007E-4</v>
      </c>
      <c r="U266" s="15">
        <f t="shared" ca="1" si="54"/>
        <v>9.9725289384826112</v>
      </c>
      <c r="V266" s="15">
        <f t="shared" ca="1" si="55"/>
        <v>9.9725289293500907</v>
      </c>
      <c r="X266" s="15">
        <f t="shared" si="56"/>
        <v>10.5</v>
      </c>
      <c r="Y266" s="15">
        <f t="shared" si="57"/>
        <v>9.5</v>
      </c>
      <c r="Z266" s="15">
        <f t="shared" ca="1" si="58"/>
        <v>1</v>
      </c>
    </row>
    <row r="267" spans="12:26" x14ac:dyDescent="0.3">
      <c r="L267" s="15">
        <v>265</v>
      </c>
      <c r="M267" s="15">
        <f t="shared" si="50"/>
        <v>10</v>
      </c>
      <c r="N267" s="15">
        <f t="shared" ca="1" si="51"/>
        <v>2.7149391832562486E-2</v>
      </c>
      <c r="O267" s="15">
        <f t="shared" ca="1" si="48"/>
        <v>2.4974482431929781</v>
      </c>
      <c r="P267" s="15">
        <f t="shared" ca="1" si="47"/>
        <v>2.4974482372630034</v>
      </c>
      <c r="Q267" s="15">
        <v>0</v>
      </c>
      <c r="R267" s="15">
        <f t="shared" ca="1" si="52"/>
        <v>2.4974482372630034</v>
      </c>
      <c r="S267" s="15">
        <f t="shared" ca="1" si="49"/>
        <v>9.9718471461558735</v>
      </c>
      <c r="T267" s="15">
        <f t="shared" ca="1" si="53"/>
        <v>1.0034701670742297E-3</v>
      </c>
      <c r="U267" s="15">
        <f t="shared" ca="1" si="54"/>
        <v>9.9728506163229476</v>
      </c>
      <c r="V267" s="15">
        <f t="shared" ca="1" si="55"/>
        <v>9.9728506081674375</v>
      </c>
      <c r="X267" s="15">
        <f t="shared" si="56"/>
        <v>10.5</v>
      </c>
      <c r="Y267" s="15">
        <f t="shared" si="57"/>
        <v>9.5</v>
      </c>
      <c r="Z267" s="15">
        <f t="shared" ca="1" si="58"/>
        <v>1</v>
      </c>
    </row>
    <row r="268" spans="12:26" x14ac:dyDescent="0.3">
      <c r="L268" s="15">
        <v>266</v>
      </c>
      <c r="M268" s="15">
        <f t="shared" si="50"/>
        <v>10</v>
      </c>
      <c r="N268" s="15">
        <f t="shared" ca="1" si="51"/>
        <v>2.6960985275675142E-2</v>
      </c>
      <c r="O268" s="15">
        <f t="shared" ca="1" si="48"/>
        <v>2.4974482431929781</v>
      </c>
      <c r="P268" s="15">
        <f t="shared" ca="1" si="47"/>
        <v>2.4974482372630034</v>
      </c>
      <c r="Q268" s="15">
        <v>0</v>
      </c>
      <c r="R268" s="15">
        <f t="shared" ca="1" si="52"/>
        <v>2.4974482372630034</v>
      </c>
      <c r="S268" s="15">
        <f t="shared" ca="1" si="49"/>
        <v>9.9715222916151838</v>
      </c>
      <c r="T268" s="15">
        <f t="shared" ca="1" si="53"/>
        <v>1.5167448386868877E-3</v>
      </c>
      <c r="U268" s="15">
        <f t="shared" ca="1" si="54"/>
        <v>9.973039036453871</v>
      </c>
      <c r="V268" s="15">
        <f t="shared" ca="1" si="55"/>
        <v>9.9730390147243249</v>
      </c>
      <c r="X268" s="15">
        <f t="shared" si="56"/>
        <v>10.5</v>
      </c>
      <c r="Y268" s="15">
        <f t="shared" si="57"/>
        <v>9.5</v>
      </c>
      <c r="Z268" s="15">
        <f t="shared" ca="1" si="58"/>
        <v>1</v>
      </c>
    </row>
    <row r="269" spans="12:26" x14ac:dyDescent="0.3">
      <c r="L269" s="15">
        <v>267</v>
      </c>
      <c r="M269" s="15">
        <f t="shared" si="50"/>
        <v>10</v>
      </c>
      <c r="N269" s="15">
        <f t="shared" ca="1" si="51"/>
        <v>2.3448595316951426E-2</v>
      </c>
      <c r="O269" s="15">
        <f t="shared" ca="1" si="48"/>
        <v>2.4928226032374892</v>
      </c>
      <c r="P269" s="15">
        <f t="shared" ref="P269:P332" ca="1" si="59">INT((2^$J$12-1)*O269/100)/(2^$J$12-1)*100</f>
        <v>2.492822590864455</v>
      </c>
      <c r="Q269" s="15">
        <v>0</v>
      </c>
      <c r="R269" s="15">
        <f t="shared" ca="1" si="52"/>
        <v>2.492822590864455</v>
      </c>
      <c r="S269" s="15">
        <f t="shared" ca="1" si="49"/>
        <v>9.9712544560615264</v>
      </c>
      <c r="T269" s="15">
        <f t="shared" ca="1" si="53"/>
        <v>5.2969593902111988E-3</v>
      </c>
      <c r="U269" s="15">
        <f t="shared" ca="1" si="54"/>
        <v>9.9765514154517376</v>
      </c>
      <c r="V269" s="15">
        <f t="shared" ca="1" si="55"/>
        <v>9.9765514046830486</v>
      </c>
      <c r="X269" s="15">
        <f t="shared" si="56"/>
        <v>10.5</v>
      </c>
      <c r="Y269" s="15">
        <f t="shared" si="57"/>
        <v>9.5</v>
      </c>
      <c r="Z269" s="15">
        <f t="shared" ca="1" si="58"/>
        <v>1</v>
      </c>
    </row>
    <row r="270" spans="12:26" x14ac:dyDescent="0.3">
      <c r="L270" s="15">
        <v>268</v>
      </c>
      <c r="M270" s="15">
        <f t="shared" si="50"/>
        <v>10</v>
      </c>
      <c r="N270" s="15">
        <f t="shared" ca="1" si="51"/>
        <v>2.0280678295595322E-2</v>
      </c>
      <c r="O270" s="15">
        <f t="shared" ca="1" si="48"/>
        <v>2.4928226032374892</v>
      </c>
      <c r="P270" s="15">
        <f t="shared" ca="1" si="59"/>
        <v>2.492822590864455</v>
      </c>
      <c r="Q270" s="15">
        <v>0</v>
      </c>
      <c r="R270" s="15">
        <f t="shared" ca="1" si="52"/>
        <v>2.492822590864455</v>
      </c>
      <c r="S270" s="15">
        <f t="shared" ca="1" si="49"/>
        <v>9.9709776081492727</v>
      </c>
      <c r="T270" s="15">
        <f t="shared" ca="1" si="53"/>
        <v>8.7417280468975039E-3</v>
      </c>
      <c r="U270" s="15">
        <f t="shared" ca="1" si="54"/>
        <v>9.9797193361961707</v>
      </c>
      <c r="V270" s="15">
        <f t="shared" ca="1" si="55"/>
        <v>9.9797193217044047</v>
      </c>
      <c r="X270" s="15">
        <f t="shared" si="56"/>
        <v>10.5</v>
      </c>
      <c r="Y270" s="15">
        <f t="shared" si="57"/>
        <v>9.5</v>
      </c>
      <c r="Z270" s="15">
        <f t="shared" ca="1" si="58"/>
        <v>1</v>
      </c>
    </row>
    <row r="271" spans="12:26" x14ac:dyDescent="0.3">
      <c r="L271" s="15">
        <v>269</v>
      </c>
      <c r="M271" s="15">
        <f t="shared" si="50"/>
        <v>10</v>
      </c>
      <c r="N271" s="15">
        <f t="shared" ca="1" si="51"/>
        <v>2.310975688116379E-2</v>
      </c>
      <c r="O271" s="15">
        <f t="shared" ca="1" si="48"/>
        <v>2.4928226032374892</v>
      </c>
      <c r="P271" s="15">
        <f t="shared" ca="1" si="59"/>
        <v>2.492822590864455</v>
      </c>
      <c r="Q271" s="15">
        <v>0</v>
      </c>
      <c r="R271" s="15">
        <f t="shared" ca="1" si="52"/>
        <v>2.492822590864455</v>
      </c>
      <c r="S271" s="15">
        <f t="shared" ca="1" si="49"/>
        <v>9.9706940628315994</v>
      </c>
      <c r="T271" s="15">
        <f t="shared" ca="1" si="53"/>
        <v>6.1961872698890145E-3</v>
      </c>
      <c r="U271" s="15">
        <f t="shared" ca="1" si="54"/>
        <v>9.9768902501014889</v>
      </c>
      <c r="V271" s="15">
        <f t="shared" ca="1" si="55"/>
        <v>9.9768902431188362</v>
      </c>
      <c r="X271" s="15">
        <f t="shared" si="56"/>
        <v>10.5</v>
      </c>
      <c r="Y271" s="15">
        <f t="shared" si="57"/>
        <v>9.5</v>
      </c>
      <c r="Z271" s="15">
        <f t="shared" ca="1" si="58"/>
        <v>1</v>
      </c>
    </row>
    <row r="272" spans="12:26" x14ac:dyDescent="0.3">
      <c r="L272" s="15">
        <v>270</v>
      </c>
      <c r="M272" s="15">
        <f t="shared" si="50"/>
        <v>10</v>
      </c>
      <c r="N272" s="15">
        <f t="shared" ca="1" si="51"/>
        <v>2.7031276847010233E-2</v>
      </c>
      <c r="O272" s="15">
        <f t="shared" ca="1" si="48"/>
        <v>2.4985262005937741</v>
      </c>
      <c r="P272" s="15">
        <f t="shared" ca="1" si="59"/>
        <v>2.4985261965772434</v>
      </c>
      <c r="Q272" s="15">
        <v>0</v>
      </c>
      <c r="R272" s="15">
        <f t="shared" ca="1" si="52"/>
        <v>2.4985261965772434</v>
      </c>
      <c r="S272" s="15">
        <f t="shared" ca="1" si="49"/>
        <v>9.9704206239692557</v>
      </c>
      <c r="T272" s="15">
        <f t="shared" ca="1" si="53"/>
        <v>2.5481149427862915E-3</v>
      </c>
      <c r="U272" s="15">
        <f t="shared" ca="1" si="54"/>
        <v>9.9729687389120425</v>
      </c>
      <c r="V272" s="15">
        <f t="shared" ca="1" si="55"/>
        <v>9.9729687231529898</v>
      </c>
      <c r="X272" s="15">
        <f t="shared" si="56"/>
        <v>10.5</v>
      </c>
      <c r="Y272" s="15">
        <f t="shared" si="57"/>
        <v>9.5</v>
      </c>
      <c r="Z272" s="15">
        <f t="shared" ca="1" si="58"/>
        <v>1</v>
      </c>
    </row>
    <row r="273" spans="12:26" x14ac:dyDescent="0.3">
      <c r="L273" s="15">
        <v>271</v>
      </c>
      <c r="M273" s="15">
        <f t="shared" si="50"/>
        <v>10</v>
      </c>
      <c r="N273" s="15">
        <f t="shared" ca="1" si="51"/>
        <v>2.4404854053726055E-2</v>
      </c>
      <c r="O273" s="15">
        <f t="shared" ca="1" si="48"/>
        <v>2.4985262005937741</v>
      </c>
      <c r="P273" s="15">
        <f t="shared" ca="1" si="59"/>
        <v>2.4985261965772434</v>
      </c>
      <c r="Q273" s="15">
        <v>0</v>
      </c>
      <c r="R273" s="15">
        <f t="shared" ca="1" si="52"/>
        <v>2.4985261965772434</v>
      </c>
      <c r="S273" s="15">
        <f t="shared" ca="1" si="49"/>
        <v>9.9701712669077587</v>
      </c>
      <c r="T273" s="15">
        <f t="shared" ca="1" si="53"/>
        <v>5.4238939861405901E-3</v>
      </c>
      <c r="U273" s="15">
        <f t="shared" ca="1" si="54"/>
        <v>9.9755951608938993</v>
      </c>
      <c r="V273" s="15">
        <f t="shared" ca="1" si="55"/>
        <v>9.9755951459462739</v>
      </c>
      <c r="X273" s="15">
        <f t="shared" si="56"/>
        <v>10.5</v>
      </c>
      <c r="Y273" s="15">
        <f t="shared" si="57"/>
        <v>9.5</v>
      </c>
      <c r="Z273" s="15">
        <f t="shared" ca="1" si="58"/>
        <v>1</v>
      </c>
    </row>
    <row r="274" spans="12:26" x14ac:dyDescent="0.3">
      <c r="L274" s="15">
        <v>272</v>
      </c>
      <c r="M274" s="15">
        <f t="shared" si="50"/>
        <v>10</v>
      </c>
      <c r="N274" s="15">
        <f t="shared" ca="1" si="51"/>
        <v>2.3891415918221526E-2</v>
      </c>
      <c r="O274" s="15">
        <f t="shared" ca="1" si="48"/>
        <v>2.4985262005937741</v>
      </c>
      <c r="P274" s="15">
        <f t="shared" ca="1" si="59"/>
        <v>2.4985261965772434</v>
      </c>
      <c r="Q274" s="15">
        <v>0</v>
      </c>
      <c r="R274" s="15">
        <f t="shared" ca="1" si="52"/>
        <v>2.4985261965772434</v>
      </c>
      <c r="S274" s="15">
        <f t="shared" ca="1" si="49"/>
        <v>9.9699439894789421</v>
      </c>
      <c r="T274" s="15">
        <f t="shared" ca="1" si="53"/>
        <v>6.1646075516402334E-3</v>
      </c>
      <c r="U274" s="15">
        <f t="shared" ca="1" si="54"/>
        <v>9.9761085970305832</v>
      </c>
      <c r="V274" s="15">
        <f t="shared" ca="1" si="55"/>
        <v>9.9761085840817785</v>
      </c>
      <c r="X274" s="15">
        <f t="shared" si="56"/>
        <v>10.5</v>
      </c>
      <c r="Y274" s="15">
        <f t="shared" si="57"/>
        <v>9.5</v>
      </c>
      <c r="Z274" s="15">
        <f t="shared" ca="1" si="58"/>
        <v>1</v>
      </c>
    </row>
    <row r="275" spans="12:26" x14ac:dyDescent="0.3">
      <c r="L275" s="15">
        <v>273</v>
      </c>
      <c r="M275" s="15">
        <f t="shared" si="50"/>
        <v>10</v>
      </c>
      <c r="N275" s="15">
        <f t="shared" ca="1" si="51"/>
        <v>2.1609559194558869E-2</v>
      </c>
      <c r="O275" s="15">
        <f t="shared" ca="1" si="48"/>
        <v>2.4926252164788711</v>
      </c>
      <c r="P275" s="15">
        <f t="shared" ca="1" si="59"/>
        <v>2.4926251970447191</v>
      </c>
      <c r="Q275" s="15">
        <v>0</v>
      </c>
      <c r="R275" s="15">
        <f t="shared" ca="1" si="52"/>
        <v>2.4926251970447191</v>
      </c>
      <c r="S275" s="15">
        <f t="shared" ca="1" si="49"/>
        <v>9.9697359776556969</v>
      </c>
      <c r="T275" s="15">
        <f t="shared" ca="1" si="53"/>
        <v>8.6544738280845378E-3</v>
      </c>
      <c r="U275" s="15">
        <f t="shared" ca="1" si="54"/>
        <v>9.9783904514837811</v>
      </c>
      <c r="V275" s="15">
        <f t="shared" ca="1" si="55"/>
        <v>9.9783904408054411</v>
      </c>
      <c r="X275" s="15">
        <f t="shared" si="56"/>
        <v>10.5</v>
      </c>
      <c r="Y275" s="15">
        <f t="shared" si="57"/>
        <v>9.5</v>
      </c>
      <c r="Z275" s="15">
        <f t="shared" ca="1" si="58"/>
        <v>1</v>
      </c>
    </row>
    <row r="276" spans="12:26" x14ac:dyDescent="0.3">
      <c r="L276" s="15">
        <v>274</v>
      </c>
      <c r="M276" s="15">
        <f t="shared" si="50"/>
        <v>10</v>
      </c>
      <c r="N276" s="15">
        <f t="shared" ca="1" si="51"/>
        <v>2.0709226378405887E-2</v>
      </c>
      <c r="O276" s="15">
        <f t="shared" ca="1" si="48"/>
        <v>2.4926252164788711</v>
      </c>
      <c r="P276" s="15">
        <f t="shared" ca="1" si="59"/>
        <v>2.4926251970447191</v>
      </c>
      <c r="Q276" s="15">
        <v>0</v>
      </c>
      <c r="R276" s="15">
        <f t="shared" ca="1" si="52"/>
        <v>2.4926251970447191</v>
      </c>
      <c r="S276" s="15">
        <f t="shared" ca="1" si="49"/>
        <v>9.9695447361563456</v>
      </c>
      <c r="T276" s="15">
        <f t="shared" ca="1" si="53"/>
        <v>9.7460552551621536E-3</v>
      </c>
      <c r="U276" s="15">
        <f t="shared" ca="1" si="54"/>
        <v>9.9792907914115077</v>
      </c>
      <c r="V276" s="15">
        <f t="shared" ca="1" si="55"/>
        <v>9.9792907736215941</v>
      </c>
      <c r="X276" s="15">
        <f t="shared" si="56"/>
        <v>10.5</v>
      </c>
      <c r="Y276" s="15">
        <f t="shared" si="57"/>
        <v>9.5</v>
      </c>
      <c r="Z276" s="15">
        <f t="shared" ca="1" si="58"/>
        <v>1</v>
      </c>
    </row>
    <row r="277" spans="12:26" x14ac:dyDescent="0.3">
      <c r="L277" s="15">
        <v>275</v>
      </c>
      <c r="M277" s="15">
        <f t="shared" si="50"/>
        <v>10</v>
      </c>
      <c r="N277" s="15">
        <f t="shared" ca="1" si="51"/>
        <v>2.3027241701033319E-2</v>
      </c>
      <c r="O277" s="15">
        <f t="shared" ca="1" si="48"/>
        <v>2.4926252164788711</v>
      </c>
      <c r="P277" s="15">
        <f t="shared" ca="1" si="59"/>
        <v>2.4926251970447191</v>
      </c>
      <c r="Q277" s="15">
        <v>0</v>
      </c>
      <c r="R277" s="15">
        <f t="shared" ca="1" si="52"/>
        <v>2.4926251970447191</v>
      </c>
      <c r="S277" s="15">
        <f t="shared" ca="1" si="49"/>
        <v>9.9693689450973721</v>
      </c>
      <c r="T277" s="15">
        <f t="shared" ca="1" si="53"/>
        <v>7.6038280091101362E-3</v>
      </c>
      <c r="U277" s="15">
        <f t="shared" ca="1" si="54"/>
        <v>9.9769727731064819</v>
      </c>
      <c r="V277" s="15">
        <f t="shared" ca="1" si="55"/>
        <v>9.9769727582989667</v>
      </c>
      <c r="X277" s="15">
        <f t="shared" si="56"/>
        <v>10.5</v>
      </c>
      <c r="Y277" s="15">
        <f t="shared" si="57"/>
        <v>9.5</v>
      </c>
      <c r="Z277" s="15">
        <f t="shared" ca="1" si="58"/>
        <v>1</v>
      </c>
    </row>
    <row r="278" spans="12:26" x14ac:dyDescent="0.3">
      <c r="L278" s="15">
        <v>276</v>
      </c>
      <c r="M278" s="15">
        <f t="shared" si="50"/>
        <v>10</v>
      </c>
      <c r="N278" s="15">
        <f t="shared" ca="1" si="51"/>
        <v>2.4001544812694675E-2</v>
      </c>
      <c r="O278" s="15">
        <f t="shared" ca="1" si="48"/>
        <v>2.4981918139645587</v>
      </c>
      <c r="P278" s="15">
        <f t="shared" ca="1" si="59"/>
        <v>2.4981918052067495</v>
      </c>
      <c r="Q278" s="15">
        <v>0</v>
      </c>
      <c r="R278" s="15">
        <f t="shared" ca="1" si="52"/>
        <v>2.4981918052067495</v>
      </c>
      <c r="S278" s="15">
        <f t="shared" ca="1" si="49"/>
        <v>9.9692251436660442</v>
      </c>
      <c r="T278" s="15">
        <f t="shared" ca="1" si="53"/>
        <v>6.7733233174407251E-3</v>
      </c>
      <c r="U278" s="15">
        <f t="shared" ca="1" si="54"/>
        <v>9.9759984669834854</v>
      </c>
      <c r="V278" s="15">
        <f t="shared" ca="1" si="55"/>
        <v>9.9759984551873053</v>
      </c>
      <c r="X278" s="15">
        <f t="shared" si="56"/>
        <v>10.5</v>
      </c>
      <c r="Y278" s="15">
        <f t="shared" si="57"/>
        <v>9.5</v>
      </c>
      <c r="Z278" s="15">
        <f t="shared" ca="1" si="58"/>
        <v>1</v>
      </c>
    </row>
    <row r="279" spans="12:26" x14ac:dyDescent="0.3">
      <c r="L279" s="15">
        <v>277</v>
      </c>
      <c r="M279" s="15">
        <f t="shared" si="50"/>
        <v>10</v>
      </c>
      <c r="N279" s="15">
        <f t="shared" ca="1" si="51"/>
        <v>2.5211030157564096E-2</v>
      </c>
      <c r="O279" s="15">
        <f t="shared" ref="O279:O342" ca="1" si="60">IF(MOD(L279,$B$11)=0,OFFSET(O279,-$B$11,0)+ $E$2*N279+$E$3*OFFSET(N279,-$B$11,0)+ $E$4*OFFSET(N279,-2* $B$11,0), O278)</f>
        <v>2.4981918139645587</v>
      </c>
      <c r="P279" s="15">
        <f t="shared" ca="1" si="59"/>
        <v>2.4981918052067495</v>
      </c>
      <c r="Q279" s="15">
        <v>0</v>
      </c>
      <c r="R279" s="15">
        <f t="shared" ca="1" si="52"/>
        <v>2.4981918052067495</v>
      </c>
      <c r="S279" s="15">
        <f t="shared" ca="1" si="49"/>
        <v>9.9691268507423629</v>
      </c>
      <c r="T279" s="15">
        <f t="shared" ca="1" si="53"/>
        <v>5.6621359181720848E-3</v>
      </c>
      <c r="U279" s="15">
        <f t="shared" ca="1" si="54"/>
        <v>9.9747889866605348</v>
      </c>
      <c r="V279" s="15">
        <f t="shared" ca="1" si="55"/>
        <v>9.9747889698424359</v>
      </c>
      <c r="X279" s="15">
        <f t="shared" si="56"/>
        <v>10.5</v>
      </c>
      <c r="Y279" s="15">
        <f t="shared" si="57"/>
        <v>9.5</v>
      </c>
      <c r="Z279" s="15">
        <f t="shared" ca="1" si="58"/>
        <v>1</v>
      </c>
    </row>
    <row r="280" spans="12:26" x14ac:dyDescent="0.3">
      <c r="L280" s="15">
        <v>278</v>
      </c>
      <c r="M280" s="15">
        <f t="shared" si="50"/>
        <v>10</v>
      </c>
      <c r="N280" s="15">
        <f t="shared" ca="1" si="51"/>
        <v>2.8937507893177283E-2</v>
      </c>
      <c r="O280" s="15">
        <f t="shared" ca="1" si="60"/>
        <v>2.4981918139645587</v>
      </c>
      <c r="P280" s="15">
        <f t="shared" ca="1" si="59"/>
        <v>2.4981918052067495</v>
      </c>
      <c r="Q280" s="15">
        <v>0</v>
      </c>
      <c r="R280" s="15">
        <f t="shared" ca="1" si="52"/>
        <v>2.4981918052067495</v>
      </c>
      <c r="S280" s="15">
        <f t="shared" ca="1" si="49"/>
        <v>9.9690687053916296</v>
      </c>
      <c r="T280" s="15">
        <f t="shared" ca="1" si="53"/>
        <v>1.9937885361362472E-3</v>
      </c>
      <c r="U280" s="15">
        <f t="shared" ca="1" si="54"/>
        <v>9.9710624939277661</v>
      </c>
      <c r="V280" s="15">
        <f t="shared" ca="1" si="55"/>
        <v>9.9710624921068227</v>
      </c>
      <c r="X280" s="15">
        <f t="shared" si="56"/>
        <v>10.5</v>
      </c>
      <c r="Y280" s="15">
        <f t="shared" si="57"/>
        <v>9.5</v>
      </c>
      <c r="Z280" s="15">
        <f t="shared" ca="1" si="58"/>
        <v>1</v>
      </c>
    </row>
    <row r="281" spans="12:26" x14ac:dyDescent="0.3">
      <c r="L281" s="15">
        <v>279</v>
      </c>
      <c r="M281" s="15">
        <f t="shared" si="50"/>
        <v>10</v>
      </c>
      <c r="N281" s="15">
        <f t="shared" ca="1" si="51"/>
        <v>2.1372491033135432E-2</v>
      </c>
      <c r="O281" s="15">
        <f t="shared" ca="1" si="60"/>
        <v>2.49515145117938</v>
      </c>
      <c r="P281" s="15">
        <f t="shared" ca="1" si="59"/>
        <v>2.4951514328120163</v>
      </c>
      <c r="Q281" s="15">
        <v>0</v>
      </c>
      <c r="R281" s="15">
        <f t="shared" ca="1" si="52"/>
        <v>2.4951514328120163</v>
      </c>
      <c r="S281" s="15">
        <f t="shared" ref="S281:S344" ca="1" si="61">$I$1*S280-$I$2*S279+$I$3*R260+$I$4*R259</f>
        <v>9.9690543748764338</v>
      </c>
      <c r="T281" s="15">
        <f t="shared" ca="1" si="53"/>
        <v>9.5731455696095279E-3</v>
      </c>
      <c r="U281" s="15">
        <f t="shared" ca="1" si="54"/>
        <v>9.9786275204460431</v>
      </c>
      <c r="V281" s="15">
        <f t="shared" ca="1" si="55"/>
        <v>9.9786275089668646</v>
      </c>
      <c r="X281" s="15">
        <f t="shared" si="56"/>
        <v>10.5</v>
      </c>
      <c r="Y281" s="15">
        <f t="shared" si="57"/>
        <v>9.5</v>
      </c>
      <c r="Z281" s="15">
        <f t="shared" ca="1" si="58"/>
        <v>1</v>
      </c>
    </row>
    <row r="282" spans="12:26" x14ac:dyDescent="0.3">
      <c r="L282" s="15">
        <v>280</v>
      </c>
      <c r="M282" s="15">
        <f t="shared" si="50"/>
        <v>10</v>
      </c>
      <c r="N282" s="15">
        <f t="shared" ca="1" si="51"/>
        <v>2.2901792550204192E-2</v>
      </c>
      <c r="O282" s="15">
        <f t="shared" ca="1" si="60"/>
        <v>2.49515145117938</v>
      </c>
      <c r="P282" s="15">
        <f t="shared" ca="1" si="59"/>
        <v>2.4951514328120163</v>
      </c>
      <c r="Q282" s="15">
        <v>0</v>
      </c>
      <c r="R282" s="15">
        <f t="shared" ca="1" si="52"/>
        <v>2.4951514328120163</v>
      </c>
      <c r="S282" s="15">
        <f t="shared" ca="1" si="61"/>
        <v>9.9690864988080516</v>
      </c>
      <c r="T282" s="15">
        <f t="shared" ca="1" si="53"/>
        <v>8.0117231401228561E-3</v>
      </c>
      <c r="U282" s="15">
        <f t="shared" ca="1" si="54"/>
        <v>9.9770982219481752</v>
      </c>
      <c r="V282" s="15">
        <f t="shared" ca="1" si="55"/>
        <v>9.9770982074497958</v>
      </c>
      <c r="X282" s="15">
        <f t="shared" si="56"/>
        <v>10.5</v>
      </c>
      <c r="Y282" s="15">
        <f t="shared" si="57"/>
        <v>9.5</v>
      </c>
      <c r="Z282" s="15">
        <f t="shared" ca="1" si="58"/>
        <v>1</v>
      </c>
    </row>
    <row r="283" spans="12:26" x14ac:dyDescent="0.3">
      <c r="L283" s="15">
        <v>281</v>
      </c>
      <c r="M283" s="15">
        <f t="shared" si="50"/>
        <v>10</v>
      </c>
      <c r="N283" s="15">
        <f t="shared" ca="1" si="51"/>
        <v>2.8865679639592301E-2</v>
      </c>
      <c r="O283" s="15">
        <f t="shared" ca="1" si="60"/>
        <v>2.49515145117938</v>
      </c>
      <c r="P283" s="15">
        <f t="shared" ca="1" si="59"/>
        <v>2.4951514328120163</v>
      </c>
      <c r="Q283" s="15">
        <v>0</v>
      </c>
      <c r="R283" s="15">
        <f t="shared" ca="1" si="52"/>
        <v>2.4951514328120163</v>
      </c>
      <c r="S283" s="15">
        <f t="shared" ca="1" si="61"/>
        <v>9.9691590445653517</v>
      </c>
      <c r="T283" s="15">
        <f t="shared" ca="1" si="53"/>
        <v>1.975294187373623E-3</v>
      </c>
      <c r="U283" s="15">
        <f t="shared" ca="1" si="54"/>
        <v>9.9711343387527247</v>
      </c>
      <c r="V283" s="15">
        <f t="shared" ca="1" si="55"/>
        <v>9.9711343203604077</v>
      </c>
      <c r="X283" s="15">
        <f t="shared" si="56"/>
        <v>10.5</v>
      </c>
      <c r="Y283" s="15">
        <f t="shared" si="57"/>
        <v>9.5</v>
      </c>
      <c r="Z283" s="15">
        <f t="shared" ca="1" si="58"/>
        <v>1</v>
      </c>
    </row>
    <row r="284" spans="12:26" x14ac:dyDescent="0.3">
      <c r="L284" s="15">
        <v>282</v>
      </c>
      <c r="M284" s="15">
        <f t="shared" si="50"/>
        <v>10</v>
      </c>
      <c r="N284" s="15">
        <f t="shared" ca="1" si="51"/>
        <v>2.2140995138823172E-2</v>
      </c>
      <c r="O284" s="15">
        <f t="shared" ca="1" si="60"/>
        <v>2.4977555399683311</v>
      </c>
      <c r="P284" s="15">
        <f t="shared" ca="1" si="59"/>
        <v>2.4977555271465692</v>
      </c>
      <c r="Q284" s="15">
        <v>0</v>
      </c>
      <c r="R284" s="15">
        <f t="shared" ca="1" si="52"/>
        <v>2.4977555271465692</v>
      </c>
      <c r="S284" s="15">
        <f t="shared" ca="1" si="61"/>
        <v>9.969308430939483</v>
      </c>
      <c r="T284" s="15">
        <f t="shared" ca="1" si="53"/>
        <v>8.5505841530653034E-3</v>
      </c>
      <c r="U284" s="15">
        <f t="shared" ca="1" si="54"/>
        <v>9.9778590150925481</v>
      </c>
      <c r="V284" s="15">
        <f t="shared" ca="1" si="55"/>
        <v>9.9778590048611768</v>
      </c>
      <c r="X284" s="15">
        <f t="shared" si="56"/>
        <v>10.5</v>
      </c>
      <c r="Y284" s="15">
        <f t="shared" si="57"/>
        <v>9.5</v>
      </c>
      <c r="Z284" s="15">
        <f t="shared" ca="1" si="58"/>
        <v>1</v>
      </c>
    </row>
    <row r="285" spans="12:26" x14ac:dyDescent="0.3">
      <c r="L285" s="15">
        <v>283</v>
      </c>
      <c r="M285" s="15">
        <f t="shared" si="50"/>
        <v>10</v>
      </c>
      <c r="N285" s="15">
        <f t="shared" ca="1" si="51"/>
        <v>3.0325434643385663E-2</v>
      </c>
      <c r="O285" s="15">
        <f t="shared" ca="1" si="60"/>
        <v>2.4977555399683311</v>
      </c>
      <c r="P285" s="15">
        <f t="shared" ca="1" si="59"/>
        <v>2.4977555271465692</v>
      </c>
      <c r="Q285" s="15">
        <v>0</v>
      </c>
      <c r="R285" s="15">
        <f t="shared" ca="1" si="52"/>
        <v>2.4977555271465692</v>
      </c>
      <c r="S285" s="15">
        <f t="shared" ca="1" si="61"/>
        <v>9.9695642770739923</v>
      </c>
      <c r="T285" s="15">
        <f t="shared" ca="1" si="53"/>
        <v>1.1029665207785367E-4</v>
      </c>
      <c r="U285" s="15">
        <f t="shared" ca="1" si="54"/>
        <v>9.9696745737260706</v>
      </c>
      <c r="V285" s="15">
        <f t="shared" ca="1" si="55"/>
        <v>9.9696745653566143</v>
      </c>
      <c r="X285" s="15">
        <f t="shared" si="56"/>
        <v>10.5</v>
      </c>
      <c r="Y285" s="15">
        <f t="shared" si="57"/>
        <v>9.5</v>
      </c>
      <c r="Z285" s="15">
        <f t="shared" ca="1" si="58"/>
        <v>1</v>
      </c>
    </row>
    <row r="286" spans="12:26" x14ac:dyDescent="0.3">
      <c r="L286" s="15">
        <v>284</v>
      </c>
      <c r="M286" s="15">
        <f t="shared" si="50"/>
        <v>10</v>
      </c>
      <c r="N286" s="15">
        <f t="shared" ca="1" si="51"/>
        <v>2.7951656381588919E-2</v>
      </c>
      <c r="O286" s="15">
        <f t="shared" ca="1" si="60"/>
        <v>2.4977555399683311</v>
      </c>
      <c r="P286" s="15">
        <f t="shared" ca="1" si="59"/>
        <v>2.4977555271465692</v>
      </c>
      <c r="Q286" s="15">
        <v>0</v>
      </c>
      <c r="R286" s="15">
        <f t="shared" ca="1" si="52"/>
        <v>2.4977555271465692</v>
      </c>
      <c r="S286" s="15">
        <f t="shared" ca="1" si="61"/>
        <v>9.9699119872454123</v>
      </c>
      <c r="T286" s="15">
        <f t="shared" ca="1" si="53"/>
        <v>2.1363594436266675E-3</v>
      </c>
      <c r="U286" s="15">
        <f t="shared" ca="1" si="54"/>
        <v>9.9720483466890393</v>
      </c>
      <c r="V286" s="15">
        <f t="shared" ca="1" si="55"/>
        <v>9.9720483436184111</v>
      </c>
      <c r="X286" s="15">
        <f t="shared" si="56"/>
        <v>10.5</v>
      </c>
      <c r="Y286" s="15">
        <f t="shared" si="57"/>
        <v>9.5</v>
      </c>
      <c r="Z286" s="15">
        <f t="shared" ca="1" si="58"/>
        <v>1</v>
      </c>
    </row>
    <row r="287" spans="12:26" x14ac:dyDescent="0.3">
      <c r="L287" s="15">
        <v>285</v>
      </c>
      <c r="M287" s="15">
        <f t="shared" si="50"/>
        <v>10</v>
      </c>
      <c r="N287" s="15">
        <f t="shared" ca="1" si="51"/>
        <v>2.7168763342119817E-2</v>
      </c>
      <c r="O287" s="15">
        <f t="shared" ca="1" si="60"/>
        <v>2.5017002288776662</v>
      </c>
      <c r="P287" s="15">
        <f t="shared" ca="1" si="59"/>
        <v>2.501700213761465</v>
      </c>
      <c r="Q287" s="15">
        <v>0</v>
      </c>
      <c r="R287" s="15">
        <f t="shared" ca="1" si="52"/>
        <v>2.501700213761465</v>
      </c>
      <c r="S287" s="15">
        <f t="shared" ca="1" si="61"/>
        <v>9.9703186009011571</v>
      </c>
      <c r="T287" s="15">
        <f t="shared" ca="1" si="53"/>
        <v>2.5126359560731816E-3</v>
      </c>
      <c r="U287" s="15">
        <f t="shared" ca="1" si="54"/>
        <v>9.9728312368572301</v>
      </c>
      <c r="V287" s="15">
        <f t="shared" ca="1" si="55"/>
        <v>9.9728312366578802</v>
      </c>
      <c r="X287" s="15">
        <f t="shared" si="56"/>
        <v>10.5</v>
      </c>
      <c r="Y287" s="15">
        <f t="shared" si="57"/>
        <v>9.5</v>
      </c>
      <c r="Z287" s="15">
        <f t="shared" ca="1" si="58"/>
        <v>1</v>
      </c>
    </row>
    <row r="288" spans="12:26" x14ac:dyDescent="0.3">
      <c r="L288" s="15">
        <v>286</v>
      </c>
      <c r="M288" s="15">
        <f t="shared" si="50"/>
        <v>10</v>
      </c>
      <c r="N288" s="15">
        <f t="shared" ca="1" si="51"/>
        <v>2.2501486824477723E-2</v>
      </c>
      <c r="O288" s="15">
        <f t="shared" ca="1" si="60"/>
        <v>2.5017002288776662</v>
      </c>
      <c r="P288" s="15">
        <f t="shared" ca="1" si="59"/>
        <v>2.501700213761465</v>
      </c>
      <c r="Q288" s="15">
        <v>0</v>
      </c>
      <c r="R288" s="15">
        <f t="shared" ca="1" si="52"/>
        <v>2.501700213761465</v>
      </c>
      <c r="S288" s="15">
        <f t="shared" ca="1" si="61"/>
        <v>9.9707559694915613</v>
      </c>
      <c r="T288" s="15">
        <f t="shared" ca="1" si="53"/>
        <v>6.74254897926328E-3</v>
      </c>
      <c r="U288" s="15">
        <f t="shared" ca="1" si="54"/>
        <v>9.9774985184708243</v>
      </c>
      <c r="V288" s="15">
        <f t="shared" ca="1" si="55"/>
        <v>9.9774985131755223</v>
      </c>
      <c r="X288" s="15">
        <f t="shared" si="56"/>
        <v>10.5</v>
      </c>
      <c r="Y288" s="15">
        <f t="shared" si="57"/>
        <v>9.5</v>
      </c>
      <c r="Z288" s="15">
        <f t="shared" ca="1" si="58"/>
        <v>1</v>
      </c>
    </row>
    <row r="289" spans="12:26" x14ac:dyDescent="0.3">
      <c r="L289" s="15">
        <v>287</v>
      </c>
      <c r="M289" s="15">
        <f t="shared" si="50"/>
        <v>10</v>
      </c>
      <c r="N289" s="15">
        <f t="shared" ca="1" si="51"/>
        <v>2.5499297777539454E-2</v>
      </c>
      <c r="O289" s="15">
        <f t="shared" ca="1" si="60"/>
        <v>2.5017002288776662</v>
      </c>
      <c r="P289" s="15">
        <f t="shared" ca="1" si="59"/>
        <v>2.501700213761465</v>
      </c>
      <c r="Q289" s="15">
        <v>0</v>
      </c>
      <c r="R289" s="15">
        <f t="shared" ca="1" si="52"/>
        <v>2.501700213761465</v>
      </c>
      <c r="S289" s="15">
        <f t="shared" ca="1" si="61"/>
        <v>9.9712183392041958</v>
      </c>
      <c r="T289" s="15">
        <f t="shared" ca="1" si="53"/>
        <v>3.2823785071069578E-3</v>
      </c>
      <c r="U289" s="15">
        <f t="shared" ca="1" si="54"/>
        <v>9.9745007177113028</v>
      </c>
      <c r="V289" s="15">
        <f t="shared" ca="1" si="55"/>
        <v>9.9745007022224605</v>
      </c>
      <c r="X289" s="15">
        <f t="shared" si="56"/>
        <v>10.5</v>
      </c>
      <c r="Y289" s="15">
        <f t="shared" si="57"/>
        <v>9.5</v>
      </c>
      <c r="Z289" s="15">
        <f t="shared" ca="1" si="58"/>
        <v>1</v>
      </c>
    </row>
    <row r="290" spans="12:26" x14ac:dyDescent="0.3">
      <c r="L290" s="15">
        <v>288</v>
      </c>
      <c r="M290" s="15">
        <f t="shared" si="50"/>
        <v>10</v>
      </c>
      <c r="N290" s="15">
        <f t="shared" ca="1" si="51"/>
        <v>2.3280584724451714E-2</v>
      </c>
      <c r="O290" s="15">
        <f t="shared" ca="1" si="60"/>
        <v>2.4961461095058333</v>
      </c>
      <c r="P290" s="15">
        <f t="shared" ca="1" si="59"/>
        <v>2.4961461086050014</v>
      </c>
      <c r="Q290" s="15">
        <v>0</v>
      </c>
      <c r="R290" s="15">
        <f t="shared" ca="1" si="52"/>
        <v>2.4961461086050014</v>
      </c>
      <c r="S290" s="15">
        <f t="shared" ca="1" si="61"/>
        <v>9.9716605663390059</v>
      </c>
      <c r="T290" s="15">
        <f t="shared" ca="1" si="53"/>
        <v>5.0588551001096828E-3</v>
      </c>
      <c r="U290" s="15">
        <f t="shared" ca="1" si="54"/>
        <v>9.9767194214391157</v>
      </c>
      <c r="V290" s="15">
        <f t="shared" ca="1" si="55"/>
        <v>9.9767194152755483</v>
      </c>
      <c r="X290" s="15">
        <f t="shared" si="56"/>
        <v>10.5</v>
      </c>
      <c r="Y290" s="15">
        <f t="shared" si="57"/>
        <v>9.5</v>
      </c>
      <c r="Z290" s="15">
        <f t="shared" ca="1" si="58"/>
        <v>1</v>
      </c>
    </row>
    <row r="291" spans="12:26" x14ac:dyDescent="0.3">
      <c r="L291" s="15">
        <v>289</v>
      </c>
      <c r="M291" s="15">
        <f t="shared" si="50"/>
        <v>10</v>
      </c>
      <c r="N291" s="15">
        <f t="shared" ca="1" si="51"/>
        <v>2.6223703759308492E-2</v>
      </c>
      <c r="O291" s="15">
        <f t="shared" ca="1" si="60"/>
        <v>2.4961461095058333</v>
      </c>
      <c r="P291" s="15">
        <f t="shared" ca="1" si="59"/>
        <v>2.4961461086050014</v>
      </c>
      <c r="Q291" s="15">
        <v>0</v>
      </c>
      <c r="R291" s="15">
        <f t="shared" ca="1" si="52"/>
        <v>2.4961461086050014</v>
      </c>
      <c r="S291" s="15">
        <f t="shared" ca="1" si="61"/>
        <v>9.9720450930424054</v>
      </c>
      <c r="T291" s="15">
        <f t="shared" ca="1" si="53"/>
        <v>1.7312127574766801E-3</v>
      </c>
      <c r="U291" s="15">
        <f t="shared" ca="1" si="54"/>
        <v>9.9737763057998823</v>
      </c>
      <c r="V291" s="15">
        <f t="shared" ca="1" si="55"/>
        <v>9.9737762962406915</v>
      </c>
      <c r="X291" s="15">
        <f t="shared" si="56"/>
        <v>10.5</v>
      </c>
      <c r="Y291" s="15">
        <f t="shared" si="57"/>
        <v>9.5</v>
      </c>
      <c r="Z291" s="15">
        <f t="shared" ca="1" si="58"/>
        <v>1</v>
      </c>
    </row>
    <row r="292" spans="12:26" x14ac:dyDescent="0.3">
      <c r="L292" s="15">
        <v>290</v>
      </c>
      <c r="M292" s="15">
        <f t="shared" si="50"/>
        <v>10</v>
      </c>
      <c r="N292" s="15">
        <f t="shared" ca="1" si="51"/>
        <v>2.2738368721384461E-2</v>
      </c>
      <c r="O292" s="15">
        <f t="shared" ca="1" si="60"/>
        <v>2.4961461095058333</v>
      </c>
      <c r="P292" s="15">
        <f t="shared" ca="1" si="59"/>
        <v>2.4961461086050014</v>
      </c>
      <c r="Q292" s="15">
        <v>0</v>
      </c>
      <c r="R292" s="15">
        <f t="shared" ca="1" si="52"/>
        <v>2.4961461086050014</v>
      </c>
      <c r="S292" s="15">
        <f t="shared" ca="1" si="61"/>
        <v>9.9723776171876715</v>
      </c>
      <c r="T292" s="15">
        <f t="shared" ca="1" si="53"/>
        <v>4.8840277119415179E-3</v>
      </c>
      <c r="U292" s="15">
        <f t="shared" ca="1" si="54"/>
        <v>9.9772616448996132</v>
      </c>
      <c r="V292" s="15">
        <f t="shared" ca="1" si="55"/>
        <v>9.9772616312786155</v>
      </c>
      <c r="X292" s="15">
        <f t="shared" si="56"/>
        <v>10.5</v>
      </c>
      <c r="Y292" s="15">
        <f t="shared" si="57"/>
        <v>9.5</v>
      </c>
      <c r="Z292" s="15">
        <f t="shared" ca="1" si="58"/>
        <v>1</v>
      </c>
    </row>
    <row r="293" spans="12:26" x14ac:dyDescent="0.3">
      <c r="L293" s="15">
        <v>291</v>
      </c>
      <c r="M293" s="15">
        <f t="shared" si="50"/>
        <v>10</v>
      </c>
      <c r="N293" s="15">
        <f t="shared" ca="1" si="51"/>
        <v>1.9402580805914837E-2</v>
      </c>
      <c r="O293" s="15">
        <f t="shared" ca="1" si="60"/>
        <v>2.495873244699728</v>
      </c>
      <c r="P293" s="15">
        <f t="shared" ca="1" si="59"/>
        <v>2.4958732310905756</v>
      </c>
      <c r="Q293" s="15">
        <v>0</v>
      </c>
      <c r="R293" s="15">
        <f t="shared" ca="1" si="52"/>
        <v>2.4958732310905756</v>
      </c>
      <c r="S293" s="15">
        <f t="shared" ca="1" si="61"/>
        <v>9.9727126728118236</v>
      </c>
      <c r="T293" s="15">
        <f t="shared" ca="1" si="53"/>
        <v>7.8847680302617379E-3</v>
      </c>
      <c r="U293" s="15">
        <f t="shared" ca="1" si="54"/>
        <v>9.9805974408420859</v>
      </c>
      <c r="V293" s="15">
        <f t="shared" ca="1" si="55"/>
        <v>9.9805974191940852</v>
      </c>
      <c r="X293" s="15">
        <f t="shared" si="56"/>
        <v>10.5</v>
      </c>
      <c r="Y293" s="15">
        <f t="shared" si="57"/>
        <v>9.5</v>
      </c>
      <c r="Z293" s="15">
        <f t="shared" ca="1" si="58"/>
        <v>1</v>
      </c>
    </row>
    <row r="294" spans="12:26" x14ac:dyDescent="0.3">
      <c r="L294" s="15">
        <v>292</v>
      </c>
      <c r="M294" s="15">
        <f t="shared" si="50"/>
        <v>10</v>
      </c>
      <c r="N294" s="15">
        <f t="shared" ca="1" si="51"/>
        <v>2.0366103858771467E-2</v>
      </c>
      <c r="O294" s="15">
        <f t="shared" ca="1" si="60"/>
        <v>2.495873244699728</v>
      </c>
      <c r="P294" s="15">
        <f t="shared" ca="1" si="59"/>
        <v>2.4958732310905756</v>
      </c>
      <c r="Q294" s="15">
        <v>0</v>
      </c>
      <c r="R294" s="15">
        <f t="shared" ca="1" si="52"/>
        <v>2.4958732310905756</v>
      </c>
      <c r="S294" s="15">
        <f t="shared" ca="1" si="61"/>
        <v>9.9730956780739</v>
      </c>
      <c r="T294" s="15">
        <f t="shared" ca="1" si="53"/>
        <v>6.5382285036542087E-3</v>
      </c>
      <c r="U294" s="15">
        <f t="shared" ca="1" si="54"/>
        <v>9.9796339065775541</v>
      </c>
      <c r="V294" s="15">
        <f t="shared" ca="1" si="55"/>
        <v>9.9796338961412285</v>
      </c>
      <c r="X294" s="15">
        <f t="shared" si="56"/>
        <v>10.5</v>
      </c>
      <c r="Y294" s="15">
        <f t="shared" si="57"/>
        <v>9.5</v>
      </c>
      <c r="Z294" s="15">
        <f t="shared" ca="1" si="58"/>
        <v>1</v>
      </c>
    </row>
    <row r="295" spans="12:26" x14ac:dyDescent="0.3">
      <c r="L295" s="15">
        <v>293</v>
      </c>
      <c r="M295" s="15">
        <f t="shared" si="50"/>
        <v>10</v>
      </c>
      <c r="N295" s="15">
        <f t="shared" ca="1" si="51"/>
        <v>2.2392382384834875E-2</v>
      </c>
      <c r="O295" s="15">
        <f t="shared" ca="1" si="60"/>
        <v>2.495873244699728</v>
      </c>
      <c r="P295" s="15">
        <f t="shared" ca="1" si="59"/>
        <v>2.4958732310905756</v>
      </c>
      <c r="Q295" s="15">
        <v>0</v>
      </c>
      <c r="R295" s="15">
        <f t="shared" ca="1" si="52"/>
        <v>2.4958732310905756</v>
      </c>
      <c r="S295" s="15">
        <f t="shared" ca="1" si="61"/>
        <v>9.9735189264674702</v>
      </c>
      <c r="T295" s="15">
        <f t="shared" ca="1" si="53"/>
        <v>4.0886933558750074E-3</v>
      </c>
      <c r="U295" s="15">
        <f t="shared" ca="1" si="54"/>
        <v>9.9776076198233454</v>
      </c>
      <c r="V295" s="15">
        <f t="shared" ca="1" si="55"/>
        <v>9.9776076176151651</v>
      </c>
      <c r="X295" s="15">
        <f t="shared" si="56"/>
        <v>10.5</v>
      </c>
      <c r="Y295" s="15">
        <f t="shared" si="57"/>
        <v>9.5</v>
      </c>
      <c r="Z295" s="15">
        <f t="shared" ca="1" si="58"/>
        <v>1</v>
      </c>
    </row>
    <row r="296" spans="12:26" x14ac:dyDescent="0.3">
      <c r="L296" s="15">
        <v>294</v>
      </c>
      <c r="M296" s="15">
        <f t="shared" si="50"/>
        <v>10</v>
      </c>
      <c r="N296" s="15">
        <f t="shared" ca="1" si="51"/>
        <v>2.5456619920547041E-2</v>
      </c>
      <c r="O296" s="15">
        <f t="shared" ca="1" si="60"/>
        <v>2.5033626333492136</v>
      </c>
      <c r="P296" s="15">
        <f t="shared" ca="1" si="59"/>
        <v>2.5033626245575404</v>
      </c>
      <c r="Q296" s="15">
        <v>0</v>
      </c>
      <c r="R296" s="15">
        <f t="shared" ca="1" si="52"/>
        <v>2.5033626245575404</v>
      </c>
      <c r="S296" s="15">
        <f t="shared" ca="1" si="61"/>
        <v>9.9739244724579557</v>
      </c>
      <c r="T296" s="15">
        <f t="shared" ca="1" si="53"/>
        <v>6.1891549402981808E-4</v>
      </c>
      <c r="U296" s="15">
        <f t="shared" ca="1" si="54"/>
        <v>9.9745433879519858</v>
      </c>
      <c r="V296" s="15">
        <f t="shared" ca="1" si="55"/>
        <v>9.974543380079453</v>
      </c>
      <c r="X296" s="15">
        <f t="shared" si="56"/>
        <v>10.5</v>
      </c>
      <c r="Y296" s="15">
        <f t="shared" si="57"/>
        <v>9.5</v>
      </c>
      <c r="Z296" s="15">
        <f t="shared" ca="1" si="58"/>
        <v>1</v>
      </c>
    </row>
    <row r="297" spans="12:26" x14ac:dyDescent="0.3">
      <c r="L297" s="15">
        <v>295</v>
      </c>
      <c r="M297" s="15">
        <f t="shared" si="50"/>
        <v>10</v>
      </c>
      <c r="N297" s="15">
        <f t="shared" ca="1" si="51"/>
        <v>1.7997657418716173E-2</v>
      </c>
      <c r="O297" s="15">
        <f t="shared" ca="1" si="60"/>
        <v>2.5033626333492136</v>
      </c>
      <c r="P297" s="15">
        <f t="shared" ca="1" si="59"/>
        <v>2.5033626245575404</v>
      </c>
      <c r="Q297" s="15">
        <v>0</v>
      </c>
      <c r="R297" s="15">
        <f t="shared" ca="1" si="52"/>
        <v>2.5033626245575404</v>
      </c>
      <c r="S297" s="15">
        <f t="shared" ca="1" si="61"/>
        <v>9.9742640591429517</v>
      </c>
      <c r="T297" s="15">
        <f t="shared" ca="1" si="53"/>
        <v>7.7382949568550645E-3</v>
      </c>
      <c r="U297" s="15">
        <f t="shared" ca="1" si="54"/>
        <v>9.9820023540998069</v>
      </c>
      <c r="V297" s="15">
        <f t="shared" ca="1" si="55"/>
        <v>9.9820023425812838</v>
      </c>
      <c r="X297" s="15">
        <f t="shared" si="56"/>
        <v>10.5</v>
      </c>
      <c r="Y297" s="15">
        <f t="shared" si="57"/>
        <v>9.5</v>
      </c>
      <c r="Z297" s="15">
        <f t="shared" ca="1" si="58"/>
        <v>1</v>
      </c>
    </row>
    <row r="298" spans="12:26" x14ac:dyDescent="0.3">
      <c r="L298" s="15">
        <v>296</v>
      </c>
      <c r="M298" s="15">
        <f t="shared" si="50"/>
        <v>10</v>
      </c>
      <c r="N298" s="15">
        <f t="shared" ca="1" si="51"/>
        <v>1.8941366583792529E-2</v>
      </c>
      <c r="O298" s="15">
        <f t="shared" ca="1" si="60"/>
        <v>2.5033626333492136</v>
      </c>
      <c r="P298" s="15">
        <f t="shared" ca="1" si="59"/>
        <v>2.5033626245575404</v>
      </c>
      <c r="Q298" s="15">
        <v>0</v>
      </c>
      <c r="R298" s="15">
        <f t="shared" ca="1" si="52"/>
        <v>2.5033626245575404</v>
      </c>
      <c r="S298" s="15">
        <f t="shared" ca="1" si="61"/>
        <v>9.9745446228243413</v>
      </c>
      <c r="T298" s="15">
        <f t="shared" ca="1" si="53"/>
        <v>6.514024874504103E-3</v>
      </c>
      <c r="U298" s="15">
        <f t="shared" ca="1" si="54"/>
        <v>9.9810586476988448</v>
      </c>
      <c r="V298" s="15">
        <f t="shared" ca="1" si="55"/>
        <v>9.9810586334162075</v>
      </c>
      <c r="X298" s="15">
        <f t="shared" si="56"/>
        <v>10.5</v>
      </c>
      <c r="Y298" s="15">
        <f t="shared" si="57"/>
        <v>9.5</v>
      </c>
      <c r="Z298" s="15">
        <f t="shared" ca="1" si="58"/>
        <v>1</v>
      </c>
    </row>
    <row r="299" spans="12:26" x14ac:dyDescent="0.3">
      <c r="L299" s="15">
        <v>297</v>
      </c>
      <c r="M299" s="15">
        <f t="shared" si="50"/>
        <v>10</v>
      </c>
      <c r="N299" s="15">
        <f t="shared" ca="1" si="51"/>
        <v>1.7241842583111122E-2</v>
      </c>
      <c r="O299" s="15">
        <f t="shared" ca="1" si="60"/>
        <v>2.4937419048254519</v>
      </c>
      <c r="P299" s="15">
        <f t="shared" ca="1" si="59"/>
        <v>2.493741899378072</v>
      </c>
      <c r="Q299" s="15">
        <v>0</v>
      </c>
      <c r="R299" s="15">
        <f t="shared" ca="1" si="52"/>
        <v>2.493741899378072</v>
      </c>
      <c r="S299" s="15">
        <f t="shared" ca="1" si="61"/>
        <v>9.9748206233522847</v>
      </c>
      <c r="T299" s="15">
        <f t="shared" ca="1" si="53"/>
        <v>7.9375511424199449E-3</v>
      </c>
      <c r="U299" s="15">
        <f t="shared" ca="1" si="54"/>
        <v>9.9827581744947054</v>
      </c>
      <c r="V299" s="15">
        <f t="shared" ca="1" si="55"/>
        <v>9.9827581574168889</v>
      </c>
      <c r="X299" s="15">
        <f t="shared" si="56"/>
        <v>10.5</v>
      </c>
      <c r="Y299" s="15">
        <f t="shared" si="57"/>
        <v>9.5</v>
      </c>
      <c r="Z299" s="15">
        <f t="shared" ca="1" si="58"/>
        <v>1</v>
      </c>
    </row>
    <row r="300" spans="12:26" x14ac:dyDescent="0.3">
      <c r="L300" s="15">
        <v>298</v>
      </c>
      <c r="M300" s="15">
        <f t="shared" si="50"/>
        <v>10</v>
      </c>
      <c r="N300" s="15">
        <f t="shared" ca="1" si="51"/>
        <v>1.5178264587927259E-2</v>
      </c>
      <c r="O300" s="15">
        <f t="shared" ca="1" si="60"/>
        <v>2.4937419048254519</v>
      </c>
      <c r="P300" s="15">
        <f t="shared" ca="1" si="59"/>
        <v>2.493741899378072</v>
      </c>
      <c r="Q300" s="15">
        <v>0</v>
      </c>
      <c r="R300" s="15">
        <f t="shared" ca="1" si="52"/>
        <v>2.493741899378072</v>
      </c>
      <c r="S300" s="15">
        <f t="shared" ca="1" si="61"/>
        <v>9.9751374965538773</v>
      </c>
      <c r="T300" s="15">
        <f t="shared" ca="1" si="53"/>
        <v>9.6842441472662164E-3</v>
      </c>
      <c r="U300" s="15">
        <f t="shared" ca="1" si="54"/>
        <v>9.9848217407011433</v>
      </c>
      <c r="V300" s="15">
        <f t="shared" ca="1" si="55"/>
        <v>9.9848217354120727</v>
      </c>
      <c r="X300" s="15">
        <f t="shared" si="56"/>
        <v>10.5</v>
      </c>
      <c r="Y300" s="15">
        <f t="shared" si="57"/>
        <v>9.5</v>
      </c>
      <c r="Z300" s="15">
        <f t="shared" ca="1" si="58"/>
        <v>1</v>
      </c>
    </row>
    <row r="301" spans="12:26" x14ac:dyDescent="0.3">
      <c r="L301" s="15">
        <v>299</v>
      </c>
      <c r="M301" s="15">
        <f t="shared" si="50"/>
        <v>10</v>
      </c>
      <c r="N301" s="15">
        <f t="shared" ca="1" si="51"/>
        <v>1.5787698797831595E-2</v>
      </c>
      <c r="O301" s="15">
        <f t="shared" ca="1" si="60"/>
        <v>2.4937419048254519</v>
      </c>
      <c r="P301" s="15">
        <f t="shared" ca="1" si="59"/>
        <v>2.493741899378072</v>
      </c>
      <c r="Q301" s="15">
        <v>0</v>
      </c>
      <c r="R301" s="15">
        <f t="shared" ca="1" si="52"/>
        <v>2.493741899378072</v>
      </c>
      <c r="S301" s="15">
        <f t="shared" ca="1" si="61"/>
        <v>9.9754887139582831</v>
      </c>
      <c r="T301" s="15">
        <f t="shared" ca="1" si="53"/>
        <v>8.7236031018738756E-3</v>
      </c>
      <c r="U301" s="15">
        <f t="shared" ca="1" si="54"/>
        <v>9.9842123170601571</v>
      </c>
      <c r="V301" s="15">
        <f t="shared" ca="1" si="55"/>
        <v>9.9842123012021684</v>
      </c>
      <c r="X301" s="15">
        <f t="shared" si="56"/>
        <v>10.5</v>
      </c>
      <c r="Y301" s="15">
        <f t="shared" si="57"/>
        <v>9.5</v>
      </c>
      <c r="Z301" s="15">
        <f t="shared" ca="1" si="58"/>
        <v>1</v>
      </c>
    </row>
    <row r="302" spans="12:26" x14ac:dyDescent="0.3">
      <c r="L302" s="15">
        <v>300</v>
      </c>
      <c r="M302" s="15">
        <f t="shared" si="50"/>
        <v>10</v>
      </c>
      <c r="N302" s="15">
        <f t="shared" ca="1" si="51"/>
        <v>2.2920372435571323E-2</v>
      </c>
      <c r="O302" s="15">
        <f t="shared" ca="1" si="60"/>
        <v>2.5034943444421067</v>
      </c>
      <c r="P302" s="15">
        <f t="shared" ca="1" si="59"/>
        <v>2.5034943368526861</v>
      </c>
      <c r="Q302" s="15">
        <f>$H$12*M302</f>
        <v>1</v>
      </c>
      <c r="R302" s="15">
        <f t="shared" ca="1" si="52"/>
        <v>3.5034943368526861</v>
      </c>
      <c r="S302" s="15">
        <f t="shared" ca="1" si="61"/>
        <v>9.9758421295561632</v>
      </c>
      <c r="T302" s="15">
        <f t="shared" ca="1" si="53"/>
        <v>1.2375059787736887E-3</v>
      </c>
      <c r="U302" s="15">
        <f t="shared" ca="1" si="54"/>
        <v>9.9770796355349365</v>
      </c>
      <c r="V302" s="15">
        <f t="shared" ca="1" si="55"/>
        <v>9.9770796275644287</v>
      </c>
      <c r="X302" s="15">
        <f t="shared" si="56"/>
        <v>10.5</v>
      </c>
      <c r="Y302" s="15">
        <f t="shared" si="57"/>
        <v>9.5</v>
      </c>
      <c r="Z302" s="15">
        <f t="shared" ca="1" si="58"/>
        <v>1</v>
      </c>
    </row>
    <row r="303" spans="12:26" x14ac:dyDescent="0.3">
      <c r="L303" s="15">
        <v>301</v>
      </c>
      <c r="M303" s="15">
        <f t="shared" si="50"/>
        <v>10</v>
      </c>
      <c r="N303" s="15">
        <f t="shared" ca="1" si="51"/>
        <v>2.1076446869660259E-2</v>
      </c>
      <c r="O303" s="15">
        <f t="shared" ca="1" si="60"/>
        <v>2.5034943444421067</v>
      </c>
      <c r="P303" s="15">
        <f t="shared" ca="1" si="59"/>
        <v>2.5034943368526861</v>
      </c>
      <c r="Q303" s="15">
        <f t="shared" ref="Q303:Q322" si="62">$H$12*M303</f>
        <v>1</v>
      </c>
      <c r="R303" s="15">
        <f t="shared" ca="1" si="52"/>
        <v>3.5034943368526861</v>
      </c>
      <c r="S303" s="15">
        <f t="shared" ca="1" si="61"/>
        <v>9.9761708321140041</v>
      </c>
      <c r="T303" s="15">
        <f t="shared" ca="1" si="53"/>
        <v>2.752732802638741E-3</v>
      </c>
      <c r="U303" s="15">
        <f t="shared" ca="1" si="54"/>
        <v>9.9789235649166432</v>
      </c>
      <c r="V303" s="15">
        <f t="shared" ca="1" si="55"/>
        <v>9.9789235531303397</v>
      </c>
      <c r="X303" s="15">
        <f t="shared" si="56"/>
        <v>10.5</v>
      </c>
      <c r="Y303" s="15">
        <f t="shared" si="57"/>
        <v>9.5</v>
      </c>
      <c r="Z303" s="15">
        <f t="shared" ca="1" si="58"/>
        <v>1</v>
      </c>
    </row>
    <row r="304" spans="12:26" x14ac:dyDescent="0.3">
      <c r="L304" s="15">
        <v>302</v>
      </c>
      <c r="M304" s="15">
        <f t="shared" si="50"/>
        <v>10</v>
      </c>
      <c r="N304" s="15">
        <f t="shared" ca="1" si="51"/>
        <v>2.2941140928990578E-2</v>
      </c>
      <c r="O304" s="15">
        <f t="shared" ca="1" si="60"/>
        <v>2.5034943444421067</v>
      </c>
      <c r="P304" s="15">
        <f t="shared" ca="1" si="59"/>
        <v>2.5034943368526861</v>
      </c>
      <c r="Q304" s="15">
        <f t="shared" si="62"/>
        <v>1</v>
      </c>
      <c r="R304" s="15">
        <f t="shared" ca="1" si="52"/>
        <v>3.5034943368526861</v>
      </c>
      <c r="S304" s="15">
        <f t="shared" ca="1" si="61"/>
        <v>9.9764765683264809</v>
      </c>
      <c r="T304" s="15">
        <f t="shared" ca="1" si="53"/>
        <v>5.8231391602406649E-4</v>
      </c>
      <c r="U304" s="15">
        <f t="shared" ca="1" si="54"/>
        <v>9.9770588822425044</v>
      </c>
      <c r="V304" s="15">
        <f t="shared" ca="1" si="55"/>
        <v>9.9770588590710094</v>
      </c>
      <c r="X304" s="15">
        <f t="shared" si="56"/>
        <v>10.5</v>
      </c>
      <c r="Y304" s="15">
        <f t="shared" si="57"/>
        <v>9.5</v>
      </c>
      <c r="Z304" s="15">
        <f t="shared" ca="1" si="58"/>
        <v>1</v>
      </c>
    </row>
    <row r="305" spans="12:26" x14ac:dyDescent="0.3">
      <c r="L305" s="15">
        <v>303</v>
      </c>
      <c r="M305" s="15">
        <f t="shared" si="50"/>
        <v>10</v>
      </c>
      <c r="N305" s="15">
        <f t="shared" ca="1" si="51"/>
        <v>1.3892340942726733E-2</v>
      </c>
      <c r="O305" s="15">
        <f t="shared" ca="1" si="60"/>
        <v>2.4934067958793804</v>
      </c>
      <c r="P305" s="15">
        <f t="shared" ca="1" si="59"/>
        <v>2.4934067862325828</v>
      </c>
      <c r="Q305" s="15">
        <f t="shared" si="62"/>
        <v>1</v>
      </c>
      <c r="R305" s="15">
        <f t="shared" ca="1" si="52"/>
        <v>3.4934067862325828</v>
      </c>
      <c r="S305" s="15">
        <f t="shared" ca="1" si="61"/>
        <v>9.9767834872263297</v>
      </c>
      <c r="T305" s="15">
        <f t="shared" ca="1" si="53"/>
        <v>9.3241753030426523E-3</v>
      </c>
      <c r="U305" s="15">
        <f t="shared" ca="1" si="54"/>
        <v>9.9861076625293723</v>
      </c>
      <c r="V305" s="15">
        <f t="shared" ca="1" si="55"/>
        <v>9.9861076590572733</v>
      </c>
      <c r="X305" s="15">
        <f t="shared" si="56"/>
        <v>10.5</v>
      </c>
      <c r="Y305" s="15">
        <f t="shared" si="57"/>
        <v>9.5</v>
      </c>
      <c r="Z305" s="15">
        <f t="shared" ca="1" si="58"/>
        <v>1</v>
      </c>
    </row>
    <row r="306" spans="12:26" x14ac:dyDescent="0.3">
      <c r="L306" s="15">
        <v>304</v>
      </c>
      <c r="M306" s="15">
        <f t="shared" si="50"/>
        <v>10</v>
      </c>
      <c r="N306" s="15">
        <f t="shared" ca="1" si="51"/>
        <v>1.7270084940193442E-2</v>
      </c>
      <c r="O306" s="15">
        <f t="shared" ca="1" si="60"/>
        <v>2.4934067958793804</v>
      </c>
      <c r="P306" s="15">
        <f t="shared" ca="1" si="59"/>
        <v>2.4934067862325828</v>
      </c>
      <c r="Q306" s="15">
        <f t="shared" si="62"/>
        <v>1</v>
      </c>
      <c r="R306" s="15">
        <f t="shared" ca="1" si="52"/>
        <v>3.4934067862325828</v>
      </c>
      <c r="S306" s="15">
        <f t="shared" ca="1" si="61"/>
        <v>9.9771116708443621</v>
      </c>
      <c r="T306" s="15">
        <f t="shared" ca="1" si="53"/>
        <v>5.6182656914979083E-3</v>
      </c>
      <c r="U306" s="15">
        <f t="shared" ca="1" si="54"/>
        <v>9.9827299365358595</v>
      </c>
      <c r="V306" s="15">
        <f t="shared" ca="1" si="55"/>
        <v>9.9827299150598066</v>
      </c>
      <c r="X306" s="15">
        <f t="shared" si="56"/>
        <v>10.5</v>
      </c>
      <c r="Y306" s="15">
        <f t="shared" si="57"/>
        <v>9.5</v>
      </c>
      <c r="Z306" s="15">
        <f t="shared" ca="1" si="58"/>
        <v>1</v>
      </c>
    </row>
    <row r="307" spans="12:26" x14ac:dyDescent="0.3">
      <c r="L307" s="15">
        <v>305</v>
      </c>
      <c r="M307" s="15">
        <f t="shared" si="50"/>
        <v>10</v>
      </c>
      <c r="N307" s="15">
        <f t="shared" ca="1" si="51"/>
        <v>2.0543660507664541E-2</v>
      </c>
      <c r="O307" s="15">
        <f t="shared" ca="1" si="60"/>
        <v>2.4934067958793804</v>
      </c>
      <c r="P307" s="15">
        <f t="shared" ca="1" si="59"/>
        <v>2.4934067862325828</v>
      </c>
      <c r="Q307" s="15">
        <f t="shared" si="62"/>
        <v>1</v>
      </c>
      <c r="R307" s="15">
        <f t="shared" ca="1" si="52"/>
        <v>3.4934067862325828</v>
      </c>
      <c r="S307" s="15">
        <f t="shared" ca="1" si="61"/>
        <v>9.9774570318297862</v>
      </c>
      <c r="T307" s="15">
        <f t="shared" ca="1" si="53"/>
        <v>1.9993270076839333E-3</v>
      </c>
      <c r="U307" s="15">
        <f t="shared" ca="1" si="54"/>
        <v>9.9794563588374707</v>
      </c>
      <c r="V307" s="15">
        <f t="shared" ca="1" si="55"/>
        <v>9.9794563394923355</v>
      </c>
      <c r="X307" s="15">
        <f t="shared" si="56"/>
        <v>10.5</v>
      </c>
      <c r="Y307" s="15">
        <f t="shared" si="57"/>
        <v>9.5</v>
      </c>
      <c r="Z307" s="15">
        <f t="shared" ca="1" si="58"/>
        <v>1</v>
      </c>
    </row>
    <row r="308" spans="12:26" x14ac:dyDescent="0.3">
      <c r="L308" s="15">
        <v>306</v>
      </c>
      <c r="M308" s="15">
        <f t="shared" si="50"/>
        <v>10</v>
      </c>
      <c r="N308" s="15">
        <f t="shared" ca="1" si="51"/>
        <v>1.5104247726290154E-2</v>
      </c>
      <c r="O308" s="15">
        <f t="shared" ca="1" si="60"/>
        <v>2.5000535958459262</v>
      </c>
      <c r="P308" s="15">
        <f t="shared" ca="1" si="59"/>
        <v>2.5000535888830324</v>
      </c>
      <c r="Q308" s="15">
        <f t="shared" si="62"/>
        <v>1</v>
      </c>
      <c r="R308" s="15">
        <f t="shared" ca="1" si="52"/>
        <v>3.5000535888830324</v>
      </c>
      <c r="S308" s="15">
        <f t="shared" ca="1" si="61"/>
        <v>9.9778500528254561</v>
      </c>
      <c r="T308" s="15">
        <f t="shared" ca="1" si="53"/>
        <v>7.0457063074165806E-3</v>
      </c>
      <c r="U308" s="15">
        <f t="shared" ca="1" si="54"/>
        <v>9.984895759132872</v>
      </c>
      <c r="V308" s="15">
        <f t="shared" ca="1" si="55"/>
        <v>9.9848957522737098</v>
      </c>
      <c r="X308" s="15">
        <f t="shared" si="56"/>
        <v>10.5</v>
      </c>
      <c r="Y308" s="15">
        <f t="shared" si="57"/>
        <v>9.5</v>
      </c>
      <c r="Z308" s="15">
        <f t="shared" ca="1" si="58"/>
        <v>1</v>
      </c>
    </row>
    <row r="309" spans="12:26" x14ac:dyDescent="0.3">
      <c r="L309" s="15">
        <v>307</v>
      </c>
      <c r="M309" s="15">
        <f t="shared" si="50"/>
        <v>10</v>
      </c>
      <c r="N309" s="15">
        <f t="shared" ca="1" si="51"/>
        <v>1.836478477771486E-2</v>
      </c>
      <c r="O309" s="15">
        <f t="shared" ca="1" si="60"/>
        <v>2.5000535958459262</v>
      </c>
      <c r="P309" s="15">
        <f t="shared" ca="1" si="59"/>
        <v>2.5000535888830324</v>
      </c>
      <c r="Q309" s="15">
        <f>$H$12*M309</f>
        <v>1</v>
      </c>
      <c r="R309" s="15">
        <f t="shared" ca="1" si="52"/>
        <v>3.5000535888830324</v>
      </c>
      <c r="S309" s="15">
        <f t="shared" ca="1" si="61"/>
        <v>9.9783156358685172</v>
      </c>
      <c r="T309" s="15">
        <f t="shared" ca="1" si="53"/>
        <v>3.3195952622801471E-3</v>
      </c>
      <c r="U309" s="15">
        <f t="shared" ca="1" si="54"/>
        <v>9.981635231130797</v>
      </c>
      <c r="V309" s="15">
        <f t="shared" ca="1" si="55"/>
        <v>9.9816352152222851</v>
      </c>
      <c r="X309" s="15">
        <f t="shared" si="56"/>
        <v>10.5</v>
      </c>
      <c r="Y309" s="15">
        <f t="shared" si="57"/>
        <v>9.5</v>
      </c>
      <c r="Z309" s="15">
        <f t="shared" ca="1" si="58"/>
        <v>1</v>
      </c>
    </row>
    <row r="310" spans="12:26" x14ac:dyDescent="0.3">
      <c r="L310" s="15">
        <v>308</v>
      </c>
      <c r="M310" s="15">
        <f t="shared" si="50"/>
        <v>10</v>
      </c>
      <c r="N310" s="15">
        <f t="shared" ca="1" si="51"/>
        <v>1.17529067238209E-2</v>
      </c>
      <c r="O310" s="15">
        <f t="shared" ca="1" si="60"/>
        <v>2.5000535958459262</v>
      </c>
      <c r="P310" s="15">
        <f t="shared" ca="1" si="59"/>
        <v>2.5000535888830324</v>
      </c>
      <c r="Q310" s="15">
        <f t="shared" si="62"/>
        <v>1</v>
      </c>
      <c r="R310" s="15">
        <f t="shared" ca="1" si="52"/>
        <v>3.5000535888830324</v>
      </c>
      <c r="S310" s="15">
        <f t="shared" ca="1" si="61"/>
        <v>9.9788426009757565</v>
      </c>
      <c r="T310" s="15">
        <f t="shared" ca="1" si="53"/>
        <v>9.4045086935585914E-3</v>
      </c>
      <c r="U310" s="15">
        <f t="shared" ca="1" si="54"/>
        <v>9.9882471096693148</v>
      </c>
      <c r="V310" s="15">
        <f t="shared" ca="1" si="55"/>
        <v>9.9882470932761791</v>
      </c>
      <c r="X310" s="15">
        <f t="shared" si="56"/>
        <v>10.5</v>
      </c>
      <c r="Y310" s="15">
        <f t="shared" si="57"/>
        <v>9.5</v>
      </c>
      <c r="Z310" s="15">
        <f t="shared" ca="1" si="58"/>
        <v>1</v>
      </c>
    </row>
    <row r="311" spans="12:26" x14ac:dyDescent="0.3">
      <c r="L311" s="15">
        <v>309</v>
      </c>
      <c r="M311" s="15">
        <f t="shared" si="50"/>
        <v>10</v>
      </c>
      <c r="N311" s="15">
        <f t="shared" ca="1" si="51"/>
        <v>1.5392538629331654E-2</v>
      </c>
      <c r="O311" s="15">
        <f t="shared" ca="1" si="60"/>
        <v>2.4998507416734701</v>
      </c>
      <c r="P311" s="15">
        <f t="shared" ca="1" si="59"/>
        <v>2.4998507235431693</v>
      </c>
      <c r="Q311" s="15">
        <f t="shared" si="62"/>
        <v>1</v>
      </c>
      <c r="R311" s="15">
        <f t="shared" ca="1" si="52"/>
        <v>3.4998507235431693</v>
      </c>
      <c r="S311" s="15">
        <f t="shared" ca="1" si="61"/>
        <v>9.9793728814726226</v>
      </c>
      <c r="T311" s="15">
        <f t="shared" ca="1" si="53"/>
        <v>5.2345928813188093E-3</v>
      </c>
      <c r="U311" s="15">
        <f t="shared" ca="1" si="54"/>
        <v>9.9846074743539415</v>
      </c>
      <c r="V311" s="15">
        <f t="shared" ca="1" si="55"/>
        <v>9.9846074613706683</v>
      </c>
      <c r="X311" s="15">
        <f t="shared" si="56"/>
        <v>10.5</v>
      </c>
      <c r="Y311" s="15">
        <f t="shared" si="57"/>
        <v>9.5</v>
      </c>
      <c r="Z311" s="15">
        <f t="shared" ca="1" si="58"/>
        <v>1</v>
      </c>
    </row>
    <row r="312" spans="12:26" x14ac:dyDescent="0.3">
      <c r="L312" s="15">
        <v>310</v>
      </c>
      <c r="M312" s="15">
        <f t="shared" si="50"/>
        <v>10</v>
      </c>
      <c r="N312" s="15">
        <f t="shared" ca="1" si="51"/>
        <v>1.9685376905762553E-2</v>
      </c>
      <c r="O312" s="15">
        <f t="shared" ca="1" si="60"/>
        <v>2.4998507416734701</v>
      </c>
      <c r="P312" s="15">
        <f t="shared" ca="1" si="59"/>
        <v>2.4998507235431693</v>
      </c>
      <c r="Q312" s="15">
        <f t="shared" si="62"/>
        <v>1</v>
      </c>
      <c r="R312" s="15">
        <f t="shared" ca="1" si="52"/>
        <v>3.4998507235431693</v>
      </c>
      <c r="S312" s="15">
        <f t="shared" ca="1" si="61"/>
        <v>9.9798578930366233</v>
      </c>
      <c r="T312" s="15">
        <f t="shared" ca="1" si="53"/>
        <v>4.56745646186868E-4</v>
      </c>
      <c r="U312" s="15">
        <f t="shared" ca="1" si="54"/>
        <v>9.9803146386828097</v>
      </c>
      <c r="V312" s="15">
        <f t="shared" ca="1" si="55"/>
        <v>9.9803146230942374</v>
      </c>
      <c r="X312" s="15">
        <f t="shared" si="56"/>
        <v>10.5</v>
      </c>
      <c r="Y312" s="15">
        <f t="shared" si="57"/>
        <v>9.5</v>
      </c>
      <c r="Z312" s="15">
        <f t="shared" ca="1" si="58"/>
        <v>1</v>
      </c>
    </row>
    <row r="313" spans="12:26" x14ac:dyDescent="0.3">
      <c r="L313" s="15">
        <v>311</v>
      </c>
      <c r="M313" s="15">
        <f t="shared" si="50"/>
        <v>10</v>
      </c>
      <c r="N313" s="15">
        <f t="shared" ca="1" si="51"/>
        <v>1.2156728192268318E-2</v>
      </c>
      <c r="O313" s="15">
        <f t="shared" ca="1" si="60"/>
        <v>2.4998507416734701</v>
      </c>
      <c r="P313" s="15">
        <f t="shared" ca="1" si="59"/>
        <v>2.4998507235431693</v>
      </c>
      <c r="Q313" s="15">
        <f t="shared" si="62"/>
        <v>1</v>
      </c>
      <c r="R313" s="15">
        <f t="shared" ca="1" si="52"/>
        <v>3.4998507235431693</v>
      </c>
      <c r="S313" s="15">
        <f t="shared" ca="1" si="61"/>
        <v>9.9803013305224137</v>
      </c>
      <c r="T313" s="15">
        <f t="shared" ca="1" si="53"/>
        <v>7.5419430011825434E-3</v>
      </c>
      <c r="U313" s="15">
        <f t="shared" ca="1" si="54"/>
        <v>9.9878432735235965</v>
      </c>
      <c r="V313" s="15">
        <f t="shared" ca="1" si="55"/>
        <v>9.9878432718077317</v>
      </c>
      <c r="X313" s="15">
        <f t="shared" si="56"/>
        <v>10.5</v>
      </c>
      <c r="Y313" s="15">
        <f t="shared" si="57"/>
        <v>9.5</v>
      </c>
      <c r="Z313" s="15">
        <f t="shared" ca="1" si="58"/>
        <v>1</v>
      </c>
    </row>
    <row r="314" spans="12:26" x14ac:dyDescent="0.3">
      <c r="L314" s="15">
        <v>312</v>
      </c>
      <c r="M314" s="15">
        <f t="shared" si="50"/>
        <v>10</v>
      </c>
      <c r="N314" s="15">
        <f t="shared" ca="1" si="51"/>
        <v>1.7721264161570716E-2</v>
      </c>
      <c r="O314" s="15">
        <f t="shared" ca="1" si="60"/>
        <v>2.5018192903832843</v>
      </c>
      <c r="P314" s="15">
        <f t="shared" ca="1" si="59"/>
        <v>2.5018192833526571</v>
      </c>
      <c r="Q314" s="15">
        <f t="shared" si="62"/>
        <v>1</v>
      </c>
      <c r="R314" s="15">
        <f t="shared" ca="1" si="52"/>
        <v>3.5018192833526571</v>
      </c>
      <c r="S314" s="15">
        <f t="shared" ca="1" si="61"/>
        <v>9.9807042350682309</v>
      </c>
      <c r="T314" s="15">
        <f t="shared" ca="1" si="53"/>
        <v>1.5745206002409939E-3</v>
      </c>
      <c r="U314" s="15">
        <f t="shared" ca="1" si="54"/>
        <v>9.9822787556684727</v>
      </c>
      <c r="V314" s="15">
        <f t="shared" ca="1" si="55"/>
        <v>9.9822787358384293</v>
      </c>
      <c r="X314" s="15">
        <f t="shared" si="56"/>
        <v>10.5</v>
      </c>
      <c r="Y314" s="15">
        <f t="shared" si="57"/>
        <v>9.5</v>
      </c>
      <c r="Z314" s="15">
        <f t="shared" ca="1" si="58"/>
        <v>1</v>
      </c>
    </row>
    <row r="315" spans="12:26" x14ac:dyDescent="0.3">
      <c r="L315" s="15">
        <v>313</v>
      </c>
      <c r="M315" s="15">
        <f t="shared" si="50"/>
        <v>10</v>
      </c>
      <c r="N315" s="15">
        <f t="shared" ca="1" si="51"/>
        <v>1.6275548845593235E-2</v>
      </c>
      <c r="O315" s="15">
        <f t="shared" ca="1" si="60"/>
        <v>2.5018192903832843</v>
      </c>
      <c r="P315" s="15">
        <f t="shared" ca="1" si="59"/>
        <v>2.5018192833526571</v>
      </c>
      <c r="Q315" s="15">
        <f t="shared" si="62"/>
        <v>1</v>
      </c>
      <c r="R315" s="15">
        <f t="shared" ca="1" si="52"/>
        <v>3.5018192833526571</v>
      </c>
      <c r="S315" s="15">
        <f t="shared" ca="1" si="61"/>
        <v>9.9810677915258363</v>
      </c>
      <c r="T315" s="15">
        <f t="shared" ca="1" si="53"/>
        <v>2.6566816174754073E-3</v>
      </c>
      <c r="U315" s="15">
        <f t="shared" ca="1" si="54"/>
        <v>9.9837244731433117</v>
      </c>
      <c r="V315" s="15">
        <f t="shared" ca="1" si="55"/>
        <v>9.9837244511544068</v>
      </c>
      <c r="X315" s="15">
        <f t="shared" si="56"/>
        <v>10.5</v>
      </c>
      <c r="Y315" s="15">
        <f t="shared" si="57"/>
        <v>9.5</v>
      </c>
      <c r="Z315" s="15">
        <f t="shared" ca="1" si="58"/>
        <v>1</v>
      </c>
    </row>
    <row r="316" spans="12:26" x14ac:dyDescent="0.3">
      <c r="L316" s="15">
        <v>314</v>
      </c>
      <c r="M316" s="15">
        <f t="shared" si="50"/>
        <v>10</v>
      </c>
      <c r="N316" s="15">
        <f t="shared" ca="1" si="51"/>
        <v>9.1286958216532099E-3</v>
      </c>
      <c r="O316" s="15">
        <f t="shared" ca="1" si="60"/>
        <v>2.5018192903832843</v>
      </c>
      <c r="P316" s="15">
        <f t="shared" ca="1" si="59"/>
        <v>2.5018192833526571</v>
      </c>
      <c r="Q316" s="15">
        <f t="shared" si="62"/>
        <v>1</v>
      </c>
      <c r="R316" s="15">
        <f t="shared" ca="1" si="52"/>
        <v>3.5018192833526571</v>
      </c>
      <c r="S316" s="15">
        <f t="shared" ca="1" si="61"/>
        <v>9.9813954568883929</v>
      </c>
      <c r="T316" s="15">
        <f t="shared" ca="1" si="53"/>
        <v>9.4758489947921899E-3</v>
      </c>
      <c r="U316" s="15">
        <f t="shared" ca="1" si="54"/>
        <v>9.9908713058831857</v>
      </c>
      <c r="V316" s="15">
        <f t="shared" ca="1" si="55"/>
        <v>9.9908713041783468</v>
      </c>
      <c r="X316" s="15">
        <f t="shared" si="56"/>
        <v>10.5</v>
      </c>
      <c r="Y316" s="15">
        <f t="shared" si="57"/>
        <v>9.5</v>
      </c>
      <c r="Z316" s="15">
        <f t="shared" ca="1" si="58"/>
        <v>1</v>
      </c>
    </row>
    <row r="317" spans="12:26" x14ac:dyDescent="0.3">
      <c r="L317" s="15">
        <v>315</v>
      </c>
      <c r="M317" s="15">
        <f t="shared" si="50"/>
        <v>10</v>
      </c>
      <c r="N317" s="15">
        <f t="shared" ca="1" si="51"/>
        <v>1.6222090929797872E-2</v>
      </c>
      <c r="O317" s="15">
        <f t="shared" ca="1" si="60"/>
        <v>2.4995859619749643</v>
      </c>
      <c r="P317" s="15">
        <f t="shared" ca="1" si="59"/>
        <v>2.4995859485351448</v>
      </c>
      <c r="Q317" s="15">
        <f t="shared" si="62"/>
        <v>1</v>
      </c>
      <c r="R317" s="15">
        <f t="shared" ca="1" si="52"/>
        <v>3.4995859485351448</v>
      </c>
      <c r="S317" s="15">
        <f t="shared" ca="1" si="61"/>
        <v>9.9817551887104674</v>
      </c>
      <c r="T317" s="15">
        <f t="shared" ca="1" si="53"/>
        <v>2.022729158700698E-3</v>
      </c>
      <c r="U317" s="15">
        <f t="shared" ca="1" si="54"/>
        <v>9.9837779178691672</v>
      </c>
      <c r="V317" s="15">
        <f t="shared" ca="1" si="55"/>
        <v>9.9837779090702021</v>
      </c>
      <c r="X317" s="15">
        <f t="shared" si="56"/>
        <v>10.5</v>
      </c>
      <c r="Y317" s="15">
        <f t="shared" si="57"/>
        <v>9.5</v>
      </c>
      <c r="Z317" s="15">
        <f t="shared" ca="1" si="58"/>
        <v>1</v>
      </c>
    </row>
    <row r="318" spans="12:26" x14ac:dyDescent="0.3">
      <c r="L318" s="15">
        <v>316</v>
      </c>
      <c r="M318" s="15">
        <f t="shared" si="50"/>
        <v>10</v>
      </c>
      <c r="N318" s="15">
        <f t="shared" ca="1" si="51"/>
        <v>8.8007538599903512E-3</v>
      </c>
      <c r="O318" s="15">
        <f t="shared" ca="1" si="60"/>
        <v>2.4995859619749643</v>
      </c>
      <c r="P318" s="15">
        <f t="shared" ca="1" si="59"/>
        <v>2.4995859485351448</v>
      </c>
      <c r="Q318" s="15">
        <f t="shared" si="62"/>
        <v>1</v>
      </c>
      <c r="R318" s="15">
        <f t="shared" ca="1" si="52"/>
        <v>3.4995859485351448</v>
      </c>
      <c r="S318" s="15">
        <f t="shared" ca="1" si="61"/>
        <v>9.9822033163777633</v>
      </c>
      <c r="T318" s="15">
        <f t="shared" ca="1" si="53"/>
        <v>8.9959509211273801E-3</v>
      </c>
      <c r="U318" s="15">
        <f t="shared" ca="1" si="54"/>
        <v>9.9911992672988905</v>
      </c>
      <c r="V318" s="15">
        <f t="shared" ca="1" si="55"/>
        <v>9.9911992461400096</v>
      </c>
      <c r="X318" s="15">
        <f t="shared" si="56"/>
        <v>10.5</v>
      </c>
      <c r="Y318" s="15">
        <f t="shared" si="57"/>
        <v>9.5</v>
      </c>
      <c r="Z318" s="15">
        <f t="shared" ca="1" si="58"/>
        <v>1</v>
      </c>
    </row>
    <row r="319" spans="12:26" x14ac:dyDescent="0.3">
      <c r="L319" s="15">
        <v>317</v>
      </c>
      <c r="M319" s="15">
        <f t="shared" si="50"/>
        <v>10</v>
      </c>
      <c r="N319" s="15">
        <f t="shared" ca="1" si="51"/>
        <v>1.6758672431288701E-2</v>
      </c>
      <c r="O319" s="15">
        <f t="shared" ca="1" si="60"/>
        <v>2.4995859619749643</v>
      </c>
      <c r="P319" s="15">
        <f t="shared" ca="1" si="59"/>
        <v>2.4995859485351448</v>
      </c>
      <c r="Q319" s="15">
        <f t="shared" si="62"/>
        <v>1</v>
      </c>
      <c r="R319" s="15">
        <f t="shared" ca="1" si="52"/>
        <v>3.4995859485351448</v>
      </c>
      <c r="S319" s="15">
        <f t="shared" ca="1" si="61"/>
        <v>9.9827267238549098</v>
      </c>
      <c r="T319" s="15">
        <f t="shared" ca="1" si="53"/>
        <v>5.1462535496253679E-4</v>
      </c>
      <c r="U319" s="15">
        <f t="shared" ca="1" si="54"/>
        <v>9.9832413492098731</v>
      </c>
      <c r="V319" s="15">
        <f t="shared" ca="1" si="55"/>
        <v>9.9832413275687113</v>
      </c>
      <c r="X319" s="15">
        <f t="shared" si="56"/>
        <v>10.5</v>
      </c>
      <c r="Y319" s="15">
        <f t="shared" si="57"/>
        <v>9.5</v>
      </c>
      <c r="Z319" s="15">
        <f t="shared" ca="1" si="58"/>
        <v>1</v>
      </c>
    </row>
    <row r="320" spans="12:26" x14ac:dyDescent="0.3">
      <c r="L320" s="15">
        <v>318</v>
      </c>
      <c r="M320" s="15">
        <f t="shared" si="50"/>
        <v>10</v>
      </c>
      <c r="N320" s="15">
        <f t="shared" ca="1" si="51"/>
        <v>1.0494783057479751E-2</v>
      </c>
      <c r="O320" s="15">
        <f t="shared" ca="1" si="60"/>
        <v>2.4962804769000404</v>
      </c>
      <c r="P320" s="15">
        <f t="shared" ca="1" si="59"/>
        <v>2.4962804751694856</v>
      </c>
      <c r="Q320" s="15">
        <f t="shared" si="62"/>
        <v>1</v>
      </c>
      <c r="R320" s="15">
        <f t="shared" ca="1" si="52"/>
        <v>3.4962804751694856</v>
      </c>
      <c r="S320" s="15">
        <f t="shared" ca="1" si="61"/>
        <v>9.9832304167792891</v>
      </c>
      <c r="T320" s="15">
        <f t="shared" ca="1" si="53"/>
        <v>6.2748129748050217E-3</v>
      </c>
      <c r="U320" s="15">
        <f t="shared" ca="1" si="54"/>
        <v>9.9895052297540943</v>
      </c>
      <c r="V320" s="15">
        <f t="shared" ca="1" si="55"/>
        <v>9.9895052169425202</v>
      </c>
      <c r="X320" s="15">
        <f t="shared" si="56"/>
        <v>10.5</v>
      </c>
      <c r="Y320" s="15">
        <f t="shared" si="57"/>
        <v>9.5</v>
      </c>
      <c r="Z320" s="15">
        <f t="shared" ca="1" si="58"/>
        <v>1</v>
      </c>
    </row>
    <row r="321" spans="12:26" x14ac:dyDescent="0.3">
      <c r="L321" s="15">
        <v>319</v>
      </c>
      <c r="M321" s="15">
        <f t="shared" si="50"/>
        <v>10</v>
      </c>
      <c r="N321" s="15">
        <f t="shared" ca="1" si="51"/>
        <v>9.0332585407963961E-3</v>
      </c>
      <c r="O321" s="15">
        <f t="shared" ca="1" si="60"/>
        <v>2.4962804769000404</v>
      </c>
      <c r="P321" s="15">
        <f t="shared" ca="1" si="59"/>
        <v>2.4962804751694856</v>
      </c>
      <c r="Q321" s="15">
        <f t="shared" si="62"/>
        <v>1</v>
      </c>
      <c r="R321" s="15">
        <f t="shared" ca="1" si="52"/>
        <v>3.4962804751694856</v>
      </c>
      <c r="S321" s="15">
        <f t="shared" ca="1" si="61"/>
        <v>9.9836352243449653</v>
      </c>
      <c r="T321" s="15">
        <f t="shared" ca="1" si="53"/>
        <v>7.3315373122564923E-3</v>
      </c>
      <c r="U321" s="15">
        <f t="shared" ca="1" si="54"/>
        <v>9.9909667616572211</v>
      </c>
      <c r="V321" s="15">
        <f t="shared" ca="1" si="55"/>
        <v>9.9909667414592036</v>
      </c>
      <c r="X321" s="15">
        <f t="shared" si="56"/>
        <v>10.5</v>
      </c>
      <c r="Y321" s="15">
        <f t="shared" si="57"/>
        <v>9.5</v>
      </c>
      <c r="Z321" s="15">
        <f t="shared" ca="1" si="58"/>
        <v>1</v>
      </c>
    </row>
    <row r="322" spans="12:26" x14ac:dyDescent="0.3">
      <c r="L322" s="15">
        <v>320</v>
      </c>
      <c r="M322" s="15">
        <f t="shared" si="50"/>
        <v>10</v>
      </c>
      <c r="N322" s="15">
        <f t="shared" ca="1" si="51"/>
        <v>6.7130313270524766E-3</v>
      </c>
      <c r="O322" s="15">
        <f t="shared" ca="1" si="60"/>
        <v>2.4962804769000404</v>
      </c>
      <c r="P322" s="15">
        <f t="shared" ca="1" si="59"/>
        <v>2.4962804751694856</v>
      </c>
      <c r="Q322" s="15">
        <f t="shared" si="62"/>
        <v>1</v>
      </c>
      <c r="R322" s="15">
        <f t="shared" ca="1" si="52"/>
        <v>3.4962804751694856</v>
      </c>
      <c r="S322" s="15">
        <f t="shared" ca="1" si="61"/>
        <v>9.9839519865018591</v>
      </c>
      <c r="T322" s="15">
        <f t="shared" ca="1" si="53"/>
        <v>9.3349888133861941E-3</v>
      </c>
      <c r="U322" s="15">
        <f t="shared" ca="1" si="54"/>
        <v>9.9932869753152449</v>
      </c>
      <c r="V322" s="15">
        <f t="shared" ca="1" si="55"/>
        <v>9.9932869686729475</v>
      </c>
      <c r="X322" s="15">
        <f t="shared" si="56"/>
        <v>10.5</v>
      </c>
      <c r="Y322" s="15">
        <f t="shared" si="57"/>
        <v>9.5</v>
      </c>
      <c r="Z322" s="15">
        <f t="shared" ca="1" si="58"/>
        <v>1</v>
      </c>
    </row>
    <row r="323" spans="12:26" x14ac:dyDescent="0.3">
      <c r="L323" s="15">
        <v>321</v>
      </c>
      <c r="M323" s="15">
        <f t="shared" ref="M323:M386" si="63">IF(L323&lt;$D$16,$D$13,IF(L323&lt;$E$16,$E$13,$F$13))</f>
        <v>10</v>
      </c>
      <c r="N323" s="15">
        <f t="shared" ref="N323:N386" ca="1" si="64">M323-V323</f>
        <v>6.0880207470823677E-3</v>
      </c>
      <c r="O323" s="15">
        <f t="shared" ca="1" si="60"/>
        <v>2.4964424000041299</v>
      </c>
      <c r="P323" s="15">
        <f t="shared" ca="1" si="59"/>
        <v>2.4964423855991202</v>
      </c>
      <c r="Q323" s="15">
        <v>0</v>
      </c>
      <c r="R323" s="15">
        <f t="shared" ref="R323:R386" ca="1" si="65">P323+Q323</f>
        <v>2.4964423855991202</v>
      </c>
      <c r="S323" s="15">
        <f t="shared" ca="1" si="61"/>
        <v>9.9929254806427767</v>
      </c>
      <c r="T323" s="15">
        <f t="shared" ref="T323:T386" ca="1" si="66">RAND()*$G$12</f>
        <v>9.8650288626160555E-4</v>
      </c>
      <c r="U323" s="15">
        <f t="shared" ref="U323:U386" ca="1" si="67">S323+T323</f>
        <v>9.9939119835290384</v>
      </c>
      <c r="V323" s="15">
        <f t="shared" ref="V323:V386" ca="1" si="68">INT((2^$J$12-1)*U323/100)/(2^$J$12-1)*100</f>
        <v>9.9939119792529176</v>
      </c>
      <c r="X323" s="15">
        <f t="shared" ref="X323:X386" si="69">M323 * 1.05</f>
        <v>10.5</v>
      </c>
      <c r="Y323" s="15">
        <f t="shared" ref="Y323:Y386" si="70">M323 * 0.95</f>
        <v>9.5</v>
      </c>
      <c r="Z323" s="15">
        <f t="shared" ref="Z323:Z386" ca="1" si="71">IF(AND(V323 &lt;= X323, V323 &gt;= Y323), 1, 0)</f>
        <v>1</v>
      </c>
    </row>
    <row r="324" spans="12:26" x14ac:dyDescent="0.3">
      <c r="L324" s="15">
        <v>322</v>
      </c>
      <c r="M324" s="15">
        <f t="shared" si="63"/>
        <v>10</v>
      </c>
      <c r="N324" s="15">
        <f t="shared" ca="1" si="64"/>
        <v>-2.1849374757579199E-2</v>
      </c>
      <c r="O324" s="15">
        <f t="shared" ca="1" si="60"/>
        <v>2.4964424000041299</v>
      </c>
      <c r="P324" s="15">
        <f t="shared" ca="1" si="59"/>
        <v>2.4964423855991202</v>
      </c>
      <c r="Q324" s="15">
        <v>0</v>
      </c>
      <c r="R324" s="15">
        <f t="shared" ca="1" si="65"/>
        <v>2.4964423855991202</v>
      </c>
      <c r="S324" s="15">
        <f t="shared" ca="1" si="61"/>
        <v>10.017767398277002</v>
      </c>
      <c r="T324" s="15">
        <f t="shared" ca="1" si="66"/>
        <v>4.0819800534212794E-3</v>
      </c>
      <c r="U324" s="15">
        <f t="shared" ca="1" si="67"/>
        <v>10.021849378330423</v>
      </c>
      <c r="V324" s="15">
        <f t="shared" ca="1" si="68"/>
        <v>10.021849374757579</v>
      </c>
      <c r="X324" s="15">
        <f t="shared" si="69"/>
        <v>10.5</v>
      </c>
      <c r="Y324" s="15">
        <f t="shared" si="70"/>
        <v>9.5</v>
      </c>
      <c r="Z324" s="15">
        <f t="shared" ca="1" si="71"/>
        <v>1</v>
      </c>
    </row>
    <row r="325" spans="12:26" x14ac:dyDescent="0.3">
      <c r="L325" s="15">
        <v>323</v>
      </c>
      <c r="M325" s="15">
        <f t="shared" si="63"/>
        <v>10</v>
      </c>
      <c r="N325" s="15">
        <f t="shared" ca="1" si="64"/>
        <v>-6.1779574039805496E-2</v>
      </c>
      <c r="O325" s="15">
        <f t="shared" ca="1" si="60"/>
        <v>2.4964424000041299</v>
      </c>
      <c r="P325" s="15">
        <f t="shared" ca="1" si="59"/>
        <v>2.4964423855991202</v>
      </c>
      <c r="Q325" s="15">
        <v>0</v>
      </c>
      <c r="R325" s="15">
        <f t="shared" ca="1" si="65"/>
        <v>2.4964423855991202</v>
      </c>
      <c r="S325" s="15">
        <f t="shared" ca="1" si="61"/>
        <v>10.056358390911475</v>
      </c>
      <c r="T325" s="15">
        <f t="shared" ca="1" si="66"/>
        <v>5.4211853687191345E-3</v>
      </c>
      <c r="U325" s="15">
        <f t="shared" ca="1" si="67"/>
        <v>10.061779576280195</v>
      </c>
      <c r="V325" s="15">
        <f t="shared" ca="1" si="68"/>
        <v>10.061779574039805</v>
      </c>
      <c r="X325" s="15">
        <f t="shared" si="69"/>
        <v>10.5</v>
      </c>
      <c r="Y325" s="15">
        <f t="shared" si="70"/>
        <v>9.5</v>
      </c>
      <c r="Z325" s="15">
        <f t="shared" ca="1" si="71"/>
        <v>1</v>
      </c>
    </row>
    <row r="326" spans="12:26" x14ac:dyDescent="0.3">
      <c r="L326" s="15">
        <v>324</v>
      </c>
      <c r="M326" s="15">
        <f t="shared" si="63"/>
        <v>10</v>
      </c>
      <c r="N326" s="15">
        <f t="shared" ca="1" si="64"/>
        <v>-0.1150046824745381</v>
      </c>
      <c r="O326" s="15">
        <f t="shared" ca="1" si="60"/>
        <v>2.4035647852896349</v>
      </c>
      <c r="P326" s="15">
        <f t="shared" ca="1" si="59"/>
        <v>2.4035647749909117</v>
      </c>
      <c r="Q326" s="15">
        <v>0</v>
      </c>
      <c r="R326" s="15">
        <f t="shared" ca="1" si="65"/>
        <v>2.4035647749909117</v>
      </c>
      <c r="S326" s="15">
        <f t="shared" ca="1" si="61"/>
        <v>10.106702715658951</v>
      </c>
      <c r="T326" s="15">
        <f t="shared" ca="1" si="66"/>
        <v>8.3019801284497895E-3</v>
      </c>
      <c r="U326" s="15">
        <f t="shared" ca="1" si="67"/>
        <v>10.1150046957874</v>
      </c>
      <c r="V326" s="15">
        <f t="shared" ca="1" si="68"/>
        <v>10.115004682474538</v>
      </c>
      <c r="X326" s="15">
        <f t="shared" si="69"/>
        <v>10.5</v>
      </c>
      <c r="Y326" s="15">
        <f t="shared" si="70"/>
        <v>9.5</v>
      </c>
      <c r="Z326" s="15">
        <f t="shared" ca="1" si="71"/>
        <v>1</v>
      </c>
    </row>
    <row r="327" spans="12:26" x14ac:dyDescent="0.3">
      <c r="L327" s="15">
        <v>325</v>
      </c>
      <c r="M327" s="15">
        <f t="shared" si="63"/>
        <v>10</v>
      </c>
      <c r="N327" s="15">
        <f t="shared" ca="1" si="64"/>
        <v>-0.16963776437790123</v>
      </c>
      <c r="O327" s="15">
        <f t="shared" ca="1" si="60"/>
        <v>2.4035647852896349</v>
      </c>
      <c r="P327" s="15">
        <f t="shared" ca="1" si="59"/>
        <v>2.4035647749909117</v>
      </c>
      <c r="Q327" s="15">
        <v>0</v>
      </c>
      <c r="R327" s="15">
        <f t="shared" ca="1" si="65"/>
        <v>2.4035647749909117</v>
      </c>
      <c r="S327" s="15">
        <f t="shared" ca="1" si="61"/>
        <v>10.167012110173939</v>
      </c>
      <c r="T327" s="15">
        <f t="shared" ca="1" si="66"/>
        <v>2.6256614651243258E-3</v>
      </c>
      <c r="U327" s="15">
        <f t="shared" ca="1" si="67"/>
        <v>10.169637771639064</v>
      </c>
      <c r="V327" s="15">
        <f t="shared" ca="1" si="68"/>
        <v>10.169637764377901</v>
      </c>
      <c r="X327" s="15">
        <f t="shared" si="69"/>
        <v>10.5</v>
      </c>
      <c r="Y327" s="15">
        <f t="shared" si="70"/>
        <v>9.5</v>
      </c>
      <c r="Z327" s="15">
        <f t="shared" ca="1" si="71"/>
        <v>1</v>
      </c>
    </row>
    <row r="328" spans="12:26" x14ac:dyDescent="0.3">
      <c r="L328" s="15">
        <v>326</v>
      </c>
      <c r="M328" s="15">
        <f t="shared" si="63"/>
        <v>10</v>
      </c>
      <c r="N328" s="15">
        <f t="shared" ca="1" si="64"/>
        <v>-0.24385292787194501</v>
      </c>
      <c r="O328" s="15">
        <f t="shared" ca="1" si="60"/>
        <v>2.4035647852896349</v>
      </c>
      <c r="P328" s="15">
        <f t="shared" ca="1" si="59"/>
        <v>2.4035647749909117</v>
      </c>
      <c r="Q328" s="15">
        <v>0</v>
      </c>
      <c r="R328" s="15">
        <f t="shared" ca="1" si="65"/>
        <v>2.4035647749909117</v>
      </c>
      <c r="S328" s="15">
        <f t="shared" ca="1" si="61"/>
        <v>10.235766561432362</v>
      </c>
      <c r="T328" s="15">
        <f t="shared" ca="1" si="66"/>
        <v>8.0863848149807724E-3</v>
      </c>
      <c r="U328" s="15">
        <f t="shared" ca="1" si="67"/>
        <v>10.243852946247342</v>
      </c>
      <c r="V328" s="15">
        <f t="shared" ca="1" si="68"/>
        <v>10.243852927871945</v>
      </c>
      <c r="X328" s="15">
        <f t="shared" si="69"/>
        <v>10.5</v>
      </c>
      <c r="Y328" s="15">
        <f t="shared" si="70"/>
        <v>9.5</v>
      </c>
      <c r="Z328" s="15">
        <f t="shared" ca="1" si="71"/>
        <v>1</v>
      </c>
    </row>
    <row r="329" spans="12:26" x14ac:dyDescent="0.3">
      <c r="L329" s="15">
        <v>327</v>
      </c>
      <c r="M329" s="15">
        <f t="shared" si="63"/>
        <v>10</v>
      </c>
      <c r="N329" s="15">
        <f t="shared" ca="1" si="64"/>
        <v>-0.31266893500291459</v>
      </c>
      <c r="O329" s="15">
        <f t="shared" ca="1" si="60"/>
        <v>2.3178433129152403</v>
      </c>
      <c r="P329" s="15">
        <f t="shared" ca="1" si="59"/>
        <v>2.3178433073493285</v>
      </c>
      <c r="Q329" s="15">
        <v>0</v>
      </c>
      <c r="R329" s="15">
        <f t="shared" ca="1" si="65"/>
        <v>2.3178433073493285</v>
      </c>
      <c r="S329" s="15">
        <f t="shared" ca="1" si="61"/>
        <v>10.311660780410371</v>
      </c>
      <c r="T329" s="15">
        <f t="shared" ca="1" si="66"/>
        <v>1.0081637829224288E-3</v>
      </c>
      <c r="U329" s="15">
        <f t="shared" ca="1" si="67"/>
        <v>10.312668944193293</v>
      </c>
      <c r="V329" s="15">
        <f t="shared" ca="1" si="68"/>
        <v>10.312668935002915</v>
      </c>
      <c r="X329" s="15">
        <f t="shared" si="69"/>
        <v>10.5</v>
      </c>
      <c r="Y329" s="15">
        <f t="shared" si="70"/>
        <v>9.5</v>
      </c>
      <c r="Z329" s="15">
        <f t="shared" ca="1" si="71"/>
        <v>1</v>
      </c>
    </row>
    <row r="330" spans="12:26" x14ac:dyDescent="0.3">
      <c r="L330" s="15">
        <v>328</v>
      </c>
      <c r="M330" s="15">
        <f t="shared" si="63"/>
        <v>10</v>
      </c>
      <c r="N330" s="15">
        <f t="shared" ca="1" si="64"/>
        <v>-0.40068050157294621</v>
      </c>
      <c r="O330" s="15">
        <f t="shared" ca="1" si="60"/>
        <v>2.3178433129152403</v>
      </c>
      <c r="P330" s="15">
        <f t="shared" ca="1" si="59"/>
        <v>2.3178433073493285</v>
      </c>
      <c r="Q330" s="15">
        <v>0</v>
      </c>
      <c r="R330" s="15">
        <f t="shared" ca="1" si="65"/>
        <v>2.3178433073493285</v>
      </c>
      <c r="S330" s="15">
        <f t="shared" ca="1" si="61"/>
        <v>10.393522424230035</v>
      </c>
      <c r="T330" s="15">
        <f t="shared" ca="1" si="66"/>
        <v>7.1580859129237251E-3</v>
      </c>
      <c r="U330" s="15">
        <f t="shared" ca="1" si="67"/>
        <v>10.400680510142958</v>
      </c>
      <c r="V330" s="15">
        <f t="shared" ca="1" si="68"/>
        <v>10.400680501572946</v>
      </c>
      <c r="X330" s="15">
        <f t="shared" si="69"/>
        <v>10.5</v>
      </c>
      <c r="Y330" s="15">
        <f t="shared" si="70"/>
        <v>9.5</v>
      </c>
      <c r="Z330" s="15">
        <f t="shared" ca="1" si="71"/>
        <v>1</v>
      </c>
    </row>
    <row r="331" spans="12:26" x14ac:dyDescent="0.3">
      <c r="L331" s="15">
        <v>329</v>
      </c>
      <c r="M331" s="15">
        <f t="shared" si="63"/>
        <v>10</v>
      </c>
      <c r="N331" s="15">
        <f t="shared" ca="1" si="64"/>
        <v>-0.48836247308374325</v>
      </c>
      <c r="O331" s="15">
        <f t="shared" ca="1" si="60"/>
        <v>2.3178433129152403</v>
      </c>
      <c r="P331" s="15">
        <f t="shared" ca="1" si="59"/>
        <v>2.3178433073493285</v>
      </c>
      <c r="Q331" s="15">
        <v>0</v>
      </c>
      <c r="R331" s="15">
        <f t="shared" ca="1" si="65"/>
        <v>2.3178433073493285</v>
      </c>
      <c r="S331" s="15">
        <f t="shared" ca="1" si="61"/>
        <v>10.480247767963338</v>
      </c>
      <c r="T331" s="15">
        <f t="shared" ca="1" si="66"/>
        <v>8.1147251316422472E-3</v>
      </c>
      <c r="U331" s="15">
        <f t="shared" ca="1" si="67"/>
        <v>10.48836249309498</v>
      </c>
      <c r="V331" s="15">
        <f t="shared" ca="1" si="68"/>
        <v>10.488362473083743</v>
      </c>
      <c r="X331" s="15">
        <f t="shared" si="69"/>
        <v>10.5</v>
      </c>
      <c r="Y331" s="15">
        <f t="shared" si="70"/>
        <v>9.5</v>
      </c>
      <c r="Z331" s="15">
        <f t="shared" ca="1" si="71"/>
        <v>1</v>
      </c>
    </row>
    <row r="332" spans="12:26" x14ac:dyDescent="0.3">
      <c r="L332" s="15">
        <v>330</v>
      </c>
      <c r="M332" s="15">
        <f t="shared" si="63"/>
        <v>10</v>
      </c>
      <c r="N332" s="15">
        <f t="shared" ca="1" si="64"/>
        <v>-0.57410582680583744</v>
      </c>
      <c r="O332" s="15">
        <f t="shared" ca="1" si="60"/>
        <v>2.2238145729827732</v>
      </c>
      <c r="P332" s="15">
        <f t="shared" ca="1" si="59"/>
        <v>2.2238145587555636</v>
      </c>
      <c r="Q332" s="15">
        <v>0</v>
      </c>
      <c r="R332" s="15">
        <f t="shared" ca="1" si="65"/>
        <v>2.2238145587555636</v>
      </c>
      <c r="S332" s="15">
        <f t="shared" ca="1" si="61"/>
        <v>10.570850862833771</v>
      </c>
      <c r="T332" s="15">
        <f t="shared" ca="1" si="66"/>
        <v>3.2549814199738913E-3</v>
      </c>
      <c r="U332" s="15">
        <f t="shared" ca="1" si="67"/>
        <v>10.574105844253745</v>
      </c>
      <c r="V332" s="15">
        <f t="shared" ca="1" si="68"/>
        <v>10.574105826805837</v>
      </c>
      <c r="X332" s="15">
        <f t="shared" si="69"/>
        <v>10.5</v>
      </c>
      <c r="Y332" s="15">
        <f t="shared" si="70"/>
        <v>9.5</v>
      </c>
      <c r="Z332" s="15">
        <f t="shared" ca="1" si="71"/>
        <v>0</v>
      </c>
    </row>
    <row r="333" spans="12:26" ht="13.8" customHeight="1" x14ac:dyDescent="0.3">
      <c r="L333" s="15">
        <v>331</v>
      </c>
      <c r="M333" s="15">
        <f t="shared" si="63"/>
        <v>10</v>
      </c>
      <c r="N333" s="15">
        <f t="shared" ca="1" si="64"/>
        <v>-0.66846987480960607</v>
      </c>
      <c r="O333" s="15">
        <f t="shared" ca="1" si="60"/>
        <v>2.2238145729827732</v>
      </c>
      <c r="P333" s="15">
        <f t="shared" ref="P333:P396" ca="1" si="72">INT((2^$J$12-1)*O333/100)/(2^$J$12-1)*100</f>
        <v>2.2238145587555636</v>
      </c>
      <c r="Q333" s="15">
        <v>0</v>
      </c>
      <c r="R333" s="15">
        <f t="shared" ca="1" si="65"/>
        <v>2.2238145587555636</v>
      </c>
      <c r="S333" s="15">
        <f t="shared" ca="1" si="61"/>
        <v>10.664454588883624</v>
      </c>
      <c r="T333" s="15">
        <f t="shared" ca="1" si="66"/>
        <v>4.0153091422459024E-3</v>
      </c>
      <c r="U333" s="15">
        <f t="shared" ca="1" si="67"/>
        <v>10.668469898025869</v>
      </c>
      <c r="V333" s="15">
        <f t="shared" ca="1" si="68"/>
        <v>10.668469874809606</v>
      </c>
      <c r="X333" s="15">
        <f t="shared" si="69"/>
        <v>10.5</v>
      </c>
      <c r="Y333" s="15">
        <f t="shared" si="70"/>
        <v>9.5</v>
      </c>
      <c r="Z333" s="15">
        <f t="shared" ca="1" si="71"/>
        <v>0</v>
      </c>
    </row>
    <row r="334" spans="12:26" x14ac:dyDescent="0.3">
      <c r="L334" s="15">
        <v>332</v>
      </c>
      <c r="M334" s="15">
        <f t="shared" si="63"/>
        <v>10</v>
      </c>
      <c r="N334" s="15">
        <f t="shared" ca="1" si="64"/>
        <v>-0.76964154158943288</v>
      </c>
      <c r="O334" s="15">
        <f t="shared" ca="1" si="60"/>
        <v>2.2238145729827732</v>
      </c>
      <c r="P334" s="15">
        <f t="shared" ca="1" si="72"/>
        <v>2.2238145587555636</v>
      </c>
      <c r="Q334" s="15">
        <v>0</v>
      </c>
      <c r="R334" s="15">
        <f t="shared" ca="1" si="65"/>
        <v>2.2238145587555636</v>
      </c>
      <c r="S334" s="15">
        <f t="shared" ca="1" si="61"/>
        <v>10.760282150161808</v>
      </c>
      <c r="T334" s="15">
        <f t="shared" ca="1" si="66"/>
        <v>9.3593988521753248E-3</v>
      </c>
      <c r="U334" s="15">
        <f t="shared" ca="1" si="67"/>
        <v>10.769641549013985</v>
      </c>
      <c r="V334" s="15">
        <f t="shared" ca="1" si="68"/>
        <v>10.769641541589433</v>
      </c>
      <c r="X334" s="15">
        <f t="shared" si="69"/>
        <v>10.5</v>
      </c>
      <c r="Y334" s="15">
        <f t="shared" si="70"/>
        <v>9.5</v>
      </c>
      <c r="Z334" s="15">
        <f t="shared" ca="1" si="71"/>
        <v>0</v>
      </c>
    </row>
    <row r="335" spans="12:26" x14ac:dyDescent="0.3">
      <c r="L335" s="15">
        <v>333</v>
      </c>
      <c r="M335" s="15">
        <f t="shared" si="63"/>
        <v>10</v>
      </c>
      <c r="N335" s="15">
        <f t="shared" ca="1" si="64"/>
        <v>-0.86051441050612176</v>
      </c>
      <c r="O335" s="15">
        <f t="shared" ca="1" si="60"/>
        <v>2.143192650448333</v>
      </c>
      <c r="P335" s="15">
        <f t="shared" ca="1" si="72"/>
        <v>2.1431926410047319</v>
      </c>
      <c r="Q335" s="15">
        <v>0</v>
      </c>
      <c r="R335" s="15">
        <f t="shared" ca="1" si="65"/>
        <v>2.1431926410047319</v>
      </c>
      <c r="S335" s="15">
        <f t="shared" ca="1" si="61"/>
        <v>10.857662977437901</v>
      </c>
      <c r="T335" s="15">
        <f t="shared" ca="1" si="66"/>
        <v>2.8514500541192557E-3</v>
      </c>
      <c r="U335" s="15">
        <f t="shared" ca="1" si="67"/>
        <v>10.860514427492021</v>
      </c>
      <c r="V335" s="15">
        <f t="shared" ca="1" si="68"/>
        <v>10.860514410506122</v>
      </c>
      <c r="X335" s="15">
        <f t="shared" si="69"/>
        <v>10.5</v>
      </c>
      <c r="Y335" s="15">
        <f t="shared" si="70"/>
        <v>9.5</v>
      </c>
      <c r="Z335" s="15">
        <f t="shared" ca="1" si="71"/>
        <v>0</v>
      </c>
    </row>
    <row r="336" spans="12:26" x14ac:dyDescent="0.3">
      <c r="L336" s="15">
        <v>334</v>
      </c>
      <c r="M336" s="15">
        <f t="shared" si="63"/>
        <v>10</v>
      </c>
      <c r="N336" s="15">
        <f t="shared" ca="1" si="64"/>
        <v>-0.95955625897263097</v>
      </c>
      <c r="O336" s="15">
        <f t="shared" ca="1" si="60"/>
        <v>2.143192650448333</v>
      </c>
      <c r="P336" s="15">
        <f t="shared" ca="1" si="72"/>
        <v>2.1431926410047319</v>
      </c>
      <c r="Q336" s="15">
        <v>0</v>
      </c>
      <c r="R336" s="15">
        <f t="shared" ca="1" si="65"/>
        <v>2.1431926410047319</v>
      </c>
      <c r="S336" s="15">
        <f t="shared" ca="1" si="61"/>
        <v>10.956004297870127</v>
      </c>
      <c r="T336" s="15">
        <f t="shared" ca="1" si="66"/>
        <v>3.5519821604018333E-3</v>
      </c>
      <c r="U336" s="15">
        <f t="shared" ca="1" si="67"/>
        <v>10.95955628003053</v>
      </c>
      <c r="V336" s="15">
        <f t="shared" ca="1" si="68"/>
        <v>10.959556258972631</v>
      </c>
      <c r="X336" s="15">
        <f t="shared" si="69"/>
        <v>10.5</v>
      </c>
      <c r="Y336" s="15">
        <f t="shared" si="70"/>
        <v>9.5</v>
      </c>
      <c r="Z336" s="15">
        <f t="shared" ca="1" si="71"/>
        <v>0</v>
      </c>
    </row>
    <row r="337" spans="12:26" x14ac:dyDescent="0.3">
      <c r="L337" s="15">
        <v>335</v>
      </c>
      <c r="M337" s="15">
        <f t="shared" si="63"/>
        <v>10</v>
      </c>
      <c r="N337" s="15">
        <f t="shared" ca="1" si="64"/>
        <v>-1.06223434001725</v>
      </c>
      <c r="O337" s="15">
        <f t="shared" ca="1" si="60"/>
        <v>2.143192650448333</v>
      </c>
      <c r="P337" s="15">
        <f t="shared" ca="1" si="72"/>
        <v>2.1431926410047319</v>
      </c>
      <c r="Q337" s="15">
        <v>0</v>
      </c>
      <c r="R337" s="15">
        <f t="shared" ca="1" si="65"/>
        <v>2.1431926410047319</v>
      </c>
      <c r="S337" s="15">
        <f t="shared" ca="1" si="61"/>
        <v>11.054768244627187</v>
      </c>
      <c r="T337" s="15">
        <f t="shared" ca="1" si="66"/>
        <v>7.4661067066197706E-3</v>
      </c>
      <c r="U337" s="15">
        <f t="shared" ca="1" si="67"/>
        <v>11.062234351333807</v>
      </c>
      <c r="V337" s="15">
        <f t="shared" ca="1" si="68"/>
        <v>11.06223434001725</v>
      </c>
      <c r="X337" s="15">
        <f t="shared" si="69"/>
        <v>10.5</v>
      </c>
      <c r="Y337" s="15">
        <f t="shared" si="70"/>
        <v>9.5</v>
      </c>
      <c r="Z337" s="15">
        <f t="shared" ca="1" si="71"/>
        <v>0</v>
      </c>
    </row>
    <row r="338" spans="12:26" x14ac:dyDescent="0.3">
      <c r="L338" s="15">
        <v>336</v>
      </c>
      <c r="M338" s="15">
        <f t="shared" si="63"/>
        <v>10</v>
      </c>
      <c r="N338" s="15">
        <f t="shared" ca="1" si="64"/>
        <v>-1.1547581178962165</v>
      </c>
      <c r="O338" s="15">
        <f t="shared" ca="1" si="60"/>
        <v>2.0657413968071885</v>
      </c>
      <c r="P338" s="15">
        <f t="shared" ca="1" si="72"/>
        <v>2.0657413876768533</v>
      </c>
      <c r="Q338" s="15">
        <v>0</v>
      </c>
      <c r="R338" s="15">
        <f t="shared" ca="1" si="65"/>
        <v>2.0657413876768533</v>
      </c>
      <c r="S338" s="15">
        <f t="shared" ca="1" si="61"/>
        <v>11.153464118452272</v>
      </c>
      <c r="T338" s="15">
        <f t="shared" ca="1" si="66"/>
        <v>1.2940171182980198E-3</v>
      </c>
      <c r="U338" s="15">
        <f t="shared" ca="1" si="67"/>
        <v>11.154758135570569</v>
      </c>
      <c r="V338" s="15">
        <f t="shared" ca="1" si="68"/>
        <v>11.154758117896217</v>
      </c>
      <c r="X338" s="15">
        <f t="shared" si="69"/>
        <v>10.5</v>
      </c>
      <c r="Y338" s="15">
        <f t="shared" si="70"/>
        <v>9.5</v>
      </c>
      <c r="Z338" s="15">
        <f t="shared" ca="1" si="71"/>
        <v>0</v>
      </c>
    </row>
    <row r="339" spans="12:26" x14ac:dyDescent="0.3">
      <c r="L339" s="15">
        <v>337</v>
      </c>
      <c r="M339" s="15">
        <f t="shared" si="63"/>
        <v>10</v>
      </c>
      <c r="N339" s="15">
        <f t="shared" ca="1" si="64"/>
        <v>-1.2523585118475271</v>
      </c>
      <c r="O339" s="15">
        <f t="shared" ca="1" si="60"/>
        <v>2.0657413968071885</v>
      </c>
      <c r="P339" s="15">
        <f t="shared" ca="1" si="72"/>
        <v>2.0657413876768533</v>
      </c>
      <c r="Q339" s="15">
        <v>0</v>
      </c>
      <c r="R339" s="15">
        <f t="shared" ca="1" si="65"/>
        <v>2.0657413876768533</v>
      </c>
      <c r="S339" s="15">
        <f t="shared" ca="1" si="61"/>
        <v>11.251664650213687</v>
      </c>
      <c r="T339" s="15">
        <f t="shared" ca="1" si="66"/>
        <v>6.9387249514860311E-4</v>
      </c>
      <c r="U339" s="15">
        <f t="shared" ca="1" si="67"/>
        <v>11.252358522708835</v>
      </c>
      <c r="V339" s="15">
        <f t="shared" ca="1" si="68"/>
        <v>11.252358511847527</v>
      </c>
      <c r="X339" s="15">
        <f t="shared" si="69"/>
        <v>10.5</v>
      </c>
      <c r="Y339" s="15">
        <f t="shared" si="70"/>
        <v>9.5</v>
      </c>
      <c r="Z339" s="15">
        <f t="shared" ca="1" si="71"/>
        <v>0</v>
      </c>
    </row>
    <row r="340" spans="12:26" x14ac:dyDescent="0.3">
      <c r="L340" s="15">
        <v>338</v>
      </c>
      <c r="M340" s="15">
        <f t="shared" si="63"/>
        <v>10</v>
      </c>
      <c r="N340" s="15">
        <f t="shared" ca="1" si="64"/>
        <v>-1.3535045439734841</v>
      </c>
      <c r="O340" s="15">
        <f t="shared" ca="1" si="60"/>
        <v>2.0657413968071885</v>
      </c>
      <c r="P340" s="15">
        <f t="shared" ca="1" si="72"/>
        <v>2.0657413876768533</v>
      </c>
      <c r="Q340" s="15">
        <v>0</v>
      </c>
      <c r="R340" s="15">
        <f t="shared" ca="1" si="65"/>
        <v>2.0657413876768533</v>
      </c>
      <c r="S340" s="15">
        <f t="shared" ca="1" si="61"/>
        <v>11.349017366703556</v>
      </c>
      <c r="T340" s="15">
        <f t="shared" ca="1" si="66"/>
        <v>4.4871972485684957E-3</v>
      </c>
      <c r="U340" s="15">
        <f t="shared" ca="1" si="67"/>
        <v>11.353504563952125</v>
      </c>
      <c r="V340" s="15">
        <f t="shared" ca="1" si="68"/>
        <v>11.353504543973484</v>
      </c>
      <c r="X340" s="15">
        <f t="shared" si="69"/>
        <v>10.5</v>
      </c>
      <c r="Y340" s="15">
        <f t="shared" si="70"/>
        <v>9.5</v>
      </c>
      <c r="Z340" s="15">
        <f t="shared" ca="1" si="71"/>
        <v>0</v>
      </c>
    </row>
    <row r="341" spans="12:26" x14ac:dyDescent="0.3">
      <c r="L341" s="15">
        <v>339</v>
      </c>
      <c r="M341" s="15">
        <f t="shared" si="63"/>
        <v>10</v>
      </c>
      <c r="N341" s="15">
        <f t="shared" ca="1" si="64"/>
        <v>-1.446452166756254</v>
      </c>
      <c r="O341" s="15">
        <f t="shared" ca="1" si="60"/>
        <v>1.9892271076083736</v>
      </c>
      <c r="P341" s="15">
        <f t="shared" ca="1" si="72"/>
        <v>1.9892270914253842</v>
      </c>
      <c r="Q341" s="15">
        <v>0</v>
      </c>
      <c r="R341" s="15">
        <f t="shared" ca="1" si="65"/>
        <v>1.9892270914253842</v>
      </c>
      <c r="S341" s="15">
        <f t="shared" ca="1" si="61"/>
        <v>11.445189527989243</v>
      </c>
      <c r="T341" s="15">
        <f t="shared" ca="1" si="66"/>
        <v>1.2626406200753647E-3</v>
      </c>
      <c r="U341" s="15">
        <f t="shared" ca="1" si="67"/>
        <v>11.446452168609317</v>
      </c>
      <c r="V341" s="15">
        <f t="shared" ca="1" si="68"/>
        <v>11.446452166756254</v>
      </c>
      <c r="X341" s="15">
        <f t="shared" si="69"/>
        <v>10.5</v>
      </c>
      <c r="Y341" s="15">
        <f t="shared" si="70"/>
        <v>9.5</v>
      </c>
      <c r="Z341" s="15">
        <f t="shared" ca="1" si="71"/>
        <v>0</v>
      </c>
    </row>
    <row r="342" spans="12:26" x14ac:dyDescent="0.3">
      <c r="L342" s="15">
        <v>340</v>
      </c>
      <c r="M342" s="15">
        <f t="shared" si="63"/>
        <v>10</v>
      </c>
      <c r="N342" s="15">
        <f t="shared" ca="1" si="64"/>
        <v>-1.5476137752522749</v>
      </c>
      <c r="O342" s="15">
        <f t="shared" ca="1" si="60"/>
        <v>1.9892271076083736</v>
      </c>
      <c r="P342" s="15">
        <f t="shared" ca="1" si="72"/>
        <v>1.9892270914253842</v>
      </c>
      <c r="Q342" s="15">
        <v>0</v>
      </c>
      <c r="R342" s="15">
        <f t="shared" ca="1" si="65"/>
        <v>1.9892270914253842</v>
      </c>
      <c r="S342" s="15">
        <f t="shared" ca="1" si="61"/>
        <v>11.539896889197738</v>
      </c>
      <c r="T342" s="15">
        <f t="shared" ca="1" si="66"/>
        <v>7.716903856142575E-3</v>
      </c>
      <c r="U342" s="15">
        <f t="shared" ca="1" si="67"/>
        <v>11.54761379305388</v>
      </c>
      <c r="V342" s="15">
        <f t="shared" ca="1" si="68"/>
        <v>11.547613775252275</v>
      </c>
      <c r="X342" s="15">
        <f t="shared" si="69"/>
        <v>10.5</v>
      </c>
      <c r="Y342" s="15">
        <f t="shared" si="70"/>
        <v>9.5</v>
      </c>
      <c r="Z342" s="15">
        <f t="shared" ca="1" si="71"/>
        <v>0</v>
      </c>
    </row>
    <row r="343" spans="12:26" x14ac:dyDescent="0.3">
      <c r="L343" s="15">
        <v>341</v>
      </c>
      <c r="M343" s="15">
        <f t="shared" si="63"/>
        <v>10</v>
      </c>
      <c r="N343" s="15">
        <f t="shared" ca="1" si="64"/>
        <v>-1.6350580732419751</v>
      </c>
      <c r="O343" s="15">
        <f t="shared" ref="O343:O406" ca="1" si="73">IF(MOD(L343,$B$11)=0,OFFSET(O343,-$B$11,0)+ $E$2*N343+$E$3*OFFSET(N343,-$B$11,0)+ $E$4*OFFSET(N343,-2* $B$11,0), O342)</f>
        <v>1.9892271076083736</v>
      </c>
      <c r="P343" s="15">
        <f t="shared" ca="1" si="72"/>
        <v>1.9892270914253842</v>
      </c>
      <c r="Q343" s="15">
        <v>0</v>
      </c>
      <c r="R343" s="15">
        <f t="shared" ca="1" si="65"/>
        <v>1.9892270914253842</v>
      </c>
      <c r="S343" s="15">
        <f t="shared" ca="1" si="61"/>
        <v>11.632924811157105</v>
      </c>
      <c r="T343" s="15">
        <f t="shared" ca="1" si="66"/>
        <v>2.1332633609092411E-3</v>
      </c>
      <c r="U343" s="15">
        <f t="shared" ca="1" si="67"/>
        <v>11.635058074518014</v>
      </c>
      <c r="V343" s="15">
        <f t="shared" ca="1" si="68"/>
        <v>11.635058073241975</v>
      </c>
      <c r="X343" s="15">
        <f t="shared" si="69"/>
        <v>10.5</v>
      </c>
      <c r="Y343" s="15">
        <f t="shared" si="70"/>
        <v>9.5</v>
      </c>
      <c r="Z343" s="15">
        <f t="shared" ca="1" si="71"/>
        <v>0</v>
      </c>
    </row>
    <row r="344" spans="12:26" x14ac:dyDescent="0.3">
      <c r="L344" s="15">
        <v>342</v>
      </c>
      <c r="M344" s="15">
        <f t="shared" si="63"/>
        <v>10</v>
      </c>
      <c r="N344" s="15">
        <f t="shared" ca="1" si="64"/>
        <v>-1.7239141398398008</v>
      </c>
      <c r="O344" s="15">
        <f t="shared" ca="1" si="73"/>
        <v>1.916695965090832</v>
      </c>
      <c r="P344" s="15">
        <f t="shared" ca="1" si="72"/>
        <v>1.9166959454111514</v>
      </c>
      <c r="Q344" s="15">
        <v>0</v>
      </c>
      <c r="R344" s="15">
        <f t="shared" ca="1" si="65"/>
        <v>1.9166959454111514</v>
      </c>
      <c r="S344" s="15">
        <f t="shared" ca="1" si="61"/>
        <v>11.715443827344888</v>
      </c>
      <c r="T344" s="15">
        <f t="shared" ca="1" si="66"/>
        <v>8.4703245399571046E-3</v>
      </c>
      <c r="U344" s="15">
        <f t="shared" ca="1" si="67"/>
        <v>11.723914151884845</v>
      </c>
      <c r="V344" s="15">
        <f t="shared" ca="1" si="68"/>
        <v>11.723914139839801</v>
      </c>
      <c r="X344" s="15">
        <f t="shared" si="69"/>
        <v>10.5</v>
      </c>
      <c r="Y344" s="15">
        <f t="shared" si="70"/>
        <v>9.5</v>
      </c>
      <c r="Z344" s="15">
        <f t="shared" ca="1" si="71"/>
        <v>0</v>
      </c>
    </row>
    <row r="345" spans="12:26" x14ac:dyDescent="0.3">
      <c r="L345" s="15">
        <v>343</v>
      </c>
      <c r="M345" s="15">
        <f t="shared" si="63"/>
        <v>10</v>
      </c>
      <c r="N345" s="15">
        <f t="shared" ca="1" si="64"/>
        <v>-1.7802106104279414</v>
      </c>
      <c r="O345" s="15">
        <f t="shared" ca="1" si="73"/>
        <v>1.916695965090832</v>
      </c>
      <c r="P345" s="15">
        <f t="shared" ca="1" si="72"/>
        <v>1.9166959454111514</v>
      </c>
      <c r="Q345" s="15">
        <v>0</v>
      </c>
      <c r="R345" s="15">
        <f t="shared" ca="1" si="65"/>
        <v>1.9166959454111514</v>
      </c>
      <c r="S345" s="15">
        <f t="shared" ref="S345:S408" ca="1" si="74">$I$1*S344-$I$2*S343+$I$3*R324+$I$4*R323</f>
        <v>11.780172346885889</v>
      </c>
      <c r="T345" s="15">
        <f t="shared" ca="1" si="66"/>
        <v>3.8276126868246327E-5</v>
      </c>
      <c r="U345" s="15">
        <f t="shared" ca="1" si="67"/>
        <v>11.780210623012758</v>
      </c>
      <c r="V345" s="15">
        <f t="shared" ca="1" si="68"/>
        <v>11.780210610427941</v>
      </c>
      <c r="X345" s="15">
        <f t="shared" si="69"/>
        <v>10.5</v>
      </c>
      <c r="Y345" s="15">
        <f t="shared" si="70"/>
        <v>9.5</v>
      </c>
      <c r="Z345" s="15">
        <f t="shared" ca="1" si="71"/>
        <v>0</v>
      </c>
    </row>
    <row r="346" spans="12:26" x14ac:dyDescent="0.3">
      <c r="L346" s="15">
        <v>344</v>
      </c>
      <c r="M346" s="15">
        <f t="shared" si="63"/>
        <v>10</v>
      </c>
      <c r="N346" s="15">
        <f t="shared" ca="1" si="64"/>
        <v>-1.833688526375612</v>
      </c>
      <c r="O346" s="15">
        <f t="shared" ca="1" si="73"/>
        <v>1.916695965090832</v>
      </c>
      <c r="P346" s="15">
        <f t="shared" ca="1" si="72"/>
        <v>1.9166959454111514</v>
      </c>
      <c r="Q346" s="15">
        <v>0</v>
      </c>
      <c r="R346" s="15">
        <f t="shared" ca="1" si="65"/>
        <v>1.9166959454111514</v>
      </c>
      <c r="S346" s="15">
        <f t="shared" ca="1" si="74"/>
        <v>11.829094850782084</v>
      </c>
      <c r="T346" s="15">
        <f t="shared" ca="1" si="66"/>
        <v>4.5936758238467679E-3</v>
      </c>
      <c r="U346" s="15">
        <f t="shared" ca="1" si="67"/>
        <v>11.833688526605931</v>
      </c>
      <c r="V346" s="15">
        <f t="shared" ca="1" si="68"/>
        <v>11.833688526375612</v>
      </c>
      <c r="X346" s="15">
        <f t="shared" si="69"/>
        <v>10.5</v>
      </c>
      <c r="Y346" s="15">
        <f t="shared" si="70"/>
        <v>9.5</v>
      </c>
      <c r="Z346" s="15">
        <f t="shared" ca="1" si="71"/>
        <v>0</v>
      </c>
    </row>
    <row r="347" spans="12:26" x14ac:dyDescent="0.3">
      <c r="L347" s="15">
        <v>345</v>
      </c>
      <c r="M347" s="15">
        <f t="shared" si="63"/>
        <v>10</v>
      </c>
      <c r="N347" s="15">
        <f t="shared" ca="1" si="64"/>
        <v>-1.8702551843296398</v>
      </c>
      <c r="O347" s="15">
        <f t="shared" ca="1" si="73"/>
        <v>1.9337389263288587</v>
      </c>
      <c r="P347" s="15">
        <f t="shared" ca="1" si="72"/>
        <v>1.9337389156999389</v>
      </c>
      <c r="Q347" s="15">
        <v>0</v>
      </c>
      <c r="R347" s="15">
        <f t="shared" ca="1" si="65"/>
        <v>1.9337389156999389</v>
      </c>
      <c r="S347" s="15">
        <f t="shared" ca="1" si="74"/>
        <v>11.863207326013642</v>
      </c>
      <c r="T347" s="15">
        <f t="shared" ca="1" si="66"/>
        <v>7.0478774748349328E-3</v>
      </c>
      <c r="U347" s="15">
        <f t="shared" ca="1" si="67"/>
        <v>11.870255203488476</v>
      </c>
      <c r="V347" s="15">
        <f t="shared" ca="1" si="68"/>
        <v>11.87025518432964</v>
      </c>
      <c r="X347" s="15">
        <f t="shared" si="69"/>
        <v>10.5</v>
      </c>
      <c r="Y347" s="15">
        <f t="shared" si="70"/>
        <v>9.5</v>
      </c>
      <c r="Z347" s="15">
        <f t="shared" ca="1" si="71"/>
        <v>0</v>
      </c>
    </row>
    <row r="348" spans="12:26" x14ac:dyDescent="0.3">
      <c r="L348" s="15">
        <v>346</v>
      </c>
      <c r="M348" s="15">
        <f t="shared" si="63"/>
        <v>10</v>
      </c>
      <c r="N348" s="15">
        <f t="shared" ca="1" si="64"/>
        <v>-1.8871193406840607</v>
      </c>
      <c r="O348" s="15">
        <f t="shared" ca="1" si="73"/>
        <v>1.9337389263288587</v>
      </c>
      <c r="P348" s="15">
        <f t="shared" ca="1" si="72"/>
        <v>1.9337389156999389</v>
      </c>
      <c r="Q348" s="15">
        <v>0</v>
      </c>
      <c r="R348" s="15">
        <f t="shared" ca="1" si="65"/>
        <v>1.9337389156999389</v>
      </c>
      <c r="S348" s="15">
        <f t="shared" ca="1" si="74"/>
        <v>11.883477518675884</v>
      </c>
      <c r="T348" s="15">
        <f t="shared" ca="1" si="66"/>
        <v>3.6418333605344379E-3</v>
      </c>
      <c r="U348" s="15">
        <f t="shared" ca="1" si="67"/>
        <v>11.887119352036418</v>
      </c>
      <c r="V348" s="15">
        <f t="shared" ca="1" si="68"/>
        <v>11.887119340684061</v>
      </c>
      <c r="X348" s="15">
        <f t="shared" si="69"/>
        <v>10.5</v>
      </c>
      <c r="Y348" s="15">
        <f t="shared" si="70"/>
        <v>9.5</v>
      </c>
      <c r="Z348" s="15">
        <f t="shared" ca="1" si="71"/>
        <v>0</v>
      </c>
    </row>
    <row r="349" spans="12:26" x14ac:dyDescent="0.3">
      <c r="L349" s="15">
        <v>347</v>
      </c>
      <c r="M349" s="15">
        <f t="shared" si="63"/>
        <v>10</v>
      </c>
      <c r="N349" s="15">
        <f t="shared" ca="1" si="64"/>
        <v>-1.8951670387515716</v>
      </c>
      <c r="O349" s="15">
        <f t="shared" ca="1" si="73"/>
        <v>1.9337389263288587</v>
      </c>
      <c r="P349" s="15">
        <f t="shared" ca="1" si="72"/>
        <v>1.9337389156999389</v>
      </c>
      <c r="Q349" s="15">
        <v>0</v>
      </c>
      <c r="R349" s="15">
        <f t="shared" ca="1" si="65"/>
        <v>1.9337389156999389</v>
      </c>
      <c r="S349" s="15">
        <f t="shared" ca="1" si="74"/>
        <v>11.891576780030448</v>
      </c>
      <c r="T349" s="15">
        <f t="shared" ca="1" si="66"/>
        <v>3.5902755692480684E-3</v>
      </c>
      <c r="U349" s="15">
        <f t="shared" ca="1" si="67"/>
        <v>11.895167055599696</v>
      </c>
      <c r="V349" s="15">
        <f t="shared" ca="1" si="68"/>
        <v>11.895167038751572</v>
      </c>
      <c r="X349" s="15">
        <f t="shared" si="69"/>
        <v>10.5</v>
      </c>
      <c r="Y349" s="15">
        <f t="shared" si="70"/>
        <v>9.5</v>
      </c>
      <c r="Z349" s="15">
        <f t="shared" ca="1" si="71"/>
        <v>0</v>
      </c>
    </row>
    <row r="350" spans="12:26" x14ac:dyDescent="0.3">
      <c r="L350" s="15">
        <v>348</v>
      </c>
      <c r="M350" s="15">
        <f t="shared" si="63"/>
        <v>10</v>
      </c>
      <c r="N350" s="15">
        <f t="shared" ca="1" si="64"/>
        <v>-1.8887899704018594</v>
      </c>
      <c r="O350" s="15">
        <f t="shared" ca="1" si="73"/>
        <v>1.9701794310945215</v>
      </c>
      <c r="P350" s="15">
        <f t="shared" ca="1" si="72"/>
        <v>1.9701794260112055</v>
      </c>
      <c r="Q350" s="15">
        <v>0</v>
      </c>
      <c r="R350" s="15">
        <f t="shared" ca="1" si="65"/>
        <v>1.9701794260112055</v>
      </c>
      <c r="S350" s="15">
        <f t="shared" ca="1" si="74"/>
        <v>11.888274244578525</v>
      </c>
      <c r="T350" s="15">
        <f t="shared" ca="1" si="66"/>
        <v>5.15740620357158E-4</v>
      </c>
      <c r="U350" s="15">
        <f t="shared" ca="1" si="67"/>
        <v>11.888789985198883</v>
      </c>
      <c r="V350" s="15">
        <f t="shared" ca="1" si="68"/>
        <v>11.888789970401859</v>
      </c>
      <c r="X350" s="15">
        <f t="shared" si="69"/>
        <v>10.5</v>
      </c>
      <c r="Y350" s="15">
        <f t="shared" si="70"/>
        <v>9.5</v>
      </c>
      <c r="Z350" s="15">
        <f t="shared" ca="1" si="71"/>
        <v>0</v>
      </c>
    </row>
    <row r="351" spans="12:26" x14ac:dyDescent="0.3">
      <c r="L351" s="15">
        <v>349</v>
      </c>
      <c r="M351" s="15">
        <f t="shared" si="63"/>
        <v>10</v>
      </c>
      <c r="N351" s="15">
        <f t="shared" ca="1" si="64"/>
        <v>-1.8809379432073197</v>
      </c>
      <c r="O351" s="15">
        <f t="shared" ca="1" si="73"/>
        <v>1.9701794310945215</v>
      </c>
      <c r="P351" s="15">
        <f t="shared" ca="1" si="72"/>
        <v>1.9701794260112055</v>
      </c>
      <c r="Q351" s="15">
        <v>0</v>
      </c>
      <c r="R351" s="15">
        <f t="shared" ca="1" si="65"/>
        <v>1.9701794260112055</v>
      </c>
      <c r="S351" s="15">
        <f t="shared" ca="1" si="74"/>
        <v>11.874322447495926</v>
      </c>
      <c r="T351" s="15">
        <f t="shared" ca="1" si="66"/>
        <v>6.6154985192126347E-3</v>
      </c>
      <c r="U351" s="15">
        <f t="shared" ca="1" si="67"/>
        <v>11.880937946015139</v>
      </c>
      <c r="V351" s="15">
        <f t="shared" ca="1" si="68"/>
        <v>11.88093794320732</v>
      </c>
      <c r="X351" s="15">
        <f t="shared" si="69"/>
        <v>10.5</v>
      </c>
      <c r="Y351" s="15">
        <f t="shared" si="70"/>
        <v>9.5</v>
      </c>
      <c r="Z351" s="15">
        <f t="shared" ca="1" si="71"/>
        <v>0</v>
      </c>
    </row>
    <row r="352" spans="12:26" x14ac:dyDescent="0.3">
      <c r="L352" s="15">
        <v>350</v>
      </c>
      <c r="M352" s="15">
        <f t="shared" si="63"/>
        <v>10</v>
      </c>
      <c r="N352" s="15">
        <f t="shared" ca="1" si="64"/>
        <v>-1.8540499619799782</v>
      </c>
      <c r="O352" s="15">
        <f t="shared" ca="1" si="73"/>
        <v>1.9701794310945215</v>
      </c>
      <c r="P352" s="15">
        <f t="shared" ca="1" si="72"/>
        <v>1.9701794260112055</v>
      </c>
      <c r="Q352" s="15">
        <v>0</v>
      </c>
      <c r="R352" s="15">
        <f t="shared" ca="1" si="65"/>
        <v>1.9701794260112055</v>
      </c>
      <c r="S352" s="15">
        <f t="shared" ca="1" si="74"/>
        <v>11.851132175903915</v>
      </c>
      <c r="T352" s="15">
        <f t="shared" ca="1" si="66"/>
        <v>2.9177932549825846E-3</v>
      </c>
      <c r="U352" s="15">
        <f t="shared" ca="1" si="67"/>
        <v>11.854049969158897</v>
      </c>
      <c r="V352" s="15">
        <f t="shared" ca="1" si="68"/>
        <v>11.854049961979978</v>
      </c>
      <c r="X352" s="15">
        <f t="shared" si="69"/>
        <v>10.5</v>
      </c>
      <c r="Y352" s="15">
        <f t="shared" si="70"/>
        <v>9.5</v>
      </c>
      <c r="Z352" s="15">
        <f t="shared" ca="1" si="71"/>
        <v>0</v>
      </c>
    </row>
    <row r="353" spans="12:26" x14ac:dyDescent="0.3">
      <c r="L353" s="15">
        <v>351</v>
      </c>
      <c r="M353" s="15">
        <f t="shared" si="63"/>
        <v>10</v>
      </c>
      <c r="N353" s="15">
        <f t="shared" ca="1" si="64"/>
        <v>-1.8219209396797051</v>
      </c>
      <c r="O353" s="15">
        <f t="shared" ca="1" si="73"/>
        <v>1.9970257123112418</v>
      </c>
      <c r="P353" s="15">
        <f t="shared" ca="1" si="72"/>
        <v>1.9970257072702575</v>
      </c>
      <c r="Q353" s="15">
        <v>0</v>
      </c>
      <c r="R353" s="15">
        <f t="shared" ca="1" si="65"/>
        <v>1.9970257072702575</v>
      </c>
      <c r="S353" s="15">
        <f t="shared" ca="1" si="74"/>
        <v>11.819160809253477</v>
      </c>
      <c r="T353" s="15">
        <f t="shared" ca="1" si="66"/>
        <v>2.7601398859869774E-3</v>
      </c>
      <c r="U353" s="15">
        <f t="shared" ca="1" si="67"/>
        <v>11.821920949139464</v>
      </c>
      <c r="V353" s="15">
        <f t="shared" ca="1" si="68"/>
        <v>11.821920939679705</v>
      </c>
      <c r="X353" s="15">
        <f t="shared" si="69"/>
        <v>10.5</v>
      </c>
      <c r="Y353" s="15">
        <f t="shared" si="70"/>
        <v>9.5</v>
      </c>
      <c r="Z353" s="15">
        <f t="shared" ca="1" si="71"/>
        <v>0</v>
      </c>
    </row>
    <row r="354" spans="12:26" x14ac:dyDescent="0.3">
      <c r="L354" s="15">
        <v>352</v>
      </c>
      <c r="M354" s="15">
        <f t="shared" si="63"/>
        <v>10</v>
      </c>
      <c r="N354" s="15">
        <f t="shared" ca="1" si="64"/>
        <v>-1.786276570471534</v>
      </c>
      <c r="O354" s="15">
        <f t="shared" ca="1" si="73"/>
        <v>1.9970257123112418</v>
      </c>
      <c r="P354" s="15">
        <f t="shared" ca="1" si="72"/>
        <v>1.9970257072702575</v>
      </c>
      <c r="Q354" s="15">
        <v>0</v>
      </c>
      <c r="R354" s="15">
        <f t="shared" ca="1" si="65"/>
        <v>1.9970257072702575</v>
      </c>
      <c r="S354" s="15">
        <f t="shared" ca="1" si="74"/>
        <v>11.778880795395573</v>
      </c>
      <c r="T354" s="15">
        <f t="shared" ca="1" si="66"/>
        <v>7.3957831496921523E-3</v>
      </c>
      <c r="U354" s="15">
        <f t="shared" ca="1" si="67"/>
        <v>11.786276578545264</v>
      </c>
      <c r="V354" s="15">
        <f t="shared" ca="1" si="68"/>
        <v>11.786276570471534</v>
      </c>
      <c r="X354" s="15">
        <f t="shared" si="69"/>
        <v>10.5</v>
      </c>
      <c r="Y354" s="15">
        <f t="shared" si="70"/>
        <v>9.5</v>
      </c>
      <c r="Z354" s="15">
        <f t="shared" ca="1" si="71"/>
        <v>0</v>
      </c>
    </row>
    <row r="355" spans="12:26" x14ac:dyDescent="0.3">
      <c r="L355" s="15">
        <v>353</v>
      </c>
      <c r="M355" s="15">
        <f t="shared" si="63"/>
        <v>10</v>
      </c>
      <c r="N355" s="15">
        <f t="shared" ca="1" si="64"/>
        <v>-1.7396184503425882</v>
      </c>
      <c r="O355" s="15">
        <f t="shared" ca="1" si="73"/>
        <v>1.9970257123112418</v>
      </c>
      <c r="P355" s="15">
        <f t="shared" ca="1" si="72"/>
        <v>1.9970257072702575</v>
      </c>
      <c r="Q355" s="15">
        <v>0</v>
      </c>
      <c r="R355" s="15">
        <f t="shared" ca="1" si="65"/>
        <v>1.9970257072702575</v>
      </c>
      <c r="S355" s="15">
        <f t="shared" ca="1" si="74"/>
        <v>11.731517170939149</v>
      </c>
      <c r="T355" s="15">
        <f t="shared" ca="1" si="66"/>
        <v>8.1012960161678336E-3</v>
      </c>
      <c r="U355" s="15">
        <f t="shared" ca="1" si="67"/>
        <v>11.739618466955317</v>
      </c>
      <c r="V355" s="15">
        <f t="shared" ca="1" si="68"/>
        <v>11.739618450342588</v>
      </c>
      <c r="X355" s="15">
        <f t="shared" si="69"/>
        <v>10.5</v>
      </c>
      <c r="Y355" s="15">
        <f t="shared" si="70"/>
        <v>9.5</v>
      </c>
      <c r="Z355" s="15">
        <f t="shared" ca="1" si="71"/>
        <v>0</v>
      </c>
    </row>
    <row r="356" spans="12:26" x14ac:dyDescent="0.3">
      <c r="L356" s="15">
        <v>354</v>
      </c>
      <c r="M356" s="15">
        <f t="shared" si="63"/>
        <v>10</v>
      </c>
      <c r="N356" s="15">
        <f t="shared" ca="1" si="64"/>
        <v>-1.6778998662899003</v>
      </c>
      <c r="O356" s="15">
        <f t="shared" ca="1" si="73"/>
        <v>2.0348788541179319</v>
      </c>
      <c r="P356" s="15">
        <f t="shared" ca="1" si="72"/>
        <v>2.0348788476630295</v>
      </c>
      <c r="Q356" s="15">
        <v>0</v>
      </c>
      <c r="R356" s="15">
        <f t="shared" ca="1" si="65"/>
        <v>2.0348788476630295</v>
      </c>
      <c r="S356" s="15">
        <f t="shared" ca="1" si="74"/>
        <v>11.677472005865253</v>
      </c>
      <c r="T356" s="15">
        <f t="shared" ca="1" si="66"/>
        <v>4.2786874873044004E-4</v>
      </c>
      <c r="U356" s="15">
        <f t="shared" ca="1" si="67"/>
        <v>11.677899874613983</v>
      </c>
      <c r="V356" s="15">
        <f t="shared" ca="1" si="68"/>
        <v>11.6778998662899</v>
      </c>
      <c r="X356" s="15">
        <f t="shared" si="69"/>
        <v>10.5</v>
      </c>
      <c r="Y356" s="15">
        <f t="shared" si="70"/>
        <v>9.5</v>
      </c>
      <c r="Z356" s="15">
        <f t="shared" ca="1" si="71"/>
        <v>0</v>
      </c>
    </row>
    <row r="357" spans="12:26" x14ac:dyDescent="0.3">
      <c r="L357" s="15">
        <v>355</v>
      </c>
      <c r="M357" s="15">
        <f t="shared" si="63"/>
        <v>10</v>
      </c>
      <c r="N357" s="15">
        <f t="shared" ca="1" si="64"/>
        <v>-1.621196803548651</v>
      </c>
      <c r="O357" s="15">
        <f t="shared" ca="1" si="73"/>
        <v>2.0348788541179319</v>
      </c>
      <c r="P357" s="15">
        <f t="shared" ca="1" si="72"/>
        <v>2.0348788476630295</v>
      </c>
      <c r="Q357" s="15">
        <v>0</v>
      </c>
      <c r="R357" s="15">
        <f t="shared" ca="1" si="65"/>
        <v>2.0348788476630295</v>
      </c>
      <c r="S357" s="15">
        <f t="shared" ca="1" si="74"/>
        <v>11.617155448095309</v>
      </c>
      <c r="T357" s="15">
        <f t="shared" ca="1" si="66"/>
        <v>4.0413619829909354E-3</v>
      </c>
      <c r="U357" s="15">
        <f t="shared" ca="1" si="67"/>
        <v>11.621196810078299</v>
      </c>
      <c r="V357" s="15">
        <f t="shared" ca="1" si="68"/>
        <v>11.621196803548651</v>
      </c>
      <c r="X357" s="15">
        <f t="shared" si="69"/>
        <v>10.5</v>
      </c>
      <c r="Y357" s="15">
        <f t="shared" si="70"/>
        <v>9.5</v>
      </c>
      <c r="Z357" s="15">
        <f t="shared" ca="1" si="71"/>
        <v>0</v>
      </c>
    </row>
    <row r="358" spans="12:26" x14ac:dyDescent="0.3">
      <c r="L358" s="15">
        <v>356</v>
      </c>
      <c r="M358" s="15">
        <f t="shared" si="63"/>
        <v>10</v>
      </c>
      <c r="N358" s="15">
        <f t="shared" ca="1" si="64"/>
        <v>-1.5520266610086022</v>
      </c>
      <c r="O358" s="15">
        <f t="shared" ca="1" si="73"/>
        <v>2.0348788541179319</v>
      </c>
      <c r="P358" s="15">
        <f t="shared" ca="1" si="72"/>
        <v>2.0348788476630295</v>
      </c>
      <c r="Q358" s="15">
        <v>0</v>
      </c>
      <c r="R358" s="15">
        <f t="shared" ca="1" si="65"/>
        <v>2.0348788476630295</v>
      </c>
      <c r="S358" s="15">
        <f t="shared" ca="1" si="74"/>
        <v>11.551618679742718</v>
      </c>
      <c r="T358" s="15">
        <f t="shared" ca="1" si="66"/>
        <v>4.0799759048057552E-4</v>
      </c>
      <c r="U358" s="15">
        <f t="shared" ca="1" si="67"/>
        <v>11.552026677333199</v>
      </c>
      <c r="V358" s="15">
        <f t="shared" ca="1" si="68"/>
        <v>11.552026661008602</v>
      </c>
      <c r="X358" s="15">
        <f t="shared" si="69"/>
        <v>10.5</v>
      </c>
      <c r="Y358" s="15">
        <f t="shared" si="70"/>
        <v>9.5</v>
      </c>
      <c r="Z358" s="15">
        <f t="shared" ca="1" si="71"/>
        <v>0</v>
      </c>
    </row>
    <row r="359" spans="12:26" x14ac:dyDescent="0.3">
      <c r="L359" s="15">
        <v>357</v>
      </c>
      <c r="M359" s="15">
        <f t="shared" si="63"/>
        <v>10</v>
      </c>
      <c r="N359" s="15">
        <f t="shared" ca="1" si="64"/>
        <v>-1.4884532549158802</v>
      </c>
      <c r="O359" s="15">
        <f t="shared" ca="1" si="73"/>
        <v>2.065146736311219</v>
      </c>
      <c r="P359" s="15">
        <f t="shared" ca="1" si="72"/>
        <v>2.0651467149297584</v>
      </c>
      <c r="Q359" s="15">
        <v>0</v>
      </c>
      <c r="R359" s="15">
        <f t="shared" ca="1" si="65"/>
        <v>2.0651467149297584</v>
      </c>
      <c r="S359" s="15">
        <f t="shared" ca="1" si="74"/>
        <v>11.481131531335517</v>
      </c>
      <c r="T359" s="15">
        <f t="shared" ca="1" si="66"/>
        <v>7.321741829934965E-3</v>
      </c>
      <c r="U359" s="15">
        <f t="shared" ca="1" si="67"/>
        <v>11.488453273165453</v>
      </c>
      <c r="V359" s="15">
        <f t="shared" ca="1" si="68"/>
        <v>11.48845325491588</v>
      </c>
      <c r="X359" s="15">
        <f t="shared" si="69"/>
        <v>10.5</v>
      </c>
      <c r="Y359" s="15">
        <f t="shared" si="70"/>
        <v>9.5</v>
      </c>
      <c r="Z359" s="15">
        <f t="shared" ca="1" si="71"/>
        <v>0</v>
      </c>
    </row>
    <row r="360" spans="12:26" x14ac:dyDescent="0.3">
      <c r="L360" s="15">
        <v>358</v>
      </c>
      <c r="M360" s="15">
        <f t="shared" si="63"/>
        <v>10</v>
      </c>
      <c r="N360" s="15">
        <f t="shared" ca="1" si="64"/>
        <v>-1.4066217121217921</v>
      </c>
      <c r="O360" s="15">
        <f t="shared" ca="1" si="73"/>
        <v>2.065146736311219</v>
      </c>
      <c r="P360" s="15">
        <f t="shared" ca="1" si="72"/>
        <v>2.0651467149297584</v>
      </c>
      <c r="Q360" s="15">
        <v>0</v>
      </c>
      <c r="R360" s="15">
        <f t="shared" ca="1" si="65"/>
        <v>2.0651467149297584</v>
      </c>
      <c r="S360" s="15">
        <f t="shared" ca="1" si="74"/>
        <v>11.405980161729701</v>
      </c>
      <c r="T360" s="15">
        <f t="shared" ca="1" si="66"/>
        <v>6.4156265365374998E-4</v>
      </c>
      <c r="U360" s="15">
        <f t="shared" ca="1" si="67"/>
        <v>11.406621724383355</v>
      </c>
      <c r="V360" s="15">
        <f t="shared" ca="1" si="68"/>
        <v>11.406621712121792</v>
      </c>
      <c r="X360" s="15">
        <f t="shared" si="69"/>
        <v>10.5</v>
      </c>
      <c r="Y360" s="15">
        <f t="shared" si="70"/>
        <v>9.5</v>
      </c>
      <c r="Z360" s="15">
        <f t="shared" ca="1" si="71"/>
        <v>0</v>
      </c>
    </row>
    <row r="361" spans="12:26" x14ac:dyDescent="0.3">
      <c r="L361" s="15">
        <v>359</v>
      </c>
      <c r="M361" s="15">
        <f t="shared" si="63"/>
        <v>10</v>
      </c>
      <c r="N361" s="15">
        <f t="shared" ca="1" si="64"/>
        <v>-1.3330853430864131</v>
      </c>
      <c r="O361" s="15">
        <f t="shared" ca="1" si="73"/>
        <v>2.065146736311219</v>
      </c>
      <c r="P361" s="15">
        <f t="shared" ca="1" si="72"/>
        <v>2.0651467149297584</v>
      </c>
      <c r="Q361" s="15">
        <v>0</v>
      </c>
      <c r="R361" s="15">
        <f t="shared" ca="1" si="65"/>
        <v>2.0651467149297584</v>
      </c>
      <c r="S361" s="15">
        <f t="shared" ca="1" si="74"/>
        <v>11.327074490330068</v>
      </c>
      <c r="T361" s="15">
        <f t="shared" ca="1" si="66"/>
        <v>6.0108607804987869E-3</v>
      </c>
      <c r="U361" s="15">
        <f t="shared" ca="1" si="67"/>
        <v>11.333085351110567</v>
      </c>
      <c r="V361" s="15">
        <f t="shared" ca="1" si="68"/>
        <v>11.333085343086413</v>
      </c>
      <c r="X361" s="15">
        <f t="shared" si="69"/>
        <v>10.5</v>
      </c>
      <c r="Y361" s="15">
        <f t="shared" si="70"/>
        <v>9.5</v>
      </c>
      <c r="Z361" s="15">
        <f t="shared" ca="1" si="71"/>
        <v>0</v>
      </c>
    </row>
    <row r="362" spans="12:26" x14ac:dyDescent="0.3">
      <c r="L362" s="15">
        <v>360</v>
      </c>
      <c r="M362" s="15">
        <f t="shared" si="63"/>
        <v>10</v>
      </c>
      <c r="N362" s="15">
        <f t="shared" ca="1" si="64"/>
        <v>-1.2521027241023504</v>
      </c>
      <c r="O362" s="15">
        <f t="shared" ca="1" si="73"/>
        <v>2.1089249066364544</v>
      </c>
      <c r="P362" s="15">
        <f t="shared" ca="1" si="72"/>
        <v>2.1089249062605493</v>
      </c>
      <c r="Q362" s="15">
        <v>0</v>
      </c>
      <c r="R362" s="15">
        <f t="shared" ca="1" si="65"/>
        <v>2.1089249062605493</v>
      </c>
      <c r="S362" s="15">
        <f t="shared" ca="1" si="74"/>
        <v>11.244562921298281</v>
      </c>
      <c r="T362" s="15">
        <f t="shared" ca="1" si="66"/>
        <v>7.5398167040132092E-3</v>
      </c>
      <c r="U362" s="15">
        <f t="shared" ca="1" si="67"/>
        <v>11.252102738002293</v>
      </c>
      <c r="V362" s="15">
        <f t="shared" ca="1" si="68"/>
        <v>11.25210272410235</v>
      </c>
      <c r="X362" s="15">
        <f t="shared" si="69"/>
        <v>10.5</v>
      </c>
      <c r="Y362" s="15">
        <f t="shared" si="70"/>
        <v>9.5</v>
      </c>
      <c r="Z362" s="15">
        <f t="shared" ca="1" si="71"/>
        <v>0</v>
      </c>
    </row>
    <row r="363" spans="12:26" x14ac:dyDescent="0.3">
      <c r="L363" s="15">
        <v>361</v>
      </c>
      <c r="M363" s="15">
        <f t="shared" si="63"/>
        <v>10</v>
      </c>
      <c r="N363" s="15">
        <f t="shared" ca="1" si="64"/>
        <v>-1.1590075332575971</v>
      </c>
      <c r="O363" s="15">
        <f t="shared" ca="1" si="73"/>
        <v>2.1089249066364544</v>
      </c>
      <c r="P363" s="15">
        <f t="shared" ca="1" si="72"/>
        <v>2.1089249062605493</v>
      </c>
      <c r="Q363" s="15">
        <v>0</v>
      </c>
      <c r="R363" s="15">
        <f t="shared" ca="1" si="65"/>
        <v>2.1089249062605493</v>
      </c>
      <c r="S363" s="15">
        <f t="shared" ca="1" si="74"/>
        <v>11.158619555300847</v>
      </c>
      <c r="T363" s="15">
        <f t="shared" ca="1" si="66"/>
        <v>3.8798598687280752E-4</v>
      </c>
      <c r="U363" s="15">
        <f t="shared" ca="1" si="67"/>
        <v>11.159007541287719</v>
      </c>
      <c r="V363" s="15">
        <f t="shared" ca="1" si="68"/>
        <v>11.159007533257597</v>
      </c>
      <c r="X363" s="15">
        <f t="shared" si="69"/>
        <v>10.5</v>
      </c>
      <c r="Y363" s="15">
        <f t="shared" si="70"/>
        <v>9.5</v>
      </c>
      <c r="Z363" s="15">
        <f t="shared" ca="1" si="71"/>
        <v>0</v>
      </c>
    </row>
    <row r="364" spans="12:26" x14ac:dyDescent="0.3">
      <c r="L364" s="15">
        <v>362</v>
      </c>
      <c r="M364" s="15">
        <f t="shared" si="63"/>
        <v>10</v>
      </c>
      <c r="N364" s="15">
        <f t="shared" ca="1" si="64"/>
        <v>-1.0777673104493335</v>
      </c>
      <c r="O364" s="15">
        <f t="shared" ca="1" si="73"/>
        <v>2.1089249066364544</v>
      </c>
      <c r="P364" s="15">
        <f t="shared" ca="1" si="72"/>
        <v>2.1089249062605493</v>
      </c>
      <c r="Q364" s="15">
        <v>0</v>
      </c>
      <c r="R364" s="15">
        <f t="shared" ca="1" si="65"/>
        <v>2.1089249062605493</v>
      </c>
      <c r="S364" s="15">
        <f t="shared" ca="1" si="74"/>
        <v>11.070043518479286</v>
      </c>
      <c r="T364" s="15">
        <f t="shared" ca="1" si="66"/>
        <v>7.7238061082644813E-3</v>
      </c>
      <c r="U364" s="15">
        <f t="shared" ca="1" si="67"/>
        <v>11.077767324587551</v>
      </c>
      <c r="V364" s="15">
        <f t="shared" ca="1" si="68"/>
        <v>11.077767310449333</v>
      </c>
      <c r="X364" s="15">
        <f t="shared" si="69"/>
        <v>10.5</v>
      </c>
      <c r="Y364" s="15">
        <f t="shared" si="70"/>
        <v>9.5</v>
      </c>
      <c r="Z364" s="15">
        <f t="shared" ca="1" si="71"/>
        <v>0</v>
      </c>
    </row>
    <row r="365" spans="12:26" x14ac:dyDescent="0.3">
      <c r="L365" s="15">
        <v>363</v>
      </c>
      <c r="M365" s="15">
        <f t="shared" si="63"/>
        <v>10</v>
      </c>
      <c r="N365" s="15">
        <f t="shared" ca="1" si="64"/>
        <v>-0.98879673774093213</v>
      </c>
      <c r="O365" s="15">
        <f t="shared" ca="1" si="73"/>
        <v>2.1504916991575995</v>
      </c>
      <c r="P365" s="15">
        <f t="shared" ca="1" si="72"/>
        <v>2.1504916954204654</v>
      </c>
      <c r="Q365" s="15">
        <v>0</v>
      </c>
      <c r="R365" s="15">
        <f t="shared" ca="1" si="65"/>
        <v>2.1504916954204654</v>
      </c>
      <c r="S365" s="15">
        <f t="shared" ca="1" si="74"/>
        <v>10.978916197888745</v>
      </c>
      <c r="T365" s="15">
        <f t="shared" ca="1" si="66"/>
        <v>9.8805612594226582E-3</v>
      </c>
      <c r="U365" s="15">
        <f t="shared" ca="1" si="67"/>
        <v>10.988796759148167</v>
      </c>
      <c r="V365" s="15">
        <f t="shared" ca="1" si="68"/>
        <v>10.988796737740932</v>
      </c>
      <c r="X365" s="15">
        <f t="shared" si="69"/>
        <v>10.5</v>
      </c>
      <c r="Y365" s="15">
        <f t="shared" si="70"/>
        <v>9.5</v>
      </c>
      <c r="Z365" s="15">
        <f t="shared" ca="1" si="71"/>
        <v>0</v>
      </c>
    </row>
    <row r="366" spans="12:26" x14ac:dyDescent="0.3">
      <c r="L366" s="15">
        <v>364</v>
      </c>
      <c r="M366" s="15">
        <f t="shared" si="63"/>
        <v>10</v>
      </c>
      <c r="N366" s="15">
        <f t="shared" ca="1" si="64"/>
        <v>-0.89458910536360747</v>
      </c>
      <c r="O366" s="15">
        <f t="shared" ca="1" si="73"/>
        <v>2.1504916991575995</v>
      </c>
      <c r="P366" s="15">
        <f t="shared" ca="1" si="72"/>
        <v>2.1504916954204654</v>
      </c>
      <c r="Q366" s="15">
        <v>0</v>
      </c>
      <c r="R366" s="15">
        <f t="shared" ca="1" si="65"/>
        <v>2.1504916954204654</v>
      </c>
      <c r="S366" s="15">
        <f t="shared" ca="1" si="74"/>
        <v>10.885347198984615</v>
      </c>
      <c r="T366" s="15">
        <f t="shared" ca="1" si="66"/>
        <v>9.2419210662135626E-3</v>
      </c>
      <c r="U366" s="15">
        <f t="shared" ca="1" si="67"/>
        <v>10.894589120050828</v>
      </c>
      <c r="V366" s="15">
        <f t="shared" ca="1" si="68"/>
        <v>10.894589105363607</v>
      </c>
      <c r="X366" s="15">
        <f t="shared" si="69"/>
        <v>10.5</v>
      </c>
      <c r="Y366" s="15">
        <f t="shared" si="70"/>
        <v>9.5</v>
      </c>
      <c r="Z366" s="15">
        <f t="shared" ca="1" si="71"/>
        <v>0</v>
      </c>
    </row>
    <row r="367" spans="12:26" x14ac:dyDescent="0.3">
      <c r="L367" s="15">
        <v>365</v>
      </c>
      <c r="M367" s="15">
        <f t="shared" si="63"/>
        <v>10</v>
      </c>
      <c r="N367" s="15">
        <f t="shared" ca="1" si="64"/>
        <v>-0.79184732185486872</v>
      </c>
      <c r="O367" s="15">
        <f t="shared" ca="1" si="73"/>
        <v>2.1504916991575995</v>
      </c>
      <c r="P367" s="15">
        <f t="shared" ca="1" si="72"/>
        <v>2.1504916954204654</v>
      </c>
      <c r="Q367" s="15">
        <v>0</v>
      </c>
      <c r="R367" s="15">
        <f t="shared" ca="1" si="65"/>
        <v>2.1504916954204654</v>
      </c>
      <c r="S367" s="15">
        <f t="shared" ca="1" si="74"/>
        <v>10.790042219501522</v>
      </c>
      <c r="T367" s="15">
        <f t="shared" ca="1" si="66"/>
        <v>1.8051151855208913E-3</v>
      </c>
      <c r="U367" s="15">
        <f t="shared" ca="1" si="67"/>
        <v>10.791847334687043</v>
      </c>
      <c r="V367" s="15">
        <f t="shared" ca="1" si="68"/>
        <v>10.791847321854869</v>
      </c>
      <c r="X367" s="15">
        <f t="shared" si="69"/>
        <v>10.5</v>
      </c>
      <c r="Y367" s="15">
        <f t="shared" si="70"/>
        <v>9.5</v>
      </c>
      <c r="Z367" s="15">
        <f t="shared" ca="1" si="71"/>
        <v>0</v>
      </c>
    </row>
    <row r="368" spans="12:26" x14ac:dyDescent="0.3">
      <c r="L368" s="15">
        <v>366</v>
      </c>
      <c r="M368" s="15">
        <f t="shared" si="63"/>
        <v>10</v>
      </c>
      <c r="N368" s="15">
        <f t="shared" ca="1" si="64"/>
        <v>-0.70328424933908629</v>
      </c>
      <c r="O368" s="15">
        <f t="shared" ca="1" si="73"/>
        <v>2.1985946895119484</v>
      </c>
      <c r="P368" s="15">
        <f t="shared" ca="1" si="72"/>
        <v>2.1985946693920053</v>
      </c>
      <c r="Q368" s="15">
        <v>0</v>
      </c>
      <c r="R368" s="15">
        <f t="shared" ca="1" si="65"/>
        <v>2.1985946693920053</v>
      </c>
      <c r="S368" s="15">
        <f t="shared" ca="1" si="74"/>
        <v>10.693772152654718</v>
      </c>
      <c r="T368" s="15">
        <f t="shared" ca="1" si="66"/>
        <v>9.5121110829869855E-3</v>
      </c>
      <c r="U368" s="15">
        <f t="shared" ca="1" si="67"/>
        <v>10.703284263737705</v>
      </c>
      <c r="V368" s="15">
        <f t="shared" ca="1" si="68"/>
        <v>10.703284249339086</v>
      </c>
      <c r="X368" s="15">
        <f t="shared" si="69"/>
        <v>10.5</v>
      </c>
      <c r="Y368" s="15">
        <f t="shared" si="70"/>
        <v>9.5</v>
      </c>
      <c r="Z368" s="15">
        <f t="shared" ca="1" si="71"/>
        <v>0</v>
      </c>
    </row>
    <row r="369" spans="12:26" x14ac:dyDescent="0.3">
      <c r="L369" s="15">
        <v>367</v>
      </c>
      <c r="M369" s="15">
        <f t="shared" si="63"/>
        <v>10</v>
      </c>
      <c r="N369" s="15">
        <f t="shared" ca="1" si="64"/>
        <v>-0.6022256218367783</v>
      </c>
      <c r="O369" s="15">
        <f t="shared" ca="1" si="73"/>
        <v>2.1985946895119484</v>
      </c>
      <c r="P369" s="15">
        <f t="shared" ca="1" si="72"/>
        <v>2.1985946693920053</v>
      </c>
      <c r="Q369" s="15">
        <v>0</v>
      </c>
      <c r="R369" s="15">
        <f t="shared" ca="1" si="65"/>
        <v>2.1985946693920053</v>
      </c>
      <c r="S369" s="15">
        <f t="shared" ca="1" si="74"/>
        <v>10.597207596851813</v>
      </c>
      <c r="T369" s="15">
        <f t="shared" ca="1" si="66"/>
        <v>5.0180425900691709E-3</v>
      </c>
      <c r="U369" s="15">
        <f t="shared" ca="1" si="67"/>
        <v>10.602225639441883</v>
      </c>
      <c r="V369" s="15">
        <f t="shared" ca="1" si="68"/>
        <v>10.602225621836778</v>
      </c>
      <c r="X369" s="15">
        <f t="shared" si="69"/>
        <v>10.5</v>
      </c>
      <c r="Y369" s="15">
        <f t="shared" si="70"/>
        <v>9.5</v>
      </c>
      <c r="Z369" s="15">
        <f t="shared" ca="1" si="71"/>
        <v>0</v>
      </c>
    </row>
    <row r="370" spans="12:26" x14ac:dyDescent="0.3">
      <c r="L370" s="15">
        <v>368</v>
      </c>
      <c r="M370" s="15">
        <f t="shared" si="63"/>
        <v>10</v>
      </c>
      <c r="N370" s="15">
        <f t="shared" ca="1" si="64"/>
        <v>-0.50372417329431585</v>
      </c>
      <c r="O370" s="15">
        <f t="shared" ca="1" si="73"/>
        <v>2.1985946895119484</v>
      </c>
      <c r="P370" s="15">
        <f t="shared" ca="1" si="72"/>
        <v>2.1985946693920053</v>
      </c>
      <c r="Q370" s="15">
        <v>0</v>
      </c>
      <c r="R370" s="15">
        <f t="shared" ca="1" si="65"/>
        <v>2.1985946693920053</v>
      </c>
      <c r="S370" s="15">
        <f t="shared" ca="1" si="74"/>
        <v>10.50079436388107</v>
      </c>
      <c r="T370" s="15">
        <f t="shared" ca="1" si="66"/>
        <v>2.9298215722833401E-3</v>
      </c>
      <c r="U370" s="15">
        <f t="shared" ca="1" si="67"/>
        <v>10.503724185453354</v>
      </c>
      <c r="V370" s="15">
        <f t="shared" ca="1" si="68"/>
        <v>10.503724173294316</v>
      </c>
      <c r="X370" s="15">
        <f t="shared" si="69"/>
        <v>10.5</v>
      </c>
      <c r="Y370" s="15">
        <f t="shared" si="70"/>
        <v>9.5</v>
      </c>
      <c r="Z370" s="15">
        <f t="shared" ca="1" si="71"/>
        <v>0</v>
      </c>
    </row>
    <row r="371" spans="12:26" x14ac:dyDescent="0.3">
      <c r="L371" s="15">
        <v>369</v>
      </c>
      <c r="M371" s="15">
        <f t="shared" si="63"/>
        <v>10</v>
      </c>
      <c r="N371" s="15">
        <f t="shared" ca="1" si="64"/>
        <v>-0.40780130084785604</v>
      </c>
      <c r="O371" s="15">
        <f t="shared" ca="1" si="73"/>
        <v>2.2468550563467105</v>
      </c>
      <c r="P371" s="15">
        <f t="shared" ca="1" si="72"/>
        <v>2.2468550368786917</v>
      </c>
      <c r="Q371" s="15">
        <v>0</v>
      </c>
      <c r="R371" s="15">
        <f t="shared" ca="1" si="65"/>
        <v>2.2468550368786917</v>
      </c>
      <c r="S371" s="15">
        <f t="shared" ca="1" si="74"/>
        <v>10.4052362672883</v>
      </c>
      <c r="T371" s="15">
        <f t="shared" ca="1" si="66"/>
        <v>2.565050622962829E-3</v>
      </c>
      <c r="U371" s="15">
        <f t="shared" ca="1" si="67"/>
        <v>10.407801317911263</v>
      </c>
      <c r="V371" s="15">
        <f t="shared" ca="1" si="68"/>
        <v>10.407801300847856</v>
      </c>
      <c r="X371" s="15">
        <f t="shared" si="69"/>
        <v>10.5</v>
      </c>
      <c r="Y371" s="15">
        <f t="shared" si="70"/>
        <v>9.5</v>
      </c>
      <c r="Z371" s="15">
        <f t="shared" ca="1" si="71"/>
        <v>1</v>
      </c>
    </row>
    <row r="372" spans="12:26" x14ac:dyDescent="0.3">
      <c r="L372" s="15">
        <v>370</v>
      </c>
      <c r="M372" s="15">
        <f t="shared" si="63"/>
        <v>10</v>
      </c>
      <c r="N372" s="15">
        <f t="shared" ca="1" si="64"/>
        <v>-0.32080520184729444</v>
      </c>
      <c r="O372" s="15">
        <f t="shared" ca="1" si="73"/>
        <v>2.2468550563467105</v>
      </c>
      <c r="P372" s="15">
        <f t="shared" ca="1" si="72"/>
        <v>2.2468550368786917</v>
      </c>
      <c r="Q372" s="15">
        <v>0</v>
      </c>
      <c r="R372" s="15">
        <f t="shared" ca="1" si="65"/>
        <v>2.2468550368786917</v>
      </c>
      <c r="S372" s="15">
        <f t="shared" ca="1" si="74"/>
        <v>10.311130218169538</v>
      </c>
      <c r="T372" s="15">
        <f t="shared" ca="1" si="66"/>
        <v>9.6749846295337977E-3</v>
      </c>
      <c r="U372" s="15">
        <f t="shared" ca="1" si="67"/>
        <v>10.320805202799072</v>
      </c>
      <c r="V372" s="15">
        <f t="shared" ca="1" si="68"/>
        <v>10.320805201847294</v>
      </c>
      <c r="X372" s="15">
        <f t="shared" si="69"/>
        <v>10.5</v>
      </c>
      <c r="Y372" s="15">
        <f t="shared" si="70"/>
        <v>9.5</v>
      </c>
      <c r="Z372" s="15">
        <f t="shared" ca="1" si="71"/>
        <v>1</v>
      </c>
    </row>
    <row r="373" spans="12:26" x14ac:dyDescent="0.3">
      <c r="L373" s="15">
        <v>371</v>
      </c>
      <c r="M373" s="15">
        <f t="shared" si="63"/>
        <v>10</v>
      </c>
      <c r="N373" s="15">
        <f t="shared" ca="1" si="64"/>
        <v>-0.22013048879339614</v>
      </c>
      <c r="O373" s="15">
        <f t="shared" ca="1" si="73"/>
        <v>2.2468550563467105</v>
      </c>
      <c r="P373" s="15">
        <f t="shared" ca="1" si="72"/>
        <v>2.2468550368786917</v>
      </c>
      <c r="Q373" s="15">
        <v>0</v>
      </c>
      <c r="R373" s="15">
        <f t="shared" ca="1" si="65"/>
        <v>2.2468550368786917</v>
      </c>
      <c r="S373" s="15">
        <f t="shared" ca="1" si="74"/>
        <v>10.218689931147173</v>
      </c>
      <c r="T373" s="15">
        <f t="shared" ca="1" si="66"/>
        <v>1.4405600777746353E-3</v>
      </c>
      <c r="U373" s="15">
        <f t="shared" ca="1" si="67"/>
        <v>10.220130491224948</v>
      </c>
      <c r="V373" s="15">
        <f t="shared" ca="1" si="68"/>
        <v>10.220130488793396</v>
      </c>
      <c r="X373" s="15">
        <f t="shared" si="69"/>
        <v>10.5</v>
      </c>
      <c r="Y373" s="15">
        <f t="shared" si="70"/>
        <v>9.5</v>
      </c>
      <c r="Z373" s="15">
        <f t="shared" ca="1" si="71"/>
        <v>1</v>
      </c>
    </row>
    <row r="374" spans="12:26" x14ac:dyDescent="0.3">
      <c r="L374" s="15">
        <v>372</v>
      </c>
      <c r="M374" s="15">
        <f t="shared" si="63"/>
        <v>10</v>
      </c>
      <c r="N374" s="15">
        <f t="shared" ca="1" si="64"/>
        <v>-0.13585203563232362</v>
      </c>
      <c r="O374" s="15">
        <f t="shared" ca="1" si="73"/>
        <v>2.2763480268164642</v>
      </c>
      <c r="P374" s="15">
        <f t="shared" ca="1" si="72"/>
        <v>2.2763480204800954</v>
      </c>
      <c r="Q374" s="15">
        <v>0</v>
      </c>
      <c r="R374" s="15">
        <f t="shared" ca="1" si="65"/>
        <v>2.2763480204800954</v>
      </c>
      <c r="S374" s="15">
        <f t="shared" ca="1" si="74"/>
        <v>10.128327183021581</v>
      </c>
      <c r="T374" s="15">
        <f t="shared" ca="1" si="66"/>
        <v>7.5248626364218807E-3</v>
      </c>
      <c r="U374" s="15">
        <f t="shared" ca="1" si="67"/>
        <v>10.135852045658002</v>
      </c>
      <c r="V374" s="15">
        <f t="shared" ca="1" si="68"/>
        <v>10.135852035632324</v>
      </c>
      <c r="X374" s="15">
        <f t="shared" si="69"/>
        <v>10.5</v>
      </c>
      <c r="Y374" s="15">
        <f t="shared" si="70"/>
        <v>9.5</v>
      </c>
      <c r="Z374" s="15">
        <f t="shared" ca="1" si="71"/>
        <v>1</v>
      </c>
    </row>
    <row r="375" spans="12:26" x14ac:dyDescent="0.3">
      <c r="L375" s="15">
        <v>373</v>
      </c>
      <c r="M375" s="15">
        <f t="shared" si="63"/>
        <v>10</v>
      </c>
      <c r="N375" s="15">
        <f t="shared" ca="1" si="64"/>
        <v>-4.5551091908839325E-2</v>
      </c>
      <c r="O375" s="15">
        <f t="shared" ca="1" si="73"/>
        <v>2.2763480268164642</v>
      </c>
      <c r="P375" s="15">
        <f t="shared" ca="1" si="72"/>
        <v>2.2763480204800954</v>
      </c>
      <c r="Q375" s="15">
        <v>0</v>
      </c>
      <c r="R375" s="15">
        <f t="shared" ca="1" si="65"/>
        <v>2.2763480204800954</v>
      </c>
      <c r="S375" s="15">
        <f t="shared" ca="1" si="74"/>
        <v>10.04038241969265</v>
      </c>
      <c r="T375" s="15">
        <f t="shared" ca="1" si="66"/>
        <v>5.1686794309921368E-3</v>
      </c>
      <c r="U375" s="15">
        <f t="shared" ca="1" si="67"/>
        <v>10.045551099123642</v>
      </c>
      <c r="V375" s="15">
        <f t="shared" ca="1" si="68"/>
        <v>10.045551091908839</v>
      </c>
      <c r="X375" s="15">
        <f t="shared" si="69"/>
        <v>10.5</v>
      </c>
      <c r="Y375" s="15">
        <f t="shared" si="70"/>
        <v>9.5</v>
      </c>
      <c r="Z375" s="15">
        <f t="shared" ca="1" si="71"/>
        <v>1</v>
      </c>
    </row>
    <row r="376" spans="12:26" x14ac:dyDescent="0.3">
      <c r="L376" s="15">
        <v>374</v>
      </c>
      <c r="M376" s="15">
        <f t="shared" si="63"/>
        <v>10</v>
      </c>
      <c r="N376" s="15">
        <f t="shared" ca="1" si="64"/>
        <v>3.9032159847913306E-2</v>
      </c>
      <c r="O376" s="15">
        <f t="shared" ca="1" si="73"/>
        <v>2.2763480268164642</v>
      </c>
      <c r="P376" s="15">
        <f t="shared" ca="1" si="72"/>
        <v>2.2763480204800954</v>
      </c>
      <c r="Q376" s="15">
        <v>0</v>
      </c>
      <c r="R376" s="15">
        <f t="shared" ca="1" si="65"/>
        <v>2.2763480204800954</v>
      </c>
      <c r="S376" s="15">
        <f t="shared" ca="1" si="74"/>
        <v>9.954920683560788</v>
      </c>
      <c r="T376" s="15">
        <f t="shared" ca="1" si="66"/>
        <v>6.0471566126752028E-3</v>
      </c>
      <c r="U376" s="15">
        <f t="shared" ca="1" si="67"/>
        <v>9.9609678401734634</v>
      </c>
      <c r="V376" s="15">
        <f t="shared" ca="1" si="68"/>
        <v>9.9609678401520867</v>
      </c>
      <c r="X376" s="15">
        <f t="shared" si="69"/>
        <v>10.5</v>
      </c>
      <c r="Y376" s="15">
        <f t="shared" si="70"/>
        <v>9.5</v>
      </c>
      <c r="Z376" s="15">
        <f t="shared" ca="1" si="71"/>
        <v>1</v>
      </c>
    </row>
    <row r="377" spans="12:26" x14ac:dyDescent="0.3">
      <c r="L377" s="15">
        <v>375</v>
      </c>
      <c r="M377" s="15">
        <f t="shared" si="63"/>
        <v>10</v>
      </c>
      <c r="N377" s="15">
        <f t="shared" ca="1" si="64"/>
        <v>0.12557852317709006</v>
      </c>
      <c r="O377" s="15">
        <f t="shared" ca="1" si="73"/>
        <v>2.3169934363452906</v>
      </c>
      <c r="P377" s="15">
        <f t="shared" ca="1" si="72"/>
        <v>2.3169934289336656</v>
      </c>
      <c r="Q377" s="15">
        <v>0</v>
      </c>
      <c r="R377" s="15">
        <f t="shared" ca="1" si="65"/>
        <v>2.3169934289336656</v>
      </c>
      <c r="S377" s="15">
        <f t="shared" ca="1" si="74"/>
        <v>9.872315710053492</v>
      </c>
      <c r="T377" s="15">
        <f t="shared" ca="1" si="66"/>
        <v>2.105778080749029E-3</v>
      </c>
      <c r="U377" s="15">
        <f t="shared" ca="1" si="67"/>
        <v>9.8744214881342405</v>
      </c>
      <c r="V377" s="15">
        <f t="shared" ca="1" si="68"/>
        <v>9.8744214768229099</v>
      </c>
      <c r="X377" s="15">
        <f t="shared" si="69"/>
        <v>10.5</v>
      </c>
      <c r="Y377" s="15">
        <f t="shared" si="70"/>
        <v>9.5</v>
      </c>
      <c r="Z377" s="15">
        <f t="shared" ca="1" si="71"/>
        <v>1</v>
      </c>
    </row>
    <row r="378" spans="12:26" x14ac:dyDescent="0.3">
      <c r="L378" s="15">
        <v>376</v>
      </c>
      <c r="M378" s="15">
        <f t="shared" si="63"/>
        <v>10</v>
      </c>
      <c r="N378" s="15">
        <f t="shared" ca="1" si="64"/>
        <v>0.20248374207934461</v>
      </c>
      <c r="O378" s="15">
        <f t="shared" ca="1" si="73"/>
        <v>2.3169934363452906</v>
      </c>
      <c r="P378" s="15">
        <f t="shared" ca="1" si="72"/>
        <v>2.3169934289336656</v>
      </c>
      <c r="Q378" s="15">
        <v>0</v>
      </c>
      <c r="R378" s="15">
        <f t="shared" ca="1" si="65"/>
        <v>2.3169934289336656</v>
      </c>
      <c r="S378" s="15">
        <f t="shared" ca="1" si="74"/>
        <v>9.7928672242712924</v>
      </c>
      <c r="T378" s="15">
        <f t="shared" ca="1" si="66"/>
        <v>4.6490562276988081E-3</v>
      </c>
      <c r="U378" s="15">
        <f t="shared" ca="1" si="67"/>
        <v>9.797516280498991</v>
      </c>
      <c r="V378" s="15">
        <f t="shared" ca="1" si="68"/>
        <v>9.7975162579206554</v>
      </c>
      <c r="X378" s="15">
        <f t="shared" si="69"/>
        <v>10.5</v>
      </c>
      <c r="Y378" s="15">
        <f t="shared" si="70"/>
        <v>9.5</v>
      </c>
      <c r="Z378" s="15">
        <f t="shared" ca="1" si="71"/>
        <v>1</v>
      </c>
    </row>
    <row r="379" spans="12:26" x14ac:dyDescent="0.3">
      <c r="L379" s="15">
        <v>377</v>
      </c>
      <c r="M379" s="15">
        <f t="shared" si="63"/>
        <v>10</v>
      </c>
      <c r="N379" s="15">
        <f t="shared" ca="1" si="64"/>
        <v>0.27869859483993942</v>
      </c>
      <c r="O379" s="15">
        <f t="shared" ca="1" si="73"/>
        <v>2.3169934363452906</v>
      </c>
      <c r="P379" s="15">
        <f t="shared" ca="1" si="72"/>
        <v>2.3169934289336656</v>
      </c>
      <c r="Q379" s="15">
        <v>0</v>
      </c>
      <c r="R379" s="15">
        <f t="shared" ca="1" si="65"/>
        <v>2.3169934289336656</v>
      </c>
      <c r="S379" s="15">
        <f t="shared" ca="1" si="74"/>
        <v>9.7165105899364175</v>
      </c>
      <c r="T379" s="15">
        <f t="shared" ca="1" si="66"/>
        <v>4.7908238906334798E-3</v>
      </c>
      <c r="U379" s="15">
        <f t="shared" ca="1" si="67"/>
        <v>9.7213014138270513</v>
      </c>
      <c r="V379" s="15">
        <f t="shared" ca="1" si="68"/>
        <v>9.7213014051600606</v>
      </c>
      <c r="X379" s="15">
        <f t="shared" si="69"/>
        <v>10.5</v>
      </c>
      <c r="Y379" s="15">
        <f t="shared" si="70"/>
        <v>9.5</v>
      </c>
      <c r="Z379" s="15">
        <f t="shared" ca="1" si="71"/>
        <v>1</v>
      </c>
    </row>
    <row r="380" spans="12:26" x14ac:dyDescent="0.3">
      <c r="L380" s="15">
        <v>378</v>
      </c>
      <c r="M380" s="15">
        <f t="shared" si="63"/>
        <v>10</v>
      </c>
      <c r="N380" s="15">
        <f t="shared" ca="1" si="64"/>
        <v>0.35647304038435124</v>
      </c>
      <c r="O380" s="15">
        <f t="shared" ca="1" si="73"/>
        <v>2.3449656943780912</v>
      </c>
      <c r="P380" s="15">
        <f t="shared" ca="1" si="72"/>
        <v>2.3449656791856901</v>
      </c>
      <c r="Q380" s="15">
        <v>0</v>
      </c>
      <c r="R380" s="15">
        <f t="shared" ca="1" si="65"/>
        <v>2.3449656791856901</v>
      </c>
      <c r="S380" s="15">
        <f t="shared" ca="1" si="74"/>
        <v>9.6434381326350067</v>
      </c>
      <c r="T380" s="15">
        <f t="shared" ca="1" si="66"/>
        <v>8.8832052043169571E-5</v>
      </c>
      <c r="U380" s="15">
        <f t="shared" ca="1" si="67"/>
        <v>9.6435269646870498</v>
      </c>
      <c r="V380" s="15">
        <f t="shared" ca="1" si="68"/>
        <v>9.6435269596156488</v>
      </c>
      <c r="X380" s="15">
        <f t="shared" si="69"/>
        <v>10.5</v>
      </c>
      <c r="Y380" s="15">
        <f t="shared" si="70"/>
        <v>9.5</v>
      </c>
      <c r="Z380" s="15">
        <f t="shared" ca="1" si="71"/>
        <v>1</v>
      </c>
    </row>
    <row r="381" spans="12:26" x14ac:dyDescent="0.3">
      <c r="L381" s="15">
        <v>379</v>
      </c>
      <c r="M381" s="15">
        <f t="shared" si="63"/>
        <v>10</v>
      </c>
      <c r="N381" s="15">
        <f t="shared" ca="1" si="64"/>
        <v>0.41808338147077784</v>
      </c>
      <c r="O381" s="15">
        <f t="shared" ca="1" si="73"/>
        <v>2.3449656943780912</v>
      </c>
      <c r="P381" s="15">
        <f t="shared" ca="1" si="72"/>
        <v>2.3449656791856901</v>
      </c>
      <c r="Q381" s="15">
        <v>0</v>
      </c>
      <c r="R381" s="15">
        <f t="shared" ca="1" si="65"/>
        <v>2.3449656791856901</v>
      </c>
      <c r="S381" s="15">
        <f t="shared" ca="1" si="74"/>
        <v>9.5737922902623787</v>
      </c>
      <c r="T381" s="15">
        <f t="shared" ca="1" si="66"/>
        <v>8.1243288005606352E-3</v>
      </c>
      <c r="U381" s="15">
        <f t="shared" ca="1" si="67"/>
        <v>9.5819166190629392</v>
      </c>
      <c r="V381" s="15">
        <f t="shared" ca="1" si="68"/>
        <v>9.5819166185292222</v>
      </c>
      <c r="X381" s="15">
        <f t="shared" si="69"/>
        <v>10.5</v>
      </c>
      <c r="Y381" s="15">
        <f t="shared" si="70"/>
        <v>9.5</v>
      </c>
      <c r="Z381" s="15">
        <f t="shared" ca="1" si="71"/>
        <v>1</v>
      </c>
    </row>
    <row r="382" spans="12:26" x14ac:dyDescent="0.3">
      <c r="L382" s="15">
        <v>380</v>
      </c>
      <c r="M382" s="15">
        <f t="shared" si="63"/>
        <v>10</v>
      </c>
      <c r="N382" s="15">
        <f t="shared" ca="1" si="64"/>
        <v>0.48268426919418417</v>
      </c>
      <c r="O382" s="15">
        <f t="shared" ca="1" si="73"/>
        <v>2.3449656943780912</v>
      </c>
      <c r="P382" s="15">
        <f t="shared" ca="1" si="72"/>
        <v>2.3449656791856901</v>
      </c>
      <c r="Q382" s="15">
        <v>0</v>
      </c>
      <c r="R382" s="15">
        <f t="shared" ca="1" si="65"/>
        <v>2.3449656791856901</v>
      </c>
      <c r="S382" s="15">
        <f t="shared" ca="1" si="74"/>
        <v>9.5074326762624786</v>
      </c>
      <c r="T382" s="15">
        <f t="shared" ca="1" si="66"/>
        <v>9.8830691649396656E-3</v>
      </c>
      <c r="U382" s="15">
        <f t="shared" ca="1" si="67"/>
        <v>9.5173157454274175</v>
      </c>
      <c r="V382" s="15">
        <f t="shared" ca="1" si="68"/>
        <v>9.5173157308058158</v>
      </c>
      <c r="X382" s="15">
        <f t="shared" si="69"/>
        <v>10.5</v>
      </c>
      <c r="Y382" s="15">
        <f t="shared" si="70"/>
        <v>9.5</v>
      </c>
      <c r="Z382" s="15">
        <f t="shared" ca="1" si="71"/>
        <v>1</v>
      </c>
    </row>
    <row r="383" spans="12:26" x14ac:dyDescent="0.3">
      <c r="L383" s="15">
        <v>381</v>
      </c>
      <c r="M383" s="15">
        <f t="shared" si="63"/>
        <v>10</v>
      </c>
      <c r="N383" s="15">
        <f t="shared" ca="1" si="64"/>
        <v>0.55373943190875785</v>
      </c>
      <c r="O383" s="15">
        <f t="shared" ca="1" si="73"/>
        <v>2.3692334009889224</v>
      </c>
      <c r="P383" s="15">
        <f t="shared" ca="1" si="72"/>
        <v>2.3692333843487394</v>
      </c>
      <c r="Q383" s="15">
        <v>0</v>
      </c>
      <c r="R383" s="15">
        <f t="shared" ca="1" si="65"/>
        <v>2.3692333843487394</v>
      </c>
      <c r="S383" s="15">
        <f t="shared" ca="1" si="74"/>
        <v>9.4446015313505125</v>
      </c>
      <c r="T383" s="15">
        <f t="shared" ca="1" si="66"/>
        <v>1.6590436287519782E-3</v>
      </c>
      <c r="U383" s="15">
        <f t="shared" ca="1" si="67"/>
        <v>9.4462605749792647</v>
      </c>
      <c r="V383" s="15">
        <f t="shared" ca="1" si="68"/>
        <v>9.4462605680912421</v>
      </c>
      <c r="X383" s="15">
        <f t="shared" si="69"/>
        <v>10.5</v>
      </c>
      <c r="Y383" s="15">
        <f t="shared" si="70"/>
        <v>9.5</v>
      </c>
      <c r="Z383" s="15">
        <f t="shared" ca="1" si="71"/>
        <v>0</v>
      </c>
    </row>
    <row r="384" spans="12:26" x14ac:dyDescent="0.3">
      <c r="L384" s="15">
        <v>382</v>
      </c>
      <c r="M384" s="15">
        <f t="shared" si="63"/>
        <v>10</v>
      </c>
      <c r="N384" s="15">
        <f t="shared" ca="1" si="64"/>
        <v>0.61205195975770543</v>
      </c>
      <c r="O384" s="15">
        <f t="shared" ca="1" si="73"/>
        <v>2.3692334009889224</v>
      </c>
      <c r="P384" s="15">
        <f t="shared" ca="1" si="72"/>
        <v>2.3692333843487394</v>
      </c>
      <c r="Q384" s="15">
        <v>0</v>
      </c>
      <c r="R384" s="15">
        <f t="shared" ca="1" si="65"/>
        <v>2.3692333843487394</v>
      </c>
      <c r="S384" s="15">
        <f t="shared" ca="1" si="74"/>
        <v>9.3854786687139278</v>
      </c>
      <c r="T384" s="15">
        <f t="shared" ca="1" si="66"/>
        <v>2.4693872331659084E-3</v>
      </c>
      <c r="U384" s="15">
        <f t="shared" ca="1" si="67"/>
        <v>9.3879480559470938</v>
      </c>
      <c r="V384" s="15">
        <f t="shared" ca="1" si="68"/>
        <v>9.3879480402422946</v>
      </c>
      <c r="X384" s="15">
        <f t="shared" si="69"/>
        <v>10.5</v>
      </c>
      <c r="Y384" s="15">
        <f t="shared" si="70"/>
        <v>9.5</v>
      </c>
      <c r="Z384" s="15">
        <f t="shared" ca="1" si="71"/>
        <v>0</v>
      </c>
    </row>
    <row r="385" spans="12:26" x14ac:dyDescent="0.3">
      <c r="L385" s="15">
        <v>383</v>
      </c>
      <c r="M385" s="15">
        <f t="shared" si="63"/>
        <v>10</v>
      </c>
      <c r="N385" s="15">
        <f t="shared" ca="1" si="64"/>
        <v>0.66950906782166797</v>
      </c>
      <c r="O385" s="15">
        <f t="shared" ca="1" si="73"/>
        <v>2.3692334009889224</v>
      </c>
      <c r="P385" s="15">
        <f t="shared" ca="1" si="72"/>
        <v>2.3692333843487394</v>
      </c>
      <c r="Q385" s="15">
        <v>0</v>
      </c>
      <c r="R385" s="15">
        <f t="shared" ca="1" si="65"/>
        <v>2.3692333843487394</v>
      </c>
      <c r="S385" s="15">
        <f t="shared" ca="1" si="74"/>
        <v>9.3298434399145709</v>
      </c>
      <c r="T385" s="15">
        <f t="shared" ca="1" si="66"/>
        <v>6.4749660834737769E-4</v>
      </c>
      <c r="U385" s="15">
        <f t="shared" ca="1" si="67"/>
        <v>9.3304909365229189</v>
      </c>
      <c r="V385" s="15">
        <f t="shared" ca="1" si="68"/>
        <v>9.330490932178332</v>
      </c>
      <c r="X385" s="15">
        <f t="shared" si="69"/>
        <v>10.5</v>
      </c>
      <c r="Y385" s="15">
        <f t="shared" si="70"/>
        <v>9.5</v>
      </c>
      <c r="Z385" s="15">
        <f t="shared" ca="1" si="71"/>
        <v>0</v>
      </c>
    </row>
    <row r="386" spans="12:26" x14ac:dyDescent="0.3">
      <c r="L386" s="15">
        <v>384</v>
      </c>
      <c r="M386" s="15">
        <f t="shared" si="63"/>
        <v>10</v>
      </c>
      <c r="N386" s="15">
        <f t="shared" ca="1" si="64"/>
        <v>0.71775288104958612</v>
      </c>
      <c r="O386" s="15">
        <f t="shared" ca="1" si="73"/>
        <v>2.39128779911317</v>
      </c>
      <c r="P386" s="15">
        <f t="shared" ca="1" si="72"/>
        <v>2.3912877781296351</v>
      </c>
      <c r="Q386" s="15">
        <v>0</v>
      </c>
      <c r="R386" s="15">
        <f t="shared" ca="1" si="65"/>
        <v>2.3912877781296351</v>
      </c>
      <c r="S386" s="15">
        <f t="shared" ca="1" si="74"/>
        <v>9.2778480301501087</v>
      </c>
      <c r="T386" s="15">
        <f t="shared" ca="1" si="66"/>
        <v>4.3991031314877475E-3</v>
      </c>
      <c r="U386" s="15">
        <f t="shared" ca="1" si="67"/>
        <v>9.2822471332815972</v>
      </c>
      <c r="V386" s="15">
        <f t="shared" ca="1" si="68"/>
        <v>9.2822471189504139</v>
      </c>
      <c r="X386" s="15">
        <f t="shared" si="69"/>
        <v>10.5</v>
      </c>
      <c r="Y386" s="15">
        <f t="shared" si="70"/>
        <v>9.5</v>
      </c>
      <c r="Z386" s="15">
        <f t="shared" ca="1" si="71"/>
        <v>0</v>
      </c>
    </row>
    <row r="387" spans="12:26" x14ac:dyDescent="0.3">
      <c r="L387" s="15">
        <v>385</v>
      </c>
      <c r="M387" s="15">
        <f t="shared" ref="M387:M450" si="75">IF(L387&lt;$D$16,$D$13,IF(L387&lt;$E$16,$E$13,$F$13))</f>
        <v>10</v>
      </c>
      <c r="N387" s="15">
        <f t="shared" ref="N387:N450" ca="1" si="76">M387-V387</f>
        <v>0.76423777517961256</v>
      </c>
      <c r="O387" s="15">
        <f t="shared" ca="1" si="73"/>
        <v>2.39128779911317</v>
      </c>
      <c r="P387" s="15">
        <f t="shared" ca="1" si="72"/>
        <v>2.3912877781296351</v>
      </c>
      <c r="Q387" s="15">
        <v>0</v>
      </c>
      <c r="R387" s="15">
        <f t="shared" ref="R387:R450" ca="1" si="77">P387+Q387</f>
        <v>2.3912877781296351</v>
      </c>
      <c r="S387" s="15">
        <f t="shared" ca="1" si="74"/>
        <v>9.2295940037523039</v>
      </c>
      <c r="T387" s="15">
        <f t="shared" ref="T387:T450" ca="1" si="78">RAND()*$G$12</f>
        <v>6.1682346834701788E-3</v>
      </c>
      <c r="U387" s="15">
        <f t="shared" ref="U387:U450" ca="1" si="79">S387+T387</f>
        <v>9.2357622384357736</v>
      </c>
      <c r="V387" s="15">
        <f t="shared" ref="V387:V450" ca="1" si="80">INT((2^$J$12-1)*U387/100)/(2^$J$12-1)*100</f>
        <v>9.2357622248203874</v>
      </c>
      <c r="X387" s="15">
        <f t="shared" ref="X387:X450" si="81">M387 * 1.05</f>
        <v>10.5</v>
      </c>
      <c r="Y387" s="15">
        <f t="shared" ref="Y387:Y450" si="82">M387 * 0.95</f>
        <v>9.5</v>
      </c>
      <c r="Z387" s="15">
        <f t="shared" ref="Z387:Z450" ca="1" si="83">IF(AND(V387 &lt;= X387, V387 &gt;= Y387), 1, 0)</f>
        <v>0</v>
      </c>
    </row>
    <row r="388" spans="12:26" x14ac:dyDescent="0.3">
      <c r="L388" s="15">
        <v>386</v>
      </c>
      <c r="M388" s="15">
        <f t="shared" si="75"/>
        <v>10</v>
      </c>
      <c r="N388" s="15">
        <f t="shared" ca="1" si="76"/>
        <v>0.80523059023665944</v>
      </c>
      <c r="O388" s="15">
        <f t="shared" ca="1" si="73"/>
        <v>2.39128779911317</v>
      </c>
      <c r="P388" s="15">
        <f t="shared" ca="1" si="72"/>
        <v>2.3912877781296351</v>
      </c>
      <c r="Q388" s="15">
        <v>0</v>
      </c>
      <c r="R388" s="15">
        <f t="shared" ca="1" si="77"/>
        <v>2.3912877781296351</v>
      </c>
      <c r="S388" s="15">
        <f t="shared" ca="1" si="74"/>
        <v>9.1848105396101172</v>
      </c>
      <c r="T388" s="15">
        <f t="shared" ca="1" si="78"/>
        <v>9.9588901939143513E-3</v>
      </c>
      <c r="U388" s="15">
        <f t="shared" ca="1" si="79"/>
        <v>9.1947694298040314</v>
      </c>
      <c r="V388" s="15">
        <f t="shared" ca="1" si="80"/>
        <v>9.1947694097633406</v>
      </c>
      <c r="X388" s="15">
        <f t="shared" si="81"/>
        <v>10.5</v>
      </c>
      <c r="Y388" s="15">
        <f t="shared" si="82"/>
        <v>9.5</v>
      </c>
      <c r="Z388" s="15">
        <f t="shared" ca="1" si="83"/>
        <v>0</v>
      </c>
    </row>
    <row r="389" spans="12:26" x14ac:dyDescent="0.3">
      <c r="L389" s="15">
        <v>387</v>
      </c>
      <c r="M389" s="15">
        <f t="shared" si="75"/>
        <v>10</v>
      </c>
      <c r="N389" s="15">
        <f t="shared" ca="1" si="76"/>
        <v>0.85578240706952791</v>
      </c>
      <c r="O389" s="15">
        <f t="shared" ca="1" si="73"/>
        <v>2.4159920154803061</v>
      </c>
      <c r="P389" s="15">
        <f t="shared" ca="1" si="72"/>
        <v>2.4159919941835089</v>
      </c>
      <c r="Q389" s="15">
        <v>0</v>
      </c>
      <c r="R389" s="15">
        <f t="shared" ca="1" si="77"/>
        <v>2.4159919941835089</v>
      </c>
      <c r="S389" s="15">
        <f t="shared" ca="1" si="74"/>
        <v>9.1436626329500559</v>
      </c>
      <c r="T389" s="15">
        <f t="shared" ca="1" si="78"/>
        <v>5.5498212467637088E-4</v>
      </c>
      <c r="U389" s="15">
        <f t="shared" ca="1" si="79"/>
        <v>9.1442176150747319</v>
      </c>
      <c r="V389" s="15">
        <f t="shared" ca="1" si="80"/>
        <v>9.1442175929304721</v>
      </c>
      <c r="X389" s="15">
        <f t="shared" si="81"/>
        <v>10.5</v>
      </c>
      <c r="Y389" s="15">
        <f t="shared" si="82"/>
        <v>9.5</v>
      </c>
      <c r="Z389" s="15">
        <f t="shared" ca="1" si="83"/>
        <v>0</v>
      </c>
    </row>
    <row r="390" spans="12:26" x14ac:dyDescent="0.3">
      <c r="L390" s="15">
        <v>388</v>
      </c>
      <c r="M390" s="15">
        <f t="shared" si="75"/>
        <v>10</v>
      </c>
      <c r="N390" s="15">
        <f t="shared" ca="1" si="76"/>
        <v>0.88559311136733498</v>
      </c>
      <c r="O390" s="15">
        <f t="shared" ca="1" si="73"/>
        <v>2.4159920154803061</v>
      </c>
      <c r="P390" s="15">
        <f t="shared" ca="1" si="72"/>
        <v>2.4159919941835089</v>
      </c>
      <c r="Q390" s="15">
        <v>0</v>
      </c>
      <c r="R390" s="15">
        <f t="shared" ca="1" si="77"/>
        <v>2.4159919941835089</v>
      </c>
      <c r="S390" s="15">
        <f t="shared" ca="1" si="74"/>
        <v>9.1062605486355892</v>
      </c>
      <c r="T390" s="15">
        <f t="shared" ca="1" si="78"/>
        <v>8.1463575097821539E-3</v>
      </c>
      <c r="U390" s="15">
        <f t="shared" ca="1" si="79"/>
        <v>9.114406906145371</v>
      </c>
      <c r="V390" s="15">
        <f t="shared" ca="1" si="80"/>
        <v>9.114406888632665</v>
      </c>
      <c r="X390" s="15">
        <f t="shared" si="81"/>
        <v>10.5</v>
      </c>
      <c r="Y390" s="15">
        <f t="shared" si="82"/>
        <v>9.5</v>
      </c>
      <c r="Z390" s="15">
        <f t="shared" ca="1" si="83"/>
        <v>0</v>
      </c>
    </row>
    <row r="391" spans="12:26" x14ac:dyDescent="0.3">
      <c r="L391" s="15">
        <v>389</v>
      </c>
      <c r="M391" s="15">
        <f t="shared" si="75"/>
        <v>10</v>
      </c>
      <c r="N391" s="15">
        <f t="shared" ca="1" si="76"/>
        <v>0.92299835545080633</v>
      </c>
      <c r="O391" s="15">
        <f t="shared" ca="1" si="73"/>
        <v>2.4159920154803061</v>
      </c>
      <c r="P391" s="15">
        <f t="shared" ca="1" si="72"/>
        <v>2.4159919941835089</v>
      </c>
      <c r="Q391" s="15">
        <v>0</v>
      </c>
      <c r="R391" s="15">
        <f t="shared" ca="1" si="77"/>
        <v>2.4159919941835089</v>
      </c>
      <c r="S391" s="15">
        <f t="shared" ca="1" si="74"/>
        <v>9.0722870025971698</v>
      </c>
      <c r="T391" s="15">
        <f t="shared" ca="1" si="78"/>
        <v>4.7146589385794494E-3</v>
      </c>
      <c r="U391" s="15">
        <f t="shared" ca="1" si="79"/>
        <v>9.0770016615357498</v>
      </c>
      <c r="V391" s="15">
        <f t="shared" ca="1" si="80"/>
        <v>9.0770016445491937</v>
      </c>
      <c r="X391" s="15">
        <f t="shared" si="81"/>
        <v>10.5</v>
      </c>
      <c r="Y391" s="15">
        <f t="shared" si="82"/>
        <v>9.5</v>
      </c>
      <c r="Z391" s="15">
        <f t="shared" ca="1" si="83"/>
        <v>0</v>
      </c>
    </row>
    <row r="392" spans="12:26" x14ac:dyDescent="0.3">
      <c r="L392" s="15">
        <v>390</v>
      </c>
      <c r="M392" s="15">
        <f t="shared" si="75"/>
        <v>10</v>
      </c>
      <c r="N392" s="15">
        <f t="shared" ca="1" si="76"/>
        <v>0.95286060845313081</v>
      </c>
      <c r="O392" s="15">
        <f t="shared" ca="1" si="73"/>
        <v>2.4266528829181371</v>
      </c>
      <c r="P392" s="15">
        <f t="shared" ca="1" si="72"/>
        <v>2.4266528669806786</v>
      </c>
      <c r="Q392" s="15">
        <v>0</v>
      </c>
      <c r="R392" s="15">
        <f t="shared" ca="1" si="77"/>
        <v>2.4266528669806786</v>
      </c>
      <c r="S392" s="15">
        <f t="shared" ca="1" si="74"/>
        <v>9.0418679642224085</v>
      </c>
      <c r="T392" s="15">
        <f t="shared" ca="1" si="78"/>
        <v>5.2714499644500902E-3</v>
      </c>
      <c r="U392" s="15">
        <f t="shared" ca="1" si="79"/>
        <v>9.0471394141868586</v>
      </c>
      <c r="V392" s="15">
        <f t="shared" ca="1" si="80"/>
        <v>9.0471393915468692</v>
      </c>
      <c r="X392" s="15">
        <f t="shared" si="81"/>
        <v>10.5</v>
      </c>
      <c r="Y392" s="15">
        <f t="shared" si="82"/>
        <v>9.5</v>
      </c>
      <c r="Z392" s="15">
        <f t="shared" ca="1" si="83"/>
        <v>0</v>
      </c>
    </row>
    <row r="393" spans="12:26" x14ac:dyDescent="0.3">
      <c r="L393" s="15">
        <v>391</v>
      </c>
      <c r="M393" s="15">
        <f t="shared" si="75"/>
        <v>10</v>
      </c>
      <c r="N393" s="15">
        <f t="shared" ca="1" si="76"/>
        <v>0.97854555374443208</v>
      </c>
      <c r="O393" s="15">
        <f t="shared" ca="1" si="73"/>
        <v>2.4266528829181371</v>
      </c>
      <c r="P393" s="15">
        <f t="shared" ca="1" si="72"/>
        <v>2.4266528669806786</v>
      </c>
      <c r="Q393" s="15">
        <v>0</v>
      </c>
      <c r="R393" s="15">
        <f t="shared" ca="1" si="77"/>
        <v>2.4266528669806786</v>
      </c>
      <c r="S393" s="15">
        <f t="shared" ca="1" si="74"/>
        <v>9.0150799088993292</v>
      </c>
      <c r="T393" s="15">
        <f t="shared" ca="1" si="78"/>
        <v>6.374538451258991E-3</v>
      </c>
      <c r="U393" s="15">
        <f t="shared" ca="1" si="79"/>
        <v>9.0214544473505889</v>
      </c>
      <c r="V393" s="15">
        <f t="shared" ca="1" si="80"/>
        <v>9.0214544462555679</v>
      </c>
      <c r="X393" s="15">
        <f t="shared" si="81"/>
        <v>10.5</v>
      </c>
      <c r="Y393" s="15">
        <f t="shared" si="82"/>
        <v>9.5</v>
      </c>
      <c r="Z393" s="15">
        <f t="shared" ca="1" si="83"/>
        <v>0</v>
      </c>
    </row>
    <row r="394" spans="12:26" x14ac:dyDescent="0.3">
      <c r="L394" s="15">
        <v>392</v>
      </c>
      <c r="M394" s="15">
        <f t="shared" si="75"/>
        <v>10</v>
      </c>
      <c r="N394" s="15">
        <f t="shared" ca="1" si="76"/>
        <v>1.0021664553792604</v>
      </c>
      <c r="O394" s="15">
        <f t="shared" ca="1" si="73"/>
        <v>2.4266528829181371</v>
      </c>
      <c r="P394" s="15">
        <f t="shared" ca="1" si="72"/>
        <v>2.4266528669806786</v>
      </c>
      <c r="Q394" s="15">
        <v>0</v>
      </c>
      <c r="R394" s="15">
        <f t="shared" ca="1" si="77"/>
        <v>2.4266528669806786</v>
      </c>
      <c r="S394" s="15">
        <f t="shared" ca="1" si="74"/>
        <v>8.9915752366063852</v>
      </c>
      <c r="T394" s="15">
        <f t="shared" ca="1" si="78"/>
        <v>6.2583096373341673E-3</v>
      </c>
      <c r="U394" s="15">
        <f t="shared" ca="1" si="79"/>
        <v>8.9978335462437187</v>
      </c>
      <c r="V394" s="15">
        <f t="shared" ca="1" si="80"/>
        <v>8.9978335446207396</v>
      </c>
      <c r="X394" s="15">
        <f t="shared" si="81"/>
        <v>10.5</v>
      </c>
      <c r="Y394" s="15">
        <f t="shared" si="82"/>
        <v>9.5</v>
      </c>
      <c r="Z394" s="15">
        <f t="shared" ca="1" si="83"/>
        <v>0</v>
      </c>
    </row>
    <row r="395" spans="12:26" x14ac:dyDescent="0.3">
      <c r="L395" s="15">
        <v>393</v>
      </c>
      <c r="M395" s="15">
        <f t="shared" si="75"/>
        <v>10</v>
      </c>
      <c r="N395" s="15">
        <f t="shared" ca="1" si="76"/>
        <v>1.0217827863576314</v>
      </c>
      <c r="O395" s="15">
        <f t="shared" ca="1" si="73"/>
        <v>2.4415526687298099</v>
      </c>
      <c r="P395" s="15">
        <f t="shared" ca="1" si="72"/>
        <v>2.4415526544771979</v>
      </c>
      <c r="Q395" s="15">
        <v>0</v>
      </c>
      <c r="R395" s="15">
        <f t="shared" ca="1" si="77"/>
        <v>2.4415526544771979</v>
      </c>
      <c r="S395" s="15">
        <f t="shared" ca="1" si="74"/>
        <v>8.9712917142241615</v>
      </c>
      <c r="T395" s="15">
        <f t="shared" ca="1" si="78"/>
        <v>6.9255120449676476E-3</v>
      </c>
      <c r="U395" s="15">
        <f t="shared" ca="1" si="79"/>
        <v>8.9782172262691287</v>
      </c>
      <c r="V395" s="15">
        <f t="shared" ca="1" si="80"/>
        <v>8.9782172136423686</v>
      </c>
      <c r="X395" s="15">
        <f t="shared" si="81"/>
        <v>10.5</v>
      </c>
      <c r="Y395" s="15">
        <f t="shared" si="82"/>
        <v>9.5</v>
      </c>
      <c r="Z395" s="15">
        <f t="shared" ca="1" si="83"/>
        <v>0</v>
      </c>
    </row>
    <row r="396" spans="12:26" x14ac:dyDescent="0.3">
      <c r="L396" s="15">
        <v>394</v>
      </c>
      <c r="M396" s="15">
        <f t="shared" si="75"/>
        <v>10</v>
      </c>
      <c r="N396" s="15">
        <f t="shared" ca="1" si="76"/>
        <v>1.0358681089793951</v>
      </c>
      <c r="O396" s="15">
        <f t="shared" ca="1" si="73"/>
        <v>2.4415526687298099</v>
      </c>
      <c r="P396" s="15">
        <f t="shared" ca="1" si="72"/>
        <v>2.4415526544771979</v>
      </c>
      <c r="Q396" s="15">
        <v>0</v>
      </c>
      <c r="R396" s="15">
        <f t="shared" ca="1" si="77"/>
        <v>2.4415526544771979</v>
      </c>
      <c r="S396" s="15">
        <f t="shared" ca="1" si="74"/>
        <v>8.954150096784943</v>
      </c>
      <c r="T396" s="15">
        <f t="shared" ca="1" si="78"/>
        <v>9.9818034117380699E-3</v>
      </c>
      <c r="U396" s="15">
        <f t="shared" ca="1" si="79"/>
        <v>8.9641319001966817</v>
      </c>
      <c r="V396" s="15">
        <f t="shared" ca="1" si="80"/>
        <v>8.9641318910206049</v>
      </c>
      <c r="X396" s="15">
        <f t="shared" si="81"/>
        <v>10.5</v>
      </c>
      <c r="Y396" s="15">
        <f t="shared" si="82"/>
        <v>9.5</v>
      </c>
      <c r="Z396" s="15">
        <f t="shared" ca="1" si="83"/>
        <v>0</v>
      </c>
    </row>
    <row r="397" spans="12:26" x14ac:dyDescent="0.3">
      <c r="L397" s="15">
        <v>395</v>
      </c>
      <c r="M397" s="15">
        <f t="shared" si="75"/>
        <v>10</v>
      </c>
      <c r="N397" s="15">
        <f t="shared" ca="1" si="76"/>
        <v>1.0573119975294247</v>
      </c>
      <c r="O397" s="15">
        <f t="shared" ca="1" si="73"/>
        <v>2.4415526687298099</v>
      </c>
      <c r="P397" s="15">
        <f t="shared" ref="P397:P460" ca="1" si="84">INT((2^$J$12-1)*O397/100)/(2^$J$12-1)*100</f>
        <v>2.4415526544771979</v>
      </c>
      <c r="Q397" s="15">
        <v>0</v>
      </c>
      <c r="R397" s="15">
        <f t="shared" ca="1" si="77"/>
        <v>2.4415526544771979</v>
      </c>
      <c r="S397" s="15">
        <f t="shared" ca="1" si="74"/>
        <v>8.939824065289562</v>
      </c>
      <c r="T397" s="15">
        <f t="shared" ca="1" si="78"/>
        <v>2.8639392415872045E-3</v>
      </c>
      <c r="U397" s="15">
        <f t="shared" ca="1" si="79"/>
        <v>8.9426880045311492</v>
      </c>
      <c r="V397" s="15">
        <f t="shared" ca="1" si="80"/>
        <v>8.9426880024705753</v>
      </c>
      <c r="X397" s="15">
        <f t="shared" si="81"/>
        <v>10.5</v>
      </c>
      <c r="Y397" s="15">
        <f t="shared" si="82"/>
        <v>9.5</v>
      </c>
      <c r="Z397" s="15">
        <f t="shared" ca="1" si="83"/>
        <v>0</v>
      </c>
    </row>
    <row r="398" spans="12:26" x14ac:dyDescent="0.3">
      <c r="L398" s="15">
        <v>396</v>
      </c>
      <c r="M398" s="15">
        <f t="shared" si="75"/>
        <v>10</v>
      </c>
      <c r="N398" s="15">
        <f t="shared" ca="1" si="76"/>
        <v>1.067937317087301</v>
      </c>
      <c r="O398" s="15">
        <f t="shared" ca="1" si="73"/>
        <v>2.4567171478809837</v>
      </c>
      <c r="P398" s="15">
        <f t="shared" ca="1" si="84"/>
        <v>2.4567171471325486</v>
      </c>
      <c r="Q398" s="15">
        <v>0</v>
      </c>
      <c r="R398" s="15">
        <f t="shared" ca="1" si="77"/>
        <v>2.4567171471325486</v>
      </c>
      <c r="S398" s="15">
        <f t="shared" ca="1" si="74"/>
        <v>8.9283684198170814</v>
      </c>
      <c r="T398" s="15">
        <f t="shared" ca="1" si="78"/>
        <v>3.6942761518019198E-3</v>
      </c>
      <c r="U398" s="15">
        <f t="shared" ca="1" si="79"/>
        <v>8.9320626959688827</v>
      </c>
      <c r="V398" s="15">
        <f t="shared" ca="1" si="80"/>
        <v>8.932062682912699</v>
      </c>
      <c r="X398" s="15">
        <f t="shared" si="81"/>
        <v>10.5</v>
      </c>
      <c r="Y398" s="15">
        <f t="shared" si="82"/>
        <v>9.5</v>
      </c>
      <c r="Z398" s="15">
        <f t="shared" ca="1" si="83"/>
        <v>0</v>
      </c>
    </row>
    <row r="399" spans="12:26" x14ac:dyDescent="0.3">
      <c r="L399" s="15">
        <v>397</v>
      </c>
      <c r="M399" s="15">
        <f t="shared" si="75"/>
        <v>10</v>
      </c>
      <c r="N399" s="15">
        <f t="shared" ca="1" si="76"/>
        <v>1.0761397776836858</v>
      </c>
      <c r="O399" s="15">
        <f t="shared" ca="1" si="73"/>
        <v>2.4567171478809837</v>
      </c>
      <c r="P399" s="15">
        <f t="shared" ca="1" si="84"/>
        <v>2.4567171471325486</v>
      </c>
      <c r="Q399" s="15">
        <v>0</v>
      </c>
      <c r="R399" s="15">
        <f t="shared" ca="1" si="77"/>
        <v>2.4567171471325486</v>
      </c>
      <c r="S399" s="15">
        <f t="shared" ca="1" si="74"/>
        <v>8.9198033082984622</v>
      </c>
      <c r="T399" s="15">
        <f t="shared" ca="1" si="78"/>
        <v>4.056930116955384E-3</v>
      </c>
      <c r="U399" s="15">
        <f t="shared" ca="1" si="79"/>
        <v>8.9238602384154184</v>
      </c>
      <c r="V399" s="15">
        <f t="shared" ca="1" si="80"/>
        <v>8.9238602223163142</v>
      </c>
      <c r="X399" s="15">
        <f t="shared" si="81"/>
        <v>10.5</v>
      </c>
      <c r="Y399" s="15">
        <f t="shared" si="82"/>
        <v>9.5</v>
      </c>
      <c r="Z399" s="15">
        <f t="shared" ca="1" si="83"/>
        <v>0</v>
      </c>
    </row>
    <row r="400" spans="12:26" x14ac:dyDescent="0.3">
      <c r="L400" s="15">
        <v>398</v>
      </c>
      <c r="M400" s="15">
        <f t="shared" si="75"/>
        <v>10</v>
      </c>
      <c r="N400" s="15">
        <f t="shared" ca="1" si="76"/>
        <v>1.0772101001528114</v>
      </c>
      <c r="O400" s="15">
        <f t="shared" ca="1" si="73"/>
        <v>2.4567171478809837</v>
      </c>
      <c r="P400" s="15">
        <f t="shared" ca="1" si="84"/>
        <v>2.4567171471325486</v>
      </c>
      <c r="Q400" s="15">
        <v>0</v>
      </c>
      <c r="R400" s="15">
        <f t="shared" ca="1" si="77"/>
        <v>2.4567171471325486</v>
      </c>
      <c r="S400" s="15">
        <f t="shared" ca="1" si="74"/>
        <v>8.913798044522169</v>
      </c>
      <c r="T400" s="15">
        <f t="shared" ca="1" si="78"/>
        <v>8.9918652567412636E-3</v>
      </c>
      <c r="U400" s="15">
        <f t="shared" ca="1" si="79"/>
        <v>8.9227899097789098</v>
      </c>
      <c r="V400" s="15">
        <f t="shared" ca="1" si="80"/>
        <v>8.9227898998471886</v>
      </c>
      <c r="X400" s="15">
        <f t="shared" si="81"/>
        <v>10.5</v>
      </c>
      <c r="Y400" s="15">
        <f t="shared" si="82"/>
        <v>9.5</v>
      </c>
      <c r="Z400" s="15">
        <f t="shared" ca="1" si="83"/>
        <v>0</v>
      </c>
    </row>
    <row r="401" spans="12:26" x14ac:dyDescent="0.3">
      <c r="L401" s="15">
        <v>399</v>
      </c>
      <c r="M401" s="15">
        <f t="shared" si="75"/>
        <v>10</v>
      </c>
      <c r="N401" s="15">
        <f t="shared" ca="1" si="76"/>
        <v>1.0832079106669905</v>
      </c>
      <c r="O401" s="15">
        <f t="shared" ca="1" si="73"/>
        <v>2.4620558273987454</v>
      </c>
      <c r="P401" s="15">
        <f t="shared" ca="1" si="84"/>
        <v>2.4620558140943891</v>
      </c>
      <c r="Q401" s="15">
        <v>0</v>
      </c>
      <c r="R401" s="15">
        <f t="shared" ca="1" si="77"/>
        <v>2.4620558140943891</v>
      </c>
      <c r="S401" s="15">
        <f t="shared" ca="1" si="74"/>
        <v>8.9102950672566106</v>
      </c>
      <c r="T401" s="15">
        <f t="shared" ca="1" si="78"/>
        <v>6.4970426270449253E-3</v>
      </c>
      <c r="U401" s="15">
        <f t="shared" ca="1" si="79"/>
        <v>8.9167921098836551</v>
      </c>
      <c r="V401" s="15">
        <f t="shared" ca="1" si="80"/>
        <v>8.9167920893330095</v>
      </c>
      <c r="X401" s="15">
        <f t="shared" si="81"/>
        <v>10.5</v>
      </c>
      <c r="Y401" s="15">
        <f t="shared" si="82"/>
        <v>9.5</v>
      </c>
      <c r="Z401" s="15">
        <f t="shared" ca="1" si="83"/>
        <v>0</v>
      </c>
    </row>
    <row r="402" spans="12:26" x14ac:dyDescent="0.3">
      <c r="L402" s="15">
        <v>400</v>
      </c>
      <c r="M402" s="15">
        <f t="shared" si="75"/>
        <v>10</v>
      </c>
      <c r="N402" s="15">
        <f t="shared" ca="1" si="76"/>
        <v>1.0860412733364022</v>
      </c>
      <c r="O402" s="15">
        <f t="shared" ca="1" si="73"/>
        <v>2.4620558273987454</v>
      </c>
      <c r="P402" s="15">
        <f t="shared" ca="1" si="84"/>
        <v>2.4620558140943891</v>
      </c>
      <c r="Q402" s="15">
        <v>0</v>
      </c>
      <c r="R402" s="15">
        <f t="shared" ca="1" si="77"/>
        <v>2.4620558140943891</v>
      </c>
      <c r="S402" s="15">
        <f t="shared" ca="1" si="74"/>
        <v>8.909222832903227</v>
      </c>
      <c r="T402" s="15">
        <f t="shared" ca="1" si="78"/>
        <v>4.7359082734507096E-3</v>
      </c>
      <c r="U402" s="15">
        <f t="shared" ca="1" si="79"/>
        <v>8.9139587411766783</v>
      </c>
      <c r="V402" s="15">
        <f t="shared" ca="1" si="80"/>
        <v>8.9139587266635978</v>
      </c>
      <c r="X402" s="15">
        <f t="shared" si="81"/>
        <v>10.5</v>
      </c>
      <c r="Y402" s="15">
        <f t="shared" si="82"/>
        <v>9.5</v>
      </c>
      <c r="Z402" s="15">
        <f t="shared" ca="1" si="83"/>
        <v>0</v>
      </c>
    </row>
    <row r="403" spans="12:26" x14ac:dyDescent="0.3">
      <c r="L403" s="15">
        <v>401</v>
      </c>
      <c r="M403" s="15">
        <f t="shared" si="75"/>
        <v>10</v>
      </c>
      <c r="N403" s="15">
        <f t="shared" ca="1" si="76"/>
        <v>1.0844920182331688</v>
      </c>
      <c r="O403" s="15">
        <f t="shared" ca="1" si="73"/>
        <v>2.4620558273987454</v>
      </c>
      <c r="P403" s="15">
        <f t="shared" ca="1" si="84"/>
        <v>2.4620558140943891</v>
      </c>
      <c r="Q403" s="15">
        <v>0</v>
      </c>
      <c r="R403" s="15">
        <f t="shared" ca="1" si="77"/>
        <v>2.4620558140943891</v>
      </c>
      <c r="S403" s="15">
        <f t="shared" ca="1" si="74"/>
        <v>8.9102773274085436</v>
      </c>
      <c r="T403" s="15">
        <f t="shared" ca="1" si="78"/>
        <v>5.2306673237474399E-3</v>
      </c>
      <c r="U403" s="15">
        <f t="shared" ca="1" si="79"/>
        <v>8.9155079947322911</v>
      </c>
      <c r="V403" s="15">
        <f t="shared" ca="1" si="80"/>
        <v>8.9155079817668312</v>
      </c>
      <c r="X403" s="15">
        <f t="shared" si="81"/>
        <v>10.5</v>
      </c>
      <c r="Y403" s="15">
        <f t="shared" si="82"/>
        <v>9.5</v>
      </c>
      <c r="Z403" s="15">
        <f t="shared" ca="1" si="83"/>
        <v>0</v>
      </c>
    </row>
    <row r="404" spans="12:26" x14ac:dyDescent="0.3">
      <c r="L404" s="15">
        <v>402</v>
      </c>
      <c r="M404" s="15">
        <f t="shared" si="75"/>
        <v>10</v>
      </c>
      <c r="N404" s="15">
        <f t="shared" ca="1" si="76"/>
        <v>1.0831579219277856</v>
      </c>
      <c r="O404" s="15">
        <f t="shared" ca="1" si="73"/>
        <v>2.4741242536634642</v>
      </c>
      <c r="P404" s="15">
        <f t="shared" ca="1" si="84"/>
        <v>2.4741242412650317</v>
      </c>
      <c r="Q404" s="15">
        <v>0</v>
      </c>
      <c r="R404" s="15">
        <f t="shared" ca="1" si="77"/>
        <v>2.4741242412650317</v>
      </c>
      <c r="S404" s="15">
        <f t="shared" ca="1" si="74"/>
        <v>8.9133940615099725</v>
      </c>
      <c r="T404" s="15">
        <f t="shared" ca="1" si="78"/>
        <v>3.4480174829010614E-3</v>
      </c>
      <c r="U404" s="15">
        <f t="shared" ca="1" si="79"/>
        <v>8.9168420789928735</v>
      </c>
      <c r="V404" s="15">
        <f t="shared" ca="1" si="80"/>
        <v>8.9168420780722144</v>
      </c>
      <c r="X404" s="15">
        <f t="shared" si="81"/>
        <v>10.5</v>
      </c>
      <c r="Y404" s="15">
        <f t="shared" si="82"/>
        <v>9.5</v>
      </c>
      <c r="Z404" s="15">
        <f t="shared" ca="1" si="83"/>
        <v>0</v>
      </c>
    </row>
    <row r="405" spans="12:26" x14ac:dyDescent="0.3">
      <c r="L405" s="15">
        <v>403</v>
      </c>
      <c r="M405" s="15">
        <f t="shared" si="75"/>
        <v>10</v>
      </c>
      <c r="N405" s="15">
        <f t="shared" ca="1" si="76"/>
        <v>1.0756024511241371</v>
      </c>
      <c r="O405" s="15">
        <f t="shared" ca="1" si="73"/>
        <v>2.4741242536634642</v>
      </c>
      <c r="P405" s="15">
        <f t="shared" ca="1" si="84"/>
        <v>2.4741242412650317</v>
      </c>
      <c r="Q405" s="15">
        <v>0</v>
      </c>
      <c r="R405" s="15">
        <f t="shared" ca="1" si="77"/>
        <v>2.4741242412650317</v>
      </c>
      <c r="S405" s="15">
        <f t="shared" ca="1" si="74"/>
        <v>8.9184987219907654</v>
      </c>
      <c r="T405" s="15">
        <f t="shared" ca="1" si="78"/>
        <v>5.8988489382262119E-3</v>
      </c>
      <c r="U405" s="15">
        <f t="shared" ca="1" si="79"/>
        <v>8.924397570928992</v>
      </c>
      <c r="V405" s="15">
        <f t="shared" ca="1" si="80"/>
        <v>8.9243975488758629</v>
      </c>
      <c r="X405" s="15">
        <f t="shared" si="81"/>
        <v>10.5</v>
      </c>
      <c r="Y405" s="15">
        <f t="shared" si="82"/>
        <v>9.5</v>
      </c>
      <c r="Z405" s="15">
        <f t="shared" ca="1" si="83"/>
        <v>0</v>
      </c>
    </row>
    <row r="406" spans="12:26" x14ac:dyDescent="0.3">
      <c r="L406" s="15">
        <v>404</v>
      </c>
      <c r="M406" s="15">
        <f t="shared" si="75"/>
        <v>10</v>
      </c>
      <c r="N406" s="15">
        <f t="shared" ca="1" si="76"/>
        <v>1.0701609428669698</v>
      </c>
      <c r="O406" s="15">
        <f t="shared" ca="1" si="73"/>
        <v>2.4741242536634642</v>
      </c>
      <c r="P406" s="15">
        <f t="shared" ca="1" si="84"/>
        <v>2.4741242412650317</v>
      </c>
      <c r="Q406" s="15">
        <v>0</v>
      </c>
      <c r="R406" s="15">
        <f t="shared" ca="1" si="77"/>
        <v>2.4741242412650317</v>
      </c>
      <c r="S406" s="15">
        <f t="shared" ca="1" si="74"/>
        <v>8.9253173783695079</v>
      </c>
      <c r="T406" s="15">
        <f t="shared" ca="1" si="78"/>
        <v>4.521698751045914E-3</v>
      </c>
      <c r="U406" s="15">
        <f t="shared" ca="1" si="79"/>
        <v>8.9298390771205547</v>
      </c>
      <c r="V406" s="15">
        <f t="shared" ca="1" si="80"/>
        <v>8.9298390571330302</v>
      </c>
      <c r="X406" s="15">
        <f t="shared" si="81"/>
        <v>10.5</v>
      </c>
      <c r="Y406" s="15">
        <f t="shared" si="82"/>
        <v>9.5</v>
      </c>
      <c r="Z406" s="15">
        <f t="shared" ca="1" si="83"/>
        <v>0</v>
      </c>
    </row>
    <row r="407" spans="12:26" x14ac:dyDescent="0.3">
      <c r="L407" s="15">
        <v>405</v>
      </c>
      <c r="M407" s="15">
        <f t="shared" si="75"/>
        <v>10</v>
      </c>
      <c r="N407" s="15">
        <f t="shared" ca="1" si="76"/>
        <v>1.0617375027066416</v>
      </c>
      <c r="O407" s="15">
        <f t="shared" ref="O407:O470" ca="1" si="85">IF(MOD(L407,$B$11)=0,OFFSET(O407,-$B$11,0)+ $E$2*N407+$E$3*OFFSET(N407,-$B$11,0)+ $E$4*OFFSET(N407,-2* $B$11,0), O406)</f>
        <v>2.4785052931745417</v>
      </c>
      <c r="P407" s="15">
        <f t="shared" ca="1" si="84"/>
        <v>2.4785052757893005</v>
      </c>
      <c r="Q407" s="15">
        <v>0</v>
      </c>
      <c r="R407" s="15">
        <f t="shared" ca="1" si="77"/>
        <v>2.4785052757893005</v>
      </c>
      <c r="S407" s="15">
        <f t="shared" ca="1" si="74"/>
        <v>8.933794405542022</v>
      </c>
      <c r="T407" s="15">
        <f t="shared" ca="1" si="78"/>
        <v>4.4681124047550305E-3</v>
      </c>
      <c r="U407" s="15">
        <f t="shared" ca="1" si="79"/>
        <v>8.938262517946777</v>
      </c>
      <c r="V407" s="15">
        <f t="shared" ca="1" si="80"/>
        <v>8.9382624972933584</v>
      </c>
      <c r="X407" s="15">
        <f t="shared" si="81"/>
        <v>10.5</v>
      </c>
      <c r="Y407" s="15">
        <f t="shared" si="82"/>
        <v>9.5</v>
      </c>
      <c r="Z407" s="15">
        <f t="shared" ca="1" si="83"/>
        <v>0</v>
      </c>
    </row>
    <row r="408" spans="12:26" x14ac:dyDescent="0.3">
      <c r="L408" s="15">
        <v>406</v>
      </c>
      <c r="M408" s="15">
        <f t="shared" si="75"/>
        <v>10</v>
      </c>
      <c r="N408" s="15">
        <f t="shared" ca="1" si="76"/>
        <v>1.0542942329901965</v>
      </c>
      <c r="O408" s="15">
        <f t="shared" ca="1" si="85"/>
        <v>2.4785052931745417</v>
      </c>
      <c r="P408" s="15">
        <f t="shared" ca="1" si="84"/>
        <v>2.4785052757893005</v>
      </c>
      <c r="Q408" s="15">
        <v>0</v>
      </c>
      <c r="R408" s="15">
        <f t="shared" ca="1" si="77"/>
        <v>2.4785052757893005</v>
      </c>
      <c r="S408" s="15">
        <f t="shared" ca="1" si="74"/>
        <v>8.943865784532802</v>
      </c>
      <c r="T408" s="15">
        <f t="shared" ca="1" si="78"/>
        <v>1.8400004548304715E-3</v>
      </c>
      <c r="U408" s="15">
        <f t="shared" ca="1" si="79"/>
        <v>8.9457057849876325</v>
      </c>
      <c r="V408" s="15">
        <f t="shared" ca="1" si="80"/>
        <v>8.9457057670098035</v>
      </c>
      <c r="X408" s="15">
        <f t="shared" si="81"/>
        <v>10.5</v>
      </c>
      <c r="Y408" s="15">
        <f t="shared" si="82"/>
        <v>9.5</v>
      </c>
      <c r="Z408" s="15">
        <f t="shared" ca="1" si="83"/>
        <v>0</v>
      </c>
    </row>
    <row r="409" spans="12:26" x14ac:dyDescent="0.3">
      <c r="L409" s="15">
        <v>407</v>
      </c>
      <c r="M409" s="15">
        <f t="shared" si="75"/>
        <v>10</v>
      </c>
      <c r="N409" s="15">
        <f t="shared" ca="1" si="76"/>
        <v>1.0417995860431795</v>
      </c>
      <c r="O409" s="15">
        <f t="shared" ca="1" si="85"/>
        <v>2.4785052931745417</v>
      </c>
      <c r="P409" s="15">
        <f t="shared" ca="1" si="84"/>
        <v>2.4785052757893005</v>
      </c>
      <c r="Q409" s="15">
        <v>0</v>
      </c>
      <c r="R409" s="15">
        <f t="shared" ca="1" si="77"/>
        <v>2.4785052757893005</v>
      </c>
      <c r="S409" s="15">
        <f t="shared" ref="S409:S472" ca="1" si="86">$I$1*S408-$I$2*S407+$I$3*R388+$I$4*R387</f>
        <v>8.9552865364202301</v>
      </c>
      <c r="T409" s="15">
        <f t="shared" ca="1" si="78"/>
        <v>2.9138807636642171E-3</v>
      </c>
      <c r="U409" s="15">
        <f t="shared" ca="1" si="79"/>
        <v>8.9582004171838943</v>
      </c>
      <c r="V409" s="15">
        <f t="shared" ca="1" si="80"/>
        <v>8.9582004139568205</v>
      </c>
      <c r="X409" s="15">
        <f t="shared" si="81"/>
        <v>10.5</v>
      </c>
      <c r="Y409" s="15">
        <f t="shared" si="82"/>
        <v>9.5</v>
      </c>
      <c r="Z409" s="15">
        <f t="shared" ca="1" si="83"/>
        <v>0</v>
      </c>
    </row>
    <row r="410" spans="12:26" x14ac:dyDescent="0.3">
      <c r="L410" s="15">
        <v>408</v>
      </c>
      <c r="M410" s="15">
        <f t="shared" si="75"/>
        <v>10</v>
      </c>
      <c r="N410" s="15">
        <f t="shared" ca="1" si="76"/>
        <v>1.0269263878061725</v>
      </c>
      <c r="O410" s="15">
        <f t="shared" ca="1" si="85"/>
        <v>2.4847117569189883</v>
      </c>
      <c r="P410" s="15">
        <f t="shared" ca="1" si="84"/>
        <v>2.4847117491263693</v>
      </c>
      <c r="Q410" s="15">
        <v>0</v>
      </c>
      <c r="R410" s="15">
        <f t="shared" ca="1" si="77"/>
        <v>2.4847117491263693</v>
      </c>
      <c r="S410" s="15">
        <f t="shared" ca="1" si="86"/>
        <v>8.9680507773644145</v>
      </c>
      <c r="T410" s="15">
        <f t="shared" ca="1" si="78"/>
        <v>5.022841215144098E-3</v>
      </c>
      <c r="U410" s="15">
        <f t="shared" ca="1" si="79"/>
        <v>8.9730736185795585</v>
      </c>
      <c r="V410" s="15">
        <f t="shared" ca="1" si="80"/>
        <v>8.9730736121938275</v>
      </c>
      <c r="X410" s="15">
        <f t="shared" si="81"/>
        <v>10.5</v>
      </c>
      <c r="Y410" s="15">
        <f t="shared" si="82"/>
        <v>9.5</v>
      </c>
      <c r="Z410" s="15">
        <f t="shared" ca="1" si="83"/>
        <v>0</v>
      </c>
    </row>
    <row r="411" spans="12:26" x14ac:dyDescent="0.3">
      <c r="L411" s="15">
        <v>409</v>
      </c>
      <c r="M411" s="15">
        <f t="shared" si="75"/>
        <v>10</v>
      </c>
      <c r="N411" s="15">
        <f t="shared" ca="1" si="76"/>
        <v>1.0102975766664137</v>
      </c>
      <c r="O411" s="15">
        <f t="shared" ca="1" si="85"/>
        <v>2.4847117569189883</v>
      </c>
      <c r="P411" s="15">
        <f t="shared" ca="1" si="84"/>
        <v>2.4847117491263693</v>
      </c>
      <c r="Q411" s="15">
        <v>0</v>
      </c>
      <c r="R411" s="15">
        <f t="shared" ca="1" si="77"/>
        <v>2.4847117491263693</v>
      </c>
      <c r="S411" s="15">
        <f t="shared" ca="1" si="86"/>
        <v>8.9821382334013897</v>
      </c>
      <c r="T411" s="15">
        <f t="shared" ca="1" si="78"/>
        <v>7.5641979140079318E-3</v>
      </c>
      <c r="U411" s="15">
        <f t="shared" ca="1" si="79"/>
        <v>8.989702431315397</v>
      </c>
      <c r="V411" s="15">
        <f t="shared" ca="1" si="80"/>
        <v>8.9897024233335863</v>
      </c>
      <c r="X411" s="15">
        <f t="shared" si="81"/>
        <v>10.5</v>
      </c>
      <c r="Y411" s="15">
        <f t="shared" si="82"/>
        <v>9.5</v>
      </c>
      <c r="Z411" s="15">
        <f t="shared" ca="1" si="83"/>
        <v>0</v>
      </c>
    </row>
    <row r="412" spans="12:26" x14ac:dyDescent="0.3">
      <c r="L412" s="15">
        <v>410</v>
      </c>
      <c r="M412" s="15">
        <f t="shared" si="75"/>
        <v>10</v>
      </c>
      <c r="N412" s="15">
        <f t="shared" ca="1" si="76"/>
        <v>0.9932301358769724</v>
      </c>
      <c r="O412" s="15">
        <f t="shared" ca="1" si="85"/>
        <v>2.4847117569189883</v>
      </c>
      <c r="P412" s="15">
        <f t="shared" ca="1" si="84"/>
        <v>2.4847117491263693</v>
      </c>
      <c r="Q412" s="15">
        <v>0</v>
      </c>
      <c r="R412" s="15">
        <f t="shared" ca="1" si="77"/>
        <v>2.4847117491263693</v>
      </c>
      <c r="S412" s="15">
        <f t="shared" ca="1" si="86"/>
        <v>8.9973213562232317</v>
      </c>
      <c r="T412" s="15">
        <f t="shared" ca="1" si="78"/>
        <v>9.4485119915300609E-3</v>
      </c>
      <c r="U412" s="15">
        <f t="shared" ca="1" si="79"/>
        <v>9.0067698682147626</v>
      </c>
      <c r="V412" s="15">
        <f t="shared" ca="1" si="80"/>
        <v>9.0067698641230276</v>
      </c>
      <c r="X412" s="15">
        <f t="shared" si="81"/>
        <v>10.5</v>
      </c>
      <c r="Y412" s="15">
        <f t="shared" si="82"/>
        <v>9.5</v>
      </c>
      <c r="Z412" s="15">
        <f t="shared" ca="1" si="83"/>
        <v>0</v>
      </c>
    </row>
    <row r="413" spans="12:26" x14ac:dyDescent="0.3">
      <c r="L413" s="15">
        <v>411</v>
      </c>
      <c r="M413" s="15">
        <f t="shared" si="75"/>
        <v>10</v>
      </c>
      <c r="N413" s="15">
        <f t="shared" ca="1" si="76"/>
        <v>0.98586537665358343</v>
      </c>
      <c r="O413" s="15">
        <f t="shared" ca="1" si="85"/>
        <v>2.4933327926658548</v>
      </c>
      <c r="P413" s="15">
        <f t="shared" ca="1" si="84"/>
        <v>2.4933327926540123</v>
      </c>
      <c r="Q413" s="15">
        <v>0</v>
      </c>
      <c r="R413" s="15">
        <f t="shared" ca="1" si="77"/>
        <v>2.4933327926540123</v>
      </c>
      <c r="S413" s="15">
        <f t="shared" ca="1" si="86"/>
        <v>9.0134890700869583</v>
      </c>
      <c r="T413" s="15">
        <f t="shared" ca="1" si="78"/>
        <v>6.4555971395032668E-4</v>
      </c>
      <c r="U413" s="15">
        <f t="shared" ca="1" si="79"/>
        <v>9.0141346298009086</v>
      </c>
      <c r="V413" s="15">
        <f t="shared" ca="1" si="80"/>
        <v>9.0141346233464166</v>
      </c>
      <c r="X413" s="15">
        <f t="shared" si="81"/>
        <v>10.5</v>
      </c>
      <c r="Y413" s="15">
        <f t="shared" si="82"/>
        <v>9.5</v>
      </c>
      <c r="Z413" s="15">
        <f t="shared" ca="1" si="83"/>
        <v>0</v>
      </c>
    </row>
    <row r="414" spans="12:26" x14ac:dyDescent="0.3">
      <c r="L414" s="15">
        <v>412</v>
      </c>
      <c r="M414" s="15">
        <f t="shared" si="75"/>
        <v>10</v>
      </c>
      <c r="N414" s="15">
        <f t="shared" ca="1" si="76"/>
        <v>0.96138239627736333</v>
      </c>
      <c r="O414" s="15">
        <f t="shared" ca="1" si="85"/>
        <v>2.4933327926658548</v>
      </c>
      <c r="P414" s="15">
        <f t="shared" ca="1" si="84"/>
        <v>2.4933327926540123</v>
      </c>
      <c r="Q414" s="15">
        <v>0</v>
      </c>
      <c r="R414" s="15">
        <f t="shared" ca="1" si="77"/>
        <v>2.4933327926540123</v>
      </c>
      <c r="S414" s="15">
        <f t="shared" ca="1" si="86"/>
        <v>9.0305361543148468</v>
      </c>
      <c r="T414" s="15">
        <f t="shared" ca="1" si="78"/>
        <v>8.0814658726742015E-3</v>
      </c>
      <c r="U414" s="15">
        <f t="shared" ca="1" si="79"/>
        <v>9.0386176201875212</v>
      </c>
      <c r="V414" s="15">
        <f t="shared" ca="1" si="80"/>
        <v>9.0386176037226367</v>
      </c>
      <c r="X414" s="15">
        <f t="shared" si="81"/>
        <v>10.5</v>
      </c>
      <c r="Y414" s="15">
        <f t="shared" si="82"/>
        <v>9.5</v>
      </c>
      <c r="Z414" s="15">
        <f t="shared" ca="1" si="83"/>
        <v>0</v>
      </c>
    </row>
    <row r="415" spans="12:26" x14ac:dyDescent="0.3">
      <c r="L415" s="15">
        <v>413</v>
      </c>
      <c r="M415" s="15">
        <f t="shared" si="75"/>
        <v>10</v>
      </c>
      <c r="N415" s="15">
        <f t="shared" ca="1" si="76"/>
        <v>0.9483233678499996</v>
      </c>
      <c r="O415" s="15">
        <f t="shared" ca="1" si="85"/>
        <v>2.4933327926658548</v>
      </c>
      <c r="P415" s="15">
        <f t="shared" ca="1" si="84"/>
        <v>2.4933327926540123</v>
      </c>
      <c r="Q415" s="15">
        <v>0</v>
      </c>
      <c r="R415" s="15">
        <f t="shared" ca="1" si="77"/>
        <v>2.4933327926540123</v>
      </c>
      <c r="S415" s="15">
        <f t="shared" ca="1" si="86"/>
        <v>9.0482788824720455</v>
      </c>
      <c r="T415" s="15">
        <f t="shared" ca="1" si="78"/>
        <v>3.3977641229010393E-3</v>
      </c>
      <c r="U415" s="15">
        <f t="shared" ca="1" si="79"/>
        <v>9.051676646594947</v>
      </c>
      <c r="V415" s="15">
        <f t="shared" ca="1" si="80"/>
        <v>9.0516766321500004</v>
      </c>
      <c r="X415" s="15">
        <f t="shared" si="81"/>
        <v>10.5</v>
      </c>
      <c r="Y415" s="15">
        <f t="shared" si="82"/>
        <v>9.5</v>
      </c>
      <c r="Z415" s="15">
        <f t="shared" ca="1" si="83"/>
        <v>0</v>
      </c>
    </row>
    <row r="416" spans="12:26" x14ac:dyDescent="0.3">
      <c r="L416" s="15">
        <v>414</v>
      </c>
      <c r="M416" s="15">
        <f t="shared" si="75"/>
        <v>10</v>
      </c>
      <c r="N416" s="15">
        <f t="shared" ca="1" si="76"/>
        <v>0.92541578945829883</v>
      </c>
      <c r="O416" s="15">
        <f t="shared" ca="1" si="85"/>
        <v>2.4895840273396392</v>
      </c>
      <c r="P416" s="15">
        <f t="shared" ca="1" si="84"/>
        <v>2.4895840097427331</v>
      </c>
      <c r="Q416" s="15">
        <v>0</v>
      </c>
      <c r="R416" s="15">
        <f t="shared" ca="1" si="77"/>
        <v>2.4895840097427331</v>
      </c>
      <c r="S416" s="15">
        <f t="shared" ca="1" si="86"/>
        <v>9.0666827991062782</v>
      </c>
      <c r="T416" s="15">
        <f t="shared" ca="1" si="78"/>
        <v>7.9014342802943647E-3</v>
      </c>
      <c r="U416" s="15">
        <f t="shared" ca="1" si="79"/>
        <v>9.0745842333865721</v>
      </c>
      <c r="V416" s="15">
        <f t="shared" ca="1" si="80"/>
        <v>9.0745842105417012</v>
      </c>
      <c r="X416" s="15">
        <f t="shared" si="81"/>
        <v>10.5</v>
      </c>
      <c r="Y416" s="15">
        <f t="shared" si="82"/>
        <v>9.5</v>
      </c>
      <c r="Z416" s="15">
        <f t="shared" ca="1" si="83"/>
        <v>0</v>
      </c>
    </row>
    <row r="417" spans="12:26" x14ac:dyDescent="0.3">
      <c r="L417" s="15">
        <v>415</v>
      </c>
      <c r="M417" s="15">
        <f t="shared" si="75"/>
        <v>10</v>
      </c>
      <c r="N417" s="15">
        <f t="shared" ca="1" si="76"/>
        <v>0.90763006613301833</v>
      </c>
      <c r="O417" s="15">
        <f t="shared" ca="1" si="85"/>
        <v>2.4895840273396392</v>
      </c>
      <c r="P417" s="15">
        <f t="shared" ca="1" si="84"/>
        <v>2.4895840097427331</v>
      </c>
      <c r="Q417" s="15">
        <v>0</v>
      </c>
      <c r="R417" s="15">
        <f t="shared" ca="1" si="77"/>
        <v>2.4895840097427331</v>
      </c>
      <c r="S417" s="15">
        <f t="shared" ca="1" si="86"/>
        <v>9.0857093235347985</v>
      </c>
      <c r="T417" s="15">
        <f t="shared" ca="1" si="78"/>
        <v>6.6606298088132425E-3</v>
      </c>
      <c r="U417" s="15">
        <f t="shared" ca="1" si="79"/>
        <v>9.0923699533436118</v>
      </c>
      <c r="V417" s="15">
        <f t="shared" ca="1" si="80"/>
        <v>9.0923699338669817</v>
      </c>
      <c r="X417" s="15">
        <f t="shared" si="81"/>
        <v>10.5</v>
      </c>
      <c r="Y417" s="15">
        <f t="shared" si="82"/>
        <v>9.5</v>
      </c>
      <c r="Z417" s="15">
        <f t="shared" ca="1" si="83"/>
        <v>0</v>
      </c>
    </row>
    <row r="418" spans="12:26" x14ac:dyDescent="0.3">
      <c r="L418" s="15">
        <v>416</v>
      </c>
      <c r="M418" s="15">
        <f t="shared" si="75"/>
        <v>10</v>
      </c>
      <c r="N418" s="15">
        <f t="shared" ca="1" si="76"/>
        <v>0.88892435908525336</v>
      </c>
      <c r="O418" s="15">
        <f t="shared" ca="1" si="85"/>
        <v>2.4895840273396392</v>
      </c>
      <c r="P418" s="15">
        <f t="shared" ca="1" si="84"/>
        <v>2.4895840097427331</v>
      </c>
      <c r="Q418" s="15">
        <v>0</v>
      </c>
      <c r="R418" s="15">
        <f t="shared" ca="1" si="77"/>
        <v>2.4895840097427331</v>
      </c>
      <c r="S418" s="15">
        <f t="shared" ca="1" si="86"/>
        <v>9.1051989495174528</v>
      </c>
      <c r="T418" s="15">
        <f t="shared" ca="1" si="78"/>
        <v>5.8766990088827678E-3</v>
      </c>
      <c r="U418" s="15">
        <f t="shared" ca="1" si="79"/>
        <v>9.1110756485263362</v>
      </c>
      <c r="V418" s="15">
        <f t="shared" ca="1" si="80"/>
        <v>9.1110756409147466</v>
      </c>
      <c r="X418" s="15">
        <f t="shared" si="81"/>
        <v>10.5</v>
      </c>
      <c r="Y418" s="15">
        <f t="shared" si="82"/>
        <v>9.5</v>
      </c>
      <c r="Z418" s="15">
        <f t="shared" ca="1" si="83"/>
        <v>0</v>
      </c>
    </row>
    <row r="419" spans="12:26" x14ac:dyDescent="0.3">
      <c r="L419" s="15">
        <v>417</v>
      </c>
      <c r="M419" s="15">
        <f t="shared" si="75"/>
        <v>10</v>
      </c>
      <c r="N419" s="15">
        <f t="shared" ca="1" si="76"/>
        <v>0.87015492629030611</v>
      </c>
      <c r="O419" s="15">
        <f t="shared" ca="1" si="85"/>
        <v>2.5003795461403984</v>
      </c>
      <c r="P419" s="15">
        <f t="shared" ca="1" si="84"/>
        <v>2.5003795285011594</v>
      </c>
      <c r="Q419" s="15">
        <v>0</v>
      </c>
      <c r="R419" s="15">
        <f t="shared" ca="1" si="77"/>
        <v>2.5003795285011594</v>
      </c>
      <c r="S419" s="15">
        <f t="shared" ca="1" si="86"/>
        <v>9.12514164079405</v>
      </c>
      <c r="T419" s="15">
        <f t="shared" ca="1" si="78"/>
        <v>4.7034479686780166E-3</v>
      </c>
      <c r="U419" s="15">
        <f t="shared" ca="1" si="79"/>
        <v>9.1298450887627283</v>
      </c>
      <c r="V419" s="15">
        <f t="shared" ca="1" si="80"/>
        <v>9.1298450737096939</v>
      </c>
      <c r="X419" s="15">
        <f t="shared" si="81"/>
        <v>10.5</v>
      </c>
      <c r="Y419" s="15">
        <f t="shared" si="82"/>
        <v>9.5</v>
      </c>
      <c r="Z419" s="15">
        <f t="shared" ca="1" si="83"/>
        <v>0</v>
      </c>
    </row>
    <row r="420" spans="12:26" x14ac:dyDescent="0.3">
      <c r="L420" s="15">
        <v>418</v>
      </c>
      <c r="M420" s="15">
        <f t="shared" si="75"/>
        <v>10</v>
      </c>
      <c r="N420" s="15">
        <f t="shared" ca="1" si="76"/>
        <v>0.8458338796267828</v>
      </c>
      <c r="O420" s="15">
        <f t="shared" ca="1" si="85"/>
        <v>2.5003795461403984</v>
      </c>
      <c r="P420" s="15">
        <f t="shared" ca="1" si="84"/>
        <v>2.5003795285011594</v>
      </c>
      <c r="Q420" s="15">
        <v>0</v>
      </c>
      <c r="R420" s="15">
        <f t="shared" ca="1" si="77"/>
        <v>2.5003795285011594</v>
      </c>
      <c r="S420" s="15">
        <f t="shared" ca="1" si="86"/>
        <v>9.1455209151699357</v>
      </c>
      <c r="T420" s="15">
        <f t="shared" ca="1" si="78"/>
        <v>8.6452187562347689E-3</v>
      </c>
      <c r="U420" s="15">
        <f t="shared" ca="1" si="79"/>
        <v>9.1541661339261697</v>
      </c>
      <c r="V420" s="15">
        <f t="shared" ca="1" si="80"/>
        <v>9.1541661203732172</v>
      </c>
      <c r="X420" s="15">
        <f t="shared" si="81"/>
        <v>10.5</v>
      </c>
      <c r="Y420" s="15">
        <f t="shared" si="82"/>
        <v>9.5</v>
      </c>
      <c r="Z420" s="15">
        <f t="shared" ca="1" si="83"/>
        <v>0</v>
      </c>
    </row>
    <row r="421" spans="12:26" x14ac:dyDescent="0.3">
      <c r="L421" s="15">
        <v>419</v>
      </c>
      <c r="M421" s="15">
        <f t="shared" si="75"/>
        <v>10</v>
      </c>
      <c r="N421" s="15">
        <f t="shared" ca="1" si="76"/>
        <v>0.83306030156860622</v>
      </c>
      <c r="O421" s="15">
        <f t="shared" ca="1" si="85"/>
        <v>2.5003795461403984</v>
      </c>
      <c r="P421" s="15">
        <f t="shared" ca="1" si="84"/>
        <v>2.5003795285011594</v>
      </c>
      <c r="Q421" s="15">
        <v>0</v>
      </c>
      <c r="R421" s="15">
        <f t="shared" ca="1" si="77"/>
        <v>2.5003795285011594</v>
      </c>
      <c r="S421" s="15">
        <f t="shared" ca="1" si="86"/>
        <v>9.1661951580608552</v>
      </c>
      <c r="T421" s="15">
        <f t="shared" ca="1" si="78"/>
        <v>7.4455694470163208E-4</v>
      </c>
      <c r="U421" s="15">
        <f t="shared" ca="1" si="79"/>
        <v>9.1669397150055563</v>
      </c>
      <c r="V421" s="15">
        <f t="shared" ca="1" si="80"/>
        <v>9.1669396984313938</v>
      </c>
      <c r="X421" s="15">
        <f t="shared" si="81"/>
        <v>10.5</v>
      </c>
      <c r="Y421" s="15">
        <f t="shared" si="82"/>
        <v>9.5</v>
      </c>
      <c r="Z421" s="15">
        <f t="shared" ca="1" si="83"/>
        <v>0</v>
      </c>
    </row>
    <row r="422" spans="12:26" x14ac:dyDescent="0.3">
      <c r="L422" s="15">
        <v>420</v>
      </c>
      <c r="M422" s="15">
        <f t="shared" si="75"/>
        <v>10</v>
      </c>
      <c r="N422" s="15">
        <f t="shared" ca="1" si="76"/>
        <v>0.80412029074600788</v>
      </c>
      <c r="O422" s="15">
        <f t="shared" ca="1" si="85"/>
        <v>2.4984673868111797</v>
      </c>
      <c r="P422" s="15">
        <f t="shared" ca="1" si="84"/>
        <v>2.4984673835566422</v>
      </c>
      <c r="Q422" s="15">
        <v>0</v>
      </c>
      <c r="R422" s="15">
        <f t="shared" ca="1" si="77"/>
        <v>2.4984673835566422</v>
      </c>
      <c r="S422" s="15">
        <f t="shared" ca="1" si="86"/>
        <v>9.1870856658416571</v>
      </c>
      <c r="T422" s="15">
        <f t="shared" ca="1" si="78"/>
        <v>8.7940483506060846E-3</v>
      </c>
      <c r="U422" s="15">
        <f t="shared" ca="1" si="79"/>
        <v>9.1958797141922624</v>
      </c>
      <c r="V422" s="15">
        <f t="shared" ca="1" si="80"/>
        <v>9.1958797092539921</v>
      </c>
      <c r="X422" s="15">
        <f t="shared" si="81"/>
        <v>10.5</v>
      </c>
      <c r="Y422" s="15">
        <f t="shared" si="82"/>
        <v>9.5</v>
      </c>
      <c r="Z422" s="15">
        <f t="shared" ca="1" si="83"/>
        <v>0</v>
      </c>
    </row>
    <row r="423" spans="12:26" x14ac:dyDescent="0.3">
      <c r="L423" s="15">
        <v>421</v>
      </c>
      <c r="M423" s="15">
        <f t="shared" si="75"/>
        <v>10</v>
      </c>
      <c r="N423" s="15">
        <f t="shared" ca="1" si="76"/>
        <v>0.79005769239507018</v>
      </c>
      <c r="O423" s="15">
        <f t="shared" ca="1" si="85"/>
        <v>2.4984673868111797</v>
      </c>
      <c r="P423" s="15">
        <f t="shared" ca="1" si="84"/>
        <v>2.4984673835566422</v>
      </c>
      <c r="Q423" s="15">
        <v>0</v>
      </c>
      <c r="R423" s="15">
        <f t="shared" ca="1" si="77"/>
        <v>2.4984673835566422</v>
      </c>
      <c r="S423" s="15">
        <f t="shared" ca="1" si="86"/>
        <v>9.2081207673440097</v>
      </c>
      <c r="T423" s="15">
        <f t="shared" ca="1" si="78"/>
        <v>1.8215588665651051E-3</v>
      </c>
      <c r="U423" s="15">
        <f t="shared" ca="1" si="79"/>
        <v>9.2099423262105748</v>
      </c>
      <c r="V423" s="15">
        <f t="shared" ca="1" si="80"/>
        <v>9.2099423076049298</v>
      </c>
      <c r="X423" s="15">
        <f t="shared" si="81"/>
        <v>10.5</v>
      </c>
      <c r="Y423" s="15">
        <f t="shared" si="82"/>
        <v>9.5</v>
      </c>
      <c r="Z423" s="15">
        <f t="shared" ca="1" si="83"/>
        <v>0</v>
      </c>
    </row>
    <row r="424" spans="12:26" x14ac:dyDescent="0.3">
      <c r="L424" s="15">
        <v>422</v>
      </c>
      <c r="M424" s="15">
        <f t="shared" si="75"/>
        <v>10</v>
      </c>
      <c r="N424" s="15">
        <f t="shared" ca="1" si="76"/>
        <v>0.76190609269819909</v>
      </c>
      <c r="O424" s="15">
        <f t="shared" ca="1" si="85"/>
        <v>2.4984673868111797</v>
      </c>
      <c r="P424" s="15">
        <f t="shared" ca="1" si="84"/>
        <v>2.4984673835566422</v>
      </c>
      <c r="Q424" s="15">
        <v>0</v>
      </c>
      <c r="R424" s="15">
        <f t="shared" ca="1" si="77"/>
        <v>2.4984673835566422</v>
      </c>
      <c r="S424" s="15">
        <f t="shared" ca="1" si="86"/>
        <v>9.2291931381024757</v>
      </c>
      <c r="T424" s="15">
        <f t="shared" ca="1" si="78"/>
        <v>8.9007735176674201E-3</v>
      </c>
      <c r="U424" s="15">
        <f t="shared" ca="1" si="79"/>
        <v>9.2380939116201439</v>
      </c>
      <c r="V424" s="15">
        <f t="shared" ca="1" si="80"/>
        <v>9.2380939073018009</v>
      </c>
      <c r="X424" s="15">
        <f t="shared" si="81"/>
        <v>10.5</v>
      </c>
      <c r="Y424" s="15">
        <f t="shared" si="82"/>
        <v>9.5</v>
      </c>
      <c r="Z424" s="15">
        <f t="shared" ca="1" si="83"/>
        <v>0</v>
      </c>
    </row>
    <row r="425" spans="12:26" x14ac:dyDescent="0.3">
      <c r="L425" s="15">
        <v>423</v>
      </c>
      <c r="M425" s="15">
        <f t="shared" si="75"/>
        <v>10</v>
      </c>
      <c r="N425" s="15">
        <f t="shared" ca="1" si="76"/>
        <v>0.74689682823300707</v>
      </c>
      <c r="O425" s="15">
        <f t="shared" ca="1" si="85"/>
        <v>2.5086820354548665</v>
      </c>
      <c r="P425" s="15">
        <f t="shared" ca="1" si="84"/>
        <v>2.5086820131420815</v>
      </c>
      <c r="Q425" s="15">
        <v>0</v>
      </c>
      <c r="R425" s="15">
        <f t="shared" ca="1" si="77"/>
        <v>2.5086820131420815</v>
      </c>
      <c r="S425" s="15">
        <f t="shared" ca="1" si="86"/>
        <v>9.2503133182297095</v>
      </c>
      <c r="T425" s="15">
        <f t="shared" ca="1" si="78"/>
        <v>2.7898667656910017E-3</v>
      </c>
      <c r="U425" s="15">
        <f t="shared" ca="1" si="79"/>
        <v>9.2531031849953997</v>
      </c>
      <c r="V425" s="15">
        <f t="shared" ca="1" si="80"/>
        <v>9.2531031717669929</v>
      </c>
      <c r="X425" s="15">
        <f t="shared" si="81"/>
        <v>10.5</v>
      </c>
      <c r="Y425" s="15">
        <f t="shared" si="82"/>
        <v>9.5</v>
      </c>
      <c r="Z425" s="15">
        <f t="shared" ca="1" si="83"/>
        <v>0</v>
      </c>
    </row>
    <row r="426" spans="12:26" x14ac:dyDescent="0.3">
      <c r="L426" s="15">
        <v>424</v>
      </c>
      <c r="M426" s="15">
        <f t="shared" si="75"/>
        <v>10</v>
      </c>
      <c r="N426" s="15">
        <f t="shared" ca="1" si="76"/>
        <v>0.72215165726890618</v>
      </c>
      <c r="O426" s="15">
        <f t="shared" ca="1" si="85"/>
        <v>2.5086820354548665</v>
      </c>
      <c r="P426" s="15">
        <f t="shared" ca="1" si="84"/>
        <v>2.5086820131420815</v>
      </c>
      <c r="Q426" s="15">
        <v>0</v>
      </c>
      <c r="R426" s="15">
        <f t="shared" ca="1" si="77"/>
        <v>2.5086820131420815</v>
      </c>
      <c r="S426" s="15">
        <f t="shared" ca="1" si="86"/>
        <v>9.2714856889893014</v>
      </c>
      <c r="T426" s="15">
        <f t="shared" ca="1" si="78"/>
        <v>6.3626661340177824E-3</v>
      </c>
      <c r="U426" s="15">
        <f t="shared" ca="1" si="79"/>
        <v>9.2778483551233197</v>
      </c>
      <c r="V426" s="15">
        <f t="shared" ca="1" si="80"/>
        <v>9.2778483427310938</v>
      </c>
      <c r="X426" s="15">
        <f t="shared" si="81"/>
        <v>10.5</v>
      </c>
      <c r="Y426" s="15">
        <f t="shared" si="82"/>
        <v>9.5</v>
      </c>
      <c r="Z426" s="15">
        <f t="shared" ca="1" si="83"/>
        <v>0</v>
      </c>
    </row>
    <row r="427" spans="12:26" x14ac:dyDescent="0.3">
      <c r="L427" s="15">
        <v>425</v>
      </c>
      <c r="M427" s="15">
        <f t="shared" si="75"/>
        <v>10</v>
      </c>
      <c r="N427" s="15">
        <f t="shared" ca="1" si="76"/>
        <v>0.70488279468959192</v>
      </c>
      <c r="O427" s="15">
        <f t="shared" ca="1" si="85"/>
        <v>2.5086820354548665</v>
      </c>
      <c r="P427" s="15">
        <f t="shared" ca="1" si="84"/>
        <v>2.5086820131420815</v>
      </c>
      <c r="Q427" s="15">
        <v>0</v>
      </c>
      <c r="R427" s="15">
        <f t="shared" ca="1" si="77"/>
        <v>2.5086820131420815</v>
      </c>
      <c r="S427" s="15">
        <f t="shared" ca="1" si="86"/>
        <v>9.2926140746142138</v>
      </c>
      <c r="T427" s="15">
        <f t="shared" ca="1" si="78"/>
        <v>2.5031514675779953E-3</v>
      </c>
      <c r="U427" s="15">
        <f t="shared" ca="1" si="79"/>
        <v>9.2951172260817927</v>
      </c>
      <c r="V427" s="15">
        <f t="shared" ca="1" si="80"/>
        <v>9.2951172053104081</v>
      </c>
      <c r="X427" s="15">
        <f t="shared" si="81"/>
        <v>10.5</v>
      </c>
      <c r="Y427" s="15">
        <f t="shared" si="82"/>
        <v>9.5</v>
      </c>
      <c r="Z427" s="15">
        <f t="shared" ca="1" si="83"/>
        <v>0</v>
      </c>
    </row>
    <row r="428" spans="12:26" x14ac:dyDescent="0.3">
      <c r="L428" s="15">
        <v>426</v>
      </c>
      <c r="M428" s="15">
        <f t="shared" si="75"/>
        <v>10</v>
      </c>
      <c r="N428" s="15">
        <f t="shared" ca="1" si="76"/>
        <v>0.67850915963726699</v>
      </c>
      <c r="O428" s="15">
        <f t="shared" ca="1" si="85"/>
        <v>2.503668626611625</v>
      </c>
      <c r="P428" s="15">
        <f t="shared" ca="1" si="84"/>
        <v>2.5036686105895019</v>
      </c>
      <c r="Q428" s="15">
        <v>0</v>
      </c>
      <c r="R428" s="15">
        <f t="shared" ca="1" si="77"/>
        <v>2.5036686105895019</v>
      </c>
      <c r="S428" s="15">
        <f t="shared" ca="1" si="86"/>
        <v>9.3136525920362985</v>
      </c>
      <c r="T428" s="15">
        <f t="shared" ca="1" si="78"/>
        <v>7.8382642315375194E-3</v>
      </c>
      <c r="U428" s="15">
        <f t="shared" ca="1" si="79"/>
        <v>9.321490856267836</v>
      </c>
      <c r="V428" s="15">
        <f t="shared" ca="1" si="80"/>
        <v>9.321490840362733</v>
      </c>
      <c r="X428" s="15">
        <f t="shared" si="81"/>
        <v>10.5</v>
      </c>
      <c r="Y428" s="15">
        <f t="shared" si="82"/>
        <v>9.5</v>
      </c>
      <c r="Z428" s="15">
        <f t="shared" ca="1" si="83"/>
        <v>0</v>
      </c>
    </row>
    <row r="429" spans="12:26" x14ac:dyDescent="0.3">
      <c r="L429" s="15">
        <v>427</v>
      </c>
      <c r="M429" s="15">
        <f t="shared" si="75"/>
        <v>10</v>
      </c>
      <c r="N429" s="15">
        <f t="shared" ca="1" si="76"/>
        <v>0.6573827123868714</v>
      </c>
      <c r="O429" s="15">
        <f t="shared" ca="1" si="85"/>
        <v>2.503668626611625</v>
      </c>
      <c r="P429" s="15">
        <f t="shared" ca="1" si="84"/>
        <v>2.5036686105895019</v>
      </c>
      <c r="Q429" s="15">
        <v>0</v>
      </c>
      <c r="R429" s="15">
        <f t="shared" ca="1" si="77"/>
        <v>2.5036686105895019</v>
      </c>
      <c r="S429" s="15">
        <f t="shared" ca="1" si="86"/>
        <v>9.3345598858482539</v>
      </c>
      <c r="T429" s="15">
        <f t="shared" ca="1" si="78"/>
        <v>8.0574135973179757E-3</v>
      </c>
      <c r="U429" s="15">
        <f t="shared" ca="1" si="79"/>
        <v>9.3426172994455712</v>
      </c>
      <c r="V429" s="15">
        <f t="shared" ca="1" si="80"/>
        <v>9.3426172876131286</v>
      </c>
      <c r="X429" s="15">
        <f t="shared" si="81"/>
        <v>10.5</v>
      </c>
      <c r="Y429" s="15">
        <f t="shared" si="82"/>
        <v>9.5</v>
      </c>
      <c r="Z429" s="15">
        <f t="shared" ca="1" si="83"/>
        <v>0</v>
      </c>
    </row>
    <row r="430" spans="12:26" x14ac:dyDescent="0.3">
      <c r="L430" s="15">
        <v>428</v>
      </c>
      <c r="M430" s="15">
        <f t="shared" si="75"/>
        <v>10</v>
      </c>
      <c r="N430" s="15">
        <f t="shared" ca="1" si="76"/>
        <v>0.64327657470555799</v>
      </c>
      <c r="O430" s="15">
        <f t="shared" ca="1" si="85"/>
        <v>2.503668626611625</v>
      </c>
      <c r="P430" s="15">
        <f t="shared" ca="1" si="84"/>
        <v>2.5036686105895019</v>
      </c>
      <c r="Q430" s="15">
        <v>0</v>
      </c>
      <c r="R430" s="15">
        <f t="shared" ca="1" si="77"/>
        <v>2.5036686105895019</v>
      </c>
      <c r="S430" s="15">
        <f t="shared" ca="1" si="86"/>
        <v>9.3552641833562262</v>
      </c>
      <c r="T430" s="15">
        <f t="shared" ca="1" si="78"/>
        <v>1.4592445763680817E-3</v>
      </c>
      <c r="U430" s="15">
        <f t="shared" ca="1" si="79"/>
        <v>9.3567234279325948</v>
      </c>
      <c r="V430" s="15">
        <f t="shared" ca="1" si="80"/>
        <v>9.356723425294442</v>
      </c>
      <c r="X430" s="15">
        <f t="shared" si="81"/>
        <v>10.5</v>
      </c>
      <c r="Y430" s="15">
        <f t="shared" si="82"/>
        <v>9.5</v>
      </c>
      <c r="Z430" s="15">
        <f t="shared" ca="1" si="83"/>
        <v>0</v>
      </c>
    </row>
    <row r="431" spans="12:26" x14ac:dyDescent="0.3">
      <c r="L431" s="15">
        <v>429</v>
      </c>
      <c r="M431" s="15">
        <f t="shared" si="75"/>
        <v>10</v>
      </c>
      <c r="N431" s="15">
        <f t="shared" ca="1" si="76"/>
        <v>0.6234011730699347</v>
      </c>
      <c r="O431" s="15">
        <f t="shared" ca="1" si="85"/>
        <v>2.5144993906040387</v>
      </c>
      <c r="P431" s="15">
        <f t="shared" ca="1" si="84"/>
        <v>2.5144993799073854</v>
      </c>
      <c r="Q431" s="15">
        <v>0</v>
      </c>
      <c r="R431" s="15">
        <f t="shared" ca="1" si="77"/>
        <v>2.5144993799073854</v>
      </c>
      <c r="S431" s="15">
        <f t="shared" ca="1" si="86"/>
        <v>9.3757573705867188</v>
      </c>
      <c r="T431" s="15">
        <f t="shared" ca="1" si="78"/>
        <v>8.4146839172626108E-4</v>
      </c>
      <c r="U431" s="15">
        <f t="shared" ca="1" si="79"/>
        <v>9.3765988389784454</v>
      </c>
      <c r="V431" s="15">
        <f t="shared" ca="1" si="80"/>
        <v>9.3765988269300653</v>
      </c>
      <c r="X431" s="15">
        <f t="shared" si="81"/>
        <v>10.5</v>
      </c>
      <c r="Y431" s="15">
        <f t="shared" si="82"/>
        <v>9.5</v>
      </c>
      <c r="Z431" s="15">
        <f t="shared" ca="1" si="83"/>
        <v>0</v>
      </c>
    </row>
    <row r="432" spans="12:26" x14ac:dyDescent="0.3">
      <c r="L432" s="15">
        <v>430</v>
      </c>
      <c r="M432" s="15">
        <f t="shared" si="75"/>
        <v>10</v>
      </c>
      <c r="N432" s="15">
        <f t="shared" ca="1" si="76"/>
        <v>0.60292874709771205</v>
      </c>
      <c r="O432" s="15">
        <f t="shared" ca="1" si="85"/>
        <v>2.5144993906040387</v>
      </c>
      <c r="P432" s="15">
        <f t="shared" ca="1" si="84"/>
        <v>2.5144993799073854</v>
      </c>
      <c r="Q432" s="15">
        <v>0</v>
      </c>
      <c r="R432" s="15">
        <f t="shared" ca="1" si="77"/>
        <v>2.5144993799073854</v>
      </c>
      <c r="S432" s="15">
        <f t="shared" ca="1" si="86"/>
        <v>9.3960308811553688</v>
      </c>
      <c r="T432" s="15">
        <f t="shared" ca="1" si="78"/>
        <v>1.0403820651395889E-3</v>
      </c>
      <c r="U432" s="15">
        <f t="shared" ca="1" si="79"/>
        <v>9.3970712632205089</v>
      </c>
      <c r="V432" s="15">
        <f t="shared" ca="1" si="80"/>
        <v>9.397071252902288</v>
      </c>
      <c r="X432" s="15">
        <f t="shared" si="81"/>
        <v>10.5</v>
      </c>
      <c r="Y432" s="15">
        <f t="shared" si="82"/>
        <v>9.5</v>
      </c>
      <c r="Z432" s="15">
        <f t="shared" ca="1" si="83"/>
        <v>0</v>
      </c>
    </row>
    <row r="433" spans="12:26" x14ac:dyDescent="0.3">
      <c r="L433" s="15">
        <v>431</v>
      </c>
      <c r="M433" s="15">
        <f t="shared" si="75"/>
        <v>10</v>
      </c>
      <c r="N433" s="15">
        <f t="shared" ca="1" si="76"/>
        <v>0.58235105839147039</v>
      </c>
      <c r="O433" s="15">
        <f t="shared" ca="1" si="85"/>
        <v>2.5144993906040387</v>
      </c>
      <c r="P433" s="15">
        <f t="shared" ca="1" si="84"/>
        <v>2.5144993799073854</v>
      </c>
      <c r="Q433" s="15">
        <v>0</v>
      </c>
      <c r="R433" s="15">
        <f t="shared" ca="1" si="77"/>
        <v>2.5144993799073854</v>
      </c>
      <c r="S433" s="15">
        <f t="shared" ca="1" si="86"/>
        <v>9.4160268509160954</v>
      </c>
      <c r="T433" s="15">
        <f t="shared" ca="1" si="78"/>
        <v>1.6221015574718434E-3</v>
      </c>
      <c r="U433" s="15">
        <f t="shared" ca="1" si="79"/>
        <v>9.4176489524735665</v>
      </c>
      <c r="V433" s="15">
        <f t="shared" ca="1" si="80"/>
        <v>9.4176489416085296</v>
      </c>
      <c r="X433" s="15">
        <f t="shared" si="81"/>
        <v>10.5</v>
      </c>
      <c r="Y433" s="15">
        <f t="shared" si="82"/>
        <v>9.5</v>
      </c>
      <c r="Z433" s="15">
        <f t="shared" ca="1" si="83"/>
        <v>0</v>
      </c>
    </row>
    <row r="434" spans="12:26" x14ac:dyDescent="0.3">
      <c r="L434" s="15">
        <v>432</v>
      </c>
      <c r="M434" s="15">
        <f t="shared" si="75"/>
        <v>10</v>
      </c>
      <c r="N434" s="15">
        <f t="shared" ca="1" si="76"/>
        <v>0.56123185217409066</v>
      </c>
      <c r="O434" s="15">
        <f t="shared" ca="1" si="85"/>
        <v>2.5107030546753482</v>
      </c>
      <c r="P434" s="15">
        <f t="shared" ca="1" si="84"/>
        <v>2.5107030529786605</v>
      </c>
      <c r="Q434" s="15">
        <v>0</v>
      </c>
      <c r="R434" s="15">
        <f t="shared" ca="1" si="77"/>
        <v>2.5107030529786605</v>
      </c>
      <c r="S434" s="15">
        <f t="shared" ca="1" si="86"/>
        <v>9.4357705116645878</v>
      </c>
      <c r="T434" s="15">
        <f t="shared" ca="1" si="78"/>
        <v>2.9976475920759325E-3</v>
      </c>
      <c r="U434" s="15">
        <f t="shared" ca="1" si="79"/>
        <v>9.4387681592566643</v>
      </c>
      <c r="V434" s="15">
        <f t="shared" ca="1" si="80"/>
        <v>9.4387681478259093</v>
      </c>
      <c r="X434" s="15">
        <f t="shared" si="81"/>
        <v>10.5</v>
      </c>
      <c r="Y434" s="15">
        <f t="shared" si="82"/>
        <v>9.5</v>
      </c>
      <c r="Z434" s="15">
        <f t="shared" ca="1" si="83"/>
        <v>0</v>
      </c>
    </row>
    <row r="435" spans="12:26" x14ac:dyDescent="0.3">
      <c r="L435" s="15">
        <v>433</v>
      </c>
      <c r="M435" s="15">
        <f t="shared" si="75"/>
        <v>10</v>
      </c>
      <c r="N435" s="15">
        <f t="shared" ca="1" si="76"/>
        <v>0.54367553688205739</v>
      </c>
      <c r="O435" s="15">
        <f t="shared" ca="1" si="85"/>
        <v>2.5107030546753482</v>
      </c>
      <c r="P435" s="15">
        <f t="shared" ca="1" si="84"/>
        <v>2.5107030529786605</v>
      </c>
      <c r="Q435" s="15">
        <v>0</v>
      </c>
      <c r="R435" s="15">
        <f t="shared" ca="1" si="77"/>
        <v>2.5107030529786605</v>
      </c>
      <c r="S435" s="15">
        <f t="shared" ca="1" si="86"/>
        <v>9.4552816601750571</v>
      </c>
      <c r="T435" s="15">
        <f t="shared" ca="1" si="78"/>
        <v>1.0428233541280741E-3</v>
      </c>
      <c r="U435" s="15">
        <f t="shared" ca="1" si="79"/>
        <v>9.4563244835291851</v>
      </c>
      <c r="V435" s="15">
        <f t="shared" ca="1" si="80"/>
        <v>9.4563244631179426</v>
      </c>
      <c r="X435" s="15">
        <f t="shared" si="81"/>
        <v>10.5</v>
      </c>
      <c r="Y435" s="15">
        <f t="shared" si="82"/>
        <v>9.5</v>
      </c>
      <c r="Z435" s="15">
        <f t="shared" ca="1" si="83"/>
        <v>0</v>
      </c>
    </row>
    <row r="436" spans="12:26" x14ac:dyDescent="0.3">
      <c r="L436" s="15">
        <v>434</v>
      </c>
      <c r="M436" s="15">
        <f t="shared" si="75"/>
        <v>10</v>
      </c>
      <c r="N436" s="15">
        <f t="shared" ca="1" si="76"/>
        <v>0.51732765289892768</v>
      </c>
      <c r="O436" s="15">
        <f t="shared" ca="1" si="85"/>
        <v>2.5107030546753482</v>
      </c>
      <c r="P436" s="15">
        <f t="shared" ca="1" si="84"/>
        <v>2.5107030529786605</v>
      </c>
      <c r="Q436" s="15">
        <v>0</v>
      </c>
      <c r="R436" s="15">
        <f t="shared" ca="1" si="77"/>
        <v>2.5107030529786605</v>
      </c>
      <c r="S436" s="15">
        <f t="shared" ca="1" si="86"/>
        <v>9.4745072860950614</v>
      </c>
      <c r="T436" s="15">
        <f t="shared" ca="1" si="78"/>
        <v>8.1650826029028411E-3</v>
      </c>
      <c r="U436" s="15">
        <f t="shared" ca="1" si="79"/>
        <v>9.4826723686979637</v>
      </c>
      <c r="V436" s="15">
        <f t="shared" ca="1" si="80"/>
        <v>9.4826723471010723</v>
      </c>
      <c r="X436" s="15">
        <f t="shared" si="81"/>
        <v>10.5</v>
      </c>
      <c r="Y436" s="15">
        <f t="shared" si="82"/>
        <v>9.5</v>
      </c>
      <c r="Z436" s="15">
        <f t="shared" ca="1" si="83"/>
        <v>0</v>
      </c>
    </row>
    <row r="437" spans="12:26" x14ac:dyDescent="0.3">
      <c r="L437" s="15">
        <v>435</v>
      </c>
      <c r="M437" s="15">
        <f t="shared" si="75"/>
        <v>10</v>
      </c>
      <c r="N437" s="15">
        <f t="shared" ca="1" si="76"/>
        <v>0.49699075764440792</v>
      </c>
      <c r="O437" s="15">
        <f t="shared" ca="1" si="85"/>
        <v>2.5082864154670106</v>
      </c>
      <c r="P437" s="15">
        <f t="shared" ca="1" si="84"/>
        <v>2.5082864105953573</v>
      </c>
      <c r="Q437" s="15">
        <v>0</v>
      </c>
      <c r="R437" s="15">
        <f t="shared" ca="1" si="77"/>
        <v>2.5082864105953573</v>
      </c>
      <c r="S437" s="15">
        <f t="shared" ca="1" si="86"/>
        <v>9.4933698865179803</v>
      </c>
      <c r="T437" s="15">
        <f t="shared" ca="1" si="78"/>
        <v>9.6393610097729853E-3</v>
      </c>
      <c r="U437" s="15">
        <f t="shared" ca="1" si="79"/>
        <v>9.5030092475277534</v>
      </c>
      <c r="V437" s="15">
        <f t="shared" ca="1" si="80"/>
        <v>9.5030092423555921</v>
      </c>
      <c r="X437" s="15">
        <f t="shared" si="81"/>
        <v>10.5</v>
      </c>
      <c r="Y437" s="15">
        <f t="shared" si="82"/>
        <v>9.5</v>
      </c>
      <c r="Z437" s="15">
        <f t="shared" ca="1" si="83"/>
        <v>1</v>
      </c>
    </row>
    <row r="438" spans="12:26" x14ac:dyDescent="0.3">
      <c r="L438" s="15">
        <v>436</v>
      </c>
      <c r="M438" s="15">
        <f t="shared" si="75"/>
        <v>10</v>
      </c>
      <c r="N438" s="15">
        <f t="shared" ca="1" si="76"/>
        <v>0.48661000339468252</v>
      </c>
      <c r="O438" s="15">
        <f t="shared" ca="1" si="85"/>
        <v>2.5082864154670106</v>
      </c>
      <c r="P438" s="15">
        <f t="shared" ca="1" si="84"/>
        <v>2.5082864105953573</v>
      </c>
      <c r="Q438" s="15">
        <v>0</v>
      </c>
      <c r="R438" s="15">
        <f t="shared" ca="1" si="77"/>
        <v>2.5082864105953573</v>
      </c>
      <c r="S438" s="15">
        <f t="shared" ca="1" si="86"/>
        <v>9.5118047666138281</v>
      </c>
      <c r="T438" s="15">
        <f t="shared" ca="1" si="78"/>
        <v>1.5852311768784278E-3</v>
      </c>
      <c r="U438" s="15">
        <f t="shared" ca="1" si="79"/>
        <v>9.513389997790707</v>
      </c>
      <c r="V438" s="15">
        <f t="shared" ca="1" si="80"/>
        <v>9.5133899966053175</v>
      </c>
      <c r="X438" s="15">
        <f t="shared" si="81"/>
        <v>10.5</v>
      </c>
      <c r="Y438" s="15">
        <f t="shared" si="82"/>
        <v>9.5</v>
      </c>
      <c r="Z438" s="15">
        <f t="shared" ca="1" si="83"/>
        <v>1</v>
      </c>
    </row>
    <row r="439" spans="12:26" x14ac:dyDescent="0.3">
      <c r="L439" s="15">
        <v>437</v>
      </c>
      <c r="M439" s="15">
        <f t="shared" si="75"/>
        <v>10</v>
      </c>
      <c r="N439" s="15">
        <f t="shared" ca="1" si="76"/>
        <v>0.46888628286982126</v>
      </c>
      <c r="O439" s="15">
        <f t="shared" ca="1" si="85"/>
        <v>2.5082864154670106</v>
      </c>
      <c r="P439" s="15">
        <f t="shared" ca="1" si="84"/>
        <v>2.5082864105953573</v>
      </c>
      <c r="Q439" s="15">
        <v>0</v>
      </c>
      <c r="R439" s="15">
        <f t="shared" ca="1" si="77"/>
        <v>2.5082864105953573</v>
      </c>
      <c r="S439" s="15">
        <f t="shared" ca="1" si="86"/>
        <v>9.5297882471932169</v>
      </c>
      <c r="T439" s="15">
        <f t="shared" ca="1" si="78"/>
        <v>1.3254750490355972E-3</v>
      </c>
      <c r="U439" s="15">
        <f t="shared" ca="1" si="79"/>
        <v>9.5311137222422531</v>
      </c>
      <c r="V439" s="15">
        <f t="shared" ca="1" si="80"/>
        <v>9.5311137171301787</v>
      </c>
      <c r="X439" s="15">
        <f t="shared" si="81"/>
        <v>10.5</v>
      </c>
      <c r="Y439" s="15">
        <f t="shared" si="82"/>
        <v>9.5</v>
      </c>
      <c r="Z439" s="15">
        <f t="shared" ca="1" si="83"/>
        <v>1</v>
      </c>
    </row>
    <row r="440" spans="12:26" x14ac:dyDescent="0.3">
      <c r="L440" s="15">
        <v>438</v>
      </c>
      <c r="M440" s="15">
        <f t="shared" si="75"/>
        <v>10</v>
      </c>
      <c r="N440" s="15">
        <f t="shared" ca="1" si="76"/>
        <v>0.44861895741164126</v>
      </c>
      <c r="O440" s="15">
        <f t="shared" ca="1" si="85"/>
        <v>2.5183852361147219</v>
      </c>
      <c r="P440" s="15">
        <f t="shared" ca="1" si="84"/>
        <v>2.5183852302186156</v>
      </c>
      <c r="Q440" s="15">
        <v>0</v>
      </c>
      <c r="R440" s="15">
        <f t="shared" ca="1" si="77"/>
        <v>2.5183852302186156</v>
      </c>
      <c r="S440" s="15">
        <f t="shared" ca="1" si="86"/>
        <v>9.5473949515208627</v>
      </c>
      <c r="T440" s="15">
        <f t="shared" ca="1" si="78"/>
        <v>3.9861033618684375E-3</v>
      </c>
      <c r="U440" s="15">
        <f t="shared" ca="1" si="79"/>
        <v>9.5513810548827305</v>
      </c>
      <c r="V440" s="15">
        <f t="shared" ca="1" si="80"/>
        <v>9.5513810425883587</v>
      </c>
      <c r="X440" s="15">
        <f t="shared" si="81"/>
        <v>10.5</v>
      </c>
      <c r="Y440" s="15">
        <f t="shared" si="82"/>
        <v>9.5</v>
      </c>
      <c r="Z440" s="15">
        <f t="shared" ca="1" si="83"/>
        <v>1</v>
      </c>
    </row>
    <row r="441" spans="12:26" x14ac:dyDescent="0.3">
      <c r="L441" s="15">
        <v>439</v>
      </c>
      <c r="M441" s="15">
        <f t="shared" si="75"/>
        <v>10</v>
      </c>
      <c r="N441" s="15">
        <f t="shared" ca="1" si="76"/>
        <v>0.43116261959801427</v>
      </c>
      <c r="O441" s="15">
        <f t="shared" ca="1" si="85"/>
        <v>2.5183852361147219</v>
      </c>
      <c r="P441" s="15">
        <f t="shared" ca="1" si="84"/>
        <v>2.5183852302186156</v>
      </c>
      <c r="Q441" s="15">
        <v>0</v>
      </c>
      <c r="R441" s="15">
        <f t="shared" ca="1" si="77"/>
        <v>2.5183852302186156</v>
      </c>
      <c r="S441" s="15">
        <f t="shared" ca="1" si="86"/>
        <v>9.5646874925299556</v>
      </c>
      <c r="T441" s="15">
        <f t="shared" ca="1" si="78"/>
        <v>4.1498926545541544E-3</v>
      </c>
      <c r="U441" s="15">
        <f t="shared" ca="1" si="79"/>
        <v>9.5688373851845103</v>
      </c>
      <c r="V441" s="15">
        <f t="shared" ca="1" si="80"/>
        <v>9.5688373804019857</v>
      </c>
      <c r="X441" s="15">
        <f t="shared" si="81"/>
        <v>10.5</v>
      </c>
      <c r="Y441" s="15">
        <f t="shared" si="82"/>
        <v>9.5</v>
      </c>
      <c r="Z441" s="15">
        <f t="shared" ca="1" si="83"/>
        <v>1</v>
      </c>
    </row>
    <row r="442" spans="12:26" x14ac:dyDescent="0.3">
      <c r="L442" s="15">
        <v>440</v>
      </c>
      <c r="M442" s="15">
        <f t="shared" si="75"/>
        <v>10</v>
      </c>
      <c r="N442" s="15">
        <f t="shared" ca="1" si="76"/>
        <v>0.41178938709473911</v>
      </c>
      <c r="O442" s="15">
        <f t="shared" ca="1" si="85"/>
        <v>2.5183852361147219</v>
      </c>
      <c r="P442" s="15">
        <f t="shared" ca="1" si="84"/>
        <v>2.5183852302186156</v>
      </c>
      <c r="Q442" s="15">
        <v>0</v>
      </c>
      <c r="R442" s="15">
        <f t="shared" ca="1" si="77"/>
        <v>2.5183852302186156</v>
      </c>
      <c r="S442" s="15">
        <f t="shared" ca="1" si="86"/>
        <v>9.5816326081894942</v>
      </c>
      <c r="T442" s="15">
        <f t="shared" ca="1" si="78"/>
        <v>6.5780085651340157E-3</v>
      </c>
      <c r="U442" s="15">
        <f t="shared" ca="1" si="79"/>
        <v>9.5882106167546279</v>
      </c>
      <c r="V442" s="15">
        <f t="shared" ca="1" si="80"/>
        <v>9.5882106129052609</v>
      </c>
      <c r="X442" s="15">
        <f t="shared" si="81"/>
        <v>10.5</v>
      </c>
      <c r="Y442" s="15">
        <f t="shared" si="82"/>
        <v>9.5</v>
      </c>
      <c r="Z442" s="15">
        <f t="shared" ca="1" si="83"/>
        <v>1</v>
      </c>
    </row>
    <row r="443" spans="12:26" x14ac:dyDescent="0.3">
      <c r="L443" s="15">
        <v>441</v>
      </c>
      <c r="M443" s="15">
        <f t="shared" si="75"/>
        <v>10</v>
      </c>
      <c r="N443" s="15">
        <f t="shared" ca="1" si="76"/>
        <v>0.39655029550114307</v>
      </c>
      <c r="O443" s="15">
        <f t="shared" ca="1" si="85"/>
        <v>2.515092785356428</v>
      </c>
      <c r="P443" s="15">
        <f t="shared" ca="1" si="84"/>
        <v>2.5150927720859397</v>
      </c>
      <c r="Q443" s="15">
        <v>0</v>
      </c>
      <c r="R443" s="15">
        <f t="shared" ca="1" si="77"/>
        <v>2.5150927720859397</v>
      </c>
      <c r="S443" s="15">
        <f t="shared" ca="1" si="86"/>
        <v>9.5981861869404703</v>
      </c>
      <c r="T443" s="15">
        <f t="shared" ca="1" si="78"/>
        <v>5.2635281371358053E-3</v>
      </c>
      <c r="U443" s="15">
        <f t="shared" ca="1" si="79"/>
        <v>9.6034497150776055</v>
      </c>
      <c r="V443" s="15">
        <f t="shared" ca="1" si="80"/>
        <v>9.6034497044988569</v>
      </c>
      <c r="X443" s="15">
        <f t="shared" si="81"/>
        <v>10.5</v>
      </c>
      <c r="Y443" s="15">
        <f t="shared" si="82"/>
        <v>9.5</v>
      </c>
      <c r="Z443" s="15">
        <f t="shared" ca="1" si="83"/>
        <v>1</v>
      </c>
    </row>
    <row r="444" spans="12:26" x14ac:dyDescent="0.3">
      <c r="L444" s="15">
        <v>442</v>
      </c>
      <c r="M444" s="15">
        <f t="shared" si="75"/>
        <v>10</v>
      </c>
      <c r="N444" s="15">
        <f t="shared" ca="1" si="76"/>
        <v>0.37954287845164991</v>
      </c>
      <c r="O444" s="15">
        <f t="shared" ca="1" si="85"/>
        <v>2.515092785356428</v>
      </c>
      <c r="P444" s="15">
        <f t="shared" ca="1" si="84"/>
        <v>2.5150927720859397</v>
      </c>
      <c r="Q444" s="15">
        <v>0</v>
      </c>
      <c r="R444" s="15">
        <f t="shared" ca="1" si="77"/>
        <v>2.5150927720859397</v>
      </c>
      <c r="S444" s="15">
        <f t="shared" ca="1" si="86"/>
        <v>9.6143121044225754</v>
      </c>
      <c r="T444" s="15">
        <f t="shared" ca="1" si="78"/>
        <v>6.1450314429035849E-3</v>
      </c>
      <c r="U444" s="15">
        <f t="shared" ca="1" si="79"/>
        <v>9.6204571358654789</v>
      </c>
      <c r="V444" s="15">
        <f t="shared" ca="1" si="80"/>
        <v>9.6204571215483501</v>
      </c>
      <c r="X444" s="15">
        <f t="shared" si="81"/>
        <v>10.5</v>
      </c>
      <c r="Y444" s="15">
        <f t="shared" si="82"/>
        <v>9.5</v>
      </c>
      <c r="Z444" s="15">
        <f t="shared" ca="1" si="83"/>
        <v>1</v>
      </c>
    </row>
    <row r="445" spans="12:26" x14ac:dyDescent="0.3">
      <c r="L445" s="15">
        <v>443</v>
      </c>
      <c r="M445" s="15">
        <f t="shared" si="75"/>
        <v>10</v>
      </c>
      <c r="N445" s="15">
        <f t="shared" ca="1" si="76"/>
        <v>0.36335539779703829</v>
      </c>
      <c r="O445" s="15">
        <f t="shared" ca="1" si="85"/>
        <v>2.515092785356428</v>
      </c>
      <c r="P445" s="15">
        <f t="shared" ca="1" si="84"/>
        <v>2.5150927720859397</v>
      </c>
      <c r="Q445" s="15">
        <v>0</v>
      </c>
      <c r="R445" s="15">
        <f t="shared" ca="1" si="77"/>
        <v>2.5150927720859397</v>
      </c>
      <c r="S445" s="15">
        <f t="shared" ca="1" si="86"/>
        <v>9.6299964399630245</v>
      </c>
      <c r="T445" s="15">
        <f t="shared" ca="1" si="78"/>
        <v>6.6481717256640415E-3</v>
      </c>
      <c r="U445" s="15">
        <f t="shared" ca="1" si="79"/>
        <v>9.6366446116886877</v>
      </c>
      <c r="V445" s="15">
        <f t="shared" ca="1" si="80"/>
        <v>9.6366446022029617</v>
      </c>
      <c r="X445" s="15">
        <f t="shared" si="81"/>
        <v>10.5</v>
      </c>
      <c r="Y445" s="15">
        <f t="shared" si="82"/>
        <v>9.5</v>
      </c>
      <c r="Z445" s="15">
        <f t="shared" ca="1" si="83"/>
        <v>1</v>
      </c>
    </row>
    <row r="446" spans="12:26" x14ac:dyDescent="0.3">
      <c r="L446" s="15">
        <v>444</v>
      </c>
      <c r="M446" s="15">
        <f t="shared" si="75"/>
        <v>10</v>
      </c>
      <c r="N446" s="15">
        <f t="shared" ca="1" si="76"/>
        <v>0.3453623620666022</v>
      </c>
      <c r="O446" s="15">
        <f t="shared" ca="1" si="85"/>
        <v>2.5136916277889951</v>
      </c>
      <c r="P446" s="15">
        <f t="shared" ca="1" si="84"/>
        <v>2.5136916205551687</v>
      </c>
      <c r="Q446" s="15">
        <v>0</v>
      </c>
      <c r="R446" s="15">
        <f t="shared" ca="1" si="77"/>
        <v>2.5136916205551687</v>
      </c>
      <c r="S446" s="15">
        <f t="shared" ca="1" si="86"/>
        <v>9.6453172700835204</v>
      </c>
      <c r="T446" s="15">
        <f t="shared" ca="1" si="78"/>
        <v>9.3203687882411883E-3</v>
      </c>
      <c r="U446" s="15">
        <f t="shared" ca="1" si="79"/>
        <v>9.6546376388717619</v>
      </c>
      <c r="V446" s="15">
        <f t="shared" ca="1" si="80"/>
        <v>9.6546376379333978</v>
      </c>
      <c r="X446" s="15">
        <f t="shared" si="81"/>
        <v>10.5</v>
      </c>
      <c r="Y446" s="15">
        <f t="shared" si="82"/>
        <v>9.5</v>
      </c>
      <c r="Z446" s="15">
        <f t="shared" ca="1" si="83"/>
        <v>1</v>
      </c>
    </row>
    <row r="447" spans="12:26" x14ac:dyDescent="0.3">
      <c r="L447" s="15">
        <v>445</v>
      </c>
      <c r="M447" s="15">
        <f t="shared" si="75"/>
        <v>10</v>
      </c>
      <c r="N447" s="15">
        <f t="shared" ca="1" si="76"/>
        <v>0.33095121624203294</v>
      </c>
      <c r="O447" s="15">
        <f t="shared" ca="1" si="85"/>
        <v>2.5136916277889951</v>
      </c>
      <c r="P447" s="15">
        <f t="shared" ca="1" si="84"/>
        <v>2.5136916205551687</v>
      </c>
      <c r="Q447" s="15">
        <v>0</v>
      </c>
      <c r="R447" s="15">
        <f t="shared" ca="1" si="77"/>
        <v>2.5136916205551687</v>
      </c>
      <c r="S447" s="15">
        <f t="shared" ca="1" si="86"/>
        <v>9.6603403888129105</v>
      </c>
      <c r="T447" s="15">
        <f t="shared" ca="1" si="78"/>
        <v>8.7084106417571836E-3</v>
      </c>
      <c r="U447" s="15">
        <f t="shared" ca="1" si="79"/>
        <v>9.6690487994546679</v>
      </c>
      <c r="V447" s="15">
        <f t="shared" ca="1" si="80"/>
        <v>9.6690487837579671</v>
      </c>
      <c r="X447" s="15">
        <f t="shared" si="81"/>
        <v>10.5</v>
      </c>
      <c r="Y447" s="15">
        <f t="shared" si="82"/>
        <v>9.5</v>
      </c>
      <c r="Z447" s="15">
        <f t="shared" ca="1" si="83"/>
        <v>1</v>
      </c>
    </row>
    <row r="448" spans="12:26" x14ac:dyDescent="0.3">
      <c r="L448" s="15">
        <v>446</v>
      </c>
      <c r="M448" s="15">
        <f t="shared" si="75"/>
        <v>10</v>
      </c>
      <c r="N448" s="15">
        <f t="shared" ca="1" si="76"/>
        <v>0.32319155296385027</v>
      </c>
      <c r="O448" s="15">
        <f t="shared" ca="1" si="85"/>
        <v>2.5136916277889951</v>
      </c>
      <c r="P448" s="15">
        <f t="shared" ca="1" si="84"/>
        <v>2.5136916205551687</v>
      </c>
      <c r="Q448" s="15">
        <v>0</v>
      </c>
      <c r="R448" s="15">
        <f t="shared" ca="1" si="77"/>
        <v>2.5136916205551687</v>
      </c>
      <c r="S448" s="15">
        <f t="shared" ca="1" si="86"/>
        <v>9.6750400445485916</v>
      </c>
      <c r="T448" s="15">
        <f t="shared" ca="1" si="78"/>
        <v>1.7684092818731501E-3</v>
      </c>
      <c r="U448" s="15">
        <f t="shared" ca="1" si="79"/>
        <v>9.6768084538304642</v>
      </c>
      <c r="V448" s="15">
        <f t="shared" ca="1" si="80"/>
        <v>9.6768084470361497</v>
      </c>
      <c r="X448" s="15">
        <f t="shared" si="81"/>
        <v>10.5</v>
      </c>
      <c r="Y448" s="15">
        <f t="shared" si="82"/>
        <v>9.5</v>
      </c>
      <c r="Z448" s="15">
        <f t="shared" ca="1" si="83"/>
        <v>1</v>
      </c>
    </row>
    <row r="449" spans="12:26" x14ac:dyDescent="0.3">
      <c r="L449" s="15">
        <v>447</v>
      </c>
      <c r="M449" s="15">
        <f t="shared" si="75"/>
        <v>10</v>
      </c>
      <c r="N449" s="15">
        <f t="shared" ca="1" si="76"/>
        <v>0.30237910111955735</v>
      </c>
      <c r="O449" s="15">
        <f t="shared" ca="1" si="85"/>
        <v>2.5172370877677612</v>
      </c>
      <c r="P449" s="15">
        <f t="shared" ca="1" si="84"/>
        <v>2.5172370724652979</v>
      </c>
      <c r="Q449" s="15">
        <v>0</v>
      </c>
      <c r="R449" s="15">
        <f t="shared" ca="1" si="77"/>
        <v>2.5172370724652979</v>
      </c>
      <c r="S449" s="15">
        <f t="shared" ca="1" si="86"/>
        <v>9.6893517537963554</v>
      </c>
      <c r="T449" s="15">
        <f t="shared" ca="1" si="78"/>
        <v>8.2691566899674093E-3</v>
      </c>
      <c r="U449" s="15">
        <f t="shared" ca="1" si="79"/>
        <v>9.6976209104863234</v>
      </c>
      <c r="V449" s="15">
        <f t="shared" ca="1" si="80"/>
        <v>9.6976208988804427</v>
      </c>
      <c r="X449" s="15">
        <f t="shared" si="81"/>
        <v>10.5</v>
      </c>
      <c r="Y449" s="15">
        <f t="shared" si="82"/>
        <v>9.5</v>
      </c>
      <c r="Z449" s="15">
        <f t="shared" ca="1" si="83"/>
        <v>1</v>
      </c>
    </row>
    <row r="450" spans="12:26" x14ac:dyDescent="0.3">
      <c r="L450" s="15">
        <v>448</v>
      </c>
      <c r="M450" s="15">
        <f t="shared" si="75"/>
        <v>10</v>
      </c>
      <c r="N450" s="15">
        <f t="shared" ca="1" si="76"/>
        <v>0.29470719171099091</v>
      </c>
      <c r="O450" s="15">
        <f t="shared" ca="1" si="85"/>
        <v>2.5172370877677612</v>
      </c>
      <c r="P450" s="15">
        <f t="shared" ca="1" si="84"/>
        <v>2.5172370724652979</v>
      </c>
      <c r="Q450" s="15">
        <v>0</v>
      </c>
      <c r="R450" s="15">
        <f t="shared" ca="1" si="77"/>
        <v>2.5172370724652979</v>
      </c>
      <c r="S450" s="15">
        <f t="shared" ca="1" si="86"/>
        <v>9.7032227778935045</v>
      </c>
      <c r="T450" s="15">
        <f t="shared" ca="1" si="78"/>
        <v>2.0700389567686862E-3</v>
      </c>
      <c r="U450" s="15">
        <f t="shared" ca="1" si="79"/>
        <v>9.7052928168502728</v>
      </c>
      <c r="V450" s="15">
        <f t="shared" ca="1" si="80"/>
        <v>9.7052928082890091</v>
      </c>
      <c r="X450" s="15">
        <f t="shared" si="81"/>
        <v>10.5</v>
      </c>
      <c r="Y450" s="15">
        <f t="shared" si="82"/>
        <v>9.5</v>
      </c>
      <c r="Z450" s="15">
        <f t="shared" ca="1" si="83"/>
        <v>1</v>
      </c>
    </row>
    <row r="451" spans="12:26" x14ac:dyDescent="0.3">
      <c r="L451" s="15">
        <v>449</v>
      </c>
      <c r="M451" s="15">
        <f t="shared" ref="M451:M514" si="87">IF(L451&lt;$D$16,$D$13,IF(L451&lt;$E$16,$E$13,$F$13))</f>
        <v>10</v>
      </c>
      <c r="N451" s="15">
        <f t="shared" ref="N451:N514" ca="1" si="88">M451-V451</f>
        <v>0.27344339766387016</v>
      </c>
      <c r="O451" s="15">
        <f t="shared" ca="1" si="85"/>
        <v>2.5172370877677612</v>
      </c>
      <c r="P451" s="15">
        <f t="shared" ca="1" si="84"/>
        <v>2.5172370724652979</v>
      </c>
      <c r="Q451" s="15">
        <v>0</v>
      </c>
      <c r="R451" s="15">
        <f t="shared" ref="R451:R514" ca="1" si="89">P451+Q451</f>
        <v>2.5172370724652979</v>
      </c>
      <c r="S451" s="15">
        <f t="shared" ca="1" si="86"/>
        <v>9.7166503866903167</v>
      </c>
      <c r="T451" s="15">
        <f t="shared" ref="T451:T514" ca="1" si="90">RAND()*$G$12</f>
        <v>9.9062239422908222E-3</v>
      </c>
      <c r="U451" s="15">
        <f t="shared" ref="U451:U514" ca="1" si="91">S451+T451</f>
        <v>9.726556610632608</v>
      </c>
      <c r="V451" s="15">
        <f t="shared" ref="V451:V514" ca="1" si="92">INT((2^$J$12-1)*U451/100)/(2^$J$12-1)*100</f>
        <v>9.7265566023361298</v>
      </c>
      <c r="X451" s="15">
        <f t="shared" ref="X451:X514" si="93">M451 * 1.05</f>
        <v>10.5</v>
      </c>
      <c r="Y451" s="15">
        <f t="shared" ref="Y451:Y514" si="94">M451 * 0.95</f>
        <v>9.5</v>
      </c>
      <c r="Z451" s="15">
        <f t="shared" ref="Z451:Z514" ca="1" si="95">IF(AND(V451 &lt;= X451, V451 &gt;= Y451), 1, 0)</f>
        <v>1</v>
      </c>
    </row>
    <row r="452" spans="12:26" x14ac:dyDescent="0.3">
      <c r="L452" s="15">
        <v>450</v>
      </c>
      <c r="M452" s="15">
        <f t="shared" si="87"/>
        <v>10</v>
      </c>
      <c r="N452" s="15">
        <f t="shared" ca="1" si="88"/>
        <v>0.26683009934304991</v>
      </c>
      <c r="O452" s="15">
        <f t="shared" ca="1" si="85"/>
        <v>2.5208874223730358</v>
      </c>
      <c r="P452" s="15">
        <f t="shared" ca="1" si="84"/>
        <v>2.5208874145804177</v>
      </c>
      <c r="Q452" s="15">
        <v>0</v>
      </c>
      <c r="R452" s="15">
        <f t="shared" ca="1" si="89"/>
        <v>2.5208874145804177</v>
      </c>
      <c r="S452" s="15">
        <f t="shared" ca="1" si="86"/>
        <v>9.7297277644679312</v>
      </c>
      <c r="T452" s="15">
        <f t="shared" ca="1" si="90"/>
        <v>3.4421552570575533E-3</v>
      </c>
      <c r="U452" s="15">
        <f t="shared" ca="1" si="91"/>
        <v>9.7331699197249879</v>
      </c>
      <c r="V452" s="15">
        <f t="shared" ca="1" si="92"/>
        <v>9.7331699006569501</v>
      </c>
      <c r="X452" s="15">
        <f t="shared" si="93"/>
        <v>10.5</v>
      </c>
      <c r="Y452" s="15">
        <f t="shared" si="94"/>
        <v>9.5</v>
      </c>
      <c r="Z452" s="15">
        <f t="shared" ca="1" si="95"/>
        <v>1</v>
      </c>
    </row>
    <row r="453" spans="12:26" x14ac:dyDescent="0.3">
      <c r="L453" s="15">
        <v>451</v>
      </c>
      <c r="M453" s="15">
        <f t="shared" si="87"/>
        <v>10</v>
      </c>
      <c r="N453" s="15">
        <f t="shared" ca="1" si="88"/>
        <v>0.25494914740672137</v>
      </c>
      <c r="O453" s="15">
        <f t="shared" ca="1" si="85"/>
        <v>2.5208874223730358</v>
      </c>
      <c r="P453" s="15">
        <f t="shared" ca="1" si="84"/>
        <v>2.5208874145804177</v>
      </c>
      <c r="Q453" s="15">
        <v>0</v>
      </c>
      <c r="R453" s="15">
        <f t="shared" ca="1" si="89"/>
        <v>2.5208874145804177</v>
      </c>
      <c r="S453" s="15">
        <f t="shared" ca="1" si="86"/>
        <v>9.7425336033449295</v>
      </c>
      <c r="T453" s="15">
        <f t="shared" ca="1" si="90"/>
        <v>2.5172524963650755E-3</v>
      </c>
      <c r="U453" s="15">
        <f t="shared" ca="1" si="91"/>
        <v>9.7450508558412938</v>
      </c>
      <c r="V453" s="15">
        <f t="shared" ca="1" si="92"/>
        <v>9.7450508525932786</v>
      </c>
      <c r="X453" s="15">
        <f t="shared" si="93"/>
        <v>10.5</v>
      </c>
      <c r="Y453" s="15">
        <f t="shared" si="94"/>
        <v>9.5</v>
      </c>
      <c r="Z453" s="15">
        <f t="shared" ca="1" si="95"/>
        <v>1</v>
      </c>
    </row>
    <row r="454" spans="12:26" x14ac:dyDescent="0.3">
      <c r="L454" s="15">
        <v>452</v>
      </c>
      <c r="M454" s="15">
        <f t="shared" si="87"/>
        <v>10</v>
      </c>
      <c r="N454" s="15">
        <f t="shared" ca="1" si="88"/>
        <v>0.23736528824953496</v>
      </c>
      <c r="O454" s="15">
        <f t="shared" ca="1" si="85"/>
        <v>2.5208874223730358</v>
      </c>
      <c r="P454" s="15">
        <f t="shared" ca="1" si="84"/>
        <v>2.5208874145804177</v>
      </c>
      <c r="Q454" s="15">
        <v>0</v>
      </c>
      <c r="R454" s="15">
        <f t="shared" ca="1" si="89"/>
        <v>2.5208874145804177</v>
      </c>
      <c r="S454" s="15">
        <f t="shared" ca="1" si="86"/>
        <v>9.7550482077139229</v>
      </c>
      <c r="T454" s="15">
        <f t="shared" ca="1" si="90"/>
        <v>7.5865120807964625E-3</v>
      </c>
      <c r="U454" s="15">
        <f t="shared" ca="1" si="91"/>
        <v>9.7626347197947201</v>
      </c>
      <c r="V454" s="15">
        <f t="shared" ca="1" si="92"/>
        <v>9.762634711750465</v>
      </c>
      <c r="X454" s="15">
        <f t="shared" si="93"/>
        <v>10.5</v>
      </c>
      <c r="Y454" s="15">
        <f t="shared" si="94"/>
        <v>9.5</v>
      </c>
      <c r="Z454" s="15">
        <f t="shared" ca="1" si="95"/>
        <v>1</v>
      </c>
    </row>
    <row r="455" spans="12:26" x14ac:dyDescent="0.3">
      <c r="L455" s="15">
        <v>453</v>
      </c>
      <c r="M455" s="15">
        <f t="shared" si="87"/>
        <v>10</v>
      </c>
      <c r="N455" s="15">
        <f t="shared" ca="1" si="88"/>
        <v>0.22959300555046447</v>
      </c>
      <c r="O455" s="15">
        <f t="shared" ca="1" si="85"/>
        <v>2.5180458625833144</v>
      </c>
      <c r="P455" s="15">
        <f t="shared" ca="1" si="84"/>
        <v>2.5180458562723467</v>
      </c>
      <c r="Q455" s="15">
        <v>0</v>
      </c>
      <c r="R455" s="15">
        <f t="shared" ca="1" si="89"/>
        <v>2.5180458562723467</v>
      </c>
      <c r="S455" s="15">
        <f t="shared" ca="1" si="86"/>
        <v>9.767222773443331</v>
      </c>
      <c r="T455" s="15">
        <f t="shared" ca="1" si="90"/>
        <v>3.1842248182363622E-3</v>
      </c>
      <c r="U455" s="15">
        <f t="shared" ca="1" si="91"/>
        <v>9.7704069982615671</v>
      </c>
      <c r="V455" s="15">
        <f t="shared" ca="1" si="92"/>
        <v>9.7704069944495355</v>
      </c>
      <c r="X455" s="15">
        <f t="shared" si="93"/>
        <v>10.5</v>
      </c>
      <c r="Y455" s="15">
        <f t="shared" si="94"/>
        <v>9.5</v>
      </c>
      <c r="Z455" s="15">
        <f t="shared" ca="1" si="95"/>
        <v>1</v>
      </c>
    </row>
    <row r="456" spans="12:26" x14ac:dyDescent="0.3">
      <c r="L456" s="15">
        <v>454</v>
      </c>
      <c r="M456" s="15">
        <f t="shared" si="87"/>
        <v>10</v>
      </c>
      <c r="N456" s="15">
        <f t="shared" ca="1" si="88"/>
        <v>0.21826020679861813</v>
      </c>
      <c r="O456" s="15">
        <f t="shared" ca="1" si="85"/>
        <v>2.5180458625833144</v>
      </c>
      <c r="P456" s="15">
        <f t="shared" ca="1" si="84"/>
        <v>2.5180458562723467</v>
      </c>
      <c r="Q456" s="15">
        <v>0</v>
      </c>
      <c r="R456" s="15">
        <f t="shared" ca="1" si="89"/>
        <v>2.5180458562723467</v>
      </c>
      <c r="S456" s="15">
        <f t="shared" ca="1" si="86"/>
        <v>9.7790175825358396</v>
      </c>
      <c r="T456" s="15">
        <f t="shared" ca="1" si="90"/>
        <v>2.722218861959108E-3</v>
      </c>
      <c r="U456" s="15">
        <f t="shared" ca="1" si="91"/>
        <v>9.7817398013977979</v>
      </c>
      <c r="V456" s="15">
        <f t="shared" ca="1" si="92"/>
        <v>9.7817397932013819</v>
      </c>
      <c r="X456" s="15">
        <f t="shared" si="93"/>
        <v>10.5</v>
      </c>
      <c r="Y456" s="15">
        <f t="shared" si="94"/>
        <v>9.5</v>
      </c>
      <c r="Z456" s="15">
        <f t="shared" ca="1" si="95"/>
        <v>1</v>
      </c>
    </row>
    <row r="457" spans="12:26" x14ac:dyDescent="0.3">
      <c r="L457" s="15">
        <v>455</v>
      </c>
      <c r="M457" s="15">
        <f t="shared" si="87"/>
        <v>10</v>
      </c>
      <c r="N457" s="15">
        <f t="shared" ca="1" si="88"/>
        <v>0.20177095434669745</v>
      </c>
      <c r="O457" s="15">
        <f t="shared" ca="1" si="85"/>
        <v>2.5180458625833144</v>
      </c>
      <c r="P457" s="15">
        <f t="shared" ca="1" si="84"/>
        <v>2.5180458562723467</v>
      </c>
      <c r="Q457" s="15">
        <v>0</v>
      </c>
      <c r="R457" s="15">
        <f t="shared" ca="1" si="89"/>
        <v>2.5180458562723467</v>
      </c>
      <c r="S457" s="15">
        <f t="shared" ca="1" si="86"/>
        <v>9.7904309523911799</v>
      </c>
      <c r="T457" s="15">
        <f t="shared" ca="1" si="90"/>
        <v>7.7980999684185209E-3</v>
      </c>
      <c r="U457" s="15">
        <f t="shared" ca="1" si="91"/>
        <v>9.7982290523595985</v>
      </c>
      <c r="V457" s="15">
        <f t="shared" ca="1" si="92"/>
        <v>9.7982290456533025</v>
      </c>
      <c r="X457" s="15">
        <f t="shared" si="93"/>
        <v>10.5</v>
      </c>
      <c r="Y457" s="15">
        <f t="shared" si="94"/>
        <v>9.5</v>
      </c>
      <c r="Z457" s="15">
        <f t="shared" ca="1" si="95"/>
        <v>1</v>
      </c>
    </row>
    <row r="458" spans="12:26" x14ac:dyDescent="0.3">
      <c r="L458" s="15">
        <v>456</v>
      </c>
      <c r="M458" s="15">
        <f t="shared" si="87"/>
        <v>10</v>
      </c>
      <c r="N458" s="15">
        <f t="shared" ca="1" si="88"/>
        <v>0.1895186840997809</v>
      </c>
      <c r="O458" s="15">
        <f t="shared" ca="1" si="85"/>
        <v>2.5132450628984442</v>
      </c>
      <c r="P458" s="15">
        <f t="shared" ca="1" si="84"/>
        <v>2.5132450513805367</v>
      </c>
      <c r="Q458" s="15">
        <v>0</v>
      </c>
      <c r="R458" s="15">
        <f t="shared" ca="1" si="89"/>
        <v>2.5132450513805367</v>
      </c>
      <c r="S458" s="15">
        <f t="shared" ca="1" si="86"/>
        <v>9.8014421219808554</v>
      </c>
      <c r="T458" s="15">
        <f t="shared" ca="1" si="90"/>
        <v>9.0392022110622767E-3</v>
      </c>
      <c r="U458" s="15">
        <f t="shared" ca="1" si="91"/>
        <v>9.8104813241919171</v>
      </c>
      <c r="V458" s="15">
        <f t="shared" ca="1" si="92"/>
        <v>9.8104813159002191</v>
      </c>
      <c r="X458" s="15">
        <f t="shared" si="93"/>
        <v>10.5</v>
      </c>
      <c r="Y458" s="15">
        <f t="shared" si="94"/>
        <v>9.5</v>
      </c>
      <c r="Z458" s="15">
        <f t="shared" ca="1" si="95"/>
        <v>1</v>
      </c>
    </row>
    <row r="459" spans="12:26" x14ac:dyDescent="0.3">
      <c r="L459" s="15">
        <v>457</v>
      </c>
      <c r="M459" s="15">
        <f t="shared" si="87"/>
        <v>10</v>
      </c>
      <c r="N459" s="15">
        <f t="shared" ca="1" si="88"/>
        <v>0.18700157529371886</v>
      </c>
      <c r="O459" s="15">
        <f t="shared" ca="1" si="85"/>
        <v>2.5132450628984442</v>
      </c>
      <c r="P459" s="15">
        <f t="shared" ca="1" si="84"/>
        <v>2.5132450513805367</v>
      </c>
      <c r="Q459" s="15">
        <v>0</v>
      </c>
      <c r="R459" s="15">
        <f t="shared" ca="1" si="89"/>
        <v>2.5132450513805367</v>
      </c>
      <c r="S459" s="15">
        <f t="shared" ca="1" si="86"/>
        <v>9.8120355916265005</v>
      </c>
      <c r="T459" s="15">
        <f t="shared" ca="1" si="90"/>
        <v>9.6285078753157393E-4</v>
      </c>
      <c r="U459" s="15">
        <f t="shared" ca="1" si="91"/>
        <v>9.8129984424140329</v>
      </c>
      <c r="V459" s="15">
        <f t="shared" ca="1" si="92"/>
        <v>9.8129984247062811</v>
      </c>
      <c r="X459" s="15">
        <f t="shared" si="93"/>
        <v>10.5</v>
      </c>
      <c r="Y459" s="15">
        <f t="shared" si="94"/>
        <v>9.5</v>
      </c>
      <c r="Z459" s="15">
        <f t="shared" ca="1" si="95"/>
        <v>1</v>
      </c>
    </row>
    <row r="460" spans="12:26" x14ac:dyDescent="0.3">
      <c r="L460" s="15">
        <v>458</v>
      </c>
      <c r="M460" s="15">
        <f t="shared" si="87"/>
        <v>10</v>
      </c>
      <c r="N460" s="15">
        <f t="shared" ca="1" si="88"/>
        <v>0.17124215377756435</v>
      </c>
      <c r="O460" s="15">
        <f t="shared" ca="1" si="85"/>
        <v>2.5132450628984442</v>
      </c>
      <c r="P460" s="15">
        <f t="shared" ca="1" si="84"/>
        <v>2.5132450513805367</v>
      </c>
      <c r="Q460" s="15">
        <v>0</v>
      </c>
      <c r="R460" s="15">
        <f t="shared" ca="1" si="89"/>
        <v>2.5132450513805367</v>
      </c>
      <c r="S460" s="15">
        <f t="shared" ca="1" si="86"/>
        <v>9.8222195763041125</v>
      </c>
      <c r="T460" s="15">
        <f t="shared" ca="1" si="90"/>
        <v>6.5382723894574883E-3</v>
      </c>
      <c r="U460" s="15">
        <f t="shared" ca="1" si="91"/>
        <v>9.8287578486935701</v>
      </c>
      <c r="V460" s="15">
        <f t="shared" ca="1" si="92"/>
        <v>9.8287578462224356</v>
      </c>
      <c r="X460" s="15">
        <f t="shared" si="93"/>
        <v>10.5</v>
      </c>
      <c r="Y460" s="15">
        <f t="shared" si="94"/>
        <v>9.5</v>
      </c>
      <c r="Z460" s="15">
        <f t="shared" ca="1" si="95"/>
        <v>1</v>
      </c>
    </row>
    <row r="461" spans="12:26" x14ac:dyDescent="0.3">
      <c r="L461" s="15">
        <v>459</v>
      </c>
      <c r="M461" s="15">
        <f t="shared" si="87"/>
        <v>10</v>
      </c>
      <c r="N461" s="15">
        <f t="shared" ca="1" si="88"/>
        <v>0.16665483130296899</v>
      </c>
      <c r="O461" s="15">
        <f t="shared" ca="1" si="85"/>
        <v>2.522952826920386</v>
      </c>
      <c r="P461" s="15">
        <f t="shared" ref="P461:P524" ca="1" si="96">INT((2^$J$12-1)*O461/100)/(2^$J$12-1)*100</f>
        <v>2.5229528086546233</v>
      </c>
      <c r="Q461" s="15">
        <v>0</v>
      </c>
      <c r="R461" s="15">
        <f t="shared" ca="1" si="89"/>
        <v>2.5229528086546233</v>
      </c>
      <c r="S461" s="15">
        <f t="shared" ca="1" si="86"/>
        <v>9.8320903407890921</v>
      </c>
      <c r="T461" s="15">
        <f t="shared" ca="1" si="90"/>
        <v>1.2548343621366798E-3</v>
      </c>
      <c r="U461" s="15">
        <f t="shared" ca="1" si="91"/>
        <v>9.8333451751512282</v>
      </c>
      <c r="V461" s="15">
        <f t="shared" ca="1" si="92"/>
        <v>9.833345168697031</v>
      </c>
      <c r="X461" s="15">
        <f t="shared" si="93"/>
        <v>10.5</v>
      </c>
      <c r="Y461" s="15">
        <f t="shared" si="94"/>
        <v>9.5</v>
      </c>
      <c r="Z461" s="15">
        <f t="shared" ca="1" si="95"/>
        <v>1</v>
      </c>
    </row>
    <row r="462" spans="12:26" x14ac:dyDescent="0.3">
      <c r="L462" s="15">
        <v>460</v>
      </c>
      <c r="M462" s="15">
        <f t="shared" si="87"/>
        <v>10</v>
      </c>
      <c r="N462" s="15">
        <f t="shared" ca="1" si="88"/>
        <v>0.15369289325403379</v>
      </c>
      <c r="O462" s="15">
        <f t="shared" ca="1" si="85"/>
        <v>2.522952826920386</v>
      </c>
      <c r="P462" s="15">
        <f t="shared" ca="1" si="96"/>
        <v>2.5229528086546233</v>
      </c>
      <c r="Q462" s="15">
        <v>0</v>
      </c>
      <c r="R462" s="15">
        <f t="shared" ca="1" si="89"/>
        <v>2.5229528086546233</v>
      </c>
      <c r="S462" s="15">
        <f t="shared" ca="1" si="86"/>
        <v>9.8417293902515102</v>
      </c>
      <c r="T462" s="15">
        <f t="shared" ca="1" si="90"/>
        <v>4.5777233058534005E-3</v>
      </c>
      <c r="U462" s="15">
        <f t="shared" ca="1" si="91"/>
        <v>9.8463071135573639</v>
      </c>
      <c r="V462" s="15">
        <f t="shared" ca="1" si="92"/>
        <v>9.8463071067459662</v>
      </c>
      <c r="X462" s="15">
        <f t="shared" si="93"/>
        <v>10.5</v>
      </c>
      <c r="Y462" s="15">
        <f t="shared" si="94"/>
        <v>9.5</v>
      </c>
      <c r="Z462" s="15">
        <f t="shared" ca="1" si="95"/>
        <v>1</v>
      </c>
    </row>
    <row r="463" spans="12:26" x14ac:dyDescent="0.3">
      <c r="L463" s="15">
        <v>461</v>
      </c>
      <c r="M463" s="15">
        <f t="shared" si="87"/>
        <v>10</v>
      </c>
      <c r="N463" s="15">
        <f t="shared" ca="1" si="88"/>
        <v>0.14791757570298358</v>
      </c>
      <c r="O463" s="15">
        <f t="shared" ca="1" si="85"/>
        <v>2.522952826920386</v>
      </c>
      <c r="P463" s="15">
        <f t="shared" ca="1" si="96"/>
        <v>2.5229528086546233</v>
      </c>
      <c r="Q463" s="15">
        <v>0</v>
      </c>
      <c r="R463" s="15">
        <f t="shared" ca="1" si="89"/>
        <v>2.5229528086546233</v>
      </c>
      <c r="S463" s="15">
        <f t="shared" ca="1" si="86"/>
        <v>9.8511253682802984</v>
      </c>
      <c r="T463" s="15">
        <f t="shared" ca="1" si="90"/>
        <v>9.5706260913525076E-4</v>
      </c>
      <c r="U463" s="15">
        <f t="shared" ca="1" si="91"/>
        <v>9.8520824308894337</v>
      </c>
      <c r="V463" s="15">
        <f t="shared" ca="1" si="92"/>
        <v>9.8520824242970164</v>
      </c>
      <c r="X463" s="15">
        <f t="shared" si="93"/>
        <v>10.5</v>
      </c>
      <c r="Y463" s="15">
        <f t="shared" si="94"/>
        <v>9.5</v>
      </c>
      <c r="Z463" s="15">
        <f t="shared" ca="1" si="95"/>
        <v>1</v>
      </c>
    </row>
    <row r="464" spans="12:26" x14ac:dyDescent="0.3">
      <c r="L464" s="15">
        <v>462</v>
      </c>
      <c r="M464" s="15">
        <f t="shared" si="87"/>
        <v>10</v>
      </c>
      <c r="N464" s="15">
        <f t="shared" ca="1" si="88"/>
        <v>0.13189528839008346</v>
      </c>
      <c r="O464" s="15">
        <f t="shared" ca="1" si="85"/>
        <v>2.512489914483409</v>
      </c>
      <c r="P464" s="15">
        <f t="shared" ca="1" si="96"/>
        <v>2.5124899117537982</v>
      </c>
      <c r="Q464" s="15">
        <v>0</v>
      </c>
      <c r="R464" s="15">
        <f t="shared" ca="1" si="89"/>
        <v>2.5124899117537982</v>
      </c>
      <c r="S464" s="15">
        <f t="shared" ca="1" si="86"/>
        <v>9.8602409064392411</v>
      </c>
      <c r="T464" s="15">
        <f t="shared" ca="1" si="90"/>
        <v>7.8638076268668974E-3</v>
      </c>
      <c r="U464" s="15">
        <f t="shared" ca="1" si="91"/>
        <v>9.8681047140661082</v>
      </c>
      <c r="V464" s="15">
        <f t="shared" ca="1" si="92"/>
        <v>9.8681047116099165</v>
      </c>
      <c r="X464" s="15">
        <f t="shared" si="93"/>
        <v>10.5</v>
      </c>
      <c r="Y464" s="15">
        <f t="shared" si="94"/>
        <v>9.5</v>
      </c>
      <c r="Z464" s="15">
        <f t="shared" ca="1" si="95"/>
        <v>1</v>
      </c>
    </row>
    <row r="465" spans="12:26" x14ac:dyDescent="0.3">
      <c r="L465" s="15">
        <v>463</v>
      </c>
      <c r="M465" s="15">
        <f t="shared" si="87"/>
        <v>10</v>
      </c>
      <c r="N465" s="15">
        <f t="shared" ca="1" si="88"/>
        <v>0.12309780580063823</v>
      </c>
      <c r="O465" s="15">
        <f t="shared" ca="1" si="85"/>
        <v>2.512489914483409</v>
      </c>
      <c r="P465" s="15">
        <f t="shared" ca="1" si="96"/>
        <v>2.5124899117537982</v>
      </c>
      <c r="Q465" s="15">
        <v>0</v>
      </c>
      <c r="R465" s="15">
        <f t="shared" ca="1" si="89"/>
        <v>2.5124899117537982</v>
      </c>
      <c r="S465" s="15">
        <f t="shared" ca="1" si="86"/>
        <v>9.8690458259076372</v>
      </c>
      <c r="T465" s="15">
        <f t="shared" ca="1" si="90"/>
        <v>7.8563852596107101E-3</v>
      </c>
      <c r="U465" s="15">
        <f t="shared" ca="1" si="91"/>
        <v>9.8769022111672484</v>
      </c>
      <c r="V465" s="15">
        <f t="shared" ca="1" si="92"/>
        <v>9.8769021941993618</v>
      </c>
      <c r="X465" s="15">
        <f t="shared" si="93"/>
        <v>10.5</v>
      </c>
      <c r="Y465" s="15">
        <f t="shared" si="94"/>
        <v>9.5</v>
      </c>
      <c r="Z465" s="15">
        <f t="shared" ca="1" si="95"/>
        <v>1</v>
      </c>
    </row>
    <row r="466" spans="12:26" x14ac:dyDescent="0.3">
      <c r="L466" s="15">
        <v>464</v>
      </c>
      <c r="M466" s="15">
        <f t="shared" si="87"/>
        <v>10</v>
      </c>
      <c r="N466" s="15">
        <f t="shared" ca="1" si="88"/>
        <v>0.11584408351123443</v>
      </c>
      <c r="O466" s="15">
        <f t="shared" ca="1" si="85"/>
        <v>2.512489914483409</v>
      </c>
      <c r="P466" s="15">
        <f t="shared" ca="1" si="96"/>
        <v>2.5124899117537982</v>
      </c>
      <c r="Q466" s="15">
        <v>0</v>
      </c>
      <c r="R466" s="15">
        <f t="shared" ca="1" si="89"/>
        <v>2.5124899117537982</v>
      </c>
      <c r="S466" s="15">
        <f t="shared" ca="1" si="86"/>
        <v>9.8775423140488048</v>
      </c>
      <c r="T466" s="15">
        <f t="shared" ca="1" si="90"/>
        <v>6.6136164460290957E-3</v>
      </c>
      <c r="U466" s="15">
        <f t="shared" ca="1" si="91"/>
        <v>9.8841559304948348</v>
      </c>
      <c r="V466" s="15">
        <f t="shared" ca="1" si="92"/>
        <v>9.8841559164887656</v>
      </c>
      <c r="X466" s="15">
        <f t="shared" si="93"/>
        <v>10.5</v>
      </c>
      <c r="Y466" s="15">
        <f t="shared" si="94"/>
        <v>9.5</v>
      </c>
      <c r="Z466" s="15">
        <f t="shared" ca="1" si="95"/>
        <v>1</v>
      </c>
    </row>
    <row r="467" spans="12:26" x14ac:dyDescent="0.3">
      <c r="L467" s="15">
        <v>465</v>
      </c>
      <c r="M467" s="15">
        <f t="shared" si="87"/>
        <v>10</v>
      </c>
      <c r="N467" s="15">
        <f t="shared" ca="1" si="88"/>
        <v>0.10759822328286184</v>
      </c>
      <c r="O467" s="15">
        <f t="shared" ca="1" si="85"/>
        <v>2.5167453202893872</v>
      </c>
      <c r="P467" s="15">
        <f t="shared" ca="1" si="96"/>
        <v>2.516745310862722</v>
      </c>
      <c r="Q467" s="15">
        <v>0</v>
      </c>
      <c r="R467" s="15">
        <f t="shared" ca="1" si="89"/>
        <v>2.516745310862722</v>
      </c>
      <c r="S467" s="15">
        <f t="shared" ca="1" si="86"/>
        <v>9.8857214643460765</v>
      </c>
      <c r="T467" s="15">
        <f t="shared" ca="1" si="90"/>
        <v>6.6803232171246041E-3</v>
      </c>
      <c r="U467" s="15">
        <f t="shared" ca="1" si="91"/>
        <v>9.8924017875632018</v>
      </c>
      <c r="V467" s="15">
        <f t="shared" ca="1" si="92"/>
        <v>9.8924017767171382</v>
      </c>
      <c r="X467" s="15">
        <f t="shared" si="93"/>
        <v>10.5</v>
      </c>
      <c r="Y467" s="15">
        <f t="shared" si="94"/>
        <v>9.5</v>
      </c>
      <c r="Z467" s="15">
        <f t="shared" ca="1" si="95"/>
        <v>1</v>
      </c>
    </row>
    <row r="468" spans="12:26" x14ac:dyDescent="0.3">
      <c r="L468" s="15">
        <v>466</v>
      </c>
      <c r="M468" s="15">
        <f t="shared" si="87"/>
        <v>10</v>
      </c>
      <c r="N468" s="15">
        <f t="shared" ca="1" si="88"/>
        <v>0.1040365663599303</v>
      </c>
      <c r="O468" s="15">
        <f t="shared" ca="1" si="85"/>
        <v>2.5167453202893872</v>
      </c>
      <c r="P468" s="15">
        <f t="shared" ca="1" si="96"/>
        <v>2.516745310862722</v>
      </c>
      <c r="Q468" s="15">
        <v>0</v>
      </c>
      <c r="R468" s="15">
        <f t="shared" ca="1" si="89"/>
        <v>2.516745310862722</v>
      </c>
      <c r="S468" s="15">
        <f t="shared" ca="1" si="86"/>
        <v>9.8935773792927026</v>
      </c>
      <c r="T468" s="15">
        <f t="shared" ca="1" si="90"/>
        <v>2.386065258218949E-3</v>
      </c>
      <c r="U468" s="15">
        <f t="shared" ca="1" si="91"/>
        <v>9.8959634445509224</v>
      </c>
      <c r="V468" s="15">
        <f t="shared" ca="1" si="92"/>
        <v>9.8959634336400697</v>
      </c>
      <c r="X468" s="15">
        <f t="shared" si="93"/>
        <v>10.5</v>
      </c>
      <c r="Y468" s="15">
        <f t="shared" si="94"/>
        <v>9.5</v>
      </c>
      <c r="Z468" s="15">
        <f t="shared" ca="1" si="95"/>
        <v>1</v>
      </c>
    </row>
    <row r="469" spans="12:26" x14ac:dyDescent="0.3">
      <c r="L469" s="15">
        <v>467</v>
      </c>
      <c r="M469" s="15">
        <f t="shared" si="87"/>
        <v>10</v>
      </c>
      <c r="N469" s="15">
        <f t="shared" ca="1" si="88"/>
        <v>9.7562035102761513E-2</v>
      </c>
      <c r="O469" s="15">
        <f t="shared" ca="1" si="85"/>
        <v>2.5167453202893872</v>
      </c>
      <c r="P469" s="15">
        <f t="shared" ca="1" si="96"/>
        <v>2.516745310862722</v>
      </c>
      <c r="Q469" s="15">
        <v>0</v>
      </c>
      <c r="R469" s="15">
        <f t="shared" ca="1" si="89"/>
        <v>2.516745310862722</v>
      </c>
      <c r="S469" s="15">
        <f t="shared" ca="1" si="86"/>
        <v>9.9011178616822573</v>
      </c>
      <c r="T469" s="15">
        <f t="shared" ca="1" si="90"/>
        <v>1.3201231265930248E-3</v>
      </c>
      <c r="U469" s="15">
        <f t="shared" ca="1" si="91"/>
        <v>9.9024379848088504</v>
      </c>
      <c r="V469" s="15">
        <f t="shared" ca="1" si="92"/>
        <v>9.9024379648972385</v>
      </c>
      <c r="X469" s="15">
        <f t="shared" si="93"/>
        <v>10.5</v>
      </c>
      <c r="Y469" s="15">
        <f t="shared" si="94"/>
        <v>9.5</v>
      </c>
      <c r="Z469" s="15">
        <f t="shared" ca="1" si="95"/>
        <v>1</v>
      </c>
    </row>
    <row r="470" spans="12:26" x14ac:dyDescent="0.3">
      <c r="L470" s="15">
        <v>468</v>
      </c>
      <c r="M470" s="15">
        <f t="shared" si="87"/>
        <v>10</v>
      </c>
      <c r="N470" s="15">
        <f t="shared" ca="1" si="88"/>
        <v>8.5484830216849161E-2</v>
      </c>
      <c r="O470" s="15">
        <f t="shared" ca="1" si="85"/>
        <v>2.5159708372875</v>
      </c>
      <c r="P470" s="15">
        <f t="shared" ca="1" si="96"/>
        <v>2.5159708230094915</v>
      </c>
      <c r="Q470" s="15">
        <v>0</v>
      </c>
      <c r="R470" s="15">
        <f t="shared" ca="1" si="89"/>
        <v>2.5159708230094915</v>
      </c>
      <c r="S470" s="15">
        <f t="shared" ca="1" si="86"/>
        <v>9.9083817282126621</v>
      </c>
      <c r="T470" s="15">
        <f t="shared" ca="1" si="90"/>
        <v>6.1334634857673999E-3</v>
      </c>
      <c r="U470" s="15">
        <f t="shared" ca="1" si="91"/>
        <v>9.9145151916984293</v>
      </c>
      <c r="V470" s="15">
        <f t="shared" ca="1" si="92"/>
        <v>9.9145151697831508</v>
      </c>
      <c r="X470" s="15">
        <f t="shared" si="93"/>
        <v>10.5</v>
      </c>
      <c r="Y470" s="15">
        <f t="shared" si="94"/>
        <v>9.5</v>
      </c>
      <c r="Z470" s="15">
        <f t="shared" ca="1" si="95"/>
        <v>1</v>
      </c>
    </row>
    <row r="471" spans="12:26" x14ac:dyDescent="0.3">
      <c r="L471" s="15">
        <v>469</v>
      </c>
      <c r="M471" s="15">
        <f t="shared" si="87"/>
        <v>10</v>
      </c>
      <c r="N471" s="15">
        <f t="shared" ca="1" si="88"/>
        <v>7.8456231876847582E-2</v>
      </c>
      <c r="O471" s="15">
        <f t="shared" ref="O471:O534" ca="1" si="97">IF(MOD(L471,$B$11)=0,OFFSET(O471,-$B$11,0)+ $E$2*N471+$E$3*OFFSET(N471,-$B$11,0)+ $E$4*OFFSET(N471,-2* $B$11,0), O470)</f>
        <v>2.5159708372875</v>
      </c>
      <c r="P471" s="15">
        <f t="shared" ca="1" si="96"/>
        <v>2.5159708230094915</v>
      </c>
      <c r="Q471" s="15">
        <v>0</v>
      </c>
      <c r="R471" s="15">
        <f t="shared" ca="1" si="89"/>
        <v>2.5159708230094915</v>
      </c>
      <c r="S471" s="15">
        <f t="shared" ca="1" si="86"/>
        <v>9.9154026814351237</v>
      </c>
      <c r="T471" s="15">
        <f t="shared" ca="1" si="90"/>
        <v>6.1411013608132347E-3</v>
      </c>
      <c r="U471" s="15">
        <f t="shared" ca="1" si="91"/>
        <v>9.9215437827959363</v>
      </c>
      <c r="V471" s="15">
        <f t="shared" ca="1" si="92"/>
        <v>9.9215437681231524</v>
      </c>
      <c r="X471" s="15">
        <f t="shared" si="93"/>
        <v>10.5</v>
      </c>
      <c r="Y471" s="15">
        <f t="shared" si="94"/>
        <v>9.5</v>
      </c>
      <c r="Z471" s="15">
        <f t="shared" ca="1" si="95"/>
        <v>1</v>
      </c>
    </row>
    <row r="472" spans="12:26" x14ac:dyDescent="0.3">
      <c r="L472" s="15">
        <v>470</v>
      </c>
      <c r="M472" s="15">
        <f t="shared" si="87"/>
        <v>10</v>
      </c>
      <c r="N472" s="15">
        <f t="shared" ca="1" si="88"/>
        <v>7.2257674781665671E-2</v>
      </c>
      <c r="O472" s="15">
        <f t="shared" ca="1" si="97"/>
        <v>2.5159708372875</v>
      </c>
      <c r="P472" s="15">
        <f t="shared" ca="1" si="96"/>
        <v>2.5159708230094915</v>
      </c>
      <c r="Q472" s="15">
        <v>0</v>
      </c>
      <c r="R472" s="15">
        <f t="shared" ca="1" si="89"/>
        <v>2.5159708230094915</v>
      </c>
      <c r="S472" s="15">
        <f t="shared" ca="1" si="86"/>
        <v>9.9221818599341454</v>
      </c>
      <c r="T472" s="15">
        <f t="shared" ca="1" si="90"/>
        <v>5.5604875539561624E-3</v>
      </c>
      <c r="U472" s="15">
        <f t="shared" ca="1" si="91"/>
        <v>9.9277423474881008</v>
      </c>
      <c r="V472" s="15">
        <f t="shared" ca="1" si="92"/>
        <v>9.9277423252183343</v>
      </c>
      <c r="X472" s="15">
        <f t="shared" si="93"/>
        <v>10.5</v>
      </c>
      <c r="Y472" s="15">
        <f t="shared" si="94"/>
        <v>9.5</v>
      </c>
      <c r="Z472" s="15">
        <f t="shared" ca="1" si="95"/>
        <v>1</v>
      </c>
    </row>
    <row r="473" spans="12:26" x14ac:dyDescent="0.3">
      <c r="L473" s="15">
        <v>471</v>
      </c>
      <c r="M473" s="15">
        <f t="shared" si="87"/>
        <v>10</v>
      </c>
      <c r="N473" s="15">
        <f t="shared" ca="1" si="88"/>
        <v>6.4657570343618076E-2</v>
      </c>
      <c r="O473" s="15">
        <f t="shared" ca="1" si="97"/>
        <v>2.5144677358133083</v>
      </c>
      <c r="P473" s="15">
        <f t="shared" ca="1" si="96"/>
        <v>2.5144677149398409</v>
      </c>
      <c r="Q473" s="15">
        <v>0</v>
      </c>
      <c r="R473" s="15">
        <f t="shared" ca="1" si="89"/>
        <v>2.5144677149398409</v>
      </c>
      <c r="S473" s="15">
        <f t="shared" ref="S473:S536" ca="1" si="98">$I$1*S472-$I$2*S471+$I$3*R452+$I$4*R451</f>
        <v>9.9287528579445397</v>
      </c>
      <c r="T473" s="15">
        <f t="shared" ca="1" si="90"/>
        <v>6.5895841006586801E-3</v>
      </c>
      <c r="U473" s="15">
        <f t="shared" ca="1" si="91"/>
        <v>9.935342442045199</v>
      </c>
      <c r="V473" s="15">
        <f t="shared" ca="1" si="92"/>
        <v>9.9353424296563819</v>
      </c>
      <c r="X473" s="15">
        <f t="shared" si="93"/>
        <v>10.5</v>
      </c>
      <c r="Y473" s="15">
        <f t="shared" si="94"/>
        <v>9.5</v>
      </c>
      <c r="Z473" s="15">
        <f t="shared" ca="1" si="95"/>
        <v>1</v>
      </c>
    </row>
    <row r="474" spans="12:26" x14ac:dyDescent="0.3">
      <c r="L474" s="15">
        <v>472</v>
      </c>
      <c r="M474" s="15">
        <f t="shared" si="87"/>
        <v>10</v>
      </c>
      <c r="N474" s="15">
        <f t="shared" ca="1" si="88"/>
        <v>5.5242970133024372E-2</v>
      </c>
      <c r="O474" s="15">
        <f t="shared" ca="1" si="97"/>
        <v>2.5144677358133083</v>
      </c>
      <c r="P474" s="15">
        <f t="shared" ca="1" si="96"/>
        <v>2.5144677149398409</v>
      </c>
      <c r="Q474" s="15">
        <v>0</v>
      </c>
      <c r="R474" s="15">
        <f t="shared" ca="1" si="89"/>
        <v>2.5144677149398409</v>
      </c>
      <c r="S474" s="15">
        <f t="shared" ca="1" si="98"/>
        <v>9.9351444888763005</v>
      </c>
      <c r="T474" s="15">
        <f t="shared" ca="1" si="90"/>
        <v>9.6125425052698294E-3</v>
      </c>
      <c r="U474" s="15">
        <f t="shared" ca="1" si="91"/>
        <v>9.9447570313815703</v>
      </c>
      <c r="V474" s="15">
        <f t="shared" ca="1" si="92"/>
        <v>9.9447570298669756</v>
      </c>
      <c r="X474" s="15">
        <f t="shared" si="93"/>
        <v>10.5</v>
      </c>
      <c r="Y474" s="15">
        <f t="shared" si="94"/>
        <v>9.5</v>
      </c>
      <c r="Z474" s="15">
        <f t="shared" ca="1" si="95"/>
        <v>1</v>
      </c>
    </row>
    <row r="475" spans="12:26" x14ac:dyDescent="0.3">
      <c r="L475" s="15">
        <v>473</v>
      </c>
      <c r="M475" s="15">
        <f t="shared" si="87"/>
        <v>10</v>
      </c>
      <c r="N475" s="15">
        <f t="shared" ca="1" si="88"/>
        <v>5.1473954238806741E-2</v>
      </c>
      <c r="O475" s="15">
        <f t="shared" ca="1" si="97"/>
        <v>2.5144677358133083</v>
      </c>
      <c r="P475" s="15">
        <f t="shared" ca="1" si="96"/>
        <v>2.5144677149398409</v>
      </c>
      <c r="Q475" s="15">
        <v>0</v>
      </c>
      <c r="R475" s="15">
        <f t="shared" ca="1" si="89"/>
        <v>2.5144677149398409</v>
      </c>
      <c r="S475" s="15">
        <f t="shared" ca="1" si="98"/>
        <v>9.9413524867875367</v>
      </c>
      <c r="T475" s="15">
        <f t="shared" ca="1" si="90"/>
        <v>7.1735701992634128E-3</v>
      </c>
      <c r="U475" s="15">
        <f t="shared" ca="1" si="91"/>
        <v>9.9485260569868004</v>
      </c>
      <c r="V475" s="15">
        <f t="shared" ca="1" si="92"/>
        <v>9.9485260457611933</v>
      </c>
      <c r="X475" s="15">
        <f t="shared" si="93"/>
        <v>10.5</v>
      </c>
      <c r="Y475" s="15">
        <f t="shared" si="94"/>
        <v>9.5</v>
      </c>
      <c r="Z475" s="15">
        <f t="shared" ca="1" si="95"/>
        <v>1</v>
      </c>
    </row>
    <row r="476" spans="12:26" x14ac:dyDescent="0.3">
      <c r="L476" s="15">
        <v>474</v>
      </c>
      <c r="M476" s="15">
        <f t="shared" si="87"/>
        <v>10</v>
      </c>
      <c r="N476" s="15">
        <f t="shared" ca="1" si="88"/>
        <v>4.7467008709784153E-2</v>
      </c>
      <c r="O476" s="15">
        <f t="shared" ca="1" si="97"/>
        <v>2.5146563131662898</v>
      </c>
      <c r="P476" s="15">
        <f t="shared" ca="1" si="96"/>
        <v>2.5146563077612445</v>
      </c>
      <c r="Q476" s="15">
        <v>0</v>
      </c>
      <c r="R476" s="15">
        <f t="shared" ca="1" si="89"/>
        <v>2.5146563077612445</v>
      </c>
      <c r="S476" s="15">
        <f t="shared" ca="1" si="98"/>
        <v>9.9473493228164571</v>
      </c>
      <c r="T476" s="15">
        <f t="shared" ca="1" si="90"/>
        <v>5.1836909259388884E-3</v>
      </c>
      <c r="U476" s="15">
        <f t="shared" ca="1" si="91"/>
        <v>9.9525330137423964</v>
      </c>
      <c r="V476" s="15">
        <f t="shared" ca="1" si="92"/>
        <v>9.9525329912902158</v>
      </c>
      <c r="X476" s="15">
        <f t="shared" si="93"/>
        <v>10.5</v>
      </c>
      <c r="Y476" s="15">
        <f t="shared" si="94"/>
        <v>9.5</v>
      </c>
      <c r="Z476" s="15">
        <f t="shared" ca="1" si="95"/>
        <v>1</v>
      </c>
    </row>
    <row r="477" spans="12:26" x14ac:dyDescent="0.3">
      <c r="L477" s="15">
        <v>475</v>
      </c>
      <c r="M477" s="15">
        <f t="shared" si="87"/>
        <v>10</v>
      </c>
      <c r="N477" s="15">
        <f t="shared" ca="1" si="88"/>
        <v>3.8670457442911754E-2</v>
      </c>
      <c r="O477" s="15">
        <f t="shared" ca="1" si="97"/>
        <v>2.5146563131662898</v>
      </c>
      <c r="P477" s="15">
        <f t="shared" ca="1" si="96"/>
        <v>2.5146563077612445</v>
      </c>
      <c r="Q477" s="15">
        <v>0</v>
      </c>
      <c r="R477" s="15">
        <f t="shared" ca="1" si="89"/>
        <v>2.5146563077612445</v>
      </c>
      <c r="S477" s="15">
        <f t="shared" ca="1" si="98"/>
        <v>9.9531129431359471</v>
      </c>
      <c r="T477" s="15">
        <f t="shared" ca="1" si="90"/>
        <v>8.2166148355480167E-3</v>
      </c>
      <c r="U477" s="15">
        <f t="shared" ca="1" si="91"/>
        <v>9.9613295579714958</v>
      </c>
      <c r="V477" s="15">
        <f t="shared" ca="1" si="92"/>
        <v>9.9613295425570882</v>
      </c>
      <c r="X477" s="15">
        <f t="shared" si="93"/>
        <v>10.5</v>
      </c>
      <c r="Y477" s="15">
        <f t="shared" si="94"/>
        <v>9.5</v>
      </c>
      <c r="Z477" s="15">
        <f t="shared" ca="1" si="95"/>
        <v>1</v>
      </c>
    </row>
    <row r="478" spans="12:26" x14ac:dyDescent="0.3">
      <c r="L478" s="15">
        <v>476</v>
      </c>
      <c r="M478" s="15">
        <f t="shared" si="87"/>
        <v>10</v>
      </c>
      <c r="N478" s="15">
        <f t="shared" ca="1" si="88"/>
        <v>3.3752375755867092E-2</v>
      </c>
      <c r="O478" s="15">
        <f t="shared" ca="1" si="97"/>
        <v>2.5146563131662898</v>
      </c>
      <c r="P478" s="15">
        <f t="shared" ca="1" si="96"/>
        <v>2.5146563077612445</v>
      </c>
      <c r="Q478" s="15">
        <v>0</v>
      </c>
      <c r="R478" s="15">
        <f t="shared" ca="1" si="89"/>
        <v>2.5146563077612445</v>
      </c>
      <c r="S478" s="15">
        <f t="shared" ca="1" si="98"/>
        <v>9.9586485733833694</v>
      </c>
      <c r="T478" s="15">
        <f t="shared" ca="1" si="90"/>
        <v>7.5990674648975486E-3</v>
      </c>
      <c r="U478" s="15">
        <f t="shared" ca="1" si="91"/>
        <v>9.9662476408482661</v>
      </c>
      <c r="V478" s="15">
        <f t="shared" ca="1" si="92"/>
        <v>9.9662476242441329</v>
      </c>
      <c r="X478" s="15">
        <f t="shared" si="93"/>
        <v>10.5</v>
      </c>
      <c r="Y478" s="15">
        <f t="shared" si="94"/>
        <v>9.5</v>
      </c>
      <c r="Z478" s="15">
        <f t="shared" ca="1" si="95"/>
        <v>1</v>
      </c>
    </row>
    <row r="479" spans="12:26" x14ac:dyDescent="0.3">
      <c r="L479" s="15">
        <v>477</v>
      </c>
      <c r="M479" s="15">
        <f t="shared" si="87"/>
        <v>10</v>
      </c>
      <c r="N479" s="15">
        <f t="shared" ca="1" si="88"/>
        <v>2.7415982919608339E-2</v>
      </c>
      <c r="O479" s="15">
        <f t="shared" ca="1" si="97"/>
        <v>2.5100660648571598</v>
      </c>
      <c r="P479" s="15">
        <f t="shared" ca="1" si="96"/>
        <v>2.51006605162054</v>
      </c>
      <c r="Q479" s="15">
        <v>0</v>
      </c>
      <c r="R479" s="15">
        <f t="shared" ca="1" si="89"/>
        <v>2.51006605162054</v>
      </c>
      <c r="S479" s="15">
        <f t="shared" ca="1" si="98"/>
        <v>9.9639202104514819</v>
      </c>
      <c r="T479" s="15">
        <f t="shared" ca="1" si="90"/>
        <v>8.6638072623948219E-3</v>
      </c>
      <c r="U479" s="15">
        <f t="shared" ca="1" si="91"/>
        <v>9.972584017713876</v>
      </c>
      <c r="V479" s="15">
        <f t="shared" ca="1" si="92"/>
        <v>9.9725840170803917</v>
      </c>
      <c r="X479" s="15">
        <f t="shared" si="93"/>
        <v>10.5</v>
      </c>
      <c r="Y479" s="15">
        <f t="shared" si="94"/>
        <v>9.5</v>
      </c>
      <c r="Z479" s="15">
        <f t="shared" ca="1" si="95"/>
        <v>1</v>
      </c>
    </row>
    <row r="480" spans="12:26" x14ac:dyDescent="0.3">
      <c r="L480" s="15">
        <v>478</v>
      </c>
      <c r="M480" s="15">
        <f t="shared" si="87"/>
        <v>10</v>
      </c>
      <c r="N480" s="15">
        <f t="shared" ca="1" si="88"/>
        <v>2.7006526949584497E-2</v>
      </c>
      <c r="O480" s="15">
        <f t="shared" ca="1" si="97"/>
        <v>2.5100660648571598</v>
      </c>
      <c r="P480" s="15">
        <f t="shared" ca="1" si="96"/>
        <v>2.51006605162054</v>
      </c>
      <c r="Q480" s="15">
        <v>0</v>
      </c>
      <c r="R480" s="15">
        <f t="shared" ca="1" si="89"/>
        <v>2.51006605162054</v>
      </c>
      <c r="S480" s="15">
        <f t="shared" ca="1" si="98"/>
        <v>9.9688993752358162</v>
      </c>
      <c r="T480" s="15">
        <f t="shared" ca="1" si="90"/>
        <v>4.0941180469589089E-3</v>
      </c>
      <c r="U480" s="15">
        <f t="shared" ca="1" si="91"/>
        <v>9.9729934932827753</v>
      </c>
      <c r="V480" s="15">
        <f t="shared" ca="1" si="92"/>
        <v>9.9729934730504155</v>
      </c>
      <c r="X480" s="15">
        <f t="shared" si="93"/>
        <v>10.5</v>
      </c>
      <c r="Y480" s="15">
        <f t="shared" si="94"/>
        <v>9.5</v>
      </c>
      <c r="Z480" s="15">
        <f t="shared" ca="1" si="95"/>
        <v>1</v>
      </c>
    </row>
    <row r="481" spans="12:26" x14ac:dyDescent="0.3">
      <c r="L481" s="15">
        <v>479</v>
      </c>
      <c r="M481" s="15">
        <f t="shared" si="87"/>
        <v>10</v>
      </c>
      <c r="N481" s="15">
        <f t="shared" ca="1" si="88"/>
        <v>2.3560633422704313E-2</v>
      </c>
      <c r="O481" s="15">
        <f t="shared" ca="1" si="97"/>
        <v>2.5100660648571598</v>
      </c>
      <c r="P481" s="15">
        <f t="shared" ca="1" si="96"/>
        <v>2.51006605162054</v>
      </c>
      <c r="Q481" s="15">
        <v>0</v>
      </c>
      <c r="R481" s="15">
        <f t="shared" ca="1" si="89"/>
        <v>2.51006605162054</v>
      </c>
      <c r="S481" s="15">
        <f t="shared" ca="1" si="98"/>
        <v>9.9736021331177458</v>
      </c>
      <c r="T481" s="15">
        <f t="shared" ca="1" si="90"/>
        <v>2.8372389865591297E-3</v>
      </c>
      <c r="U481" s="15">
        <f t="shared" ca="1" si="91"/>
        <v>9.9764393721043056</v>
      </c>
      <c r="V481" s="15">
        <f t="shared" ca="1" si="92"/>
        <v>9.9764393665772957</v>
      </c>
      <c r="X481" s="15">
        <f t="shared" si="93"/>
        <v>10.5</v>
      </c>
      <c r="Y481" s="15">
        <f t="shared" si="94"/>
        <v>9.5</v>
      </c>
      <c r="Z481" s="15">
        <f t="shared" ca="1" si="95"/>
        <v>1</v>
      </c>
    </row>
    <row r="482" spans="12:26" x14ac:dyDescent="0.3">
      <c r="L482" s="15">
        <v>480</v>
      </c>
      <c r="M482" s="15">
        <f t="shared" si="87"/>
        <v>10</v>
      </c>
      <c r="N482" s="15">
        <f t="shared" ca="1" si="88"/>
        <v>2.0960194529257237E-2</v>
      </c>
      <c r="O482" s="15">
        <f t="shared" ca="1" si="97"/>
        <v>2.517536131492653</v>
      </c>
      <c r="P482" s="15">
        <f t="shared" ca="1" si="96"/>
        <v>2.5175361201440767</v>
      </c>
      <c r="Q482" s="15">
        <v>0</v>
      </c>
      <c r="R482" s="15">
        <f t="shared" ca="1" si="89"/>
        <v>2.5175361201440767</v>
      </c>
      <c r="S482" s="15">
        <f t="shared" ca="1" si="98"/>
        <v>9.9781276569943564</v>
      </c>
      <c r="T482" s="15">
        <f t="shared" ca="1" si="90"/>
        <v>9.1215367285380714E-4</v>
      </c>
      <c r="U482" s="15">
        <f t="shared" ca="1" si="91"/>
        <v>9.97903981066721</v>
      </c>
      <c r="V482" s="15">
        <f t="shared" ca="1" si="92"/>
        <v>9.9790398054707428</v>
      </c>
      <c r="X482" s="15">
        <f t="shared" si="93"/>
        <v>10.5</v>
      </c>
      <c r="Y482" s="15">
        <f t="shared" si="94"/>
        <v>9.5</v>
      </c>
      <c r="Z482" s="15">
        <f t="shared" ca="1" si="95"/>
        <v>1</v>
      </c>
    </row>
    <row r="483" spans="12:26" x14ac:dyDescent="0.3">
      <c r="L483" s="15">
        <v>481</v>
      </c>
      <c r="M483" s="15">
        <f t="shared" si="87"/>
        <v>10</v>
      </c>
      <c r="N483" s="15">
        <f t="shared" ca="1" si="88"/>
        <v>9.5846015050966571E-3</v>
      </c>
      <c r="O483" s="15">
        <f t="shared" ca="1" si="97"/>
        <v>2.517536131492653</v>
      </c>
      <c r="P483" s="15">
        <f t="shared" ca="1" si="96"/>
        <v>2.5175361201440767</v>
      </c>
      <c r="Q483" s="15">
        <v>0</v>
      </c>
      <c r="R483" s="15">
        <f t="shared" ca="1" si="89"/>
        <v>2.5175361201440767</v>
      </c>
      <c r="S483" s="15">
        <f t="shared" ca="1" si="98"/>
        <v>9.9825595655065751</v>
      </c>
      <c r="T483" s="15">
        <f t="shared" ca="1" si="90"/>
        <v>7.8558505648651817E-3</v>
      </c>
      <c r="U483" s="15">
        <f t="shared" ca="1" si="91"/>
        <v>9.9904154160714409</v>
      </c>
      <c r="V483" s="15">
        <f t="shared" ca="1" si="92"/>
        <v>9.9904153984949033</v>
      </c>
      <c r="X483" s="15">
        <f t="shared" si="93"/>
        <v>10.5</v>
      </c>
      <c r="Y483" s="15">
        <f t="shared" si="94"/>
        <v>9.5</v>
      </c>
      <c r="Z483" s="15">
        <f t="shared" ca="1" si="95"/>
        <v>1</v>
      </c>
    </row>
    <row r="484" spans="12:26" x14ac:dyDescent="0.3">
      <c r="L484" s="15">
        <v>482</v>
      </c>
      <c r="M484" s="15">
        <f t="shared" si="87"/>
        <v>10</v>
      </c>
      <c r="N484" s="15">
        <f t="shared" ca="1" si="88"/>
        <v>8.092506324894444E-3</v>
      </c>
      <c r="O484" s="15">
        <f t="shared" ca="1" si="97"/>
        <v>2.517536131492653</v>
      </c>
      <c r="P484" s="15">
        <f t="shared" ca="1" si="96"/>
        <v>2.5175361201440767</v>
      </c>
      <c r="Q484" s="15">
        <v>0</v>
      </c>
      <c r="R484" s="15">
        <f t="shared" ca="1" si="89"/>
        <v>2.5175361201440767</v>
      </c>
      <c r="S484" s="15">
        <f t="shared" ca="1" si="98"/>
        <v>9.9868909965817529</v>
      </c>
      <c r="T484" s="15">
        <f t="shared" ca="1" si="90"/>
        <v>5.0165141846208339E-3</v>
      </c>
      <c r="U484" s="15">
        <f t="shared" ca="1" si="91"/>
        <v>9.9919075107663744</v>
      </c>
      <c r="V484" s="15">
        <f t="shared" ca="1" si="92"/>
        <v>9.9919074936751056</v>
      </c>
      <c r="X484" s="15">
        <f t="shared" si="93"/>
        <v>10.5</v>
      </c>
      <c r="Y484" s="15">
        <f t="shared" si="94"/>
        <v>9.5</v>
      </c>
      <c r="Z484" s="15">
        <f t="shared" ca="1" si="95"/>
        <v>1</v>
      </c>
    </row>
    <row r="485" spans="12:26" x14ac:dyDescent="0.3">
      <c r="L485" s="15">
        <v>483</v>
      </c>
      <c r="M485" s="15">
        <f t="shared" si="87"/>
        <v>10</v>
      </c>
      <c r="N485" s="15">
        <f t="shared" ca="1" si="88"/>
        <v>6.8330555238844681E-3</v>
      </c>
      <c r="O485" s="15">
        <f t="shared" ca="1" si="97"/>
        <v>2.5106633152850129</v>
      </c>
      <c r="P485" s="15">
        <f t="shared" ca="1" si="96"/>
        <v>2.5106633087877799</v>
      </c>
      <c r="Q485" s="15">
        <v>0</v>
      </c>
      <c r="R485" s="15">
        <f t="shared" ca="1" si="89"/>
        <v>2.5106633087877799</v>
      </c>
      <c r="S485" s="15">
        <f t="shared" ca="1" si="98"/>
        <v>9.9910258740795168</v>
      </c>
      <c r="T485" s="15">
        <f t="shared" ca="1" si="90"/>
        <v>2.1410933548916588E-3</v>
      </c>
      <c r="U485" s="15">
        <f t="shared" ca="1" si="91"/>
        <v>9.9931669674344086</v>
      </c>
      <c r="V485" s="15">
        <f t="shared" ca="1" si="92"/>
        <v>9.9931669444761155</v>
      </c>
      <c r="X485" s="15">
        <f t="shared" si="93"/>
        <v>10.5</v>
      </c>
      <c r="Y485" s="15">
        <f t="shared" si="94"/>
        <v>9.5</v>
      </c>
      <c r="Z485" s="15">
        <f t="shared" ca="1" si="95"/>
        <v>1</v>
      </c>
    </row>
    <row r="486" spans="12:26" x14ac:dyDescent="0.3">
      <c r="L486" s="15">
        <v>484</v>
      </c>
      <c r="M486" s="15">
        <f t="shared" si="87"/>
        <v>10</v>
      </c>
      <c r="N486" s="15">
        <f t="shared" ca="1" si="88"/>
        <v>1.3723853047409307E-3</v>
      </c>
      <c r="O486" s="15">
        <f t="shared" ca="1" si="97"/>
        <v>2.5106633152850129</v>
      </c>
      <c r="P486" s="15">
        <f t="shared" ca="1" si="96"/>
        <v>2.5106633087877799</v>
      </c>
      <c r="Q486" s="15">
        <v>0</v>
      </c>
      <c r="R486" s="15">
        <f t="shared" ca="1" si="89"/>
        <v>2.5106633087877799</v>
      </c>
      <c r="S486" s="15">
        <f t="shared" ca="1" si="98"/>
        <v>9.9948851530010199</v>
      </c>
      <c r="T486" s="15">
        <f t="shared" ca="1" si="90"/>
        <v>3.7424823120244099E-3</v>
      </c>
      <c r="U486" s="15">
        <f t="shared" ca="1" si="91"/>
        <v>9.9986276353130439</v>
      </c>
      <c r="V486" s="15">
        <f t="shared" ca="1" si="92"/>
        <v>9.9986276146952591</v>
      </c>
      <c r="X486" s="15">
        <f t="shared" si="93"/>
        <v>10.5</v>
      </c>
      <c r="Y486" s="15">
        <f t="shared" si="94"/>
        <v>9.5</v>
      </c>
      <c r="Z486" s="15">
        <f t="shared" ca="1" si="95"/>
        <v>1</v>
      </c>
    </row>
    <row r="487" spans="12:26" x14ac:dyDescent="0.3">
      <c r="L487" s="15">
        <v>485</v>
      </c>
      <c r="M487" s="15">
        <f t="shared" si="87"/>
        <v>10</v>
      </c>
      <c r="N487" s="15">
        <f t="shared" ca="1" si="88"/>
        <v>-2.3927656007920461E-3</v>
      </c>
      <c r="O487" s="15">
        <f t="shared" ca="1" si="97"/>
        <v>2.5106633152850129</v>
      </c>
      <c r="P487" s="15">
        <f t="shared" ca="1" si="96"/>
        <v>2.5106633087877799</v>
      </c>
      <c r="Q487" s="15">
        <v>0</v>
      </c>
      <c r="R487" s="15">
        <f t="shared" ca="1" si="89"/>
        <v>2.5106633087877799</v>
      </c>
      <c r="S487" s="15">
        <f t="shared" ca="1" si="98"/>
        <v>9.9984874935252357</v>
      </c>
      <c r="T487" s="15">
        <f t="shared" ca="1" si="90"/>
        <v>3.9052863561476439E-3</v>
      </c>
      <c r="U487" s="15">
        <f t="shared" ca="1" si="91"/>
        <v>10.002392779881383</v>
      </c>
      <c r="V487" s="15">
        <f t="shared" ca="1" si="92"/>
        <v>10.002392765600792</v>
      </c>
      <c r="X487" s="15">
        <f t="shared" si="93"/>
        <v>10.5</v>
      </c>
      <c r="Y487" s="15">
        <f t="shared" si="94"/>
        <v>9.5</v>
      </c>
      <c r="Z487" s="15">
        <f t="shared" ca="1" si="95"/>
        <v>1</v>
      </c>
    </row>
    <row r="488" spans="12:26" x14ac:dyDescent="0.3">
      <c r="L488" s="15">
        <v>486</v>
      </c>
      <c r="M488" s="15">
        <f t="shared" si="87"/>
        <v>10</v>
      </c>
      <c r="N488" s="15">
        <f t="shared" ca="1" si="88"/>
        <v>-9.8310527414628979E-3</v>
      </c>
      <c r="O488" s="15">
        <f t="shared" ca="1" si="97"/>
        <v>2.5061121593594931</v>
      </c>
      <c r="P488" s="15">
        <f t="shared" ca="1" si="96"/>
        <v>2.5061121449121533</v>
      </c>
      <c r="Q488" s="15">
        <v>0</v>
      </c>
      <c r="R488" s="15">
        <f t="shared" ca="1" si="89"/>
        <v>2.5061121449121533</v>
      </c>
      <c r="S488" s="15">
        <f t="shared" ca="1" si="98"/>
        <v>10.001887085585853</v>
      </c>
      <c r="T488" s="15">
        <f t="shared" ca="1" si="90"/>
        <v>7.9439810047256948E-3</v>
      </c>
      <c r="U488" s="15">
        <f t="shared" ca="1" si="91"/>
        <v>10.009831066590579</v>
      </c>
      <c r="V488" s="15">
        <f t="shared" ca="1" si="92"/>
        <v>10.009831052741463</v>
      </c>
      <c r="X488" s="15">
        <f t="shared" si="93"/>
        <v>10.5</v>
      </c>
      <c r="Y488" s="15">
        <f t="shared" si="94"/>
        <v>9.5</v>
      </c>
      <c r="Z488" s="15">
        <f t="shared" ca="1" si="95"/>
        <v>1</v>
      </c>
    </row>
    <row r="489" spans="12:26" x14ac:dyDescent="0.3">
      <c r="L489" s="15">
        <v>487</v>
      </c>
      <c r="M489" s="15">
        <f t="shared" si="87"/>
        <v>10</v>
      </c>
      <c r="N489" s="15">
        <f t="shared" ca="1" si="88"/>
        <v>-1.0889151601793046E-2</v>
      </c>
      <c r="O489" s="15">
        <f t="shared" ca="1" si="97"/>
        <v>2.5061121593594931</v>
      </c>
      <c r="P489" s="15">
        <f t="shared" ca="1" si="96"/>
        <v>2.5061121449121533</v>
      </c>
      <c r="Q489" s="15">
        <v>0</v>
      </c>
      <c r="R489" s="15">
        <f t="shared" ca="1" si="89"/>
        <v>2.5061121449121533</v>
      </c>
      <c r="S489" s="15">
        <f t="shared" ca="1" si="98"/>
        <v>10.005130469415716</v>
      </c>
      <c r="T489" s="15">
        <f t="shared" ca="1" si="90"/>
        <v>5.7586851206363815E-3</v>
      </c>
      <c r="U489" s="15">
        <f t="shared" ca="1" si="91"/>
        <v>10.010889154536352</v>
      </c>
      <c r="V489" s="15">
        <f t="shared" ca="1" si="92"/>
        <v>10.010889151601793</v>
      </c>
      <c r="X489" s="15">
        <f t="shared" si="93"/>
        <v>10.5</v>
      </c>
      <c r="Y489" s="15">
        <f t="shared" si="94"/>
        <v>9.5</v>
      </c>
      <c r="Z489" s="15">
        <f t="shared" ca="1" si="95"/>
        <v>1</v>
      </c>
    </row>
    <row r="490" spans="12:26" x14ac:dyDescent="0.3">
      <c r="L490" s="15">
        <v>488</v>
      </c>
      <c r="M490" s="15">
        <f t="shared" si="87"/>
        <v>10</v>
      </c>
      <c r="N490" s="15">
        <f t="shared" ca="1" si="88"/>
        <v>-8.9494860751901939E-3</v>
      </c>
      <c r="O490" s="15">
        <f t="shared" ca="1" si="97"/>
        <v>2.5061121593594931</v>
      </c>
      <c r="P490" s="15">
        <f t="shared" ca="1" si="96"/>
        <v>2.5061121449121533</v>
      </c>
      <c r="Q490" s="15">
        <v>0</v>
      </c>
      <c r="R490" s="15">
        <f t="shared" ca="1" si="89"/>
        <v>2.5061121449121533</v>
      </c>
      <c r="S490" s="15">
        <f t="shared" ca="1" si="98"/>
        <v>10.008223755237537</v>
      </c>
      <c r="T490" s="15">
        <f t="shared" ca="1" si="90"/>
        <v>7.25743249171531E-4</v>
      </c>
      <c r="U490" s="15">
        <f t="shared" ca="1" si="91"/>
        <v>10.008949498486709</v>
      </c>
      <c r="V490" s="15">
        <f t="shared" ca="1" si="92"/>
        <v>10.00894948607519</v>
      </c>
      <c r="X490" s="15">
        <f t="shared" si="93"/>
        <v>10.5</v>
      </c>
      <c r="Y490" s="15">
        <f t="shared" si="94"/>
        <v>9.5</v>
      </c>
      <c r="Z490" s="15">
        <f t="shared" ca="1" si="95"/>
        <v>1</v>
      </c>
    </row>
    <row r="491" spans="12:26" x14ac:dyDescent="0.3">
      <c r="L491" s="15">
        <v>489</v>
      </c>
      <c r="M491" s="15">
        <f t="shared" si="87"/>
        <v>10</v>
      </c>
      <c r="N491" s="15">
        <f t="shared" ca="1" si="88"/>
        <v>-1.5246297702018907E-2</v>
      </c>
      <c r="O491" s="15">
        <f t="shared" ca="1" si="97"/>
        <v>2.5116405192632949</v>
      </c>
      <c r="P491" s="15">
        <f t="shared" ca="1" si="96"/>
        <v>2.5116404989994225</v>
      </c>
      <c r="Q491" s="15">
        <v>0</v>
      </c>
      <c r="R491" s="15">
        <f t="shared" ca="1" si="89"/>
        <v>2.5116404989994225</v>
      </c>
      <c r="S491" s="15">
        <f t="shared" ca="1" si="98"/>
        <v>10.011166212755267</v>
      </c>
      <c r="T491" s="15">
        <f t="shared" ca="1" si="90"/>
        <v>4.0801039217699666E-3</v>
      </c>
      <c r="U491" s="15">
        <f t="shared" ca="1" si="91"/>
        <v>10.015246316677038</v>
      </c>
      <c r="V491" s="15">
        <f t="shared" ca="1" si="92"/>
        <v>10.015246297702019</v>
      </c>
      <c r="X491" s="15">
        <f t="shared" si="93"/>
        <v>10.5</v>
      </c>
      <c r="Y491" s="15">
        <f t="shared" si="94"/>
        <v>9.5</v>
      </c>
      <c r="Z491" s="15">
        <f t="shared" ca="1" si="95"/>
        <v>1</v>
      </c>
    </row>
    <row r="492" spans="12:26" x14ac:dyDescent="0.3">
      <c r="L492" s="15">
        <v>490</v>
      </c>
      <c r="M492" s="15">
        <f t="shared" si="87"/>
        <v>10</v>
      </c>
      <c r="N492" s="15">
        <f t="shared" ca="1" si="88"/>
        <v>-1.4017929791942052E-2</v>
      </c>
      <c r="O492" s="15">
        <f t="shared" ca="1" si="97"/>
        <v>2.5116405192632949</v>
      </c>
      <c r="P492" s="15">
        <f t="shared" ca="1" si="96"/>
        <v>2.5116404989994225</v>
      </c>
      <c r="Q492" s="15">
        <v>0</v>
      </c>
      <c r="R492" s="15">
        <f t="shared" ca="1" si="89"/>
        <v>2.5116404989994225</v>
      </c>
      <c r="S492" s="15">
        <f t="shared" ca="1" si="98"/>
        <v>10.013958138723417</v>
      </c>
      <c r="T492" s="15">
        <f t="shared" ca="1" si="90"/>
        <v>5.9792838751692171E-5</v>
      </c>
      <c r="U492" s="15">
        <f t="shared" ca="1" si="91"/>
        <v>10.014017931562169</v>
      </c>
      <c r="V492" s="15">
        <f t="shared" ca="1" si="92"/>
        <v>10.014017929791942</v>
      </c>
      <c r="X492" s="15">
        <f t="shared" si="93"/>
        <v>10.5</v>
      </c>
      <c r="Y492" s="15">
        <f t="shared" si="94"/>
        <v>9.5</v>
      </c>
      <c r="Z492" s="15">
        <f t="shared" ca="1" si="95"/>
        <v>1</v>
      </c>
    </row>
    <row r="493" spans="12:26" x14ac:dyDescent="0.3">
      <c r="L493" s="15">
        <v>491</v>
      </c>
      <c r="M493" s="15">
        <f t="shared" si="87"/>
        <v>10</v>
      </c>
      <c r="N493" s="15">
        <f t="shared" ca="1" si="88"/>
        <v>-2.6327196980437506E-2</v>
      </c>
      <c r="O493" s="15">
        <f t="shared" ca="1" si="97"/>
        <v>2.5116405192632949</v>
      </c>
      <c r="P493" s="15">
        <f t="shared" ca="1" si="96"/>
        <v>2.5116404989994225</v>
      </c>
      <c r="Q493" s="15">
        <v>0</v>
      </c>
      <c r="R493" s="15">
        <f t="shared" ca="1" si="89"/>
        <v>2.5116404989994225</v>
      </c>
      <c r="S493" s="15">
        <f t="shared" ca="1" si="98"/>
        <v>10.016606832279601</v>
      </c>
      <c r="T493" s="15">
        <f t="shared" ca="1" si="90"/>
        <v>9.7203648361377532E-3</v>
      </c>
      <c r="U493" s="15">
        <f t="shared" ca="1" si="91"/>
        <v>10.026327197115739</v>
      </c>
      <c r="V493" s="15">
        <f t="shared" ca="1" si="92"/>
        <v>10.026327196980438</v>
      </c>
      <c r="X493" s="15">
        <f t="shared" si="93"/>
        <v>10.5</v>
      </c>
      <c r="Y493" s="15">
        <f t="shared" si="94"/>
        <v>9.5</v>
      </c>
      <c r="Z493" s="15">
        <f t="shared" ca="1" si="95"/>
        <v>1</v>
      </c>
    </row>
    <row r="494" spans="12:26" x14ac:dyDescent="0.3">
      <c r="L494" s="15">
        <v>492</v>
      </c>
      <c r="M494" s="15">
        <f t="shared" si="87"/>
        <v>10</v>
      </c>
      <c r="N494" s="15">
        <f t="shared" ca="1" si="88"/>
        <v>-2.6668619836371477E-2</v>
      </c>
      <c r="O494" s="15">
        <f t="shared" ca="1" si="97"/>
        <v>2.5055687266935474</v>
      </c>
      <c r="P494" s="15">
        <f t="shared" ca="1" si="96"/>
        <v>2.505568718189739</v>
      </c>
      <c r="Q494" s="15">
        <v>0</v>
      </c>
      <c r="R494" s="15">
        <f t="shared" ca="1" si="89"/>
        <v>2.505568718189739</v>
      </c>
      <c r="S494" s="15">
        <f t="shared" ca="1" si="98"/>
        <v>10.019106269102423</v>
      </c>
      <c r="T494" s="15">
        <f t="shared" ca="1" si="90"/>
        <v>7.5623534723036605E-3</v>
      </c>
      <c r="U494" s="15">
        <f t="shared" ca="1" si="91"/>
        <v>10.026668622574727</v>
      </c>
      <c r="V494" s="15">
        <f t="shared" ca="1" si="92"/>
        <v>10.026668619836371</v>
      </c>
      <c r="X494" s="15">
        <f t="shared" si="93"/>
        <v>10.5</v>
      </c>
      <c r="Y494" s="15">
        <f t="shared" si="94"/>
        <v>9.5</v>
      </c>
      <c r="Z494" s="15">
        <f t="shared" ca="1" si="95"/>
        <v>1</v>
      </c>
    </row>
    <row r="495" spans="12:26" x14ac:dyDescent="0.3">
      <c r="L495" s="15">
        <v>493</v>
      </c>
      <c r="M495" s="15">
        <f t="shared" si="87"/>
        <v>10</v>
      </c>
      <c r="N495" s="15">
        <f t="shared" ca="1" si="88"/>
        <v>-2.7888442861822682E-2</v>
      </c>
      <c r="O495" s="15">
        <f t="shared" ca="1" si="97"/>
        <v>2.5055687266935474</v>
      </c>
      <c r="P495" s="15">
        <f t="shared" ca="1" si="96"/>
        <v>2.505568718189739</v>
      </c>
      <c r="Q495" s="15">
        <v>0</v>
      </c>
      <c r="R495" s="15">
        <f t="shared" ca="1" si="89"/>
        <v>2.505568718189739</v>
      </c>
      <c r="S495" s="15">
        <f t="shared" ca="1" si="98"/>
        <v>10.021452396127732</v>
      </c>
      <c r="T495" s="15">
        <f t="shared" ca="1" si="90"/>
        <v>6.4360527787976967E-3</v>
      </c>
      <c r="U495" s="15">
        <f t="shared" ca="1" si="91"/>
        <v>10.027888448906529</v>
      </c>
      <c r="V495" s="15">
        <f t="shared" ca="1" si="92"/>
        <v>10.027888442861823</v>
      </c>
      <c r="X495" s="15">
        <f t="shared" si="93"/>
        <v>10.5</v>
      </c>
      <c r="Y495" s="15">
        <f t="shared" si="94"/>
        <v>9.5</v>
      </c>
      <c r="Z495" s="15">
        <f t="shared" ca="1" si="95"/>
        <v>1</v>
      </c>
    </row>
    <row r="496" spans="12:26" x14ac:dyDescent="0.3">
      <c r="L496" s="15">
        <v>494</v>
      </c>
      <c r="M496" s="15">
        <f t="shared" si="87"/>
        <v>10</v>
      </c>
      <c r="N496" s="15">
        <f t="shared" ca="1" si="88"/>
        <v>-3.0799524400103806E-2</v>
      </c>
      <c r="O496" s="15">
        <f t="shared" ca="1" si="97"/>
        <v>2.5055687266935474</v>
      </c>
      <c r="P496" s="15">
        <f t="shared" ca="1" si="96"/>
        <v>2.505568718189739</v>
      </c>
      <c r="Q496" s="15">
        <v>0</v>
      </c>
      <c r="R496" s="15">
        <f t="shared" ca="1" si="89"/>
        <v>2.505568718189739</v>
      </c>
      <c r="S496" s="15">
        <f t="shared" ca="1" si="98"/>
        <v>10.02365475070931</v>
      </c>
      <c r="T496" s="15">
        <f t="shared" ca="1" si="90"/>
        <v>7.1447886557419182E-3</v>
      </c>
      <c r="U496" s="15">
        <f t="shared" ca="1" si="91"/>
        <v>10.030799539365052</v>
      </c>
      <c r="V496" s="15">
        <f t="shared" ca="1" si="92"/>
        <v>10.030799524400104</v>
      </c>
      <c r="X496" s="15">
        <f t="shared" si="93"/>
        <v>10.5</v>
      </c>
      <c r="Y496" s="15">
        <f t="shared" si="94"/>
        <v>9.5</v>
      </c>
      <c r="Z496" s="15">
        <f t="shared" ca="1" si="95"/>
        <v>1</v>
      </c>
    </row>
    <row r="497" spans="12:26" x14ac:dyDescent="0.3">
      <c r="L497" s="15">
        <v>495</v>
      </c>
      <c r="M497" s="15">
        <f t="shared" si="87"/>
        <v>10</v>
      </c>
      <c r="N497" s="15">
        <f t="shared" ca="1" si="88"/>
        <v>-3.321409459067759E-2</v>
      </c>
      <c r="O497" s="15">
        <f t="shared" ca="1" si="97"/>
        <v>2.5067287102877889</v>
      </c>
      <c r="P497" s="15">
        <f t="shared" ca="1" si="96"/>
        <v>2.506728703739757</v>
      </c>
      <c r="Q497" s="15">
        <v>0</v>
      </c>
      <c r="R497" s="15">
        <f t="shared" ca="1" si="89"/>
        <v>2.506728703739757</v>
      </c>
      <c r="S497" s="15">
        <f t="shared" ca="1" si="98"/>
        <v>10.025723899103989</v>
      </c>
      <c r="T497" s="15">
        <f t="shared" ca="1" si="90"/>
        <v>7.4902043185839495E-3</v>
      </c>
      <c r="U497" s="15">
        <f t="shared" ca="1" si="91"/>
        <v>10.033214103422573</v>
      </c>
      <c r="V497" s="15">
        <f t="shared" ca="1" si="92"/>
        <v>10.033214094590678</v>
      </c>
      <c r="X497" s="15">
        <f t="shared" si="93"/>
        <v>10.5</v>
      </c>
      <c r="Y497" s="15">
        <f t="shared" si="94"/>
        <v>9.5</v>
      </c>
      <c r="Z497" s="15">
        <f t="shared" ca="1" si="95"/>
        <v>1</v>
      </c>
    </row>
    <row r="498" spans="12:26" x14ac:dyDescent="0.3">
      <c r="L498" s="15">
        <v>496</v>
      </c>
      <c r="M498" s="15">
        <f t="shared" si="87"/>
        <v>10</v>
      </c>
      <c r="N498" s="15">
        <f t="shared" ca="1" si="88"/>
        <v>-2.9416254262770281E-2</v>
      </c>
      <c r="O498" s="15">
        <f t="shared" ca="1" si="97"/>
        <v>2.5067287102877889</v>
      </c>
      <c r="P498" s="15">
        <f t="shared" ca="1" si="96"/>
        <v>2.506728703739757</v>
      </c>
      <c r="Q498" s="15">
        <v>0</v>
      </c>
      <c r="R498" s="15">
        <f t="shared" ca="1" si="89"/>
        <v>2.506728703739757</v>
      </c>
      <c r="S498" s="15">
        <f t="shared" ca="1" si="98"/>
        <v>10.02766955756235</v>
      </c>
      <c r="T498" s="15">
        <f t="shared" ca="1" si="90"/>
        <v>1.7467125558424336E-3</v>
      </c>
      <c r="U498" s="15">
        <f t="shared" ca="1" si="91"/>
        <v>10.029416270118192</v>
      </c>
      <c r="V498" s="15">
        <f t="shared" ca="1" si="92"/>
        <v>10.02941625426277</v>
      </c>
      <c r="X498" s="15">
        <f t="shared" si="93"/>
        <v>10.5</v>
      </c>
      <c r="Y498" s="15">
        <f t="shared" si="94"/>
        <v>9.5</v>
      </c>
      <c r="Z498" s="15">
        <f t="shared" ca="1" si="95"/>
        <v>1</v>
      </c>
    </row>
    <row r="499" spans="12:26" x14ac:dyDescent="0.3">
      <c r="L499" s="15">
        <v>497</v>
      </c>
      <c r="M499" s="15">
        <f t="shared" si="87"/>
        <v>10</v>
      </c>
      <c r="N499" s="15">
        <f t="shared" ca="1" si="88"/>
        <v>-3.2790459234451674E-2</v>
      </c>
      <c r="O499" s="15">
        <f t="shared" ca="1" si="97"/>
        <v>2.5067287102877889</v>
      </c>
      <c r="P499" s="15">
        <f t="shared" ca="1" si="96"/>
        <v>2.506728703739757</v>
      </c>
      <c r="Q499" s="15">
        <v>0</v>
      </c>
      <c r="R499" s="15">
        <f t="shared" ca="1" si="89"/>
        <v>2.506728703739757</v>
      </c>
      <c r="S499" s="15">
        <f t="shared" ca="1" si="98"/>
        <v>10.029499172045487</v>
      </c>
      <c r="T499" s="15">
        <f t="shared" ca="1" si="90"/>
        <v>3.2913040555880924E-3</v>
      </c>
      <c r="U499" s="15">
        <f t="shared" ca="1" si="91"/>
        <v>10.032790476101075</v>
      </c>
      <c r="V499" s="15">
        <f t="shared" ca="1" si="92"/>
        <v>10.032790459234452</v>
      </c>
      <c r="X499" s="15">
        <f t="shared" si="93"/>
        <v>10.5</v>
      </c>
      <c r="Y499" s="15">
        <f t="shared" si="94"/>
        <v>9.5</v>
      </c>
      <c r="Z499" s="15">
        <f t="shared" ca="1" si="95"/>
        <v>1</v>
      </c>
    </row>
    <row r="500" spans="12:26" x14ac:dyDescent="0.3">
      <c r="L500" s="15">
        <v>498</v>
      </c>
      <c r="M500" s="15">
        <f t="shared" si="87"/>
        <v>10</v>
      </c>
      <c r="N500" s="15">
        <f t="shared" ca="1" si="88"/>
        <v>-3.1488772954674005E-2</v>
      </c>
      <c r="O500" s="15">
        <f t="shared" ca="1" si="97"/>
        <v>2.5113664814987375</v>
      </c>
      <c r="P500" s="15">
        <f t="shared" ca="1" si="96"/>
        <v>2.5113664806148428</v>
      </c>
      <c r="Q500" s="15">
        <v>0</v>
      </c>
      <c r="R500" s="15">
        <f t="shared" ca="1" si="89"/>
        <v>2.5113664806148428</v>
      </c>
      <c r="S500" s="15">
        <f t="shared" ca="1" si="98"/>
        <v>10.031180025810233</v>
      </c>
      <c r="T500" s="15">
        <f t="shared" ca="1" si="90"/>
        <v>3.0875278698167972E-4</v>
      </c>
      <c r="U500" s="15">
        <f t="shared" ca="1" si="91"/>
        <v>10.031488778597215</v>
      </c>
      <c r="V500" s="15">
        <f t="shared" ca="1" si="92"/>
        <v>10.031488772954674</v>
      </c>
      <c r="X500" s="15">
        <f t="shared" si="93"/>
        <v>10.5</v>
      </c>
      <c r="Y500" s="15">
        <f t="shared" si="94"/>
        <v>9.5</v>
      </c>
      <c r="Z500" s="15">
        <f t="shared" ca="1" si="95"/>
        <v>1</v>
      </c>
    </row>
    <row r="501" spans="12:26" x14ac:dyDescent="0.3">
      <c r="L501" s="15">
        <v>499</v>
      </c>
      <c r="M501" s="15">
        <f t="shared" si="87"/>
        <v>10</v>
      </c>
      <c r="N501" s="15">
        <f t="shared" ca="1" si="88"/>
        <v>-3.5912625034319134E-2</v>
      </c>
      <c r="O501" s="15">
        <f t="shared" ca="1" si="97"/>
        <v>2.5113664814987375</v>
      </c>
      <c r="P501" s="15">
        <f t="shared" ca="1" si="96"/>
        <v>2.5113664806148428</v>
      </c>
      <c r="Q501" s="15">
        <v>0</v>
      </c>
      <c r="R501" s="15">
        <f t="shared" ca="1" si="89"/>
        <v>2.5113664806148428</v>
      </c>
      <c r="S501" s="15">
        <f t="shared" ca="1" si="98"/>
        <v>10.032685940990072</v>
      </c>
      <c r="T501" s="15">
        <f t="shared" ca="1" si="90"/>
        <v>3.2267000467326359E-3</v>
      </c>
      <c r="U501" s="15">
        <f t="shared" ca="1" si="91"/>
        <v>10.035912641036806</v>
      </c>
      <c r="V501" s="15">
        <f t="shared" ca="1" si="92"/>
        <v>10.035912625034319</v>
      </c>
      <c r="X501" s="15">
        <f t="shared" si="93"/>
        <v>10.5</v>
      </c>
      <c r="Y501" s="15">
        <f t="shared" si="94"/>
        <v>9.5</v>
      </c>
      <c r="Z501" s="15">
        <f t="shared" ca="1" si="95"/>
        <v>1</v>
      </c>
    </row>
    <row r="502" spans="12:26" x14ac:dyDescent="0.3">
      <c r="L502" s="15">
        <v>500</v>
      </c>
      <c r="M502" s="15">
        <f t="shared" si="87"/>
        <v>10</v>
      </c>
      <c r="N502" s="15">
        <f t="shared" ca="1" si="88"/>
        <v>-3.8723542829677271E-2</v>
      </c>
      <c r="O502" s="15">
        <f t="shared" ca="1" si="97"/>
        <v>2.5113664814987375</v>
      </c>
      <c r="P502" s="15">
        <f t="shared" ca="1" si="96"/>
        <v>2.5113664806148428</v>
      </c>
      <c r="Q502" s="15">
        <v>0</v>
      </c>
      <c r="R502" s="15">
        <f t="shared" ca="1" si="89"/>
        <v>2.5113664806148428</v>
      </c>
      <c r="S502" s="15">
        <f t="shared" ca="1" si="98"/>
        <v>10.034032754183258</v>
      </c>
      <c r="T502" s="15">
        <f t="shared" ca="1" si="90"/>
        <v>4.6907950372050136E-3</v>
      </c>
      <c r="U502" s="15">
        <f t="shared" ca="1" si="91"/>
        <v>10.038723549220462</v>
      </c>
      <c r="V502" s="15">
        <f t="shared" ca="1" si="92"/>
        <v>10.038723542829677</v>
      </c>
      <c r="X502" s="15">
        <f t="shared" si="93"/>
        <v>10.5</v>
      </c>
      <c r="Y502" s="15">
        <f t="shared" si="94"/>
        <v>9.5</v>
      </c>
      <c r="Z502" s="15">
        <f t="shared" ca="1" si="95"/>
        <v>1</v>
      </c>
    </row>
    <row r="503" spans="12:26" x14ac:dyDescent="0.3">
      <c r="L503" s="15">
        <v>501</v>
      </c>
      <c r="M503" s="15">
        <f t="shared" si="87"/>
        <v>10</v>
      </c>
      <c r="N503" s="15">
        <f t="shared" ca="1" si="88"/>
        <v>-3.9213418504040476E-2</v>
      </c>
      <c r="O503" s="15">
        <f t="shared" ca="1" si="97"/>
        <v>2.5036118980179443</v>
      </c>
      <c r="P503" s="15">
        <f t="shared" ca="1" si="96"/>
        <v>2.5036118930446944</v>
      </c>
      <c r="Q503" s="15">
        <v>0</v>
      </c>
      <c r="R503" s="15">
        <f t="shared" ca="1" si="89"/>
        <v>2.5036118930446944</v>
      </c>
      <c r="S503" s="15">
        <f t="shared" ca="1" si="98"/>
        <v>10.035299585092041</v>
      </c>
      <c r="T503" s="15">
        <f t="shared" ca="1" si="90"/>
        <v>3.9138465635249302E-3</v>
      </c>
      <c r="U503" s="15">
        <f t="shared" ca="1" si="91"/>
        <v>10.039213431655567</v>
      </c>
      <c r="V503" s="15">
        <f t="shared" ca="1" si="92"/>
        <v>10.03921341850404</v>
      </c>
      <c r="X503" s="15">
        <f t="shared" si="93"/>
        <v>10.5</v>
      </c>
      <c r="Y503" s="15">
        <f t="shared" si="94"/>
        <v>9.5</v>
      </c>
      <c r="Z503" s="15">
        <f t="shared" ca="1" si="95"/>
        <v>1</v>
      </c>
    </row>
    <row r="504" spans="12:26" x14ac:dyDescent="0.3">
      <c r="L504" s="15">
        <v>502</v>
      </c>
      <c r="M504" s="15">
        <f t="shared" si="87"/>
        <v>10</v>
      </c>
      <c r="N504" s="15">
        <f t="shared" ca="1" si="88"/>
        <v>-4.607775482490517E-2</v>
      </c>
      <c r="O504" s="15">
        <f t="shared" ca="1" si="97"/>
        <v>2.5036118980179443</v>
      </c>
      <c r="P504" s="15">
        <f t="shared" ca="1" si="96"/>
        <v>2.5036118930446944</v>
      </c>
      <c r="Q504" s="15">
        <v>0</v>
      </c>
      <c r="R504" s="15">
        <f t="shared" ca="1" si="89"/>
        <v>2.5036118930446944</v>
      </c>
      <c r="S504" s="15">
        <f t="shared" ca="1" si="98"/>
        <v>10.03655298968801</v>
      </c>
      <c r="T504" s="15">
        <f t="shared" ca="1" si="90"/>
        <v>9.5247800903123254E-3</v>
      </c>
      <c r="U504" s="15">
        <f t="shared" ca="1" si="91"/>
        <v>10.046077769778323</v>
      </c>
      <c r="V504" s="15">
        <f t="shared" ca="1" si="92"/>
        <v>10.046077754824905</v>
      </c>
      <c r="X504" s="15">
        <f t="shared" si="93"/>
        <v>10.5</v>
      </c>
      <c r="Y504" s="15">
        <f t="shared" si="94"/>
        <v>9.5</v>
      </c>
      <c r="Z504" s="15">
        <f t="shared" ca="1" si="95"/>
        <v>1</v>
      </c>
    </row>
    <row r="505" spans="12:26" x14ac:dyDescent="0.3">
      <c r="L505" s="15">
        <v>503</v>
      </c>
      <c r="M505" s="15">
        <f t="shared" si="87"/>
        <v>10</v>
      </c>
      <c r="N505" s="15">
        <f t="shared" ca="1" si="88"/>
        <v>-3.8367218812547677E-2</v>
      </c>
      <c r="O505" s="15">
        <f t="shared" ca="1" si="97"/>
        <v>2.5036118980179443</v>
      </c>
      <c r="P505" s="15">
        <f t="shared" ca="1" si="96"/>
        <v>2.5036118930446944</v>
      </c>
      <c r="Q505" s="15">
        <v>0</v>
      </c>
      <c r="R505" s="15">
        <f t="shared" ca="1" si="89"/>
        <v>2.5036118930446944</v>
      </c>
      <c r="S505" s="15">
        <f t="shared" ca="1" si="98"/>
        <v>10.037789370842217</v>
      </c>
      <c r="T505" s="15">
        <f t="shared" ca="1" si="90"/>
        <v>5.7784998327865551E-4</v>
      </c>
      <c r="U505" s="15">
        <f t="shared" ca="1" si="91"/>
        <v>10.038367220825496</v>
      </c>
      <c r="V505" s="15">
        <f t="shared" ca="1" si="92"/>
        <v>10.038367218812548</v>
      </c>
      <c r="X505" s="15">
        <f t="shared" si="93"/>
        <v>10.5</v>
      </c>
      <c r="Y505" s="15">
        <f t="shared" si="94"/>
        <v>9.5</v>
      </c>
      <c r="Z505" s="15">
        <f t="shared" ca="1" si="95"/>
        <v>1</v>
      </c>
    </row>
    <row r="506" spans="12:26" x14ac:dyDescent="0.3">
      <c r="L506" s="15">
        <v>504</v>
      </c>
      <c r="M506" s="15">
        <f t="shared" si="87"/>
        <v>10</v>
      </c>
      <c r="N506" s="15">
        <f t="shared" ca="1" si="88"/>
        <v>-4.3314869991345262E-2</v>
      </c>
      <c r="O506" s="15">
        <f t="shared" ca="1" si="97"/>
        <v>2.5042372754458757</v>
      </c>
      <c r="P506" s="15">
        <f t="shared" ca="1" si="96"/>
        <v>2.5042372528706296</v>
      </c>
      <c r="Q506" s="15">
        <v>0</v>
      </c>
      <c r="R506" s="15">
        <f t="shared" ca="1" si="89"/>
        <v>2.5042372528706296</v>
      </c>
      <c r="S506" s="15">
        <f t="shared" ca="1" si="98"/>
        <v>10.038946206251422</v>
      </c>
      <c r="T506" s="15">
        <f t="shared" ca="1" si="90"/>
        <v>4.3686855363809099E-3</v>
      </c>
      <c r="U506" s="15">
        <f t="shared" ca="1" si="91"/>
        <v>10.043314891787803</v>
      </c>
      <c r="V506" s="15">
        <f t="shared" ca="1" si="92"/>
        <v>10.043314869991345</v>
      </c>
      <c r="X506" s="15">
        <f t="shared" si="93"/>
        <v>10.5</v>
      </c>
      <c r="Y506" s="15">
        <f t="shared" si="94"/>
        <v>9.5</v>
      </c>
      <c r="Z506" s="15">
        <f t="shared" ca="1" si="95"/>
        <v>1</v>
      </c>
    </row>
    <row r="507" spans="12:26" x14ac:dyDescent="0.3">
      <c r="L507" s="15">
        <v>505</v>
      </c>
      <c r="M507" s="15">
        <f t="shared" si="87"/>
        <v>10</v>
      </c>
      <c r="N507" s="15">
        <f t="shared" ca="1" si="88"/>
        <v>-4.4157530657052746E-2</v>
      </c>
      <c r="O507" s="15">
        <f t="shared" ca="1" si="97"/>
        <v>2.5042372754458757</v>
      </c>
      <c r="P507" s="15">
        <f t="shared" ca="1" si="96"/>
        <v>2.5042372528706296</v>
      </c>
      <c r="Q507" s="15">
        <v>0</v>
      </c>
      <c r="R507" s="15">
        <f t="shared" ca="1" si="89"/>
        <v>2.5042372528706296</v>
      </c>
      <c r="S507" s="15">
        <f t="shared" ca="1" si="98"/>
        <v>10.039971876697789</v>
      </c>
      <c r="T507" s="15">
        <f t="shared" ca="1" si="90"/>
        <v>4.1856747392588767E-3</v>
      </c>
      <c r="U507" s="15">
        <f t="shared" ca="1" si="91"/>
        <v>10.044157551437049</v>
      </c>
      <c r="V507" s="15">
        <f t="shared" ca="1" si="92"/>
        <v>10.044157530657053</v>
      </c>
      <c r="X507" s="15">
        <f t="shared" si="93"/>
        <v>10.5</v>
      </c>
      <c r="Y507" s="15">
        <f t="shared" si="94"/>
        <v>9.5</v>
      </c>
      <c r="Z507" s="15">
        <f t="shared" ca="1" si="95"/>
        <v>1</v>
      </c>
    </row>
    <row r="508" spans="12:26" x14ac:dyDescent="0.3">
      <c r="L508" s="15">
        <v>506</v>
      </c>
      <c r="M508" s="15">
        <f t="shared" si="87"/>
        <v>10</v>
      </c>
      <c r="N508" s="15">
        <f t="shared" ca="1" si="88"/>
        <v>-4.9062410846600457E-2</v>
      </c>
      <c r="O508" s="15">
        <f t="shared" ca="1" si="97"/>
        <v>2.5042372754458757</v>
      </c>
      <c r="P508" s="15">
        <f t="shared" ca="1" si="96"/>
        <v>2.5042372528706296</v>
      </c>
      <c r="Q508" s="15">
        <v>0</v>
      </c>
      <c r="R508" s="15">
        <f t="shared" ca="1" si="89"/>
        <v>2.5042372528706296</v>
      </c>
      <c r="S508" s="15">
        <f t="shared" ca="1" si="98"/>
        <v>10.040878693572099</v>
      </c>
      <c r="T508" s="15">
        <f t="shared" ca="1" si="90"/>
        <v>8.1837235270334364E-3</v>
      </c>
      <c r="U508" s="15">
        <f t="shared" ca="1" si="91"/>
        <v>10.049062417099131</v>
      </c>
      <c r="V508" s="15">
        <f t="shared" ca="1" si="92"/>
        <v>10.0490624108466</v>
      </c>
      <c r="X508" s="15">
        <f t="shared" si="93"/>
        <v>10.5</v>
      </c>
      <c r="Y508" s="15">
        <f t="shared" si="94"/>
        <v>9.5</v>
      </c>
      <c r="Z508" s="15">
        <f t="shared" ca="1" si="95"/>
        <v>1</v>
      </c>
    </row>
    <row r="509" spans="12:26" x14ac:dyDescent="0.3">
      <c r="L509" s="15">
        <v>507</v>
      </c>
      <c r="M509" s="15">
        <f t="shared" si="87"/>
        <v>10</v>
      </c>
      <c r="N509" s="15">
        <f t="shared" ca="1" si="88"/>
        <v>-5.0816044688879458E-2</v>
      </c>
      <c r="O509" s="15">
        <f t="shared" ca="1" si="97"/>
        <v>2.49992303563914</v>
      </c>
      <c r="P509" s="15">
        <f t="shared" ca="1" si="96"/>
        <v>2.4999230174580411</v>
      </c>
      <c r="Q509" s="15">
        <v>0</v>
      </c>
      <c r="R509" s="15">
        <f t="shared" ca="1" si="89"/>
        <v>2.4999230174580411</v>
      </c>
      <c r="S509" s="15">
        <f t="shared" ca="1" si="98"/>
        <v>10.041638538016016</v>
      </c>
      <c r="T509" s="15">
        <f t="shared" ca="1" si="90"/>
        <v>9.1775290333907539E-3</v>
      </c>
      <c r="U509" s="15">
        <f t="shared" ca="1" si="91"/>
        <v>10.050816067049407</v>
      </c>
      <c r="V509" s="15">
        <f t="shared" ca="1" si="92"/>
        <v>10.050816044688879</v>
      </c>
      <c r="X509" s="15">
        <f t="shared" si="93"/>
        <v>10.5</v>
      </c>
      <c r="Y509" s="15">
        <f t="shared" si="94"/>
        <v>9.5</v>
      </c>
      <c r="Z509" s="15">
        <f t="shared" ca="1" si="95"/>
        <v>1</v>
      </c>
    </row>
    <row r="510" spans="12:26" x14ac:dyDescent="0.3">
      <c r="L510" s="15">
        <v>508</v>
      </c>
      <c r="M510" s="15">
        <f t="shared" si="87"/>
        <v>10</v>
      </c>
      <c r="N510" s="15">
        <f t="shared" ca="1" si="88"/>
        <v>-4.4637115216961121E-2</v>
      </c>
      <c r="O510" s="15">
        <f t="shared" ca="1" si="97"/>
        <v>2.49992303563914</v>
      </c>
      <c r="P510" s="15">
        <f t="shared" ca="1" si="96"/>
        <v>2.4999230174580411</v>
      </c>
      <c r="Q510" s="15">
        <v>0</v>
      </c>
      <c r="R510" s="15">
        <f t="shared" ca="1" si="89"/>
        <v>2.4999230174580411</v>
      </c>
      <c r="S510" s="15">
        <f t="shared" ca="1" si="98"/>
        <v>10.04222922388521</v>
      </c>
      <c r="T510" s="15">
        <f t="shared" ca="1" si="90"/>
        <v>2.4079091995403367E-3</v>
      </c>
      <c r="U510" s="15">
        <f t="shared" ca="1" si="91"/>
        <v>10.04463713308475</v>
      </c>
      <c r="V510" s="15">
        <f t="shared" ca="1" si="92"/>
        <v>10.044637115216961</v>
      </c>
      <c r="X510" s="15">
        <f t="shared" si="93"/>
        <v>10.5</v>
      </c>
      <c r="Y510" s="15">
        <f t="shared" si="94"/>
        <v>9.5</v>
      </c>
      <c r="Z510" s="15">
        <f t="shared" ca="1" si="95"/>
        <v>1</v>
      </c>
    </row>
    <row r="511" spans="12:26" x14ac:dyDescent="0.3">
      <c r="L511" s="15">
        <v>509</v>
      </c>
      <c r="M511" s="15">
        <f t="shared" si="87"/>
        <v>10</v>
      </c>
      <c r="N511" s="15">
        <f t="shared" ca="1" si="88"/>
        <v>-5.1743292727447709E-2</v>
      </c>
      <c r="O511" s="15">
        <f t="shared" ca="1" si="97"/>
        <v>2.49992303563914</v>
      </c>
      <c r="P511" s="15">
        <f t="shared" ca="1" si="96"/>
        <v>2.4999230174580411</v>
      </c>
      <c r="Q511" s="15">
        <v>0</v>
      </c>
      <c r="R511" s="15">
        <f t="shared" ca="1" si="89"/>
        <v>2.4999230174580411</v>
      </c>
      <c r="S511" s="15">
        <f t="shared" ca="1" si="98"/>
        <v>10.042669725149381</v>
      </c>
      <c r="T511" s="15">
        <f t="shared" ca="1" si="90"/>
        <v>9.073578737089711E-3</v>
      </c>
      <c r="U511" s="15">
        <f t="shared" ca="1" si="91"/>
        <v>10.05174330388647</v>
      </c>
      <c r="V511" s="15">
        <f t="shared" ca="1" si="92"/>
        <v>10.051743292727448</v>
      </c>
      <c r="X511" s="15">
        <f t="shared" si="93"/>
        <v>10.5</v>
      </c>
      <c r="Y511" s="15">
        <f t="shared" si="94"/>
        <v>9.5</v>
      </c>
      <c r="Z511" s="15">
        <f t="shared" ca="1" si="95"/>
        <v>1</v>
      </c>
    </row>
    <row r="512" spans="12:26" x14ac:dyDescent="0.3">
      <c r="L512" s="15">
        <v>510</v>
      </c>
      <c r="M512" s="15">
        <f t="shared" si="87"/>
        <v>10</v>
      </c>
      <c r="N512" s="15">
        <f t="shared" ca="1" si="88"/>
        <v>-5.2234192856641215E-2</v>
      </c>
      <c r="O512" s="15">
        <f t="shared" ca="1" si="97"/>
        <v>2.5023058189181775</v>
      </c>
      <c r="P512" s="15">
        <f t="shared" ca="1" si="96"/>
        <v>2.5023058062657495</v>
      </c>
      <c r="Q512" s="15">
        <v>0</v>
      </c>
      <c r="R512" s="15">
        <f t="shared" ca="1" si="89"/>
        <v>2.5023058062657495</v>
      </c>
      <c r="S512" s="15">
        <f t="shared" ca="1" si="98"/>
        <v>10.043025065969385</v>
      </c>
      <c r="T512" s="15">
        <f t="shared" ca="1" si="90"/>
        <v>9.209149965294549E-3</v>
      </c>
      <c r="U512" s="15">
        <f ca="1">S512+T512</f>
        <v>10.052234215934678</v>
      </c>
      <c r="V512" s="15">
        <f t="shared" ca="1" si="92"/>
        <v>10.052234192856641</v>
      </c>
      <c r="X512" s="15">
        <f t="shared" si="93"/>
        <v>10.5</v>
      </c>
      <c r="Y512" s="15">
        <f t="shared" si="94"/>
        <v>9.5</v>
      </c>
      <c r="Z512" s="15">
        <f t="shared" ca="1" si="95"/>
        <v>1</v>
      </c>
    </row>
    <row r="513" spans="12:26" x14ac:dyDescent="0.3">
      <c r="L513" s="15">
        <v>511</v>
      </c>
      <c r="M513" s="15">
        <f t="shared" si="87"/>
        <v>10</v>
      </c>
      <c r="N513" s="15">
        <f t="shared" ca="1" si="88"/>
        <v>-4.690958886568275E-2</v>
      </c>
      <c r="O513" s="15">
        <f t="shared" ca="1" si="97"/>
        <v>2.5023058189181775</v>
      </c>
      <c r="P513" s="15">
        <f t="shared" ca="1" si="96"/>
        <v>2.5023058062657495</v>
      </c>
      <c r="Q513" s="15">
        <v>0</v>
      </c>
      <c r="R513" s="15">
        <f t="shared" ca="1" si="89"/>
        <v>2.5023058062657495</v>
      </c>
      <c r="S513" s="15">
        <f t="shared" ca="1" si="98"/>
        <v>10.043350261025305</v>
      </c>
      <c r="T513" s="15">
        <f t="shared" ca="1" si="90"/>
        <v>3.5593412525804936E-3</v>
      </c>
      <c r="U513" s="15">
        <f t="shared" ca="1" si="91"/>
        <v>10.046909602277886</v>
      </c>
      <c r="V513" s="15">
        <f t="shared" ca="1" si="92"/>
        <v>10.046909588865683</v>
      </c>
      <c r="X513" s="15">
        <f t="shared" si="93"/>
        <v>10.5</v>
      </c>
      <c r="Y513" s="15">
        <f t="shared" si="94"/>
        <v>9.5</v>
      </c>
      <c r="Z513" s="15">
        <f t="shared" ca="1" si="95"/>
        <v>1</v>
      </c>
    </row>
    <row r="514" spans="12:26" x14ac:dyDescent="0.3">
      <c r="L514" s="15">
        <v>512</v>
      </c>
      <c r="M514" s="15">
        <f t="shared" si="87"/>
        <v>10</v>
      </c>
      <c r="N514" s="15">
        <f t="shared" ca="1" si="88"/>
        <v>-4.6886468782762591E-2</v>
      </c>
      <c r="O514" s="15">
        <f t="shared" ca="1" si="97"/>
        <v>2.5023058189181775</v>
      </c>
      <c r="P514" s="15">
        <f t="shared" ca="1" si="96"/>
        <v>2.5023058062657495</v>
      </c>
      <c r="Q514" s="15">
        <v>0</v>
      </c>
      <c r="R514" s="15">
        <f t="shared" ca="1" si="89"/>
        <v>2.5023058062657495</v>
      </c>
      <c r="S514" s="15">
        <f t="shared" ca="1" si="98"/>
        <v>10.043647761456354</v>
      </c>
      <c r="T514" s="15">
        <f t="shared" ca="1" si="90"/>
        <v>3.2387242499287185E-3</v>
      </c>
      <c r="U514" s="15">
        <f t="shared" ca="1" si="91"/>
        <v>10.046886485706283</v>
      </c>
      <c r="V514" s="15">
        <f t="shared" ca="1" si="92"/>
        <v>10.046886468782763</v>
      </c>
      <c r="X514" s="15">
        <f t="shared" si="93"/>
        <v>10.5</v>
      </c>
      <c r="Y514" s="15">
        <f t="shared" si="94"/>
        <v>9.5</v>
      </c>
      <c r="Z514" s="15">
        <f t="shared" ca="1" si="95"/>
        <v>1</v>
      </c>
    </row>
    <row r="515" spans="12:26" x14ac:dyDescent="0.3">
      <c r="L515" s="15">
        <v>513</v>
      </c>
      <c r="M515" s="15">
        <f t="shared" ref="M515:M578" si="99">IF(L515&lt;$D$16,$D$13,IF(L515&lt;$E$16,$E$13,$F$13))</f>
        <v>10</v>
      </c>
      <c r="N515" s="15">
        <f t="shared" ref="N515:N578" ca="1" si="100">M515-V515</f>
        <v>-5.2970449918175788E-2</v>
      </c>
      <c r="O515" s="15">
        <f t="shared" ca="1" si="97"/>
        <v>2.5015495089999575</v>
      </c>
      <c r="P515" s="15">
        <f t="shared" ca="1" si="96"/>
        <v>2.5015495024857923</v>
      </c>
      <c r="Q515" s="15">
        <v>0</v>
      </c>
      <c r="R515" s="15">
        <f t="shared" ref="R515:R578" ca="1" si="101">P515+Q515</f>
        <v>2.5015495024857923</v>
      </c>
      <c r="S515" s="15">
        <f t="shared" ca="1" si="98"/>
        <v>10.043867299994698</v>
      </c>
      <c r="T515" s="15">
        <f t="shared" ref="T515:T578" ca="1" si="102">RAND()*$G$12</f>
        <v>9.1031516226601772E-3</v>
      </c>
      <c r="U515" s="15">
        <f t="shared" ref="U515:U578" ca="1" si="103">S515+T515</f>
        <v>10.052970451617359</v>
      </c>
      <c r="V515" s="15">
        <f t="shared" ref="V515:V578" ca="1" si="104">INT((2^$J$12-1)*U515/100)/(2^$J$12-1)*100</f>
        <v>10.052970449918176</v>
      </c>
      <c r="X515" s="15">
        <f t="shared" ref="X515:X578" si="105">M515 * 1.05</f>
        <v>10.5</v>
      </c>
      <c r="Y515" s="15">
        <f t="shared" ref="Y515:Y578" si="106">M515 * 0.95</f>
        <v>9.5</v>
      </c>
      <c r="Z515" s="15">
        <f t="shared" ref="Z515:Z578" ca="1" si="107">IF(AND(V515 &lt;= X515, V515 &gt;= Y515), 1, 0)</f>
        <v>1</v>
      </c>
    </row>
    <row r="516" spans="12:26" x14ac:dyDescent="0.3">
      <c r="L516" s="15">
        <v>514</v>
      </c>
      <c r="M516" s="15">
        <f t="shared" si="99"/>
        <v>10</v>
      </c>
      <c r="N516" s="15">
        <f t="shared" ca="1" si="100"/>
        <v>-4.7870108403236244E-2</v>
      </c>
      <c r="O516" s="15">
        <f t="shared" ca="1" si="97"/>
        <v>2.5015495089999575</v>
      </c>
      <c r="P516" s="15">
        <f t="shared" ca="1" si="96"/>
        <v>2.5015495024857923</v>
      </c>
      <c r="Q516" s="15">
        <v>0</v>
      </c>
      <c r="R516" s="15">
        <f t="shared" ca="1" si="101"/>
        <v>2.5015495024857923</v>
      </c>
      <c r="S516" s="15">
        <f t="shared" ca="1" si="98"/>
        <v>10.043967643588896</v>
      </c>
      <c r="T516" s="15">
        <f t="shared" ca="1" si="102"/>
        <v>3.9024769833437001E-3</v>
      </c>
      <c r="U516" s="15">
        <f t="shared" ca="1" si="103"/>
        <v>10.04787012057224</v>
      </c>
      <c r="V516" s="15">
        <f t="shared" ca="1" si="104"/>
        <v>10.047870108403236</v>
      </c>
      <c r="X516" s="15">
        <f t="shared" si="105"/>
        <v>10.5</v>
      </c>
      <c r="Y516" s="15">
        <f t="shared" si="106"/>
        <v>9.5</v>
      </c>
      <c r="Z516" s="15">
        <f t="shared" ca="1" si="107"/>
        <v>1</v>
      </c>
    </row>
    <row r="517" spans="12:26" x14ac:dyDescent="0.3">
      <c r="L517" s="15">
        <v>515</v>
      </c>
      <c r="M517" s="15">
        <f t="shared" si="99"/>
        <v>10</v>
      </c>
      <c r="N517" s="15">
        <f t="shared" ca="1" si="100"/>
        <v>-4.7230103529809497E-2</v>
      </c>
      <c r="O517" s="15">
        <f t="shared" ca="1" si="97"/>
        <v>2.5015495089999575</v>
      </c>
      <c r="P517" s="15">
        <f t="shared" ca="1" si="96"/>
        <v>2.5015495024857923</v>
      </c>
      <c r="Q517" s="15">
        <v>0</v>
      </c>
      <c r="R517" s="15">
        <f t="shared" ca="1" si="101"/>
        <v>2.5015495024857923</v>
      </c>
      <c r="S517" s="15">
        <f t="shared" ca="1" si="98"/>
        <v>10.0439634979739</v>
      </c>
      <c r="T517" s="15">
        <f t="shared" ca="1" si="102"/>
        <v>3.2666191885495134E-3</v>
      </c>
      <c r="U517" s="15">
        <f t="shared" ca="1" si="103"/>
        <v>10.047230117162449</v>
      </c>
      <c r="V517" s="15">
        <f t="shared" ca="1" si="104"/>
        <v>10.047230103529809</v>
      </c>
      <c r="X517" s="15">
        <f t="shared" si="105"/>
        <v>10.5</v>
      </c>
      <c r="Y517" s="15">
        <f t="shared" si="106"/>
        <v>9.5</v>
      </c>
      <c r="Z517" s="15">
        <f t="shared" ca="1" si="107"/>
        <v>1</v>
      </c>
    </row>
    <row r="518" spans="12:26" x14ac:dyDescent="0.3">
      <c r="L518" s="15">
        <v>516</v>
      </c>
      <c r="M518" s="15">
        <f t="shared" si="99"/>
        <v>10</v>
      </c>
      <c r="N518" s="15">
        <f t="shared" ca="1" si="100"/>
        <v>-4.7599116817023557E-2</v>
      </c>
      <c r="O518" s="15">
        <f t="shared" ca="1" si="97"/>
        <v>2.5051934927641955</v>
      </c>
      <c r="P518" s="15">
        <f t="shared" ca="1" si="96"/>
        <v>2.505193488324339</v>
      </c>
      <c r="Q518" s="15">
        <v>0</v>
      </c>
      <c r="R518" s="15">
        <f t="shared" ca="1" si="101"/>
        <v>2.505193488324339</v>
      </c>
      <c r="S518" s="15">
        <f t="shared" ca="1" si="98"/>
        <v>10.04387817868783</v>
      </c>
      <c r="T518" s="15">
        <f t="shared" ca="1" si="102"/>
        <v>3.7209453792870317E-3</v>
      </c>
      <c r="U518" s="15">
        <f t="shared" ca="1" si="103"/>
        <v>10.047599124067117</v>
      </c>
      <c r="V518" s="15">
        <f t="shared" ca="1" si="104"/>
        <v>10.047599116817024</v>
      </c>
      <c r="X518" s="15">
        <f t="shared" si="105"/>
        <v>10.5</v>
      </c>
      <c r="Y518" s="15">
        <f t="shared" si="106"/>
        <v>9.5</v>
      </c>
      <c r="Z518" s="15">
        <f t="shared" ca="1" si="107"/>
        <v>1</v>
      </c>
    </row>
    <row r="519" spans="12:26" x14ac:dyDescent="0.3">
      <c r="L519" s="15">
        <v>517</v>
      </c>
      <c r="M519" s="15">
        <f t="shared" si="99"/>
        <v>10</v>
      </c>
      <c r="N519" s="15">
        <f t="shared" ca="1" si="100"/>
        <v>-5.017792574366986E-2</v>
      </c>
      <c r="O519" s="15">
        <f t="shared" ca="1" si="97"/>
        <v>2.5051934927641955</v>
      </c>
      <c r="P519" s="15">
        <f t="shared" ca="1" si="96"/>
        <v>2.505193488324339</v>
      </c>
      <c r="Q519" s="15">
        <v>0</v>
      </c>
      <c r="R519" s="15">
        <f t="shared" ca="1" si="101"/>
        <v>2.505193488324339</v>
      </c>
      <c r="S519" s="15">
        <f t="shared" ca="1" si="98"/>
        <v>10.043731941078283</v>
      </c>
      <c r="T519" s="15">
        <f t="shared" ca="1" si="102"/>
        <v>6.4459928786677473E-3</v>
      </c>
      <c r="U519" s="15">
        <f t="shared" ca="1" si="103"/>
        <v>10.050177933956951</v>
      </c>
      <c r="V519" s="15">
        <f t="shared" ca="1" si="104"/>
        <v>10.05017792574367</v>
      </c>
      <c r="X519" s="15">
        <f t="shared" si="105"/>
        <v>10.5</v>
      </c>
      <c r="Y519" s="15">
        <f t="shared" si="106"/>
        <v>9.5</v>
      </c>
      <c r="Z519" s="15">
        <f t="shared" ca="1" si="107"/>
        <v>1</v>
      </c>
    </row>
    <row r="520" spans="12:26" x14ac:dyDescent="0.3">
      <c r="L520" s="15">
        <v>518</v>
      </c>
      <c r="M520" s="15">
        <f t="shared" si="99"/>
        <v>10</v>
      </c>
      <c r="N520" s="15">
        <f t="shared" ca="1" si="100"/>
        <v>-4.5120844162330087E-2</v>
      </c>
      <c r="O520" s="15">
        <f t="shared" ca="1" si="97"/>
        <v>2.5051934927641955</v>
      </c>
      <c r="P520" s="15">
        <f t="shared" ca="1" si="96"/>
        <v>2.505193488324339</v>
      </c>
      <c r="Q520" s="15">
        <v>0</v>
      </c>
      <c r="R520" s="15">
        <f t="shared" ca="1" si="101"/>
        <v>2.505193488324339</v>
      </c>
      <c r="S520" s="15">
        <f t="shared" ca="1" si="98"/>
        <v>10.043533136411897</v>
      </c>
      <c r="T520" s="15">
        <f t="shared" ca="1" si="102"/>
        <v>1.587726721407513E-3</v>
      </c>
      <c r="U520" s="15">
        <f t="shared" ca="1" si="103"/>
        <v>10.045120863133304</v>
      </c>
      <c r="V520" s="15">
        <f t="shared" ca="1" si="104"/>
        <v>10.04512084416233</v>
      </c>
      <c r="X520" s="15">
        <f t="shared" si="105"/>
        <v>10.5</v>
      </c>
      <c r="Y520" s="15">
        <f t="shared" si="106"/>
        <v>9.5</v>
      </c>
      <c r="Z520" s="15">
        <f t="shared" ca="1" si="107"/>
        <v>1</v>
      </c>
    </row>
    <row r="521" spans="12:26" x14ac:dyDescent="0.3">
      <c r="L521" s="15">
        <v>519</v>
      </c>
      <c r="M521" s="15">
        <f t="shared" si="99"/>
        <v>10</v>
      </c>
      <c r="N521" s="15">
        <f t="shared" ca="1" si="100"/>
        <v>-4.5114953547045644E-2</v>
      </c>
      <c r="O521" s="15">
        <f t="shared" ca="1" si="97"/>
        <v>2.5029980566541492</v>
      </c>
      <c r="P521" s="15">
        <f t="shared" ca="1" si="96"/>
        <v>2.502998035052558</v>
      </c>
      <c r="Q521" s="15">
        <v>0</v>
      </c>
      <c r="R521" s="15">
        <f t="shared" ca="1" si="101"/>
        <v>2.502998035052558</v>
      </c>
      <c r="S521" s="15">
        <f t="shared" ca="1" si="98"/>
        <v>10.043329397660846</v>
      </c>
      <c r="T521" s="15">
        <f t="shared" ca="1" si="102"/>
        <v>1.7855560787017678E-3</v>
      </c>
      <c r="U521" s="15">
        <f t="shared" ca="1" si="103"/>
        <v>10.045114953739548</v>
      </c>
      <c r="V521" s="15">
        <f t="shared" ca="1" si="104"/>
        <v>10.045114953547046</v>
      </c>
      <c r="X521" s="15">
        <f t="shared" si="105"/>
        <v>10.5</v>
      </c>
      <c r="Y521" s="15">
        <f t="shared" si="106"/>
        <v>9.5</v>
      </c>
      <c r="Z521" s="15">
        <f t="shared" ca="1" si="107"/>
        <v>1</v>
      </c>
    </row>
    <row r="522" spans="12:26" x14ac:dyDescent="0.3">
      <c r="L522" s="15">
        <v>520</v>
      </c>
      <c r="M522" s="15">
        <f t="shared" si="99"/>
        <v>10</v>
      </c>
      <c r="N522" s="15">
        <f t="shared" ca="1" si="100"/>
        <v>-5.189423683376404E-2</v>
      </c>
      <c r="O522" s="15">
        <f t="shared" ca="1" si="97"/>
        <v>2.5029980566541492</v>
      </c>
      <c r="P522" s="15">
        <f t="shared" ca="1" si="96"/>
        <v>2.502998035052558</v>
      </c>
      <c r="Q522" s="15">
        <v>0</v>
      </c>
      <c r="R522" s="15">
        <f t="shared" ca="1" si="101"/>
        <v>2.502998035052558</v>
      </c>
      <c r="S522" s="15">
        <f t="shared" ca="1" si="98"/>
        <v>10.043160557394241</v>
      </c>
      <c r="T522" s="15">
        <f t="shared" ca="1" si="102"/>
        <v>8.7336938661664795E-3</v>
      </c>
      <c r="U522" s="15">
        <f t="shared" ca="1" si="103"/>
        <v>10.051894251260407</v>
      </c>
      <c r="V522" s="15">
        <f t="shared" ca="1" si="104"/>
        <v>10.051894236833764</v>
      </c>
      <c r="X522" s="15">
        <f t="shared" si="105"/>
        <v>10.5</v>
      </c>
      <c r="Y522" s="15">
        <f t="shared" si="106"/>
        <v>9.5</v>
      </c>
      <c r="Z522" s="15">
        <f t="shared" ca="1" si="107"/>
        <v>1</v>
      </c>
    </row>
    <row r="523" spans="12:26" x14ac:dyDescent="0.3">
      <c r="L523" s="15">
        <v>521</v>
      </c>
      <c r="M523" s="15">
        <f t="shared" si="99"/>
        <v>10</v>
      </c>
      <c r="N523" s="15">
        <f t="shared" ca="1" si="100"/>
        <v>-4.6010024390652049E-2</v>
      </c>
      <c r="O523" s="15">
        <f t="shared" ca="1" si="97"/>
        <v>2.5029980566541492</v>
      </c>
      <c r="P523" s="15">
        <f t="shared" ca="1" si="96"/>
        <v>2.502998035052558</v>
      </c>
      <c r="Q523" s="15">
        <v>0</v>
      </c>
      <c r="R523" s="15">
        <f t="shared" ca="1" si="101"/>
        <v>2.502998035052558</v>
      </c>
      <c r="S523" s="15">
        <f t="shared" ca="1" si="98"/>
        <v>10.043022899860858</v>
      </c>
      <c r="T523" s="15">
        <f t="shared" ca="1" si="102"/>
        <v>2.9871347586729268E-3</v>
      </c>
      <c r="U523" s="15">
        <f t="shared" ca="1" si="103"/>
        <v>10.046010034619531</v>
      </c>
      <c r="V523" s="15">
        <f t="shared" ca="1" si="104"/>
        <v>10.046010024390652</v>
      </c>
      <c r="X523" s="15">
        <f t="shared" si="105"/>
        <v>10.5</v>
      </c>
      <c r="Y523" s="15">
        <f t="shared" si="106"/>
        <v>9.5</v>
      </c>
      <c r="Z523" s="15">
        <f t="shared" ca="1" si="107"/>
        <v>1</v>
      </c>
    </row>
    <row r="524" spans="12:26" x14ac:dyDescent="0.3">
      <c r="L524" s="15">
        <v>522</v>
      </c>
      <c r="M524" s="15">
        <f t="shared" si="99"/>
        <v>10</v>
      </c>
      <c r="N524" s="15">
        <f t="shared" ca="1" si="100"/>
        <v>-5.2311632328740032E-2</v>
      </c>
      <c r="O524" s="15">
        <f t="shared" ca="1" si="97"/>
        <v>2.4949375973083874</v>
      </c>
      <c r="P524" s="15">
        <f t="shared" ca="1" si="96"/>
        <v>2.4949375778657705</v>
      </c>
      <c r="Q524" s="15">
        <v>0</v>
      </c>
      <c r="R524" s="15">
        <f t="shared" ca="1" si="101"/>
        <v>2.4949375778657705</v>
      </c>
      <c r="S524" s="15">
        <f t="shared" ca="1" si="98"/>
        <v>10.042845967426405</v>
      </c>
      <c r="T524" s="15">
        <f t="shared" ca="1" si="102"/>
        <v>9.4656875779528301E-3</v>
      </c>
      <c r="U524" s="15">
        <f t="shared" ca="1" si="103"/>
        <v>10.052311655004358</v>
      </c>
      <c r="V524" s="15">
        <f t="shared" ca="1" si="104"/>
        <v>10.05231163232874</v>
      </c>
      <c r="X524" s="15">
        <f t="shared" si="105"/>
        <v>10.5</v>
      </c>
      <c r="Y524" s="15">
        <f t="shared" si="106"/>
        <v>9.5</v>
      </c>
      <c r="Z524" s="15">
        <f t="shared" ca="1" si="107"/>
        <v>1</v>
      </c>
    </row>
    <row r="525" spans="12:26" x14ac:dyDescent="0.3">
      <c r="L525" s="15">
        <v>523</v>
      </c>
      <c r="M525" s="15">
        <f t="shared" si="99"/>
        <v>10</v>
      </c>
      <c r="N525" s="15">
        <f t="shared" ca="1" si="100"/>
        <v>-4.8782734677377704E-2</v>
      </c>
      <c r="O525" s="15">
        <f t="shared" ca="1" si="97"/>
        <v>2.4949375973083874</v>
      </c>
      <c r="P525" s="15">
        <f t="shared" ref="P525:P588" ca="1" si="108">INT((2^$J$12-1)*O525/100)/(2^$J$12-1)*100</f>
        <v>2.4949375778657705</v>
      </c>
      <c r="Q525" s="15">
        <v>0</v>
      </c>
      <c r="R525" s="15">
        <f t="shared" ca="1" si="101"/>
        <v>2.4949375778657705</v>
      </c>
      <c r="S525" s="15">
        <f t="shared" ca="1" si="98"/>
        <v>10.042571379957431</v>
      </c>
      <c r="T525" s="15">
        <f t="shared" ca="1" si="102"/>
        <v>6.2113696974930013E-3</v>
      </c>
      <c r="U525" s="15">
        <f t="shared" ca="1" si="103"/>
        <v>10.048782749654924</v>
      </c>
      <c r="V525" s="15">
        <f t="shared" ca="1" si="104"/>
        <v>10.048782734677378</v>
      </c>
      <c r="X525" s="15">
        <f t="shared" si="105"/>
        <v>10.5</v>
      </c>
      <c r="Y525" s="15">
        <f t="shared" si="106"/>
        <v>9.5</v>
      </c>
      <c r="Z525" s="15">
        <f t="shared" ca="1" si="107"/>
        <v>1</v>
      </c>
    </row>
    <row r="526" spans="12:26" x14ac:dyDescent="0.3">
      <c r="L526" s="15">
        <v>524</v>
      </c>
      <c r="M526" s="15">
        <f t="shared" si="99"/>
        <v>10</v>
      </c>
      <c r="N526" s="15">
        <f t="shared" ca="1" si="100"/>
        <v>-5.1140028529600201E-2</v>
      </c>
      <c r="O526" s="15">
        <f t="shared" ca="1" si="97"/>
        <v>2.4949375973083874</v>
      </c>
      <c r="P526" s="15">
        <f t="shared" ca="1" si="108"/>
        <v>2.4949375778657705</v>
      </c>
      <c r="Q526" s="15">
        <v>0</v>
      </c>
      <c r="R526" s="15">
        <f t="shared" ca="1" si="101"/>
        <v>2.4949375778657705</v>
      </c>
      <c r="S526" s="15">
        <f t="shared" ca="1" si="98"/>
        <v>10.042212694807802</v>
      </c>
      <c r="T526" s="15">
        <f t="shared" ca="1" si="102"/>
        <v>8.9273376425150573E-3</v>
      </c>
      <c r="U526" s="15">
        <f t="shared" ca="1" si="103"/>
        <v>10.051140032450316</v>
      </c>
      <c r="V526" s="15">
        <f t="shared" ca="1" si="104"/>
        <v>10.0511400285296</v>
      </c>
      <c r="X526" s="15">
        <f t="shared" si="105"/>
        <v>10.5</v>
      </c>
      <c r="Y526" s="15">
        <f t="shared" si="106"/>
        <v>9.5</v>
      </c>
      <c r="Z526" s="15">
        <f t="shared" ca="1" si="107"/>
        <v>1</v>
      </c>
    </row>
    <row r="527" spans="12:26" x14ac:dyDescent="0.3">
      <c r="L527" s="15">
        <v>525</v>
      </c>
      <c r="M527" s="15">
        <f t="shared" si="99"/>
        <v>10</v>
      </c>
      <c r="N527" s="15">
        <f t="shared" ca="1" si="100"/>
        <v>-4.2324664546718793E-2</v>
      </c>
      <c r="O527" s="15">
        <f t="shared" ca="1" si="97"/>
        <v>2.5061162830780574</v>
      </c>
      <c r="P527" s="15">
        <f t="shared" ca="1" si="108"/>
        <v>2.5061162660145473</v>
      </c>
      <c r="Q527" s="15">
        <v>0</v>
      </c>
      <c r="R527" s="15">
        <f t="shared" ca="1" si="101"/>
        <v>2.5061162660145473</v>
      </c>
      <c r="S527" s="15">
        <f t="shared" ca="1" si="98"/>
        <v>10.041787513836525</v>
      </c>
      <c r="T527" s="15">
        <f t="shared" ca="1" si="102"/>
        <v>5.3716318405180538E-4</v>
      </c>
      <c r="U527" s="15">
        <f t="shared" ca="1" si="103"/>
        <v>10.042324677020577</v>
      </c>
      <c r="V527" s="15">
        <f t="shared" ca="1" si="104"/>
        <v>10.042324664546719</v>
      </c>
      <c r="X527" s="15">
        <f t="shared" si="105"/>
        <v>10.5</v>
      </c>
      <c r="Y527" s="15">
        <f t="shared" si="106"/>
        <v>9.5</v>
      </c>
      <c r="Z527" s="15">
        <f t="shared" ca="1" si="107"/>
        <v>1</v>
      </c>
    </row>
    <row r="528" spans="12:26" x14ac:dyDescent="0.3">
      <c r="L528" s="15">
        <v>526</v>
      </c>
      <c r="M528" s="15">
        <f t="shared" si="99"/>
        <v>10</v>
      </c>
      <c r="N528" s="15">
        <f t="shared" ca="1" si="100"/>
        <v>-4.4280022858707468E-2</v>
      </c>
      <c r="O528" s="15">
        <f t="shared" ca="1" si="97"/>
        <v>2.5061162830780574</v>
      </c>
      <c r="P528" s="15">
        <f t="shared" ca="1" si="108"/>
        <v>2.5061162660145473</v>
      </c>
      <c r="Q528" s="15">
        <v>0</v>
      </c>
      <c r="R528" s="15">
        <f t="shared" ca="1" si="101"/>
        <v>2.5061162660145473</v>
      </c>
      <c r="S528" s="15">
        <f t="shared" ca="1" si="98"/>
        <v>10.041311246509839</v>
      </c>
      <c r="T528" s="15">
        <f t="shared" ca="1" si="102"/>
        <v>2.9687792595899268E-3</v>
      </c>
      <c r="U528" s="15">
        <f t="shared" ca="1" si="103"/>
        <v>10.044280025769428</v>
      </c>
      <c r="V528" s="15">
        <f t="shared" ca="1" si="104"/>
        <v>10.044280022858707</v>
      </c>
      <c r="X528" s="15">
        <f t="shared" si="105"/>
        <v>10.5</v>
      </c>
      <c r="Y528" s="15">
        <f t="shared" si="106"/>
        <v>9.5</v>
      </c>
      <c r="Z528" s="15">
        <f t="shared" ca="1" si="107"/>
        <v>1</v>
      </c>
    </row>
    <row r="529" spans="12:26" x14ac:dyDescent="0.3">
      <c r="L529" s="15">
        <v>527</v>
      </c>
      <c r="M529" s="15">
        <f t="shared" si="99"/>
        <v>10</v>
      </c>
      <c r="N529" s="15">
        <f t="shared" ca="1" si="100"/>
        <v>-4.2225664957014075E-2</v>
      </c>
      <c r="O529" s="15">
        <f t="shared" ca="1" si="97"/>
        <v>2.5061162830780574</v>
      </c>
      <c r="P529" s="15">
        <f t="shared" ca="1" si="108"/>
        <v>2.5061162660145473</v>
      </c>
      <c r="Q529" s="15">
        <v>0</v>
      </c>
      <c r="R529" s="15">
        <f t="shared" ca="1" si="101"/>
        <v>2.5061162660145473</v>
      </c>
      <c r="S529" s="15">
        <f t="shared" ca="1" si="98"/>
        <v>10.040792391959302</v>
      </c>
      <c r="T529" s="15">
        <f t="shared" ca="1" si="102"/>
        <v>1.4332885106029137E-3</v>
      </c>
      <c r="U529" s="15">
        <f t="shared" ca="1" si="103"/>
        <v>10.042225680469905</v>
      </c>
      <c r="V529" s="15">
        <f t="shared" ca="1" si="104"/>
        <v>10.042225664957014</v>
      </c>
      <c r="X529" s="15">
        <f t="shared" si="105"/>
        <v>10.5</v>
      </c>
      <c r="Y529" s="15">
        <f t="shared" si="106"/>
        <v>9.5</v>
      </c>
      <c r="Z529" s="15">
        <f t="shared" ca="1" si="107"/>
        <v>1</v>
      </c>
    </row>
    <row r="530" spans="12:26" x14ac:dyDescent="0.3">
      <c r="L530" s="15">
        <v>528</v>
      </c>
      <c r="M530" s="15">
        <f t="shared" si="99"/>
        <v>10</v>
      </c>
      <c r="N530" s="15">
        <f t="shared" ca="1" si="100"/>
        <v>-4.2167899674309339E-2</v>
      </c>
      <c r="O530" s="15">
        <f t="shared" ca="1" si="97"/>
        <v>2.4994168156515175</v>
      </c>
      <c r="P530" s="15">
        <f t="shared" ca="1" si="108"/>
        <v>2.4994167970724908</v>
      </c>
      <c r="Q530" s="15">
        <v>0</v>
      </c>
      <c r="R530" s="15">
        <f t="shared" ca="1" si="101"/>
        <v>2.4994167970724908</v>
      </c>
      <c r="S530" s="15">
        <f t="shared" ca="1" si="98"/>
        <v>10.040201229971833</v>
      </c>
      <c r="T530" s="15">
        <f t="shared" ca="1" si="102"/>
        <v>1.9666700181922257E-3</v>
      </c>
      <c r="U530" s="15">
        <f t="shared" ca="1" si="103"/>
        <v>10.042167899990025</v>
      </c>
      <c r="V530" s="15">
        <f t="shared" ca="1" si="104"/>
        <v>10.042167899674309</v>
      </c>
      <c r="X530" s="15">
        <f t="shared" si="105"/>
        <v>10.5</v>
      </c>
      <c r="Y530" s="15">
        <f t="shared" si="106"/>
        <v>9.5</v>
      </c>
      <c r="Z530" s="15">
        <f t="shared" ca="1" si="107"/>
        <v>1</v>
      </c>
    </row>
    <row r="531" spans="12:26" x14ac:dyDescent="0.3">
      <c r="L531" s="15">
        <v>529</v>
      </c>
      <c r="M531" s="15">
        <f t="shared" si="99"/>
        <v>10</v>
      </c>
      <c r="N531" s="15">
        <f t="shared" ca="1" si="100"/>
        <v>-4.1394692389618015E-2</v>
      </c>
      <c r="O531" s="15">
        <f t="shared" ca="1" si="97"/>
        <v>2.4994168156515175</v>
      </c>
      <c r="P531" s="15">
        <f t="shared" ca="1" si="108"/>
        <v>2.4994167970724908</v>
      </c>
      <c r="Q531" s="15">
        <v>0</v>
      </c>
      <c r="R531" s="15">
        <f t="shared" ca="1" si="101"/>
        <v>2.4994167970724908</v>
      </c>
      <c r="S531" s="15">
        <f t="shared" ca="1" si="98"/>
        <v>10.039513769839335</v>
      </c>
      <c r="T531" s="15">
        <f t="shared" ca="1" si="102"/>
        <v>1.8809381483421905E-3</v>
      </c>
      <c r="U531" s="15">
        <f t="shared" ca="1" si="103"/>
        <v>10.041394707987678</v>
      </c>
      <c r="V531" s="15">
        <f t="shared" ca="1" si="104"/>
        <v>10.041394692389618</v>
      </c>
      <c r="X531" s="15">
        <f t="shared" si="105"/>
        <v>10.5</v>
      </c>
      <c r="Y531" s="15">
        <f t="shared" si="106"/>
        <v>9.5</v>
      </c>
      <c r="Z531" s="15">
        <f t="shared" ca="1" si="107"/>
        <v>1</v>
      </c>
    </row>
    <row r="532" spans="12:26" x14ac:dyDescent="0.3">
      <c r="L532" s="15">
        <v>530</v>
      </c>
      <c r="M532" s="15">
        <f t="shared" si="99"/>
        <v>10</v>
      </c>
      <c r="N532" s="15">
        <f t="shared" ca="1" si="100"/>
        <v>-4.7521421231216721E-2</v>
      </c>
      <c r="O532" s="15">
        <f t="shared" ca="1" si="97"/>
        <v>2.4994168156515175</v>
      </c>
      <c r="P532" s="15">
        <f t="shared" ca="1" si="108"/>
        <v>2.4994167970724908</v>
      </c>
      <c r="Q532" s="15">
        <v>0</v>
      </c>
      <c r="R532" s="15">
        <f t="shared" ca="1" si="101"/>
        <v>2.4994167970724908</v>
      </c>
      <c r="S532" s="15">
        <f t="shared" ca="1" si="98"/>
        <v>10.038745142968004</v>
      </c>
      <c r="T532" s="15">
        <f t="shared" ca="1" si="102"/>
        <v>8.7762909780758607E-3</v>
      </c>
      <c r="U532" s="15">
        <f t="shared" ca="1" si="103"/>
        <v>10.047521433946081</v>
      </c>
      <c r="V532" s="15">
        <f t="shared" ca="1" si="104"/>
        <v>10.047521421231217</v>
      </c>
      <c r="X532" s="15">
        <f t="shared" si="105"/>
        <v>10.5</v>
      </c>
      <c r="Y532" s="15">
        <f t="shared" si="106"/>
        <v>9.5</v>
      </c>
      <c r="Z532" s="15">
        <f t="shared" ca="1" si="107"/>
        <v>1</v>
      </c>
    </row>
    <row r="533" spans="12:26" x14ac:dyDescent="0.3">
      <c r="L533" s="15">
        <v>531</v>
      </c>
      <c r="M533" s="15">
        <f t="shared" si="99"/>
        <v>10</v>
      </c>
      <c r="N533" s="15">
        <f t="shared" ca="1" si="100"/>
        <v>-4.6369025960185439E-2</v>
      </c>
      <c r="O533" s="15">
        <f t="shared" ca="1" si="97"/>
        <v>2.4951766065915861</v>
      </c>
      <c r="P533" s="15">
        <f t="shared" ca="1" si="108"/>
        <v>2.4951766018046011</v>
      </c>
      <c r="Q533" s="15">
        <v>0</v>
      </c>
      <c r="R533" s="15">
        <f t="shared" ca="1" si="101"/>
        <v>2.4951766018046011</v>
      </c>
      <c r="S533" s="15">
        <f t="shared" ca="1" si="98"/>
        <v>10.037929515842672</v>
      </c>
      <c r="T533" s="15">
        <f t="shared" ca="1" si="102"/>
        <v>8.4395304854400846E-3</v>
      </c>
      <c r="U533" s="15">
        <f t="shared" ca="1" si="103"/>
        <v>10.046369046328111</v>
      </c>
      <c r="V533" s="15">
        <f t="shared" ca="1" si="104"/>
        <v>10.046369025960185</v>
      </c>
      <c r="X533" s="15">
        <f t="shared" si="105"/>
        <v>10.5</v>
      </c>
      <c r="Y533" s="15">
        <f t="shared" si="106"/>
        <v>9.5</v>
      </c>
      <c r="Z533" s="15">
        <f t="shared" ca="1" si="107"/>
        <v>1</v>
      </c>
    </row>
    <row r="534" spans="12:26" x14ac:dyDescent="0.3">
      <c r="L534" s="15">
        <v>532</v>
      </c>
      <c r="M534" s="15">
        <f t="shared" si="99"/>
        <v>10</v>
      </c>
      <c r="N534" s="15">
        <f t="shared" ca="1" si="100"/>
        <v>-3.7797878039487642E-2</v>
      </c>
      <c r="O534" s="15">
        <f t="shared" ca="1" si="97"/>
        <v>2.4951766065915861</v>
      </c>
      <c r="P534" s="15">
        <f t="shared" ca="1" si="108"/>
        <v>2.4951766018046011</v>
      </c>
      <c r="Q534" s="15">
        <v>0</v>
      </c>
      <c r="R534" s="15">
        <f t="shared" ca="1" si="101"/>
        <v>2.4951766018046011</v>
      </c>
      <c r="S534" s="15">
        <f t="shared" ca="1" si="98"/>
        <v>10.037096004860294</v>
      </c>
      <c r="T534" s="15">
        <f t="shared" ca="1" si="102"/>
        <v>7.018818106208014E-4</v>
      </c>
      <c r="U534" s="15">
        <f t="shared" ca="1" si="103"/>
        <v>10.037797886670914</v>
      </c>
      <c r="V534" s="15">
        <f t="shared" ca="1" si="104"/>
        <v>10.037797878039488</v>
      </c>
      <c r="X534" s="15">
        <f t="shared" si="105"/>
        <v>10.5</v>
      </c>
      <c r="Y534" s="15">
        <f t="shared" si="106"/>
        <v>9.5</v>
      </c>
      <c r="Z534" s="15">
        <f t="shared" ca="1" si="107"/>
        <v>1</v>
      </c>
    </row>
    <row r="535" spans="12:26" x14ac:dyDescent="0.3">
      <c r="L535" s="15">
        <v>533</v>
      </c>
      <c r="M535" s="15">
        <f t="shared" si="99"/>
        <v>10</v>
      </c>
      <c r="N535" s="15">
        <f t="shared" ca="1" si="100"/>
        <v>-3.9015535739952867E-2</v>
      </c>
      <c r="O535" s="15">
        <f t="shared" ref="O535:O598" ca="1" si="109">IF(MOD(L535,$B$11)=0,OFFSET(O535,-$B$11,0)+ $E$2*N535+$E$3*OFFSET(N535,-$B$11,0)+ $E$4*OFFSET(N535,-2* $B$11,0), O534)</f>
        <v>2.4951766065915861</v>
      </c>
      <c r="P535" s="15">
        <f t="shared" ca="1" si="108"/>
        <v>2.4951766018046011</v>
      </c>
      <c r="Q535" s="15">
        <v>0</v>
      </c>
      <c r="R535" s="15">
        <f t="shared" ca="1" si="101"/>
        <v>2.4951766018046011</v>
      </c>
      <c r="S535" s="15">
        <f t="shared" ca="1" si="98"/>
        <v>10.03625040555619</v>
      </c>
      <c r="T535" s="15">
        <f t="shared" ca="1" si="102"/>
        <v>2.7651411034191851E-3</v>
      </c>
      <c r="U535" s="15">
        <f t="shared" ca="1" si="103"/>
        <v>10.039015546659609</v>
      </c>
      <c r="V535" s="15">
        <f t="shared" ca="1" si="104"/>
        <v>10.039015535739953</v>
      </c>
      <c r="X535" s="15">
        <f t="shared" si="105"/>
        <v>10.5</v>
      </c>
      <c r="Y535" s="15">
        <f t="shared" si="106"/>
        <v>9.5</v>
      </c>
      <c r="Z535" s="15">
        <f t="shared" ca="1" si="107"/>
        <v>1</v>
      </c>
    </row>
    <row r="536" spans="12:26" x14ac:dyDescent="0.3">
      <c r="L536" s="15">
        <v>534</v>
      </c>
      <c r="M536" s="15">
        <f t="shared" si="99"/>
        <v>10</v>
      </c>
      <c r="N536" s="15">
        <f t="shared" ca="1" si="100"/>
        <v>-3.8756022704475868E-2</v>
      </c>
      <c r="O536" s="15">
        <f t="shared" ca="1" si="109"/>
        <v>2.5027996516974942</v>
      </c>
      <c r="P536" s="15">
        <f t="shared" ca="1" si="108"/>
        <v>2.5027996400610544</v>
      </c>
      <c r="Q536" s="15">
        <v>0</v>
      </c>
      <c r="R536" s="15">
        <f t="shared" ca="1" si="101"/>
        <v>2.5027996400610544</v>
      </c>
      <c r="S536" s="15">
        <f t="shared" ca="1" si="98"/>
        <v>10.035391286467595</v>
      </c>
      <c r="T536" s="15">
        <f t="shared" ca="1" si="102"/>
        <v>3.3647547628522755E-3</v>
      </c>
      <c r="U536" s="15">
        <f t="shared" ca="1" si="103"/>
        <v>10.038756041230448</v>
      </c>
      <c r="V536" s="15">
        <f t="shared" ca="1" si="104"/>
        <v>10.038756022704476</v>
      </c>
      <c r="X536" s="15">
        <f t="shared" si="105"/>
        <v>10.5</v>
      </c>
      <c r="Y536" s="15">
        <f t="shared" si="106"/>
        <v>9.5</v>
      </c>
      <c r="Z536" s="15">
        <f t="shared" ca="1" si="107"/>
        <v>1</v>
      </c>
    </row>
    <row r="537" spans="12:26" x14ac:dyDescent="0.3">
      <c r="L537" s="15">
        <v>535</v>
      </c>
      <c r="M537" s="15">
        <f t="shared" si="99"/>
        <v>10</v>
      </c>
      <c r="N537" s="15">
        <f t="shared" ca="1" si="100"/>
        <v>-3.8327265074087791E-2</v>
      </c>
      <c r="O537" s="15">
        <f t="shared" ca="1" si="109"/>
        <v>2.5027996516974942</v>
      </c>
      <c r="P537" s="15">
        <f t="shared" ca="1" si="108"/>
        <v>2.5027996400610544</v>
      </c>
      <c r="Q537" s="15">
        <v>0</v>
      </c>
      <c r="R537" s="15">
        <f t="shared" ca="1" si="101"/>
        <v>2.5027996400610544</v>
      </c>
      <c r="S537" s="15">
        <f t="shared" ref="S537:S600" ca="1" si="110">$I$1*S536-$I$2*S535+$I$3*R516+$I$4*R515</f>
        <v>10.034517744464882</v>
      </c>
      <c r="T537" s="15">
        <f t="shared" ca="1" si="102"/>
        <v>3.8095242433347134E-3</v>
      </c>
      <c r="U537" s="15">
        <f t="shared" ca="1" si="103"/>
        <v>10.038327268708217</v>
      </c>
      <c r="V537" s="15">
        <f t="shared" ca="1" si="104"/>
        <v>10.038327265074088</v>
      </c>
      <c r="X537" s="15">
        <f t="shared" si="105"/>
        <v>10.5</v>
      </c>
      <c r="Y537" s="15">
        <f t="shared" si="106"/>
        <v>9.5</v>
      </c>
      <c r="Z537" s="15">
        <f t="shared" ca="1" si="107"/>
        <v>1</v>
      </c>
    </row>
    <row r="538" spans="12:26" x14ac:dyDescent="0.3">
      <c r="L538" s="15">
        <v>536</v>
      </c>
      <c r="M538" s="15">
        <f t="shared" si="99"/>
        <v>10</v>
      </c>
      <c r="N538" s="15">
        <f t="shared" ca="1" si="100"/>
        <v>-3.4099433113379263E-2</v>
      </c>
      <c r="O538" s="15">
        <f t="shared" ca="1" si="109"/>
        <v>2.5027996516974942</v>
      </c>
      <c r="P538" s="15">
        <f t="shared" ca="1" si="108"/>
        <v>2.5027996400610544</v>
      </c>
      <c r="Q538" s="15">
        <v>0</v>
      </c>
      <c r="R538" s="15">
        <f t="shared" ca="1" si="101"/>
        <v>2.5027996400610544</v>
      </c>
      <c r="S538" s="15">
        <f t="shared" ca="1" si="110"/>
        <v>10.033635305080178</v>
      </c>
      <c r="T538" s="15">
        <f t="shared" ca="1" si="102"/>
        <v>4.6414760656715792E-4</v>
      </c>
      <c r="U538" s="15">
        <f t="shared" ca="1" si="103"/>
        <v>10.034099452686746</v>
      </c>
      <c r="V538" s="15">
        <f t="shared" ca="1" si="104"/>
        <v>10.034099433113379</v>
      </c>
      <c r="X538" s="15">
        <f t="shared" si="105"/>
        <v>10.5</v>
      </c>
      <c r="Y538" s="15">
        <f t="shared" si="106"/>
        <v>9.5</v>
      </c>
      <c r="Z538" s="15">
        <f t="shared" ca="1" si="107"/>
        <v>1</v>
      </c>
    </row>
    <row r="539" spans="12:26" x14ac:dyDescent="0.3">
      <c r="L539" s="15">
        <v>537</v>
      </c>
      <c r="M539" s="15">
        <f t="shared" si="99"/>
        <v>10</v>
      </c>
      <c r="N539" s="15">
        <f t="shared" ca="1" si="100"/>
        <v>-3.9096164991869742E-2</v>
      </c>
      <c r="O539" s="15">
        <f t="shared" ca="1" si="109"/>
        <v>2.4972021718261557</v>
      </c>
      <c r="P539" s="15">
        <f t="shared" ca="1" si="108"/>
        <v>2.4972021585556683</v>
      </c>
      <c r="Q539" s="15">
        <v>0</v>
      </c>
      <c r="R539" s="15">
        <f t="shared" ca="1" si="101"/>
        <v>2.4972021585556683</v>
      </c>
      <c r="S539" s="15">
        <f t="shared" ca="1" si="110"/>
        <v>10.032780352667626</v>
      </c>
      <c r="T539" s="15">
        <f t="shared" ca="1" si="102"/>
        <v>6.3158239745328779E-3</v>
      </c>
      <c r="U539" s="15">
        <f t="shared" ca="1" si="103"/>
        <v>10.039096176642158</v>
      </c>
      <c r="V539" s="15">
        <f t="shared" ca="1" si="104"/>
        <v>10.03909616499187</v>
      </c>
      <c r="X539" s="15">
        <f t="shared" si="105"/>
        <v>10.5</v>
      </c>
      <c r="Y539" s="15">
        <f t="shared" si="106"/>
        <v>9.5</v>
      </c>
      <c r="Z539" s="15">
        <f t="shared" ca="1" si="107"/>
        <v>1</v>
      </c>
    </row>
    <row r="540" spans="12:26" x14ac:dyDescent="0.3">
      <c r="L540" s="15">
        <v>538</v>
      </c>
      <c r="M540" s="15">
        <f t="shared" si="99"/>
        <v>10</v>
      </c>
      <c r="N540" s="15">
        <f t="shared" ca="1" si="100"/>
        <v>-3.7623068792193237E-2</v>
      </c>
      <c r="O540" s="15">
        <f t="shared" ca="1" si="109"/>
        <v>2.4972021718261557</v>
      </c>
      <c r="P540" s="15">
        <f t="shared" ca="1" si="108"/>
        <v>2.4972021585556683</v>
      </c>
      <c r="Q540" s="15">
        <v>0</v>
      </c>
      <c r="R540" s="15">
        <f t="shared" ca="1" si="101"/>
        <v>2.4972021585556683</v>
      </c>
      <c r="S540" s="15">
        <f t="shared" ca="1" si="110"/>
        <v>10.031983142240465</v>
      </c>
      <c r="T540" s="15">
        <f t="shared" ca="1" si="102"/>
        <v>5.6399352302022908E-3</v>
      </c>
      <c r="U540" s="15">
        <f t="shared" ca="1" si="103"/>
        <v>10.037623077470668</v>
      </c>
      <c r="V540" s="15">
        <f t="shared" ca="1" si="104"/>
        <v>10.037623068792193</v>
      </c>
      <c r="X540" s="15">
        <f t="shared" si="105"/>
        <v>10.5</v>
      </c>
      <c r="Y540" s="15">
        <f t="shared" si="106"/>
        <v>9.5</v>
      </c>
      <c r="Z540" s="15">
        <f t="shared" ca="1" si="107"/>
        <v>1</v>
      </c>
    </row>
    <row r="541" spans="12:26" x14ac:dyDescent="0.3">
      <c r="L541" s="15">
        <v>539</v>
      </c>
      <c r="M541" s="15">
        <f t="shared" si="99"/>
        <v>10</v>
      </c>
      <c r="N541" s="15">
        <f t="shared" ca="1" si="100"/>
        <v>-3.7600367804429879E-2</v>
      </c>
      <c r="O541" s="15">
        <f t="shared" ca="1" si="109"/>
        <v>2.4972021718261557</v>
      </c>
      <c r="P541" s="15">
        <f t="shared" ca="1" si="108"/>
        <v>2.4972021585556683</v>
      </c>
      <c r="Q541" s="15">
        <v>0</v>
      </c>
      <c r="R541" s="15">
        <f t="shared" ca="1" si="101"/>
        <v>2.4972021585556683</v>
      </c>
      <c r="S541" s="15">
        <f t="shared" ca="1" si="110"/>
        <v>10.031239716142252</v>
      </c>
      <c r="T541" s="15">
        <f t="shared" ca="1" si="102"/>
        <v>6.3606609514258129E-3</v>
      </c>
      <c r="U541" s="15">
        <f t="shared" ca="1" si="103"/>
        <v>10.037600377093678</v>
      </c>
      <c r="V541" s="15">
        <f t="shared" ca="1" si="104"/>
        <v>10.03760036780443</v>
      </c>
      <c r="X541" s="15">
        <f t="shared" si="105"/>
        <v>10.5</v>
      </c>
      <c r="Y541" s="15">
        <f t="shared" si="106"/>
        <v>9.5</v>
      </c>
      <c r="Z541" s="15">
        <f t="shared" ca="1" si="107"/>
        <v>1</v>
      </c>
    </row>
    <row r="542" spans="12:26" x14ac:dyDescent="0.3">
      <c r="L542" s="15">
        <v>540</v>
      </c>
      <c r="M542" s="15">
        <f t="shared" si="99"/>
        <v>10</v>
      </c>
      <c r="N542" s="15">
        <f t="shared" ca="1" si="100"/>
        <v>-3.2700772870494887E-2</v>
      </c>
      <c r="O542" s="15">
        <f t="shared" ca="1" si="109"/>
        <v>2.5016897476633431</v>
      </c>
      <c r="P542" s="15">
        <f t="shared" ca="1" si="108"/>
        <v>2.5016897363824979</v>
      </c>
      <c r="Q542" s="15">
        <v>0</v>
      </c>
      <c r="R542" s="15">
        <f t="shared" ca="1" si="101"/>
        <v>2.5016897363824979</v>
      </c>
      <c r="S542" s="15">
        <f t="shared" ca="1" si="110"/>
        <v>10.030527399662327</v>
      </c>
      <c r="T542" s="15">
        <f t="shared" ca="1" si="102"/>
        <v>2.173387868558304E-3</v>
      </c>
      <c r="U542" s="15">
        <f t="shared" ca="1" si="103"/>
        <v>10.032700787530885</v>
      </c>
      <c r="V542" s="15">
        <f t="shared" ca="1" si="104"/>
        <v>10.032700772870495</v>
      </c>
      <c r="X542" s="15">
        <f t="shared" si="105"/>
        <v>10.5</v>
      </c>
      <c r="Y542" s="15">
        <f t="shared" si="106"/>
        <v>9.5</v>
      </c>
      <c r="Z542" s="15">
        <f t="shared" ca="1" si="107"/>
        <v>1</v>
      </c>
    </row>
    <row r="543" spans="12:26" x14ac:dyDescent="0.3">
      <c r="L543" s="15">
        <v>541</v>
      </c>
      <c r="M543" s="15">
        <f t="shared" si="99"/>
        <v>10</v>
      </c>
      <c r="N543" s="15">
        <f t="shared" ca="1" si="100"/>
        <v>-3.7434918349012136E-2</v>
      </c>
      <c r="O543" s="15">
        <f t="shared" ca="1" si="109"/>
        <v>2.5016897476633431</v>
      </c>
      <c r="P543" s="15">
        <f t="shared" ca="1" si="108"/>
        <v>2.5016897363824979</v>
      </c>
      <c r="Q543" s="15">
        <v>0</v>
      </c>
      <c r="R543" s="15">
        <f t="shared" ca="1" si="101"/>
        <v>2.5016897363824979</v>
      </c>
      <c r="S543" s="15">
        <f t="shared" ca="1" si="110"/>
        <v>10.029827104972098</v>
      </c>
      <c r="T543" s="15">
        <f t="shared" ca="1" si="102"/>
        <v>7.6078281516156381E-3</v>
      </c>
      <c r="U543" s="15">
        <f t="shared" ca="1" si="103"/>
        <v>10.037434933123713</v>
      </c>
      <c r="V543" s="15">
        <f t="shared" ca="1" si="104"/>
        <v>10.037434918349012</v>
      </c>
      <c r="X543" s="15">
        <f t="shared" si="105"/>
        <v>10.5</v>
      </c>
      <c r="Y543" s="15">
        <f t="shared" si="106"/>
        <v>9.5</v>
      </c>
      <c r="Z543" s="15">
        <f t="shared" ca="1" si="107"/>
        <v>1</v>
      </c>
    </row>
    <row r="544" spans="12:26" x14ac:dyDescent="0.3">
      <c r="L544" s="15">
        <v>542</v>
      </c>
      <c r="M544" s="15">
        <f t="shared" si="99"/>
        <v>10</v>
      </c>
      <c r="N544" s="15">
        <f t="shared" ca="1" si="100"/>
        <v>-3.417403205162195E-2</v>
      </c>
      <c r="O544" s="15">
        <f t="shared" ca="1" si="109"/>
        <v>2.5016897476633431</v>
      </c>
      <c r="P544" s="15">
        <f t="shared" ca="1" si="108"/>
        <v>2.5016897363824979</v>
      </c>
      <c r="Q544" s="15">
        <v>0</v>
      </c>
      <c r="R544" s="15">
        <f t="shared" ca="1" si="101"/>
        <v>2.5016897363824979</v>
      </c>
      <c r="S544" s="15">
        <f t="shared" ca="1" si="110"/>
        <v>10.029140268045655</v>
      </c>
      <c r="T544" s="15">
        <f t="shared" ca="1" si="102"/>
        <v>5.0337680309132235E-3</v>
      </c>
      <c r="U544" s="15">
        <f t="shared" ca="1" si="103"/>
        <v>10.034174036076568</v>
      </c>
      <c r="V544" s="15">
        <f t="shared" ca="1" si="104"/>
        <v>10.034174032051622</v>
      </c>
      <c r="X544" s="15">
        <f t="shared" si="105"/>
        <v>10.5</v>
      </c>
      <c r="Y544" s="15">
        <f t="shared" si="106"/>
        <v>9.5</v>
      </c>
      <c r="Z544" s="15">
        <f t="shared" ca="1" si="107"/>
        <v>1</v>
      </c>
    </row>
    <row r="545" spans="12:26" x14ac:dyDescent="0.3">
      <c r="L545" s="15">
        <v>543</v>
      </c>
      <c r="M545" s="15">
        <f t="shared" si="99"/>
        <v>10</v>
      </c>
      <c r="N545" s="15">
        <f t="shared" ca="1" si="100"/>
        <v>-3.4995877657783225E-2</v>
      </c>
      <c r="O545" s="15">
        <f t="shared" ca="1" si="109"/>
        <v>2.4953976726330644</v>
      </c>
      <c r="P545" s="15">
        <f t="shared" ca="1" si="108"/>
        <v>2.4953976512177376</v>
      </c>
      <c r="Q545" s="15">
        <v>0</v>
      </c>
      <c r="R545" s="15">
        <f t="shared" ca="1" si="101"/>
        <v>2.4953976512177376</v>
      </c>
      <c r="S545" s="15">
        <f t="shared" ca="1" si="110"/>
        <v>10.028398358054861</v>
      </c>
      <c r="T545" s="15">
        <f t="shared" ca="1" si="102"/>
        <v>6.5975212649082224E-3</v>
      </c>
      <c r="U545" s="15">
        <f t="shared" ca="1" si="103"/>
        <v>10.034995879319769</v>
      </c>
      <c r="V545" s="15">
        <f t="shared" ca="1" si="104"/>
        <v>10.034995877657783</v>
      </c>
      <c r="X545" s="15">
        <f t="shared" si="105"/>
        <v>10.5</v>
      </c>
      <c r="Y545" s="15">
        <f t="shared" si="106"/>
        <v>9.5</v>
      </c>
      <c r="Z545" s="15">
        <f t="shared" ca="1" si="107"/>
        <v>1</v>
      </c>
    </row>
    <row r="546" spans="12:26" x14ac:dyDescent="0.3">
      <c r="L546" s="15">
        <v>544</v>
      </c>
      <c r="M546" s="15">
        <f t="shared" si="99"/>
        <v>10</v>
      </c>
      <c r="N546" s="15">
        <f t="shared" ca="1" si="100"/>
        <v>-3.747447627537781E-2</v>
      </c>
      <c r="O546" s="15">
        <f t="shared" ca="1" si="109"/>
        <v>2.4953976726330644</v>
      </c>
      <c r="P546" s="15">
        <f t="shared" ca="1" si="108"/>
        <v>2.4953976512177376</v>
      </c>
      <c r="Q546" s="15">
        <v>0</v>
      </c>
      <c r="R546" s="15">
        <f t="shared" ca="1" si="101"/>
        <v>2.4953976512177376</v>
      </c>
      <c r="S546" s="15">
        <f t="shared" ca="1" si="110"/>
        <v>10.027544860970599</v>
      </c>
      <c r="T546" s="15">
        <f t="shared" ca="1" si="102"/>
        <v>9.9296296627154161E-3</v>
      </c>
      <c r="U546" s="15">
        <f t="shared" ca="1" si="103"/>
        <v>10.037474490633315</v>
      </c>
      <c r="V546" s="15">
        <f t="shared" ca="1" si="104"/>
        <v>10.037474476275378</v>
      </c>
      <c r="X546" s="15">
        <f t="shared" si="105"/>
        <v>10.5</v>
      </c>
      <c r="Y546" s="15">
        <f t="shared" si="106"/>
        <v>9.5</v>
      </c>
      <c r="Z546" s="15">
        <f t="shared" ca="1" si="107"/>
        <v>1</v>
      </c>
    </row>
    <row r="547" spans="12:26" x14ac:dyDescent="0.3">
      <c r="L547" s="15">
        <v>545</v>
      </c>
      <c r="M547" s="15">
        <f t="shared" si="99"/>
        <v>10</v>
      </c>
      <c r="N547" s="15">
        <f t="shared" ca="1" si="100"/>
        <v>-2.7104385669135311E-2</v>
      </c>
      <c r="O547" s="15">
        <f t="shared" ca="1" si="109"/>
        <v>2.4953976726330644</v>
      </c>
      <c r="P547" s="15">
        <f t="shared" ca="1" si="108"/>
        <v>2.4953976512177376</v>
      </c>
      <c r="Q547" s="15">
        <v>0</v>
      </c>
      <c r="R547" s="15">
        <f t="shared" ca="1" si="101"/>
        <v>2.4953976512177376</v>
      </c>
      <c r="S547" s="15">
        <f t="shared" ca="1" si="110"/>
        <v>10.026597551191259</v>
      </c>
      <c r="T547" s="15">
        <f t="shared" ca="1" si="102"/>
        <v>5.0685747113993543E-4</v>
      </c>
      <c r="U547" s="15">
        <f t="shared" ca="1" si="103"/>
        <v>10.027104408662398</v>
      </c>
      <c r="V547" s="15">
        <f t="shared" ca="1" si="104"/>
        <v>10.027104385669135</v>
      </c>
      <c r="X547" s="15">
        <f t="shared" si="105"/>
        <v>10.5</v>
      </c>
      <c r="Y547" s="15">
        <f t="shared" si="106"/>
        <v>9.5</v>
      </c>
      <c r="Z547" s="15">
        <f t="shared" ca="1" si="107"/>
        <v>1</v>
      </c>
    </row>
    <row r="548" spans="12:26" x14ac:dyDescent="0.3">
      <c r="L548" s="15">
        <v>546</v>
      </c>
      <c r="M548" s="15">
        <f t="shared" si="99"/>
        <v>10</v>
      </c>
      <c r="N548" s="15">
        <f t="shared" ca="1" si="100"/>
        <v>-2.81238579256744E-2</v>
      </c>
      <c r="O548" s="15">
        <f t="shared" ca="1" si="109"/>
        <v>2.5015151898562085</v>
      </c>
      <c r="P548" s="15">
        <f t="shared" ca="1" si="108"/>
        <v>2.5015151832489098</v>
      </c>
      <c r="Q548" s="15">
        <v>0</v>
      </c>
      <c r="R548" s="15">
        <f t="shared" ca="1" si="101"/>
        <v>2.5015151832489098</v>
      </c>
      <c r="S548" s="15">
        <f t="shared" ca="1" si="110"/>
        <v>10.02566904579297</v>
      </c>
      <c r="T548" s="15">
        <f t="shared" ca="1" si="102"/>
        <v>2.454828374386524E-3</v>
      </c>
      <c r="U548" s="15">
        <f t="shared" ca="1" si="103"/>
        <v>10.028123874167356</v>
      </c>
      <c r="V548" s="15">
        <f t="shared" ca="1" si="104"/>
        <v>10.028123857925674</v>
      </c>
      <c r="X548" s="15">
        <f t="shared" si="105"/>
        <v>10.5</v>
      </c>
      <c r="Y548" s="15">
        <f t="shared" si="106"/>
        <v>9.5</v>
      </c>
      <c r="Z548" s="15">
        <f t="shared" ca="1" si="107"/>
        <v>1</v>
      </c>
    </row>
    <row r="549" spans="12:26" x14ac:dyDescent="0.3">
      <c r="L549" s="15">
        <v>547</v>
      </c>
      <c r="M549" s="15">
        <f t="shared" si="99"/>
        <v>10</v>
      </c>
      <c r="N549" s="15">
        <f t="shared" ca="1" si="100"/>
        <v>-2.6496185461640565E-2</v>
      </c>
      <c r="O549" s="15">
        <f t="shared" ca="1" si="109"/>
        <v>2.5015151898562085</v>
      </c>
      <c r="P549" s="15">
        <f t="shared" ca="1" si="108"/>
        <v>2.5015151832489098</v>
      </c>
      <c r="Q549" s="15">
        <v>0</v>
      </c>
      <c r="R549" s="15">
        <f t="shared" ca="1" si="101"/>
        <v>2.5015151832489098</v>
      </c>
      <c r="S549" s="15">
        <f t="shared" ca="1" si="110"/>
        <v>10.024853308936532</v>
      </c>
      <c r="T549" s="15">
        <f t="shared" ca="1" si="102"/>
        <v>1.6428942344204733E-3</v>
      </c>
      <c r="U549" s="15">
        <f t="shared" ca="1" si="103"/>
        <v>10.026496203170952</v>
      </c>
      <c r="V549" s="15">
        <f t="shared" ca="1" si="104"/>
        <v>10.026496185461641</v>
      </c>
      <c r="X549" s="15">
        <f t="shared" si="105"/>
        <v>10.5</v>
      </c>
      <c r="Y549" s="15">
        <f t="shared" si="106"/>
        <v>9.5</v>
      </c>
      <c r="Z549" s="15">
        <f t="shared" ca="1" si="107"/>
        <v>1</v>
      </c>
    </row>
    <row r="550" spans="12:26" x14ac:dyDescent="0.3">
      <c r="L550" s="15">
        <v>548</v>
      </c>
      <c r="M550" s="15">
        <f t="shared" si="99"/>
        <v>10</v>
      </c>
      <c r="N550" s="15">
        <f t="shared" ca="1" si="100"/>
        <v>-3.1563930686461461E-2</v>
      </c>
      <c r="O550" s="15">
        <f t="shared" ca="1" si="109"/>
        <v>2.5015151898562085</v>
      </c>
      <c r="P550" s="15">
        <f t="shared" ca="1" si="108"/>
        <v>2.5015151832489098</v>
      </c>
      <c r="Q550" s="15">
        <v>0</v>
      </c>
      <c r="R550" s="15">
        <f t="shared" ca="1" si="101"/>
        <v>2.5015151832489098</v>
      </c>
      <c r="S550" s="15">
        <f t="shared" ca="1" si="110"/>
        <v>10.024139476464942</v>
      </c>
      <c r="T550" s="15">
        <f t="shared" ca="1" si="102"/>
        <v>7.4244557957762157E-3</v>
      </c>
      <c r="U550" s="15">
        <f t="shared" ca="1" si="103"/>
        <v>10.031563932260719</v>
      </c>
      <c r="V550" s="15">
        <f t="shared" ca="1" si="104"/>
        <v>10.031563930686461</v>
      </c>
      <c r="X550" s="15">
        <f t="shared" si="105"/>
        <v>10.5</v>
      </c>
      <c r="Y550" s="15">
        <f t="shared" si="106"/>
        <v>9.5</v>
      </c>
      <c r="Z550" s="15">
        <f t="shared" ca="1" si="107"/>
        <v>1</v>
      </c>
    </row>
    <row r="551" spans="12:26" x14ac:dyDescent="0.3">
      <c r="L551" s="15">
        <v>549</v>
      </c>
      <c r="M551" s="15">
        <f t="shared" si="99"/>
        <v>10</v>
      </c>
      <c r="N551" s="15">
        <f t="shared" ca="1" si="100"/>
        <v>-2.7985952335406239E-2</v>
      </c>
      <c r="O551" s="15">
        <f t="shared" ca="1" si="109"/>
        <v>2.4969486480584253</v>
      </c>
      <c r="P551" s="15">
        <f t="shared" ca="1" si="108"/>
        <v>2.4969486292677345</v>
      </c>
      <c r="Q551" s="15">
        <v>0</v>
      </c>
      <c r="R551" s="15">
        <f t="shared" ca="1" si="101"/>
        <v>2.4969486292677345</v>
      </c>
      <c r="S551" s="15">
        <f t="shared" ca="1" si="110"/>
        <v>10.023459677989043</v>
      </c>
      <c r="T551" s="15">
        <f t="shared" ca="1" si="102"/>
        <v>4.5262905605956173E-3</v>
      </c>
      <c r="U551" s="15">
        <f t="shared" ca="1" si="103"/>
        <v>10.02798596854964</v>
      </c>
      <c r="V551" s="15">
        <f t="shared" ca="1" si="104"/>
        <v>10.027985952335406</v>
      </c>
      <c r="X551" s="15">
        <f t="shared" si="105"/>
        <v>10.5</v>
      </c>
      <c r="Y551" s="15">
        <f t="shared" si="106"/>
        <v>9.5</v>
      </c>
      <c r="Z551" s="15">
        <f t="shared" ca="1" si="107"/>
        <v>1</v>
      </c>
    </row>
    <row r="552" spans="12:26" x14ac:dyDescent="0.3">
      <c r="L552" s="15">
        <v>550</v>
      </c>
      <c r="M552" s="15">
        <f t="shared" si="99"/>
        <v>10</v>
      </c>
      <c r="N552" s="15">
        <f t="shared" ca="1" si="100"/>
        <v>-2.6845128747364555E-2</v>
      </c>
      <c r="O552" s="15">
        <f t="shared" ca="1" si="109"/>
        <v>2.4969486480584253</v>
      </c>
      <c r="P552" s="15">
        <f t="shared" ca="1" si="108"/>
        <v>2.4969486292677345</v>
      </c>
      <c r="Q552" s="15">
        <v>0</v>
      </c>
      <c r="R552" s="15">
        <f t="shared" ca="1" si="101"/>
        <v>2.4969486292677345</v>
      </c>
      <c r="S552" s="15">
        <f t="shared" ca="1" si="110"/>
        <v>10.022757078332559</v>
      </c>
      <c r="T552" s="15">
        <f t="shared" ca="1" si="102"/>
        <v>4.0880598238045643E-3</v>
      </c>
      <c r="U552" s="15">
        <f t="shared" ca="1" si="103"/>
        <v>10.026845138156363</v>
      </c>
      <c r="V552" s="15">
        <f t="shared" ca="1" si="104"/>
        <v>10.026845128747365</v>
      </c>
      <c r="X552" s="15">
        <f t="shared" si="105"/>
        <v>10.5</v>
      </c>
      <c r="Y552" s="15">
        <f t="shared" si="106"/>
        <v>9.5</v>
      </c>
      <c r="Z552" s="15">
        <f t="shared" ca="1" si="107"/>
        <v>1</v>
      </c>
    </row>
    <row r="553" spans="12:26" x14ac:dyDescent="0.3">
      <c r="L553" s="15">
        <v>551</v>
      </c>
      <c r="M553" s="15">
        <f t="shared" si="99"/>
        <v>10</v>
      </c>
      <c r="N553" s="15">
        <f t="shared" ca="1" si="100"/>
        <v>-2.9976910452818473E-2</v>
      </c>
      <c r="O553" s="15">
        <f t="shared" ca="1" si="109"/>
        <v>2.4969486480584253</v>
      </c>
      <c r="P553" s="15">
        <f t="shared" ca="1" si="108"/>
        <v>2.4969486292677345</v>
      </c>
      <c r="Q553" s="15">
        <v>0</v>
      </c>
      <c r="R553" s="15">
        <f t="shared" ca="1" si="101"/>
        <v>2.4969486292677345</v>
      </c>
      <c r="S553" s="15">
        <f t="shared" ca="1" si="110"/>
        <v>10.022037543513051</v>
      </c>
      <c r="T553" s="15">
        <f t="shared" ca="1" si="102"/>
        <v>7.9393747004770296E-3</v>
      </c>
      <c r="U553" s="15">
        <f t="shared" ca="1" si="103"/>
        <v>10.029976918213528</v>
      </c>
      <c r="V553" s="15">
        <f t="shared" ca="1" si="104"/>
        <v>10.029976910452818</v>
      </c>
      <c r="X553" s="15">
        <f t="shared" si="105"/>
        <v>10.5</v>
      </c>
      <c r="Y553" s="15">
        <f t="shared" si="106"/>
        <v>9.5</v>
      </c>
      <c r="Z553" s="15">
        <f t="shared" ca="1" si="107"/>
        <v>1</v>
      </c>
    </row>
    <row r="554" spans="12:26" x14ac:dyDescent="0.3">
      <c r="L554" s="15">
        <v>552</v>
      </c>
      <c r="M554" s="15">
        <f t="shared" si="99"/>
        <v>10</v>
      </c>
      <c r="N554" s="15">
        <f t="shared" ca="1" si="100"/>
        <v>-2.6861077646460174E-2</v>
      </c>
      <c r="O554" s="15">
        <f t="shared" ca="1" si="109"/>
        <v>2.497204808849093</v>
      </c>
      <c r="P554" s="15">
        <f t="shared" ca="1" si="108"/>
        <v>2.4972047895419425</v>
      </c>
      <c r="Q554" s="15">
        <v>0</v>
      </c>
      <c r="R554" s="15">
        <f t="shared" ca="1" si="101"/>
        <v>2.4972047895419425</v>
      </c>
      <c r="S554" s="15">
        <f t="shared" ca="1" si="110"/>
        <v>10.021269586432561</v>
      </c>
      <c r="T554" s="15">
        <f t="shared" ca="1" si="102"/>
        <v>5.5915013570568932E-3</v>
      </c>
      <c r="U554" s="15">
        <f t="shared" ca="1" si="103"/>
        <v>10.026861087789618</v>
      </c>
      <c r="V554" s="15">
        <f t="shared" ca="1" si="104"/>
        <v>10.02686107764646</v>
      </c>
      <c r="X554" s="15">
        <f t="shared" si="105"/>
        <v>10.5</v>
      </c>
      <c r="Y554" s="15">
        <f t="shared" si="106"/>
        <v>9.5</v>
      </c>
      <c r="Z554" s="15">
        <f t="shared" ca="1" si="107"/>
        <v>1</v>
      </c>
    </row>
    <row r="555" spans="12:26" x14ac:dyDescent="0.3">
      <c r="L555" s="15">
        <v>553</v>
      </c>
      <c r="M555" s="15">
        <f t="shared" si="99"/>
        <v>10</v>
      </c>
      <c r="N555" s="15">
        <f t="shared" ca="1" si="100"/>
        <v>-2.0517397211053279E-2</v>
      </c>
      <c r="O555" s="15">
        <f t="shared" ca="1" si="109"/>
        <v>2.497204808849093</v>
      </c>
      <c r="P555" s="15">
        <f t="shared" ca="1" si="108"/>
        <v>2.4972047895419425</v>
      </c>
      <c r="Q555" s="15">
        <v>0</v>
      </c>
      <c r="R555" s="15">
        <f t="shared" ca="1" si="101"/>
        <v>2.4972047895419425</v>
      </c>
      <c r="S555" s="15">
        <f t="shared" ca="1" si="110"/>
        <v>10.02042754441878</v>
      </c>
      <c r="T555" s="15">
        <f t="shared" ca="1" si="102"/>
        <v>8.9873190235872924E-5</v>
      </c>
      <c r="U555" s="15">
        <f t="shared" ca="1" si="103"/>
        <v>10.020517417609016</v>
      </c>
      <c r="V555" s="15">
        <f t="shared" ca="1" si="104"/>
        <v>10.020517397211053</v>
      </c>
      <c r="X555" s="15">
        <f t="shared" si="105"/>
        <v>10.5</v>
      </c>
      <c r="Y555" s="15">
        <f t="shared" si="106"/>
        <v>9.5</v>
      </c>
      <c r="Z555" s="15">
        <f t="shared" ca="1" si="107"/>
        <v>1</v>
      </c>
    </row>
    <row r="556" spans="12:26" x14ac:dyDescent="0.3">
      <c r="L556" s="15">
        <v>554</v>
      </c>
      <c r="M556" s="15">
        <f t="shared" si="99"/>
        <v>10</v>
      </c>
      <c r="N556" s="15">
        <f t="shared" ca="1" si="100"/>
        <v>-1.9760790751259805E-2</v>
      </c>
      <c r="O556" s="15">
        <f t="shared" ca="1" si="109"/>
        <v>2.497204808849093</v>
      </c>
      <c r="P556" s="15">
        <f t="shared" ca="1" si="108"/>
        <v>2.4972047895419425</v>
      </c>
      <c r="Q556" s="15">
        <v>0</v>
      </c>
      <c r="R556" s="15">
        <f t="shared" ca="1" si="101"/>
        <v>2.4972047895419425</v>
      </c>
      <c r="S556" s="15">
        <f t="shared" ca="1" si="110"/>
        <v>10.019524383039151</v>
      </c>
      <c r="T556" s="15">
        <f t="shared" ca="1" si="102"/>
        <v>2.3643057490717602E-4</v>
      </c>
      <c r="U556" s="15">
        <f t="shared" ca="1" si="103"/>
        <v>10.019760813614058</v>
      </c>
      <c r="V556" s="15">
        <f t="shared" ca="1" si="104"/>
        <v>10.01976079075126</v>
      </c>
      <c r="X556" s="15">
        <f t="shared" si="105"/>
        <v>10.5</v>
      </c>
      <c r="Y556" s="15">
        <f t="shared" si="106"/>
        <v>9.5</v>
      </c>
      <c r="Z556" s="15">
        <f t="shared" ca="1" si="107"/>
        <v>1</v>
      </c>
    </row>
    <row r="557" spans="12:26" x14ac:dyDescent="0.3">
      <c r="L557" s="15">
        <v>555</v>
      </c>
      <c r="M557" s="15">
        <f t="shared" si="99"/>
        <v>10</v>
      </c>
      <c r="N557" s="15">
        <f t="shared" ca="1" si="100"/>
        <v>-2.5335152173726172E-2</v>
      </c>
      <c r="O557" s="15">
        <f t="shared" ca="1" si="109"/>
        <v>2.4972076338298597</v>
      </c>
      <c r="P557" s="15">
        <f t="shared" ca="1" si="108"/>
        <v>2.4972076300757955</v>
      </c>
      <c r="Q557" s="15">
        <v>0</v>
      </c>
      <c r="R557" s="15">
        <f t="shared" ca="1" si="101"/>
        <v>2.4972076300757955</v>
      </c>
      <c r="S557" s="15">
        <f t="shared" ca="1" si="110"/>
        <v>10.018637624250838</v>
      </c>
      <c r="T557" s="15">
        <f t="shared" ca="1" si="102"/>
        <v>6.6975325768367112E-3</v>
      </c>
      <c r="U557" s="15">
        <f t="shared" ca="1" si="103"/>
        <v>10.025335156827675</v>
      </c>
      <c r="V557" s="15">
        <f t="shared" ca="1" si="104"/>
        <v>10.025335152173726</v>
      </c>
      <c r="X557" s="15">
        <f t="shared" si="105"/>
        <v>10.5</v>
      </c>
      <c r="Y557" s="15">
        <f t="shared" si="106"/>
        <v>9.5</v>
      </c>
      <c r="Z557" s="15">
        <f t="shared" ca="1" si="107"/>
        <v>1</v>
      </c>
    </row>
    <row r="558" spans="12:26" x14ac:dyDescent="0.3">
      <c r="L558" s="15">
        <v>556</v>
      </c>
      <c r="M558" s="15">
        <f t="shared" si="99"/>
        <v>10</v>
      </c>
      <c r="N558" s="15">
        <f t="shared" ca="1" si="100"/>
        <v>-2.4152302654496083E-2</v>
      </c>
      <c r="O558" s="15">
        <f t="shared" ca="1" si="109"/>
        <v>2.4972076338298597</v>
      </c>
      <c r="P558" s="15">
        <f t="shared" ca="1" si="108"/>
        <v>2.4972076300757955</v>
      </c>
      <c r="Q558" s="15">
        <v>0</v>
      </c>
      <c r="R558" s="15">
        <f t="shared" ca="1" si="101"/>
        <v>2.4972076300757955</v>
      </c>
      <c r="S558" s="15">
        <f t="shared" ca="1" si="110"/>
        <v>10.017831962878356</v>
      </c>
      <c r="T558" s="15">
        <f t="shared" ca="1" si="102"/>
        <v>6.3203615575125925E-3</v>
      </c>
      <c r="U558" s="15">
        <f t="shared" ca="1" si="103"/>
        <v>10.024152324435869</v>
      </c>
      <c r="V558" s="15">
        <f t="shared" ca="1" si="104"/>
        <v>10.024152302654496</v>
      </c>
      <c r="X558" s="15">
        <f t="shared" si="105"/>
        <v>10.5</v>
      </c>
      <c r="Y558" s="15">
        <f t="shared" si="106"/>
        <v>9.5</v>
      </c>
      <c r="Z558" s="15">
        <f t="shared" ca="1" si="107"/>
        <v>1</v>
      </c>
    </row>
    <row r="559" spans="12:26" x14ac:dyDescent="0.3">
      <c r="L559" s="15">
        <v>557</v>
      </c>
      <c r="M559" s="15">
        <f t="shared" si="99"/>
        <v>10</v>
      </c>
      <c r="N559" s="15">
        <f t="shared" ca="1" si="100"/>
        <v>-2.26171803713342E-2</v>
      </c>
      <c r="O559" s="15">
        <f t="shared" ca="1" si="109"/>
        <v>2.4972076338298597</v>
      </c>
      <c r="P559" s="15">
        <f t="shared" ca="1" si="108"/>
        <v>2.4972076300757955</v>
      </c>
      <c r="Q559" s="15">
        <v>0</v>
      </c>
      <c r="R559" s="15">
        <f t="shared" ca="1" si="101"/>
        <v>2.4972076300757955</v>
      </c>
      <c r="S559" s="15">
        <f t="shared" ca="1" si="110"/>
        <v>10.01710051236066</v>
      </c>
      <c r="T559" s="15">
        <f t="shared" ca="1" si="102"/>
        <v>5.516684589150867E-3</v>
      </c>
      <c r="U559" s="15">
        <f t="shared" ca="1" si="103"/>
        <v>10.022617196949811</v>
      </c>
      <c r="V559" s="15">
        <f t="shared" ca="1" si="104"/>
        <v>10.022617180371334</v>
      </c>
      <c r="X559" s="15">
        <f t="shared" si="105"/>
        <v>10.5</v>
      </c>
      <c r="Y559" s="15">
        <f t="shared" si="106"/>
        <v>9.5</v>
      </c>
      <c r="Z559" s="15">
        <f t="shared" ca="1" si="107"/>
        <v>1</v>
      </c>
    </row>
    <row r="560" spans="12:26" x14ac:dyDescent="0.3">
      <c r="L560" s="15">
        <v>558</v>
      </c>
      <c r="M560" s="15">
        <f t="shared" si="99"/>
        <v>10</v>
      </c>
      <c r="N560" s="15">
        <f t="shared" ca="1" si="100"/>
        <v>-2.473766217584128E-2</v>
      </c>
      <c r="O560" s="15">
        <f t="shared" ca="1" si="109"/>
        <v>2.4962664967491377</v>
      </c>
      <c r="P560" s="15">
        <f t="shared" ca="1" si="108"/>
        <v>2.4962664820477984</v>
      </c>
      <c r="Q560" s="15">
        <v>0</v>
      </c>
      <c r="R560" s="15">
        <f t="shared" ca="1" si="101"/>
        <v>2.4962664820477984</v>
      </c>
      <c r="S560" s="15">
        <f t="shared" ca="1" si="110"/>
        <v>10.016388524963586</v>
      </c>
      <c r="T560" s="15">
        <f t="shared" ca="1" si="102"/>
        <v>8.3491479085667751E-3</v>
      </c>
      <c r="U560" s="15">
        <f t="shared" ca="1" si="103"/>
        <v>10.024737672872153</v>
      </c>
      <c r="V560" s="15">
        <f t="shared" ca="1" si="104"/>
        <v>10.024737662175841</v>
      </c>
      <c r="X560" s="15">
        <f t="shared" si="105"/>
        <v>10.5</v>
      </c>
      <c r="Y560" s="15">
        <f t="shared" si="106"/>
        <v>9.5</v>
      </c>
      <c r="Z560" s="15">
        <f t="shared" ca="1" si="107"/>
        <v>1</v>
      </c>
    </row>
    <row r="561" spans="12:26" x14ac:dyDescent="0.3">
      <c r="L561" s="15">
        <v>559</v>
      </c>
      <c r="M561" s="15">
        <f t="shared" si="99"/>
        <v>10</v>
      </c>
      <c r="N561" s="15">
        <f t="shared" ca="1" si="100"/>
        <v>-1.7059908718117356E-2</v>
      </c>
      <c r="O561" s="15">
        <f t="shared" ca="1" si="109"/>
        <v>2.4962664967491377</v>
      </c>
      <c r="P561" s="15">
        <f t="shared" ca="1" si="108"/>
        <v>2.4962664820477984</v>
      </c>
      <c r="Q561" s="15">
        <v>0</v>
      </c>
      <c r="R561" s="15">
        <f t="shared" ca="1" si="101"/>
        <v>2.4962664820477984</v>
      </c>
      <c r="S561" s="15">
        <f t="shared" ca="1" si="110"/>
        <v>10.015650262313423</v>
      </c>
      <c r="T561" s="15">
        <f t="shared" ca="1" si="102"/>
        <v>1.4096480502559406E-3</v>
      </c>
      <c r="U561" s="15">
        <f t="shared" ca="1" si="103"/>
        <v>10.017059910363679</v>
      </c>
      <c r="V561" s="15">
        <f t="shared" ca="1" si="104"/>
        <v>10.017059908718117</v>
      </c>
      <c r="X561" s="15">
        <f t="shared" si="105"/>
        <v>10.5</v>
      </c>
      <c r="Y561" s="15">
        <f t="shared" si="106"/>
        <v>9.5</v>
      </c>
      <c r="Z561" s="15">
        <f t="shared" ca="1" si="107"/>
        <v>1</v>
      </c>
    </row>
    <row r="562" spans="12:26" x14ac:dyDescent="0.3">
      <c r="L562" s="15">
        <v>560</v>
      </c>
      <c r="M562" s="15">
        <f t="shared" si="99"/>
        <v>10</v>
      </c>
      <c r="N562" s="15">
        <f t="shared" ca="1" si="100"/>
        <v>-1.9150285520392885E-2</v>
      </c>
      <c r="O562" s="15">
        <f t="shared" ca="1" si="109"/>
        <v>2.4962664967491377</v>
      </c>
      <c r="P562" s="15">
        <f t="shared" ca="1" si="108"/>
        <v>2.4962664820477984</v>
      </c>
      <c r="Q562" s="15">
        <v>0</v>
      </c>
      <c r="R562" s="15">
        <f t="shared" ca="1" si="101"/>
        <v>2.4962664820477984</v>
      </c>
      <c r="S562" s="15">
        <f t="shared" ca="1" si="110"/>
        <v>10.014892182253764</v>
      </c>
      <c r="T562" s="15">
        <f t="shared" ca="1" si="102"/>
        <v>4.258126208829217E-3</v>
      </c>
      <c r="U562" s="15">
        <f t="shared" ca="1" si="103"/>
        <v>10.019150308462592</v>
      </c>
      <c r="V562" s="15">
        <f t="shared" ca="1" si="104"/>
        <v>10.019150285520393</v>
      </c>
      <c r="X562" s="15">
        <f t="shared" si="105"/>
        <v>10.5</v>
      </c>
      <c r="Y562" s="15">
        <f t="shared" si="106"/>
        <v>9.5</v>
      </c>
      <c r="Z562" s="15">
        <f t="shared" ca="1" si="107"/>
        <v>1</v>
      </c>
    </row>
    <row r="563" spans="12:26" x14ac:dyDescent="0.3">
      <c r="L563" s="15">
        <v>561</v>
      </c>
      <c r="M563" s="15">
        <f t="shared" si="99"/>
        <v>10</v>
      </c>
      <c r="N563" s="15">
        <f t="shared" ca="1" si="100"/>
        <v>-1.7763825603239525E-2</v>
      </c>
      <c r="O563" s="15">
        <f t="shared" ca="1" si="109"/>
        <v>2.5009303079424781</v>
      </c>
      <c r="P563" s="15">
        <f t="shared" ca="1" si="108"/>
        <v>2.500930289388851</v>
      </c>
      <c r="Q563" s="15">
        <v>0</v>
      </c>
      <c r="R563" s="15">
        <f t="shared" ca="1" si="101"/>
        <v>2.500930289388851</v>
      </c>
      <c r="S563" s="15">
        <f t="shared" ca="1" si="110"/>
        <v>10.014158826850931</v>
      </c>
      <c r="T563" s="15">
        <f t="shared" ca="1" si="102"/>
        <v>3.6050049261861371E-3</v>
      </c>
      <c r="U563" s="15">
        <f t="shared" ca="1" si="103"/>
        <v>10.017763831777117</v>
      </c>
      <c r="V563" s="15">
        <f t="shared" ca="1" si="104"/>
        <v>10.01776382560324</v>
      </c>
      <c r="X563" s="15">
        <f t="shared" si="105"/>
        <v>10.5</v>
      </c>
      <c r="Y563" s="15">
        <f t="shared" si="106"/>
        <v>9.5</v>
      </c>
      <c r="Z563" s="15">
        <f t="shared" ca="1" si="107"/>
        <v>1</v>
      </c>
    </row>
    <row r="564" spans="12:26" x14ac:dyDescent="0.3">
      <c r="L564" s="15">
        <v>562</v>
      </c>
      <c r="M564" s="15">
        <f t="shared" si="99"/>
        <v>10</v>
      </c>
      <c r="N564" s="15">
        <f t="shared" ca="1" si="100"/>
        <v>-1.4686246871642439E-2</v>
      </c>
      <c r="O564" s="15">
        <f t="shared" ca="1" si="109"/>
        <v>2.5009303079424781</v>
      </c>
      <c r="P564" s="15">
        <f t="shared" ca="1" si="108"/>
        <v>2.500930289388851</v>
      </c>
      <c r="Q564" s="15">
        <v>0</v>
      </c>
      <c r="R564" s="15">
        <f t="shared" ca="1" si="101"/>
        <v>2.500930289388851</v>
      </c>
      <c r="S564" s="15">
        <f t="shared" ca="1" si="110"/>
        <v>10.013487262153731</v>
      </c>
      <c r="T564" s="15">
        <f t="shared" ca="1" si="102"/>
        <v>1.1989923291769377E-3</v>
      </c>
      <c r="U564" s="15">
        <f t="shared" ca="1" si="103"/>
        <v>10.014686254482909</v>
      </c>
      <c r="V564" s="15">
        <f t="shared" ca="1" si="104"/>
        <v>10.014686246871642</v>
      </c>
      <c r="X564" s="15">
        <f t="shared" si="105"/>
        <v>10.5</v>
      </c>
      <c r="Y564" s="15">
        <f t="shared" si="106"/>
        <v>9.5</v>
      </c>
      <c r="Z564" s="15">
        <f t="shared" ca="1" si="107"/>
        <v>1</v>
      </c>
    </row>
    <row r="565" spans="12:26" x14ac:dyDescent="0.3">
      <c r="L565" s="15">
        <v>563</v>
      </c>
      <c r="M565" s="15">
        <f t="shared" si="99"/>
        <v>10</v>
      </c>
      <c r="N565" s="15">
        <f t="shared" ca="1" si="100"/>
        <v>-2.0226102792710421E-2</v>
      </c>
      <c r="O565" s="15">
        <f t="shared" ca="1" si="109"/>
        <v>2.5009303079424781</v>
      </c>
      <c r="P565" s="15">
        <f t="shared" ca="1" si="108"/>
        <v>2.500930289388851</v>
      </c>
      <c r="Q565" s="15">
        <v>0</v>
      </c>
      <c r="R565" s="15">
        <f t="shared" ca="1" si="101"/>
        <v>2.500930289388851</v>
      </c>
      <c r="S565" s="15">
        <f t="shared" ca="1" si="110"/>
        <v>10.012872485144154</v>
      </c>
      <c r="T565" s="15">
        <f t="shared" ca="1" si="102"/>
        <v>7.3536197853933507E-3</v>
      </c>
      <c r="U565" s="15">
        <f t="shared" ca="1" si="103"/>
        <v>10.020226104929547</v>
      </c>
      <c r="V565" s="15">
        <f t="shared" ca="1" si="104"/>
        <v>10.02022610279271</v>
      </c>
      <c r="X565" s="15">
        <f t="shared" si="105"/>
        <v>10.5</v>
      </c>
      <c r="Y565" s="15">
        <f t="shared" si="106"/>
        <v>9.5</v>
      </c>
      <c r="Z565" s="15">
        <f t="shared" ca="1" si="107"/>
        <v>1</v>
      </c>
    </row>
    <row r="566" spans="12:26" x14ac:dyDescent="0.3">
      <c r="L566" s="15">
        <v>564</v>
      </c>
      <c r="M566" s="15">
        <f t="shared" si="99"/>
        <v>10</v>
      </c>
      <c r="N566" s="15">
        <f t="shared" ca="1" si="100"/>
        <v>-1.9792804964769317E-2</v>
      </c>
      <c r="O566" s="15">
        <f t="shared" ca="1" si="109"/>
        <v>2.4947946642695285</v>
      </c>
      <c r="P566" s="15">
        <f t="shared" ca="1" si="108"/>
        <v>2.4947946431335981</v>
      </c>
      <c r="Q566" s="15">
        <v>0</v>
      </c>
      <c r="R566" s="15">
        <f t="shared" ca="1" si="101"/>
        <v>2.4947946431335981</v>
      </c>
      <c r="S566" s="15">
        <f t="shared" ca="1" si="110"/>
        <v>10.012255457512243</v>
      </c>
      <c r="T566" s="15">
        <f t="shared" ca="1" si="102"/>
        <v>7.5373555355214344E-3</v>
      </c>
      <c r="U566" s="15">
        <f t="shared" ca="1" si="103"/>
        <v>10.019792813047765</v>
      </c>
      <c r="V566" s="15">
        <f t="shared" ca="1" si="104"/>
        <v>10.019792804964769</v>
      </c>
      <c r="X566" s="15">
        <f t="shared" si="105"/>
        <v>10.5</v>
      </c>
      <c r="Y566" s="15">
        <f t="shared" si="106"/>
        <v>9.5</v>
      </c>
      <c r="Z566" s="15">
        <f t="shared" ca="1" si="107"/>
        <v>1</v>
      </c>
    </row>
    <row r="567" spans="12:26" x14ac:dyDescent="0.3">
      <c r="L567" s="15">
        <v>565</v>
      </c>
      <c r="M567" s="15">
        <f t="shared" si="99"/>
        <v>10</v>
      </c>
      <c r="N567" s="15">
        <f t="shared" ca="1" si="100"/>
        <v>-1.6087188854834622E-2</v>
      </c>
      <c r="O567" s="15">
        <f t="shared" ca="1" si="109"/>
        <v>2.4947946642695285</v>
      </c>
      <c r="P567" s="15">
        <f t="shared" ca="1" si="108"/>
        <v>2.4947946431335981</v>
      </c>
      <c r="Q567" s="15">
        <v>0</v>
      </c>
      <c r="R567" s="15">
        <f t="shared" ca="1" si="101"/>
        <v>2.4947946431335981</v>
      </c>
      <c r="S567" s="15">
        <f t="shared" ca="1" si="110"/>
        <v>10.011587052610464</v>
      </c>
      <c r="T567" s="15">
        <f t="shared" ca="1" si="102"/>
        <v>4.5001549928746654E-3</v>
      </c>
      <c r="U567" s="15">
        <f t="shared" ca="1" si="103"/>
        <v>10.016087207603338</v>
      </c>
      <c r="V567" s="15">
        <f t="shared" ca="1" si="104"/>
        <v>10.016087188854835</v>
      </c>
      <c r="X567" s="15">
        <f t="shared" si="105"/>
        <v>10.5</v>
      </c>
      <c r="Y567" s="15">
        <f t="shared" si="106"/>
        <v>9.5</v>
      </c>
      <c r="Z567" s="15">
        <f t="shared" ca="1" si="107"/>
        <v>1</v>
      </c>
    </row>
    <row r="568" spans="12:26" x14ac:dyDescent="0.3">
      <c r="L568" s="15">
        <v>566</v>
      </c>
      <c r="M568" s="15">
        <f t="shared" si="99"/>
        <v>10</v>
      </c>
      <c r="N568" s="15">
        <f t="shared" ca="1" si="100"/>
        <v>-1.4774536251735526E-2</v>
      </c>
      <c r="O568" s="15">
        <f t="shared" ca="1" si="109"/>
        <v>2.4947946642695285</v>
      </c>
      <c r="P568" s="15">
        <f t="shared" ca="1" si="108"/>
        <v>2.4947946431335981</v>
      </c>
      <c r="Q568" s="15">
        <v>0</v>
      </c>
      <c r="R568" s="15">
        <f t="shared" ca="1" si="101"/>
        <v>2.4947946431335981</v>
      </c>
      <c r="S568" s="15">
        <f t="shared" ca="1" si="110"/>
        <v>10.010876619165106</v>
      </c>
      <c r="T568" s="15">
        <f t="shared" ca="1" si="102"/>
        <v>3.897919778699196E-3</v>
      </c>
      <c r="U568" s="15">
        <f t="shared" ca="1" si="103"/>
        <v>10.014774538943806</v>
      </c>
      <c r="V568" s="15">
        <f t="shared" ca="1" si="104"/>
        <v>10.014774536251736</v>
      </c>
      <c r="X568" s="15">
        <f t="shared" si="105"/>
        <v>10.5</v>
      </c>
      <c r="Y568" s="15">
        <f t="shared" si="106"/>
        <v>9.5</v>
      </c>
      <c r="Z568" s="15">
        <f t="shared" ca="1" si="107"/>
        <v>1</v>
      </c>
    </row>
    <row r="569" spans="12:26" x14ac:dyDescent="0.3">
      <c r="L569" s="15">
        <v>567</v>
      </c>
      <c r="M569" s="15">
        <f t="shared" si="99"/>
        <v>10</v>
      </c>
      <c r="N569" s="15">
        <f t="shared" ca="1" si="100"/>
        <v>-1.1626875496382638E-2</v>
      </c>
      <c r="O569" s="15">
        <f t="shared" ca="1" si="109"/>
        <v>2.502072992736351</v>
      </c>
      <c r="P569" s="15">
        <f t="shared" ca="1" si="108"/>
        <v>2.5020729756220415</v>
      </c>
      <c r="Q569" s="15">
        <v>0</v>
      </c>
      <c r="R569" s="15">
        <f t="shared" ca="1" si="101"/>
        <v>2.5020729756220415</v>
      </c>
      <c r="S569" s="15">
        <f t="shared" ca="1" si="110"/>
        <v>10.01018541715613</v>
      </c>
      <c r="T569" s="15">
        <f t="shared" ca="1" si="102"/>
        <v>1.4414711001455793E-3</v>
      </c>
      <c r="U569" s="15">
        <f t="shared" ca="1" si="103"/>
        <v>10.011626888256275</v>
      </c>
      <c r="V569" s="15">
        <f t="shared" ca="1" si="104"/>
        <v>10.011626875496383</v>
      </c>
      <c r="X569" s="15">
        <f t="shared" si="105"/>
        <v>10.5</v>
      </c>
      <c r="Y569" s="15">
        <f t="shared" si="106"/>
        <v>9.5</v>
      </c>
      <c r="Z569" s="15">
        <f t="shared" ca="1" si="107"/>
        <v>1</v>
      </c>
    </row>
    <row r="570" spans="12:26" x14ac:dyDescent="0.3">
      <c r="L570" s="15">
        <v>568</v>
      </c>
      <c r="M570" s="15">
        <f t="shared" si="99"/>
        <v>10</v>
      </c>
      <c r="N570" s="15">
        <f t="shared" ca="1" si="100"/>
        <v>-1.2228882408754416E-2</v>
      </c>
      <c r="O570" s="15">
        <f t="shared" ca="1" si="109"/>
        <v>2.502072992736351</v>
      </c>
      <c r="P570" s="15">
        <f t="shared" ca="1" si="108"/>
        <v>2.5020729756220415</v>
      </c>
      <c r="Q570" s="15">
        <v>0</v>
      </c>
      <c r="R570" s="15">
        <f t="shared" ca="1" si="101"/>
        <v>2.5020729756220415</v>
      </c>
      <c r="S570" s="15">
        <f t="shared" ca="1" si="110"/>
        <v>10.009564507871868</v>
      </c>
      <c r="T570" s="15">
        <f t="shared" ca="1" si="102"/>
        <v>2.664378004562843E-3</v>
      </c>
      <c r="U570" s="15">
        <f t="shared" ca="1" si="103"/>
        <v>10.01222888587643</v>
      </c>
      <c r="V570" s="15">
        <f t="shared" ca="1" si="104"/>
        <v>10.012228882408754</v>
      </c>
      <c r="X570" s="15">
        <f t="shared" si="105"/>
        <v>10.5</v>
      </c>
      <c r="Y570" s="15">
        <f t="shared" si="106"/>
        <v>9.5</v>
      </c>
      <c r="Z570" s="15">
        <f t="shared" ca="1" si="107"/>
        <v>1</v>
      </c>
    </row>
    <row r="571" spans="12:26" x14ac:dyDescent="0.3">
      <c r="L571" s="15">
        <v>569</v>
      </c>
      <c r="M571" s="15">
        <f t="shared" si="99"/>
        <v>10</v>
      </c>
      <c r="N571" s="15">
        <f t="shared" ca="1" si="100"/>
        <v>-1.6691291242999284E-2</v>
      </c>
      <c r="O571" s="15">
        <f t="shared" ca="1" si="109"/>
        <v>2.502072992736351</v>
      </c>
      <c r="P571" s="15">
        <f t="shared" ca="1" si="108"/>
        <v>2.5020729756220415</v>
      </c>
      <c r="Q571" s="15">
        <v>0</v>
      </c>
      <c r="R571" s="15">
        <f t="shared" ca="1" si="101"/>
        <v>2.5020729756220415</v>
      </c>
      <c r="S571" s="15">
        <f t="shared" ca="1" si="110"/>
        <v>10.009007594827921</v>
      </c>
      <c r="T571" s="15">
        <f t="shared" ca="1" si="102"/>
        <v>7.6837062693170689E-3</v>
      </c>
      <c r="U571" s="15">
        <f t="shared" ca="1" si="103"/>
        <v>10.016691301097238</v>
      </c>
      <c r="V571" s="15">
        <f t="shared" ca="1" si="104"/>
        <v>10.016691291242999</v>
      </c>
      <c r="X571" s="15">
        <f t="shared" si="105"/>
        <v>10.5</v>
      </c>
      <c r="Y571" s="15">
        <f t="shared" si="106"/>
        <v>9.5</v>
      </c>
      <c r="Z571" s="15">
        <f t="shared" ca="1" si="107"/>
        <v>1</v>
      </c>
    </row>
    <row r="572" spans="12:26" x14ac:dyDescent="0.3">
      <c r="L572" s="15">
        <v>570</v>
      </c>
      <c r="M572" s="15">
        <f t="shared" si="99"/>
        <v>10</v>
      </c>
      <c r="N572" s="15">
        <f t="shared" ca="1" si="100"/>
        <v>-1.4520308471871246E-2</v>
      </c>
      <c r="O572" s="15">
        <f t="shared" ca="1" si="109"/>
        <v>2.4946598395282042</v>
      </c>
      <c r="P572" s="15">
        <f t="shared" ca="1" si="108"/>
        <v>2.494659834190891</v>
      </c>
      <c r="Q572" s="15">
        <v>0</v>
      </c>
      <c r="R572" s="15">
        <f t="shared" ca="1" si="101"/>
        <v>2.494659834190891</v>
      </c>
      <c r="S572" s="15">
        <f t="shared" ca="1" si="110"/>
        <v>10.008469406786284</v>
      </c>
      <c r="T572" s="15">
        <f t="shared" ca="1" si="102"/>
        <v>6.0509124398724348E-3</v>
      </c>
      <c r="U572" s="15">
        <f t="shared" ca="1" si="103"/>
        <v>10.014520319226158</v>
      </c>
      <c r="V572" s="15">
        <f t="shared" ca="1" si="104"/>
        <v>10.014520308471871</v>
      </c>
      <c r="X572" s="15">
        <f t="shared" si="105"/>
        <v>10.5</v>
      </c>
      <c r="Y572" s="15">
        <f t="shared" si="106"/>
        <v>9.5</v>
      </c>
      <c r="Z572" s="15">
        <f t="shared" ca="1" si="107"/>
        <v>1</v>
      </c>
    </row>
    <row r="573" spans="12:26" x14ac:dyDescent="0.3">
      <c r="L573" s="15">
        <v>571</v>
      </c>
      <c r="M573" s="15">
        <f t="shared" si="99"/>
        <v>10</v>
      </c>
      <c r="N573" s="15">
        <f t="shared" ca="1" si="100"/>
        <v>-1.5607231765894625E-2</v>
      </c>
      <c r="O573" s="15">
        <f t="shared" ca="1" si="109"/>
        <v>2.4946598395282042</v>
      </c>
      <c r="P573" s="15">
        <f t="shared" ca="1" si="108"/>
        <v>2.494659834190891</v>
      </c>
      <c r="Q573" s="15">
        <v>0</v>
      </c>
      <c r="R573" s="15">
        <f t="shared" ca="1" si="101"/>
        <v>2.494659834190891</v>
      </c>
      <c r="S573" s="15">
        <f t="shared" ca="1" si="110"/>
        <v>10.007912087534585</v>
      </c>
      <c r="T573" s="15">
        <f t="shared" ca="1" si="102"/>
        <v>7.6951663010364629E-3</v>
      </c>
      <c r="U573" s="15">
        <f t="shared" ca="1" si="103"/>
        <v>10.015607253835622</v>
      </c>
      <c r="V573" s="15">
        <f t="shared" ca="1" si="104"/>
        <v>10.015607231765895</v>
      </c>
      <c r="X573" s="15">
        <f t="shared" si="105"/>
        <v>10.5</v>
      </c>
      <c r="Y573" s="15">
        <f t="shared" si="106"/>
        <v>9.5</v>
      </c>
      <c r="Z573" s="15">
        <f t="shared" ca="1" si="107"/>
        <v>1</v>
      </c>
    </row>
    <row r="574" spans="12:26" x14ac:dyDescent="0.3">
      <c r="L574" s="15">
        <v>572</v>
      </c>
      <c r="M574" s="15">
        <f t="shared" si="99"/>
        <v>10</v>
      </c>
      <c r="N574" s="15">
        <f t="shared" ca="1" si="100"/>
        <v>-1.3354572004953269E-2</v>
      </c>
      <c r="O574" s="15">
        <f t="shared" ca="1" si="109"/>
        <v>2.4946598395282042</v>
      </c>
      <c r="P574" s="15">
        <f t="shared" ca="1" si="108"/>
        <v>2.494659834190891</v>
      </c>
      <c r="Q574" s="15">
        <v>0</v>
      </c>
      <c r="R574" s="15">
        <f t="shared" ca="1" si="101"/>
        <v>2.494659834190891</v>
      </c>
      <c r="S574" s="15">
        <f t="shared" ca="1" si="110"/>
        <v>10.007340422758823</v>
      </c>
      <c r="T574" s="15">
        <f t="shared" ca="1" si="102"/>
        <v>6.0141551395642258E-3</v>
      </c>
      <c r="U574" s="15">
        <f t="shared" ca="1" si="103"/>
        <v>10.013354577898387</v>
      </c>
      <c r="V574" s="15">
        <f t="shared" ca="1" si="104"/>
        <v>10.013354572004953</v>
      </c>
      <c r="X574" s="15">
        <f t="shared" si="105"/>
        <v>10.5</v>
      </c>
      <c r="Y574" s="15">
        <f t="shared" si="106"/>
        <v>9.5</v>
      </c>
      <c r="Z574" s="15">
        <f t="shared" ca="1" si="107"/>
        <v>1</v>
      </c>
    </row>
    <row r="575" spans="12:26" x14ac:dyDescent="0.3">
      <c r="L575" s="15">
        <v>573</v>
      </c>
      <c r="M575" s="15">
        <f t="shared" si="99"/>
        <v>10</v>
      </c>
      <c r="N575" s="15">
        <f t="shared" ca="1" si="100"/>
        <v>-1.6667938329435472E-2</v>
      </c>
      <c r="O575" s="15">
        <f t="shared" ca="1" si="109"/>
        <v>2.4944145361469117</v>
      </c>
      <c r="P575" s="15">
        <f t="shared" ca="1" si="108"/>
        <v>2.49441452382468</v>
      </c>
      <c r="Q575" s="15">
        <v>0</v>
      </c>
      <c r="R575" s="15">
        <f t="shared" ca="1" si="101"/>
        <v>2.49441452382468</v>
      </c>
      <c r="S575" s="15">
        <f t="shared" ca="1" si="110"/>
        <v>10.006760867278476</v>
      </c>
      <c r="T575" s="15">
        <f t="shared" ca="1" si="102"/>
        <v>9.9070846767818303E-3</v>
      </c>
      <c r="U575" s="15">
        <f t="shared" ca="1" si="103"/>
        <v>10.016667951955258</v>
      </c>
      <c r="V575" s="15">
        <f t="shared" ca="1" si="104"/>
        <v>10.016667938329435</v>
      </c>
      <c r="X575" s="15">
        <f t="shared" si="105"/>
        <v>10.5</v>
      </c>
      <c r="Y575" s="15">
        <f t="shared" si="106"/>
        <v>9.5</v>
      </c>
      <c r="Z575" s="15">
        <f t="shared" ca="1" si="107"/>
        <v>1</v>
      </c>
    </row>
    <row r="576" spans="12:26" x14ac:dyDescent="0.3">
      <c r="L576" s="15">
        <v>574</v>
      </c>
      <c r="M576" s="15">
        <f t="shared" si="99"/>
        <v>10</v>
      </c>
      <c r="N576" s="15">
        <f t="shared" ca="1" si="100"/>
        <v>-1.3607472650150498E-2</v>
      </c>
      <c r="O576" s="15">
        <f t="shared" ca="1" si="109"/>
        <v>2.4944145361469117</v>
      </c>
      <c r="P576" s="15">
        <f t="shared" ca="1" si="108"/>
        <v>2.49441452382468</v>
      </c>
      <c r="Q576" s="15">
        <v>0</v>
      </c>
      <c r="R576" s="15">
        <f t="shared" ca="1" si="101"/>
        <v>2.49441452382468</v>
      </c>
      <c r="S576" s="15">
        <f t="shared" ca="1" si="110"/>
        <v>10.00617899190239</v>
      </c>
      <c r="T576" s="15">
        <f t="shared" ca="1" si="102"/>
        <v>7.42848955633832E-3</v>
      </c>
      <c r="U576" s="15">
        <f t="shared" ca="1" si="103"/>
        <v>10.013607481458727</v>
      </c>
      <c r="V576" s="15">
        <f t="shared" ca="1" si="104"/>
        <v>10.01360747265015</v>
      </c>
      <c r="X576" s="15">
        <f t="shared" si="105"/>
        <v>10.5</v>
      </c>
      <c r="Y576" s="15">
        <f t="shared" si="106"/>
        <v>9.5</v>
      </c>
      <c r="Z576" s="15">
        <f t="shared" ca="1" si="107"/>
        <v>1</v>
      </c>
    </row>
    <row r="577" spans="12:26" x14ac:dyDescent="0.3">
      <c r="L577" s="15">
        <v>575</v>
      </c>
      <c r="M577" s="15">
        <f t="shared" si="99"/>
        <v>10</v>
      </c>
      <c r="N577" s="15">
        <f t="shared" ca="1" si="100"/>
        <v>-1.304202014884126E-2</v>
      </c>
      <c r="O577" s="15">
        <f t="shared" ca="1" si="109"/>
        <v>2.4944145361469117</v>
      </c>
      <c r="P577" s="15">
        <f t="shared" ca="1" si="108"/>
        <v>2.49441452382468</v>
      </c>
      <c r="Q577" s="15">
        <v>0</v>
      </c>
      <c r="R577" s="15">
        <f t="shared" ca="1" si="101"/>
        <v>2.49441452382468</v>
      </c>
      <c r="S577" s="15">
        <f t="shared" ca="1" si="110"/>
        <v>10.005597552215615</v>
      </c>
      <c r="T577" s="15">
        <f t="shared" ca="1" si="102"/>
        <v>7.4444905694029066E-3</v>
      </c>
      <c r="U577" s="15">
        <f t="shared" ca="1" si="103"/>
        <v>10.013042042785019</v>
      </c>
      <c r="V577" s="15">
        <f t="shared" ca="1" si="104"/>
        <v>10.013042020148841</v>
      </c>
      <c r="X577" s="15">
        <f t="shared" si="105"/>
        <v>10.5</v>
      </c>
      <c r="Y577" s="15">
        <f t="shared" si="106"/>
        <v>9.5</v>
      </c>
      <c r="Z577" s="15">
        <f t="shared" ca="1" si="107"/>
        <v>1</v>
      </c>
    </row>
    <row r="578" spans="12:26" x14ac:dyDescent="0.3">
      <c r="L578" s="15">
        <v>576</v>
      </c>
      <c r="M578" s="15">
        <f t="shared" si="99"/>
        <v>10</v>
      </c>
      <c r="N578" s="15">
        <f t="shared" ca="1" si="100"/>
        <v>-1.3109494469386362E-2</v>
      </c>
      <c r="O578" s="15">
        <f t="shared" ca="1" si="109"/>
        <v>2.4981863400229911</v>
      </c>
      <c r="P578" s="15">
        <f t="shared" ca="1" si="108"/>
        <v>2.4981863336866224</v>
      </c>
      <c r="Q578" s="15">
        <v>0</v>
      </c>
      <c r="R578" s="15">
        <f t="shared" ca="1" si="101"/>
        <v>2.4981863336866224</v>
      </c>
      <c r="S578" s="15">
        <f t="shared" ca="1" si="110"/>
        <v>10.005018976749266</v>
      </c>
      <c r="T578" s="15">
        <f t="shared" ca="1" si="102"/>
        <v>8.0905187557895105E-3</v>
      </c>
      <c r="U578" s="15">
        <f t="shared" ca="1" si="103"/>
        <v>10.013109495505056</v>
      </c>
      <c r="V578" s="15">
        <f t="shared" ca="1" si="104"/>
        <v>10.013109494469386</v>
      </c>
      <c r="X578" s="15">
        <f t="shared" si="105"/>
        <v>10.5</v>
      </c>
      <c r="Y578" s="15">
        <f t="shared" si="106"/>
        <v>9.5</v>
      </c>
      <c r="Z578" s="15">
        <f t="shared" ca="1" si="107"/>
        <v>1</v>
      </c>
    </row>
    <row r="579" spans="12:26" x14ac:dyDescent="0.3">
      <c r="L579" s="15">
        <v>577</v>
      </c>
      <c r="M579" s="15">
        <f t="shared" ref="M579:M642" si="111">IF(L579&lt;$D$16,$D$13,IF(L579&lt;$E$16,$E$13,$F$13))</f>
        <v>10</v>
      </c>
      <c r="N579" s="15">
        <f t="shared" ref="N579:N642" ca="1" si="112">M579-V579</f>
        <v>-1.4078326060921853E-2</v>
      </c>
      <c r="O579" s="15">
        <f t="shared" ca="1" si="109"/>
        <v>2.4981863400229911</v>
      </c>
      <c r="P579" s="15">
        <f t="shared" ca="1" si="108"/>
        <v>2.4981863336866224</v>
      </c>
      <c r="Q579" s="15">
        <v>0</v>
      </c>
      <c r="R579" s="15">
        <f t="shared" ref="R579:R642" ca="1" si="113">P579+Q579</f>
        <v>2.4981863336866224</v>
      </c>
      <c r="S579" s="15">
        <f t="shared" ca="1" si="110"/>
        <v>10.004445372564383</v>
      </c>
      <c r="T579" s="15">
        <f t="shared" ref="T579:T642" ca="1" si="114">RAND()*$G$12</f>
        <v>9.6329621717759113E-3</v>
      </c>
      <c r="U579" s="15">
        <f t="shared" ref="U579:U642" ca="1" si="115">S579+T579</f>
        <v>10.01407833473616</v>
      </c>
      <c r="V579" s="15">
        <f t="shared" ref="V579:V642" ca="1" si="116">INT((2^$J$12-1)*U579/100)/(2^$J$12-1)*100</f>
        <v>10.014078326060922</v>
      </c>
      <c r="X579" s="15">
        <f t="shared" ref="X579:X642" si="117">M579 * 1.05</f>
        <v>10.5</v>
      </c>
      <c r="Y579" s="15">
        <f t="shared" ref="Y579:Y642" si="118">M579 * 0.95</f>
        <v>9.5</v>
      </c>
      <c r="Z579" s="15">
        <f t="shared" ref="Z579:Z642" ca="1" si="119">IF(AND(V579 &lt;= X579, V579 &gt;= Y579), 1, 0)</f>
        <v>1</v>
      </c>
    </row>
    <row r="580" spans="12:26" x14ac:dyDescent="0.3">
      <c r="L580" s="15">
        <v>578</v>
      </c>
      <c r="M580" s="15">
        <f t="shared" si="111"/>
        <v>10</v>
      </c>
      <c r="N580" s="15">
        <f t="shared" ca="1" si="112"/>
        <v>-1.0578206277120472E-2</v>
      </c>
      <c r="O580" s="15">
        <f t="shared" ca="1" si="109"/>
        <v>2.4981863400229911</v>
      </c>
      <c r="P580" s="15">
        <f t="shared" ca="1" si="108"/>
        <v>2.4981863336866224</v>
      </c>
      <c r="Q580" s="15">
        <v>0</v>
      </c>
      <c r="R580" s="15">
        <f t="shared" ca="1" si="113"/>
        <v>2.4981863336866224</v>
      </c>
      <c r="S580" s="15">
        <f t="shared" ca="1" si="110"/>
        <v>10.003878534748013</v>
      </c>
      <c r="T580" s="15">
        <f t="shared" ca="1" si="114"/>
        <v>6.699690154515635E-3</v>
      </c>
      <c r="U580" s="15">
        <f t="shared" ca="1" si="115"/>
        <v>10.010578224902529</v>
      </c>
      <c r="V580" s="15">
        <f t="shared" ca="1" si="116"/>
        <v>10.01057820627712</v>
      </c>
      <c r="X580" s="15">
        <f t="shared" si="117"/>
        <v>10.5</v>
      </c>
      <c r="Y580" s="15">
        <f t="shared" si="118"/>
        <v>9.5</v>
      </c>
      <c r="Z580" s="15">
        <f t="shared" ca="1" si="119"/>
        <v>1</v>
      </c>
    </row>
    <row r="581" spans="12:26" x14ac:dyDescent="0.3">
      <c r="L581" s="15">
        <v>579</v>
      </c>
      <c r="M581" s="15">
        <f t="shared" si="111"/>
        <v>10</v>
      </c>
      <c r="N581" s="15">
        <f t="shared" ca="1" si="112"/>
        <v>-1.2580200567045452E-2</v>
      </c>
      <c r="O581" s="15">
        <f t="shared" ca="1" si="109"/>
        <v>2.4962118968540663</v>
      </c>
      <c r="P581" s="15">
        <f t="shared" ca="1" si="108"/>
        <v>2.4962118832618492</v>
      </c>
      <c r="Q581" s="15">
        <v>0</v>
      </c>
      <c r="R581" s="15">
        <f t="shared" ca="1" si="113"/>
        <v>2.4962118832618492</v>
      </c>
      <c r="S581" s="15">
        <f t="shared" ca="1" si="110"/>
        <v>10.003311860433318</v>
      </c>
      <c r="T581" s="15">
        <f t="shared" ca="1" si="114"/>
        <v>9.2683433064407635E-3</v>
      </c>
      <c r="U581" s="15">
        <f t="shared" ca="1" si="115"/>
        <v>10.012580203739759</v>
      </c>
      <c r="V581" s="15">
        <f t="shared" ca="1" si="116"/>
        <v>10.012580200567045</v>
      </c>
      <c r="X581" s="15">
        <f t="shared" si="117"/>
        <v>10.5</v>
      </c>
      <c r="Y581" s="15">
        <f t="shared" si="118"/>
        <v>9.5</v>
      </c>
      <c r="Z581" s="15">
        <f t="shared" ca="1" si="119"/>
        <v>1</v>
      </c>
    </row>
    <row r="582" spans="12:26" x14ac:dyDescent="0.3">
      <c r="L582" s="15">
        <v>580</v>
      </c>
      <c r="M582" s="15">
        <f t="shared" si="111"/>
        <v>10</v>
      </c>
      <c r="N582" s="15">
        <f t="shared" ca="1" si="112"/>
        <v>-8.897774389222235E-3</v>
      </c>
      <c r="O582" s="15">
        <f t="shared" ca="1" si="109"/>
        <v>2.4962118968540663</v>
      </c>
      <c r="P582" s="15">
        <f t="shared" ca="1" si="108"/>
        <v>2.4962118832618492</v>
      </c>
      <c r="Q582" s="15">
        <v>0</v>
      </c>
      <c r="R582" s="15">
        <f t="shared" ca="1" si="113"/>
        <v>2.4962118832618492</v>
      </c>
      <c r="S582" s="15">
        <f t="shared" ca="1" si="110"/>
        <v>10.002739944391648</v>
      </c>
      <c r="T582" s="15">
        <f t="shared" ca="1" si="114"/>
        <v>6.1578406708350346E-3</v>
      </c>
      <c r="U582" s="15">
        <f t="shared" ca="1" si="115"/>
        <v>10.008897785062482</v>
      </c>
      <c r="V582" s="15">
        <f t="shared" ca="1" si="116"/>
        <v>10.008897774389222</v>
      </c>
      <c r="X582" s="15">
        <f t="shared" si="117"/>
        <v>10.5</v>
      </c>
      <c r="Y582" s="15">
        <f t="shared" si="118"/>
        <v>9.5</v>
      </c>
      <c r="Z582" s="15">
        <f t="shared" ca="1" si="119"/>
        <v>1</v>
      </c>
    </row>
    <row r="583" spans="12:26" x14ac:dyDescent="0.3">
      <c r="L583" s="15">
        <v>581</v>
      </c>
      <c r="M583" s="15">
        <f t="shared" si="111"/>
        <v>10</v>
      </c>
      <c r="N583" s="15">
        <f t="shared" ca="1" si="112"/>
        <v>-5.3312280227739706E-3</v>
      </c>
      <c r="O583" s="15">
        <f t="shared" ca="1" si="109"/>
        <v>2.4962118968540663</v>
      </c>
      <c r="P583" s="15">
        <f t="shared" ca="1" si="108"/>
        <v>2.4962118832618492</v>
      </c>
      <c r="Q583" s="15">
        <v>0</v>
      </c>
      <c r="R583" s="15">
        <f t="shared" ca="1" si="113"/>
        <v>2.4962118832618492</v>
      </c>
      <c r="S583" s="15">
        <f t="shared" ca="1" si="110"/>
        <v>10.002165870970007</v>
      </c>
      <c r="T583" s="15">
        <f t="shared" ca="1" si="114"/>
        <v>3.1653765041936843E-3</v>
      </c>
      <c r="U583" s="15">
        <f t="shared" ca="1" si="115"/>
        <v>10.005331247474201</v>
      </c>
      <c r="V583" s="15">
        <f t="shared" ca="1" si="116"/>
        <v>10.005331228022774</v>
      </c>
      <c r="X583" s="15">
        <f t="shared" si="117"/>
        <v>10.5</v>
      </c>
      <c r="Y583" s="15">
        <f t="shared" si="118"/>
        <v>9.5</v>
      </c>
      <c r="Z583" s="15">
        <f t="shared" ca="1" si="119"/>
        <v>1</v>
      </c>
    </row>
    <row r="584" spans="12:26" x14ac:dyDescent="0.3">
      <c r="L584" s="15">
        <v>582</v>
      </c>
      <c r="M584" s="15">
        <f t="shared" si="111"/>
        <v>10</v>
      </c>
      <c r="N584" s="15">
        <f t="shared" ca="1" si="112"/>
        <v>-9.5219002127464591E-3</v>
      </c>
      <c r="O584" s="15">
        <f t="shared" ca="1" si="109"/>
        <v>2.498062792344995</v>
      </c>
      <c r="P584" s="15">
        <f t="shared" ca="1" si="108"/>
        <v>2.4980627704640068</v>
      </c>
      <c r="Q584" s="15">
        <v>0</v>
      </c>
      <c r="R584" s="15">
        <f t="shared" ca="1" si="113"/>
        <v>2.4980627704640068</v>
      </c>
      <c r="S584" s="15">
        <f t="shared" ca="1" si="110"/>
        <v>10.001632686748751</v>
      </c>
      <c r="T584" s="15">
        <f t="shared" ca="1" si="114"/>
        <v>7.8892157006841199E-3</v>
      </c>
      <c r="U584" s="15">
        <f t="shared" ca="1" si="115"/>
        <v>10.009521902449436</v>
      </c>
      <c r="V584" s="15">
        <f t="shared" ca="1" si="116"/>
        <v>10.009521900212746</v>
      </c>
      <c r="X584" s="15">
        <f t="shared" si="117"/>
        <v>10.5</v>
      </c>
      <c r="Y584" s="15">
        <f t="shared" si="118"/>
        <v>9.5</v>
      </c>
      <c r="Z584" s="15">
        <f t="shared" ca="1" si="119"/>
        <v>1</v>
      </c>
    </row>
    <row r="585" spans="12:26" x14ac:dyDescent="0.3">
      <c r="L585" s="15">
        <v>583</v>
      </c>
      <c r="M585" s="15">
        <f t="shared" si="111"/>
        <v>10</v>
      </c>
      <c r="N585" s="15">
        <f t="shared" ca="1" si="112"/>
        <v>-9.4519811704412149E-3</v>
      </c>
      <c r="O585" s="15">
        <f t="shared" ca="1" si="109"/>
        <v>2.498062792344995</v>
      </c>
      <c r="P585" s="15">
        <f t="shared" ca="1" si="108"/>
        <v>2.4980627704640068</v>
      </c>
      <c r="Q585" s="15">
        <v>0</v>
      </c>
      <c r="R585" s="15">
        <f t="shared" ca="1" si="113"/>
        <v>2.4980627704640068</v>
      </c>
      <c r="S585" s="15">
        <f t="shared" ca="1" si="110"/>
        <v>10.001176016307378</v>
      </c>
      <c r="T585" s="15">
        <f t="shared" ca="1" si="114"/>
        <v>8.2759827579308946E-3</v>
      </c>
      <c r="U585" s="15">
        <f t="shared" ca="1" si="115"/>
        <v>10.009451999065309</v>
      </c>
      <c r="V585" s="15">
        <f t="shared" ca="1" si="116"/>
        <v>10.009451981170441</v>
      </c>
      <c r="X585" s="15">
        <f t="shared" si="117"/>
        <v>10.5</v>
      </c>
      <c r="Y585" s="15">
        <f t="shared" si="118"/>
        <v>9.5</v>
      </c>
      <c r="Z585" s="15">
        <f t="shared" ca="1" si="119"/>
        <v>1</v>
      </c>
    </row>
    <row r="586" spans="12:26" x14ac:dyDescent="0.3">
      <c r="L586" s="15">
        <v>584</v>
      </c>
      <c r="M586" s="15">
        <f t="shared" si="111"/>
        <v>10</v>
      </c>
      <c r="N586" s="15">
        <f t="shared" ca="1" si="112"/>
        <v>-3.0937488198041763E-3</v>
      </c>
      <c r="O586" s="15">
        <f t="shared" ca="1" si="109"/>
        <v>2.498062792344995</v>
      </c>
      <c r="P586" s="15">
        <f t="shared" ca="1" si="108"/>
        <v>2.4980627704640068</v>
      </c>
      <c r="Q586" s="15">
        <v>0</v>
      </c>
      <c r="R586" s="15">
        <f t="shared" ca="1" si="113"/>
        <v>2.4980627704640068</v>
      </c>
      <c r="S586" s="15">
        <f t="shared" ca="1" si="110"/>
        <v>10.000788078818207</v>
      </c>
      <c r="T586" s="15">
        <f t="shared" ca="1" si="114"/>
        <v>2.3056701736495987E-3</v>
      </c>
      <c r="U586" s="15">
        <f t="shared" ca="1" si="115"/>
        <v>10.003093748991857</v>
      </c>
      <c r="V586" s="15">
        <f t="shared" ca="1" si="116"/>
        <v>10.003093748819804</v>
      </c>
      <c r="X586" s="15">
        <f t="shared" si="117"/>
        <v>10.5</v>
      </c>
      <c r="Y586" s="15">
        <f t="shared" si="118"/>
        <v>9.5</v>
      </c>
      <c r="Z586" s="15">
        <f t="shared" ca="1" si="119"/>
        <v>1</v>
      </c>
    </row>
    <row r="587" spans="12:26" x14ac:dyDescent="0.3">
      <c r="L587" s="15">
        <v>585</v>
      </c>
      <c r="M587" s="15">
        <f t="shared" si="111"/>
        <v>10</v>
      </c>
      <c r="N587" s="15">
        <f t="shared" ca="1" si="112"/>
        <v>-5.1980605361023891E-4</v>
      </c>
      <c r="O587" s="15">
        <f t="shared" ca="1" si="109"/>
        <v>2.5031508542786538</v>
      </c>
      <c r="P587" s="15">
        <f t="shared" ca="1" si="108"/>
        <v>2.5031508418040236</v>
      </c>
      <c r="Q587" s="15">
        <v>0</v>
      </c>
      <c r="R587" s="15">
        <f t="shared" ca="1" si="113"/>
        <v>2.5031508418040236</v>
      </c>
      <c r="S587" s="15">
        <f t="shared" ca="1" si="110"/>
        <v>10.000408713529103</v>
      </c>
      <c r="T587" s="15">
        <f t="shared" ca="1" si="114"/>
        <v>1.1110642775855718E-4</v>
      </c>
      <c r="U587" s="15">
        <f t="shared" ca="1" si="115"/>
        <v>10.00051981995686</v>
      </c>
      <c r="V587" s="15">
        <f t="shared" ca="1" si="116"/>
        <v>10.00051980605361</v>
      </c>
      <c r="X587" s="15">
        <f t="shared" si="117"/>
        <v>10.5</v>
      </c>
      <c r="Y587" s="15">
        <f t="shared" si="118"/>
        <v>9.5</v>
      </c>
      <c r="Z587" s="15">
        <f t="shared" ca="1" si="119"/>
        <v>1</v>
      </c>
    </row>
    <row r="588" spans="12:26" x14ac:dyDescent="0.3">
      <c r="L588" s="15">
        <v>586</v>
      </c>
      <c r="M588" s="15">
        <f t="shared" si="111"/>
        <v>10</v>
      </c>
      <c r="N588" s="15">
        <f t="shared" ca="1" si="112"/>
        <v>-2.8827344074109362E-3</v>
      </c>
      <c r="O588" s="15">
        <f t="shared" ca="1" si="109"/>
        <v>2.5031508542786538</v>
      </c>
      <c r="P588" s="15">
        <f t="shared" ca="1" si="108"/>
        <v>2.5031508418040236</v>
      </c>
      <c r="Q588" s="15">
        <v>0</v>
      </c>
      <c r="R588" s="15">
        <f t="shared" ca="1" si="113"/>
        <v>2.5031508418040236</v>
      </c>
      <c r="S588" s="15">
        <f t="shared" ca="1" si="110"/>
        <v>9.999987708181731</v>
      </c>
      <c r="T588" s="15">
        <f t="shared" ca="1" si="114"/>
        <v>2.8950337301134653E-3</v>
      </c>
      <c r="U588" s="15">
        <f t="shared" ca="1" si="115"/>
        <v>10.002882741911845</v>
      </c>
      <c r="V588" s="15">
        <f t="shared" ca="1" si="116"/>
        <v>10.002882734407411</v>
      </c>
      <c r="X588" s="15">
        <f t="shared" si="117"/>
        <v>10.5</v>
      </c>
      <c r="Y588" s="15">
        <f t="shared" si="118"/>
        <v>9.5</v>
      </c>
      <c r="Z588" s="15">
        <f t="shared" ca="1" si="119"/>
        <v>1</v>
      </c>
    </row>
    <row r="589" spans="12:26" x14ac:dyDescent="0.3">
      <c r="L589" s="15">
        <v>587</v>
      </c>
      <c r="M589" s="15">
        <f t="shared" si="111"/>
        <v>10</v>
      </c>
      <c r="N589" s="15">
        <f t="shared" ca="1" si="112"/>
        <v>-6.2893959708265612E-3</v>
      </c>
      <c r="O589" s="15">
        <f t="shared" ca="1" si="109"/>
        <v>2.5031508542786538</v>
      </c>
      <c r="P589" s="15">
        <f t="shared" ref="P589:P652" ca="1" si="120">INT((2^$J$12-1)*O589/100)/(2^$J$12-1)*100</f>
        <v>2.5031508418040236</v>
      </c>
      <c r="Q589" s="15">
        <v>0</v>
      </c>
      <c r="R589" s="15">
        <f t="shared" ca="1" si="113"/>
        <v>2.5031508418040236</v>
      </c>
      <c r="S589" s="15">
        <f t="shared" ca="1" si="110"/>
        <v>9.9995321290942378</v>
      </c>
      <c r="T589" s="15">
        <f t="shared" ca="1" si="114"/>
        <v>6.7572873826871943E-3</v>
      </c>
      <c r="U589" s="15">
        <f t="shared" ca="1" si="115"/>
        <v>10.006289416476925</v>
      </c>
      <c r="V589" s="15">
        <f t="shared" ca="1" si="116"/>
        <v>10.006289395970827</v>
      </c>
      <c r="X589" s="15">
        <f t="shared" si="117"/>
        <v>10.5</v>
      </c>
      <c r="Y589" s="15">
        <f t="shared" si="118"/>
        <v>9.5</v>
      </c>
      <c r="Z589" s="15">
        <f t="shared" ca="1" si="119"/>
        <v>1</v>
      </c>
    </row>
    <row r="590" spans="12:26" x14ac:dyDescent="0.3">
      <c r="L590" s="15">
        <v>588</v>
      </c>
      <c r="M590" s="15">
        <f t="shared" si="111"/>
        <v>10</v>
      </c>
      <c r="N590" s="15">
        <f t="shared" ca="1" si="112"/>
        <v>-8.477945814018284E-4</v>
      </c>
      <c r="O590" s="15">
        <f t="shared" ca="1" si="109"/>
        <v>2.4974803393798055</v>
      </c>
      <c r="P590" s="15">
        <f t="shared" ca="1" si="120"/>
        <v>2.4974803213257064</v>
      </c>
      <c r="Q590" s="15">
        <v>0</v>
      </c>
      <c r="R590" s="15">
        <f t="shared" ca="1" si="113"/>
        <v>2.4974803213257064</v>
      </c>
      <c r="S590" s="15">
        <f t="shared" ca="1" si="110"/>
        <v>9.999111253621189</v>
      </c>
      <c r="T590" s="15">
        <f t="shared" ca="1" si="114"/>
        <v>1.7365582794785462E-3</v>
      </c>
      <c r="U590" s="15">
        <f t="shared" ca="1" si="115"/>
        <v>10.000847811900668</v>
      </c>
      <c r="V590" s="15">
        <f t="shared" ca="1" si="116"/>
        <v>10.000847794581402</v>
      </c>
      <c r="X590" s="15">
        <f t="shared" si="117"/>
        <v>10.5</v>
      </c>
      <c r="Y590" s="15">
        <f t="shared" si="118"/>
        <v>9.5</v>
      </c>
      <c r="Z590" s="15">
        <f t="shared" ca="1" si="119"/>
        <v>1</v>
      </c>
    </row>
    <row r="591" spans="12:26" x14ac:dyDescent="0.3">
      <c r="L591" s="15">
        <v>589</v>
      </c>
      <c r="M591" s="15">
        <f t="shared" si="111"/>
        <v>10</v>
      </c>
      <c r="N591" s="15">
        <f t="shared" ca="1" si="112"/>
        <v>-5.0927395944242448E-3</v>
      </c>
      <c r="O591" s="15">
        <f t="shared" ca="1" si="109"/>
        <v>2.4974803393798055</v>
      </c>
      <c r="P591" s="15">
        <f t="shared" ca="1" si="120"/>
        <v>2.4974803213257064</v>
      </c>
      <c r="Q591" s="15">
        <v>0</v>
      </c>
      <c r="R591" s="15">
        <f t="shared" ca="1" si="113"/>
        <v>2.4974803213257064</v>
      </c>
      <c r="S591" s="15">
        <f t="shared" ca="1" si="110"/>
        <v>9.9987826330390277</v>
      </c>
      <c r="T591" s="15">
        <f t="shared" ca="1" si="114"/>
        <v>6.3101127960939673E-3</v>
      </c>
      <c r="U591" s="15">
        <f t="shared" ca="1" si="115"/>
        <v>10.005092745835121</v>
      </c>
      <c r="V591" s="15">
        <f t="shared" ca="1" si="116"/>
        <v>10.005092739594424</v>
      </c>
      <c r="X591" s="15">
        <f t="shared" si="117"/>
        <v>10.5</v>
      </c>
      <c r="Y591" s="15">
        <f t="shared" si="118"/>
        <v>9.5</v>
      </c>
      <c r="Z591" s="15">
        <f t="shared" ca="1" si="119"/>
        <v>1</v>
      </c>
    </row>
    <row r="592" spans="12:26" x14ac:dyDescent="0.3">
      <c r="L592" s="15">
        <v>590</v>
      </c>
      <c r="M592" s="15">
        <f t="shared" si="111"/>
        <v>10</v>
      </c>
      <c r="N592" s="15">
        <f t="shared" ca="1" si="112"/>
        <v>-1.8664868552953351E-4</v>
      </c>
      <c r="O592" s="15">
        <f t="shared" ca="1" si="109"/>
        <v>2.4974803393798055</v>
      </c>
      <c r="P592" s="15">
        <f t="shared" ca="1" si="120"/>
        <v>2.4974803213257064</v>
      </c>
      <c r="Q592" s="15">
        <v>0</v>
      </c>
      <c r="R592" s="15">
        <f t="shared" ca="1" si="113"/>
        <v>2.4974803213257064</v>
      </c>
      <c r="S592" s="15">
        <f t="shared" ca="1" si="110"/>
        <v>9.9985359468027113</v>
      </c>
      <c r="T592" s="15">
        <f t="shared" ca="1" si="114"/>
        <v>1.6507206075881209E-3</v>
      </c>
      <c r="U592" s="15">
        <f t="shared" ca="1" si="115"/>
        <v>10.000186667410299</v>
      </c>
      <c r="V592" s="15">
        <f t="shared" ca="1" si="116"/>
        <v>10.00018664868553</v>
      </c>
      <c r="X592" s="15">
        <f t="shared" si="117"/>
        <v>10.5</v>
      </c>
      <c r="Y592" s="15">
        <f t="shared" si="118"/>
        <v>9.5</v>
      </c>
      <c r="Z592" s="15">
        <f t="shared" ca="1" si="119"/>
        <v>1</v>
      </c>
    </row>
    <row r="593" spans="12:26" x14ac:dyDescent="0.3">
      <c r="L593" s="15">
        <v>591</v>
      </c>
      <c r="M593" s="15">
        <f t="shared" si="111"/>
        <v>10</v>
      </c>
      <c r="N593" s="15">
        <f t="shared" ca="1" si="112"/>
        <v>1.1820695365738487E-3</v>
      </c>
      <c r="O593" s="15">
        <f t="shared" ca="1" si="109"/>
        <v>2.4992637084807887</v>
      </c>
      <c r="P593" s="15">
        <f t="shared" ca="1" si="120"/>
        <v>2.4992636876411884</v>
      </c>
      <c r="Q593" s="15">
        <v>0</v>
      </c>
      <c r="R593" s="15">
        <f t="shared" ca="1" si="113"/>
        <v>2.4992636876411884</v>
      </c>
      <c r="S593" s="15">
        <f t="shared" ca="1" si="110"/>
        <v>9.9982977099178232</v>
      </c>
      <c r="T593" s="15">
        <f t="shared" ca="1" si="114"/>
        <v>5.2024094144268005E-4</v>
      </c>
      <c r="U593" s="15">
        <f t="shared" ca="1" si="115"/>
        <v>9.9988179508592658</v>
      </c>
      <c r="V593" s="15">
        <f t="shared" ca="1" si="116"/>
        <v>9.9988179304634262</v>
      </c>
      <c r="X593" s="15">
        <f t="shared" si="117"/>
        <v>10.5</v>
      </c>
      <c r="Y593" s="15">
        <f t="shared" si="118"/>
        <v>9.5</v>
      </c>
      <c r="Z593" s="15">
        <f t="shared" ca="1" si="119"/>
        <v>1</v>
      </c>
    </row>
    <row r="594" spans="12:26" x14ac:dyDescent="0.3">
      <c r="L594" s="15">
        <v>592</v>
      </c>
      <c r="M594" s="15">
        <f t="shared" si="111"/>
        <v>10</v>
      </c>
      <c r="N594" s="15">
        <f t="shared" ca="1" si="112"/>
        <v>1.1511729101538748E-3</v>
      </c>
      <c r="O594" s="15">
        <f t="shared" ca="1" si="109"/>
        <v>2.4992637084807887</v>
      </c>
      <c r="P594" s="15">
        <f t="shared" ca="1" si="120"/>
        <v>2.4992636876411884</v>
      </c>
      <c r="Q594" s="15">
        <v>0</v>
      </c>
      <c r="R594" s="15">
        <f t="shared" ca="1" si="113"/>
        <v>2.4992636876411884</v>
      </c>
      <c r="S594" s="15">
        <f t="shared" ca="1" si="110"/>
        <v>9.9980065666422746</v>
      </c>
      <c r="T594" s="15">
        <f t="shared" ca="1" si="114"/>
        <v>8.4226129349879717E-4</v>
      </c>
      <c r="U594" s="15">
        <f t="shared" ca="1" si="115"/>
        <v>9.9988488279357739</v>
      </c>
      <c r="V594" s="15">
        <f t="shared" ca="1" si="116"/>
        <v>9.9988488270898461</v>
      </c>
      <c r="X594" s="15">
        <f t="shared" si="117"/>
        <v>10.5</v>
      </c>
      <c r="Y594" s="15">
        <f t="shared" si="118"/>
        <v>9.5</v>
      </c>
      <c r="Z594" s="15">
        <f t="shared" ca="1" si="119"/>
        <v>1</v>
      </c>
    </row>
    <row r="595" spans="12:26" x14ac:dyDescent="0.3">
      <c r="L595" s="15">
        <v>593</v>
      </c>
      <c r="M595" s="15">
        <f t="shared" si="111"/>
        <v>10</v>
      </c>
      <c r="N595" s="15">
        <f t="shared" ca="1" si="112"/>
        <v>-3.3996184364433191E-3</v>
      </c>
      <c r="O595" s="15">
        <f t="shared" ca="1" si="109"/>
        <v>2.4992637084807887</v>
      </c>
      <c r="P595" s="15">
        <f t="shared" ca="1" si="120"/>
        <v>2.4992636876411884</v>
      </c>
      <c r="Q595" s="15">
        <v>0</v>
      </c>
      <c r="R595" s="15">
        <f t="shared" ca="1" si="113"/>
        <v>2.4992636876411884</v>
      </c>
      <c r="S595" s="15">
        <f t="shared" ca="1" si="110"/>
        <v>9.9976704641332326</v>
      </c>
      <c r="T595" s="15">
        <f t="shared" ca="1" si="114"/>
        <v>5.7291557269684148E-3</v>
      </c>
      <c r="U595" s="15">
        <f t="shared" ca="1" si="115"/>
        <v>10.0033996198602</v>
      </c>
      <c r="V595" s="15">
        <f t="shared" ca="1" si="116"/>
        <v>10.003399618436443</v>
      </c>
      <c r="X595" s="15">
        <f t="shared" si="117"/>
        <v>10.5</v>
      </c>
      <c r="Y595" s="15">
        <f t="shared" si="118"/>
        <v>9.5</v>
      </c>
      <c r="Z595" s="15">
        <f t="shared" ca="1" si="119"/>
        <v>1</v>
      </c>
    </row>
    <row r="596" spans="12:26" x14ac:dyDescent="0.3">
      <c r="L596" s="15">
        <v>594</v>
      </c>
      <c r="M596" s="15">
        <f t="shared" si="111"/>
        <v>10</v>
      </c>
      <c r="N596" s="15">
        <f t="shared" ca="1" si="112"/>
        <v>1.648406032856542E-3</v>
      </c>
      <c r="O596" s="15">
        <f t="shared" ca="1" si="109"/>
        <v>2.4984373226008767</v>
      </c>
      <c r="P596" s="15">
        <f t="shared" ca="1" si="120"/>
        <v>2.4984373018374755</v>
      </c>
      <c r="Q596" s="15">
        <v>0</v>
      </c>
      <c r="R596" s="15">
        <f t="shared" ca="1" si="113"/>
        <v>2.4984373018374755</v>
      </c>
      <c r="S596" s="15">
        <f t="shared" ca="1" si="110"/>
        <v>9.9972944088500917</v>
      </c>
      <c r="T596" s="15">
        <f t="shared" ca="1" si="114"/>
        <v>1.0572063995415105E-3</v>
      </c>
      <c r="U596" s="15">
        <f t="shared" ca="1" si="115"/>
        <v>9.9983516152496339</v>
      </c>
      <c r="V596" s="15">
        <f t="shared" ca="1" si="116"/>
        <v>9.9983515939671435</v>
      </c>
      <c r="X596" s="15">
        <f t="shared" si="117"/>
        <v>10.5</v>
      </c>
      <c r="Y596" s="15">
        <f t="shared" si="118"/>
        <v>9.5</v>
      </c>
      <c r="Z596" s="15">
        <f t="shared" ca="1" si="119"/>
        <v>1</v>
      </c>
    </row>
    <row r="597" spans="12:26" x14ac:dyDescent="0.3">
      <c r="L597" s="15">
        <v>595</v>
      </c>
      <c r="M597" s="15">
        <f t="shared" si="111"/>
        <v>10</v>
      </c>
      <c r="N597" s="15">
        <f t="shared" ca="1" si="112"/>
        <v>-4.3530832054923252E-3</v>
      </c>
      <c r="O597" s="15">
        <f t="shared" ca="1" si="109"/>
        <v>2.4984373226008767</v>
      </c>
      <c r="P597" s="15">
        <f t="shared" ca="1" si="120"/>
        <v>2.4984373018374755</v>
      </c>
      <c r="Q597" s="15">
        <v>0</v>
      </c>
      <c r="R597" s="15">
        <f t="shared" ca="1" si="113"/>
        <v>2.4984373018374755</v>
      </c>
      <c r="S597" s="15">
        <f t="shared" ca="1" si="110"/>
        <v>9.9968830346189996</v>
      </c>
      <c r="T597" s="15">
        <f t="shared" ca="1" si="114"/>
        <v>7.4700700747417003E-3</v>
      </c>
      <c r="U597" s="15">
        <f t="shared" ca="1" si="115"/>
        <v>10.004353104693742</v>
      </c>
      <c r="V597" s="15">
        <f t="shared" ca="1" si="116"/>
        <v>10.004353083205492</v>
      </c>
      <c r="X597" s="15">
        <f t="shared" si="117"/>
        <v>10.5</v>
      </c>
      <c r="Y597" s="15">
        <f t="shared" si="118"/>
        <v>9.5</v>
      </c>
      <c r="Z597" s="15">
        <f t="shared" ca="1" si="119"/>
        <v>1</v>
      </c>
    </row>
    <row r="598" spans="12:26" x14ac:dyDescent="0.3">
      <c r="L598" s="15">
        <v>596</v>
      </c>
      <c r="M598" s="15">
        <f t="shared" si="111"/>
        <v>10</v>
      </c>
      <c r="N598" s="15">
        <f t="shared" ca="1" si="112"/>
        <v>9.556417355671698E-4</v>
      </c>
      <c r="O598" s="15">
        <f t="shared" ca="1" si="109"/>
        <v>2.4984373226008767</v>
      </c>
      <c r="P598" s="15">
        <f t="shared" ca="1" si="120"/>
        <v>2.4984373018374755</v>
      </c>
      <c r="Q598" s="15">
        <v>0</v>
      </c>
      <c r="R598" s="15">
        <f t="shared" ca="1" si="113"/>
        <v>2.4984373018374755</v>
      </c>
      <c r="S598" s="15">
        <f t="shared" ca="1" si="110"/>
        <v>9.9964425646447133</v>
      </c>
      <c r="T598" s="15">
        <f t="shared" ca="1" si="114"/>
        <v>2.6018097658866979E-3</v>
      </c>
      <c r="U598" s="15">
        <f t="shared" ca="1" si="115"/>
        <v>9.9990443744105999</v>
      </c>
      <c r="V598" s="15">
        <f t="shared" ca="1" si="116"/>
        <v>9.9990443582644328</v>
      </c>
      <c r="X598" s="15">
        <f t="shared" si="117"/>
        <v>10.5</v>
      </c>
      <c r="Y598" s="15">
        <f t="shared" si="118"/>
        <v>9.5</v>
      </c>
      <c r="Z598" s="15">
        <f t="shared" ca="1" si="119"/>
        <v>1</v>
      </c>
    </row>
    <row r="599" spans="12:26" x14ac:dyDescent="0.3">
      <c r="L599" s="15">
        <v>597</v>
      </c>
      <c r="M599" s="15">
        <f t="shared" si="111"/>
        <v>10</v>
      </c>
      <c r="N599" s="15">
        <f t="shared" ca="1" si="112"/>
        <v>1.5909434299885561E-3</v>
      </c>
      <c r="O599" s="15">
        <f t="shared" ref="O599:O662" ca="1" si="121">IF(MOD(L599,$B$11)=0,OFFSET(O599,-$B$11,0)+ $E$2*N599+$E$3*OFFSET(N599,-$B$11,0)+ $E$4*OFFSET(N599,-2* $B$11,0), O598)</f>
        <v>2.4981445043948689</v>
      </c>
      <c r="P599" s="15">
        <f t="shared" ca="1" si="120"/>
        <v>2.498144494019948</v>
      </c>
      <c r="Q599" s="15">
        <v>0</v>
      </c>
      <c r="R599" s="15">
        <f t="shared" ca="1" si="113"/>
        <v>2.498144494019948</v>
      </c>
      <c r="S599" s="15">
        <f t="shared" ca="1" si="110"/>
        <v>9.9960111835768561</v>
      </c>
      <c r="T599" s="15">
        <f t="shared" ca="1" si="114"/>
        <v>2.3978937087469477E-3</v>
      </c>
      <c r="U599" s="15">
        <f t="shared" ca="1" si="115"/>
        <v>9.9984090772856025</v>
      </c>
      <c r="V599" s="15">
        <f t="shared" ca="1" si="116"/>
        <v>9.9984090565700114</v>
      </c>
      <c r="X599" s="15">
        <f t="shared" si="117"/>
        <v>10.5</v>
      </c>
      <c r="Y599" s="15">
        <f t="shared" si="118"/>
        <v>9.5</v>
      </c>
      <c r="Z599" s="15">
        <f t="shared" ca="1" si="119"/>
        <v>1</v>
      </c>
    </row>
    <row r="600" spans="12:26" x14ac:dyDescent="0.3">
      <c r="L600" s="15">
        <v>598</v>
      </c>
      <c r="M600" s="15">
        <f t="shared" si="111"/>
        <v>10</v>
      </c>
      <c r="N600" s="15">
        <f t="shared" ca="1" si="112"/>
        <v>5.0605740410603062E-5</v>
      </c>
      <c r="O600" s="15">
        <f t="shared" ca="1" si="121"/>
        <v>2.4981445043948689</v>
      </c>
      <c r="P600" s="15">
        <f t="shared" ca="1" si="120"/>
        <v>2.498144494019948</v>
      </c>
      <c r="Q600" s="15">
        <v>0</v>
      </c>
      <c r="R600" s="15">
        <f t="shared" ca="1" si="113"/>
        <v>2.498144494019948</v>
      </c>
      <c r="S600" s="15">
        <f t="shared" ca="1" si="110"/>
        <v>9.99562074709862</v>
      </c>
      <c r="T600" s="15">
        <f t="shared" ca="1" si="114"/>
        <v>4.3286631431761089E-3</v>
      </c>
      <c r="U600" s="15">
        <f t="shared" ca="1" si="115"/>
        <v>9.999949410241797</v>
      </c>
      <c r="V600" s="15">
        <f t="shared" ca="1" si="116"/>
        <v>9.9999493942595894</v>
      </c>
      <c r="X600" s="15">
        <f t="shared" si="117"/>
        <v>10.5</v>
      </c>
      <c r="Y600" s="15">
        <f t="shared" si="118"/>
        <v>9.5</v>
      </c>
      <c r="Z600" s="15">
        <f t="shared" ca="1" si="119"/>
        <v>1</v>
      </c>
    </row>
    <row r="601" spans="12:26" x14ac:dyDescent="0.3">
      <c r="L601" s="15">
        <v>599</v>
      </c>
      <c r="M601" s="15">
        <f t="shared" si="111"/>
        <v>10</v>
      </c>
      <c r="N601" s="15">
        <f t="shared" ca="1" si="112"/>
        <v>4.462397192712686E-3</v>
      </c>
      <c r="O601" s="15">
        <f t="shared" ca="1" si="121"/>
        <v>2.4981445043948689</v>
      </c>
      <c r="P601" s="15">
        <f t="shared" ca="1" si="120"/>
        <v>2.498144494019948</v>
      </c>
      <c r="Q601" s="15">
        <v>0</v>
      </c>
      <c r="R601" s="15">
        <f t="shared" ca="1" si="113"/>
        <v>2.498144494019948</v>
      </c>
      <c r="S601" s="15">
        <f t="shared" ref="S601:S664" ca="1" si="122">$I$1*S600-$I$2*S599+$I$3*R580+$I$4*R579</f>
        <v>9.9952677092550992</v>
      </c>
      <c r="T601" s="15">
        <f t="shared" ca="1" si="114"/>
        <v>2.6990056221504747E-4</v>
      </c>
      <c r="U601" s="15">
        <f t="shared" ca="1" si="115"/>
        <v>9.9955376098173137</v>
      </c>
      <c r="V601" s="15">
        <f t="shared" ca="1" si="116"/>
        <v>9.9955376028072873</v>
      </c>
      <c r="X601" s="15">
        <f t="shared" si="117"/>
        <v>10.5</v>
      </c>
      <c r="Y601" s="15">
        <f t="shared" si="118"/>
        <v>9.5</v>
      </c>
      <c r="Z601" s="15">
        <f t="shared" ca="1" si="119"/>
        <v>1</v>
      </c>
    </row>
    <row r="602" spans="12:26" x14ac:dyDescent="0.3">
      <c r="L602" s="15">
        <v>600</v>
      </c>
      <c r="M602" s="15">
        <f t="shared" si="111"/>
        <v>1</v>
      </c>
      <c r="N602" s="15">
        <f t="shared" ca="1" si="112"/>
        <v>-8.9951445381145803</v>
      </c>
      <c r="O602" s="15">
        <f t="shared" ca="1" si="121"/>
        <v>-4.6075750380323495</v>
      </c>
      <c r="P602" s="15">
        <f t="shared" ca="1" si="120"/>
        <v>-4.6075750385894381</v>
      </c>
      <c r="Q602" s="15">
        <v>0</v>
      </c>
      <c r="R602" s="15">
        <f t="shared" ca="1" si="113"/>
        <v>-4.6075750385894381</v>
      </c>
      <c r="S602" s="15">
        <f t="shared" ca="1" si="122"/>
        <v>9.9949317358845722</v>
      </c>
      <c r="T602" s="15">
        <f t="shared" ca="1" si="114"/>
        <v>2.1282387623714705E-4</v>
      </c>
      <c r="U602" s="15">
        <f t="shared" ca="1" si="115"/>
        <v>9.99514455976081</v>
      </c>
      <c r="V602" s="15">
        <f t="shared" ca="1" si="116"/>
        <v>9.9951445381145803</v>
      </c>
      <c r="X602" s="15">
        <f t="shared" si="117"/>
        <v>1.05</v>
      </c>
      <c r="Y602" s="15">
        <f t="shared" si="118"/>
        <v>0.95</v>
      </c>
      <c r="Z602" s="15">
        <f t="shared" ca="1" si="119"/>
        <v>0</v>
      </c>
    </row>
    <row r="603" spans="12:26" x14ac:dyDescent="0.3">
      <c r="L603" s="15">
        <v>601</v>
      </c>
      <c r="M603" s="15">
        <f t="shared" si="111"/>
        <v>1</v>
      </c>
      <c r="N603" s="15">
        <f t="shared" ca="1" si="112"/>
        <v>-9.0023292261181229</v>
      </c>
      <c r="O603" s="15">
        <f t="shared" ca="1" si="121"/>
        <v>-4.6075750380323495</v>
      </c>
      <c r="P603" s="15">
        <f t="shared" ca="1" si="120"/>
        <v>-4.6075750385894381</v>
      </c>
      <c r="Q603" s="15">
        <v>0</v>
      </c>
      <c r="R603" s="15">
        <f t="shared" ca="1" si="113"/>
        <v>-4.6075750385894381</v>
      </c>
      <c r="S603" s="15">
        <f t="shared" ca="1" si="122"/>
        <v>9.9945957574324815</v>
      </c>
      <c r="T603" s="15">
        <f t="shared" ca="1" si="114"/>
        <v>7.7334887319309847E-3</v>
      </c>
      <c r="U603" s="15">
        <f t="shared" ca="1" si="115"/>
        <v>10.002329246164413</v>
      </c>
      <c r="V603" s="15">
        <f t="shared" ca="1" si="116"/>
        <v>10.002329226118123</v>
      </c>
      <c r="X603" s="15">
        <f t="shared" si="117"/>
        <v>1.05</v>
      </c>
      <c r="Y603" s="15">
        <f t="shared" si="118"/>
        <v>0.95</v>
      </c>
      <c r="Z603" s="15">
        <f t="shared" ca="1" si="119"/>
        <v>0</v>
      </c>
    </row>
    <row r="604" spans="12:26" x14ac:dyDescent="0.3">
      <c r="L604" s="15">
        <v>602</v>
      </c>
      <c r="M604" s="15">
        <f t="shared" si="111"/>
        <v>1</v>
      </c>
      <c r="N604" s="15">
        <f ca="1">M604-V604</f>
        <v>-8.9989602365528611</v>
      </c>
      <c r="O604" s="15">
        <f t="shared" ca="1" si="121"/>
        <v>-4.6075750380323495</v>
      </c>
      <c r="P604" s="15">
        <f t="shared" ca="1" si="120"/>
        <v>-4.6075750385894381</v>
      </c>
      <c r="Q604" s="15">
        <v>0</v>
      </c>
      <c r="R604" s="15">
        <f t="shared" ca="1" si="113"/>
        <v>-4.6075750385894381</v>
      </c>
      <c r="S604" s="15">
        <f t="shared" ca="1" si="122"/>
        <v>9.994261195601954</v>
      </c>
      <c r="T604" s="15">
        <f t="shared" ca="1" si="114"/>
        <v>4.6990613008202975E-3</v>
      </c>
      <c r="U604" s="15">
        <f t="shared" ca="1" si="115"/>
        <v>9.9989602569027749</v>
      </c>
      <c r="V604" s="15">
        <f t="shared" ca="1" si="116"/>
        <v>9.9989602365528611</v>
      </c>
      <c r="X604" s="15">
        <f t="shared" si="117"/>
        <v>1.05</v>
      </c>
      <c r="Y604" s="15">
        <f t="shared" si="118"/>
        <v>0.95</v>
      </c>
      <c r="Z604" s="15">
        <f t="shared" ca="1" si="119"/>
        <v>0</v>
      </c>
    </row>
    <row r="605" spans="12:26" x14ac:dyDescent="0.3">
      <c r="L605" s="15">
        <v>603</v>
      </c>
      <c r="M605" s="15">
        <f t="shared" si="111"/>
        <v>1</v>
      </c>
      <c r="N605" s="15">
        <f t="shared" ca="1" si="112"/>
        <v>-8.9996159574947363</v>
      </c>
      <c r="O605" s="15">
        <f t="shared" ca="1" si="121"/>
        <v>0.61030271345734344</v>
      </c>
      <c r="P605" s="15">
        <f t="shared" ca="1" si="120"/>
        <v>0.61030269148999428</v>
      </c>
      <c r="Q605" s="15">
        <v>0</v>
      </c>
      <c r="R605" s="15">
        <f t="shared" ca="1" si="113"/>
        <v>0.61030269148999428</v>
      </c>
      <c r="S605" s="15">
        <f t="shared" ca="1" si="122"/>
        <v>9.9939452968807352</v>
      </c>
      <c r="T605" s="15">
        <f t="shared" ca="1" si="114"/>
        <v>5.6706679235455082E-3</v>
      </c>
      <c r="U605" s="15">
        <f t="shared" ca="1" si="115"/>
        <v>9.9996159648042813</v>
      </c>
      <c r="V605" s="15">
        <f t="shared" ca="1" si="116"/>
        <v>9.9996159574947363</v>
      </c>
      <c r="X605" s="15">
        <f t="shared" si="117"/>
        <v>1.05</v>
      </c>
      <c r="Y605" s="15">
        <f t="shared" si="118"/>
        <v>0.95</v>
      </c>
      <c r="Z605" s="15">
        <f t="shared" ca="1" si="119"/>
        <v>0</v>
      </c>
    </row>
    <row r="606" spans="12:26" x14ac:dyDescent="0.3">
      <c r="L606" s="15">
        <v>604</v>
      </c>
      <c r="M606" s="15">
        <f t="shared" si="111"/>
        <v>1</v>
      </c>
      <c r="N606" s="15">
        <f t="shared" ca="1" si="112"/>
        <v>-9.0027784262790291</v>
      </c>
      <c r="O606" s="15">
        <f t="shared" ca="1" si="121"/>
        <v>0.61030271345734344</v>
      </c>
      <c r="P606" s="15">
        <f t="shared" ca="1" si="120"/>
        <v>0.61030269148999428</v>
      </c>
      <c r="Q606" s="15">
        <v>0</v>
      </c>
      <c r="R606" s="15">
        <f t="shared" ca="1" si="113"/>
        <v>0.61030269148999428</v>
      </c>
      <c r="S606" s="15">
        <f t="shared" ca="1" si="122"/>
        <v>9.9936623312620636</v>
      </c>
      <c r="T606" s="15">
        <f t="shared" ca="1" si="114"/>
        <v>9.11610476398538E-3</v>
      </c>
      <c r="U606" s="15">
        <f t="shared" ca="1" si="115"/>
        <v>10.002778436026048</v>
      </c>
      <c r="V606" s="15">
        <f t="shared" ca="1" si="116"/>
        <v>10.002778426279029</v>
      </c>
      <c r="X606" s="15">
        <f t="shared" si="117"/>
        <v>1.05</v>
      </c>
      <c r="Y606" s="15">
        <f t="shared" si="118"/>
        <v>0.95</v>
      </c>
      <c r="Z606" s="15">
        <f t="shared" ca="1" si="119"/>
        <v>0</v>
      </c>
    </row>
    <row r="607" spans="12:26" x14ac:dyDescent="0.3">
      <c r="L607" s="15">
        <v>605</v>
      </c>
      <c r="M607" s="15">
        <f t="shared" si="111"/>
        <v>1</v>
      </c>
      <c r="N607" s="15">
        <f t="shared" ca="1" si="112"/>
        <v>-8.9956387910050424</v>
      </c>
      <c r="O607" s="15">
        <f t="shared" ca="1" si="121"/>
        <v>0.61030271345734344</v>
      </c>
      <c r="P607" s="15">
        <f t="shared" ca="1" si="120"/>
        <v>0.61030269148999428</v>
      </c>
      <c r="Q607" s="15">
        <v>0</v>
      </c>
      <c r="R607" s="15">
        <f t="shared" ca="1" si="113"/>
        <v>0.61030269148999428</v>
      </c>
      <c r="S607" s="15">
        <f t="shared" ca="1" si="122"/>
        <v>9.9934093151785834</v>
      </c>
      <c r="T607" s="15">
        <f t="shared" ca="1" si="114"/>
        <v>2.2294815777186274E-3</v>
      </c>
      <c r="U607" s="15">
        <f t="shared" ca="1" si="115"/>
        <v>9.9956387967563014</v>
      </c>
      <c r="V607" s="15">
        <f t="shared" ca="1" si="116"/>
        <v>9.9956387910050424</v>
      </c>
      <c r="X607" s="15">
        <f t="shared" si="117"/>
        <v>1.05</v>
      </c>
      <c r="Y607" s="15">
        <f t="shared" si="118"/>
        <v>0.95</v>
      </c>
      <c r="Z607" s="15">
        <f t="shared" ca="1" si="119"/>
        <v>0</v>
      </c>
    </row>
    <row r="608" spans="12:26" x14ac:dyDescent="0.3">
      <c r="L608" s="15">
        <v>606</v>
      </c>
      <c r="M608" s="15">
        <f t="shared" si="111"/>
        <v>1</v>
      </c>
      <c r="N608" s="15">
        <f t="shared" ca="1" si="112"/>
        <v>-9.0023253378463739</v>
      </c>
      <c r="O608" s="15">
        <f t="shared" ca="1" si="121"/>
        <v>0.43412591569326686</v>
      </c>
      <c r="P608" s="15">
        <f t="shared" ca="1" si="120"/>
        <v>0.43412591340814854</v>
      </c>
      <c r="Q608" s="15">
        <v>0</v>
      </c>
      <c r="R608" s="15">
        <f t="shared" ca="1" si="113"/>
        <v>0.43412591340814854</v>
      </c>
      <c r="S608" s="15">
        <f t="shared" ca="1" si="122"/>
        <v>9.9932275318626456</v>
      </c>
      <c r="T608" s="15">
        <f t="shared" ca="1" si="114"/>
        <v>9.0978233869873758E-3</v>
      </c>
      <c r="U608" s="15">
        <f t="shared" ca="1" si="115"/>
        <v>10.002325355249633</v>
      </c>
      <c r="V608" s="15">
        <f t="shared" ca="1" si="116"/>
        <v>10.002325337846374</v>
      </c>
      <c r="X608" s="15">
        <f t="shared" si="117"/>
        <v>1.05</v>
      </c>
      <c r="Y608" s="15">
        <f t="shared" si="118"/>
        <v>0.95</v>
      </c>
      <c r="Z608" s="15">
        <f t="shared" ca="1" si="119"/>
        <v>0</v>
      </c>
    </row>
    <row r="609" spans="12:26" x14ac:dyDescent="0.3">
      <c r="L609" s="15">
        <v>607</v>
      </c>
      <c r="M609" s="15">
        <f t="shared" si="111"/>
        <v>1</v>
      </c>
      <c r="N609" s="15">
        <f t="shared" ca="1" si="112"/>
        <v>-8.9995395191944052</v>
      </c>
      <c r="O609" s="15">
        <f t="shared" ca="1" si="121"/>
        <v>0.43412591569326686</v>
      </c>
      <c r="P609" s="15">
        <f t="shared" ca="1" si="120"/>
        <v>0.43412591340814854</v>
      </c>
      <c r="Q609" s="15">
        <v>0</v>
      </c>
      <c r="R609" s="15">
        <f t="shared" ca="1" si="113"/>
        <v>0.43412591340814854</v>
      </c>
      <c r="S609" s="15">
        <f t="shared" ca="1" si="122"/>
        <v>9.9931507756666527</v>
      </c>
      <c r="T609" s="15">
        <f t="shared" ca="1" si="114"/>
        <v>6.3887594614109242E-3</v>
      </c>
      <c r="U609" s="15">
        <f t="shared" ca="1" si="115"/>
        <v>9.9995395351280632</v>
      </c>
      <c r="V609" s="15">
        <f t="shared" ca="1" si="116"/>
        <v>9.9995395191944052</v>
      </c>
      <c r="X609" s="15">
        <f t="shared" si="117"/>
        <v>1.05</v>
      </c>
      <c r="Y609" s="15">
        <f t="shared" si="118"/>
        <v>0.95</v>
      </c>
      <c r="Z609" s="15">
        <f t="shared" ca="1" si="119"/>
        <v>0</v>
      </c>
    </row>
    <row r="610" spans="12:26" x14ac:dyDescent="0.3">
      <c r="L610" s="15">
        <v>608</v>
      </c>
      <c r="M610" s="15">
        <f t="shared" si="111"/>
        <v>1</v>
      </c>
      <c r="N610" s="15">
        <f t="shared" ca="1" si="112"/>
        <v>-9.0006609247067608</v>
      </c>
      <c r="O610" s="15">
        <f t="shared" ca="1" si="121"/>
        <v>0.43412591569326686</v>
      </c>
      <c r="P610" s="15">
        <f t="shared" ca="1" si="120"/>
        <v>0.43412591340814854</v>
      </c>
      <c r="Q610" s="15">
        <v>0</v>
      </c>
      <c r="R610" s="15">
        <f t="shared" ca="1" si="113"/>
        <v>0.43412591340814854</v>
      </c>
      <c r="S610" s="15">
        <f t="shared" ca="1" si="122"/>
        <v>9.9931660394994353</v>
      </c>
      <c r="T610" s="15">
        <f t="shared" ca="1" si="114"/>
        <v>7.4949044251669461E-3</v>
      </c>
      <c r="U610" s="15">
        <f t="shared" ca="1" si="115"/>
        <v>10.000660943924602</v>
      </c>
      <c r="V610" s="15">
        <f t="shared" ca="1" si="116"/>
        <v>10.000660924706761</v>
      </c>
      <c r="X610" s="15">
        <f t="shared" si="117"/>
        <v>1.05</v>
      </c>
      <c r="Y610" s="15">
        <f t="shared" si="118"/>
        <v>0.95</v>
      </c>
      <c r="Z610" s="15">
        <f t="shared" ca="1" si="119"/>
        <v>0</v>
      </c>
    </row>
    <row r="611" spans="12:26" x14ac:dyDescent="0.3">
      <c r="L611" s="15">
        <v>609</v>
      </c>
      <c r="M611" s="15">
        <f t="shared" si="111"/>
        <v>1</v>
      </c>
      <c r="N611" s="15">
        <f t="shared" ca="1" si="112"/>
        <v>-8.9992117867803216</v>
      </c>
      <c r="O611" s="15">
        <f t="shared" ca="1" si="121"/>
        <v>0.26143774923943752</v>
      </c>
      <c r="P611" s="15">
        <f t="shared" ca="1" si="120"/>
        <v>0.2614377299932385</v>
      </c>
      <c r="Q611" s="15">
        <v>0</v>
      </c>
      <c r="R611" s="15">
        <f t="shared" ca="1" si="113"/>
        <v>0.2614377299932385</v>
      </c>
      <c r="S611" s="15">
        <f t="shared" ca="1" si="122"/>
        <v>9.9932125248582206</v>
      </c>
      <c r="T611" s="15">
        <f t="shared" ca="1" si="114"/>
        <v>5.9992805836930575E-3</v>
      </c>
      <c r="U611" s="15">
        <f t="shared" ca="1" si="115"/>
        <v>9.999211805441913</v>
      </c>
      <c r="V611" s="15">
        <f t="shared" ca="1" si="116"/>
        <v>9.9992117867803216</v>
      </c>
      <c r="X611" s="15">
        <f t="shared" si="117"/>
        <v>1.05</v>
      </c>
      <c r="Y611" s="15">
        <f t="shared" si="118"/>
        <v>0.95</v>
      </c>
      <c r="Z611" s="15">
        <f t="shared" ca="1" si="119"/>
        <v>0</v>
      </c>
    </row>
    <row r="612" spans="12:26" x14ac:dyDescent="0.3">
      <c r="L612" s="15">
        <v>610</v>
      </c>
      <c r="M612" s="15">
        <f t="shared" si="111"/>
        <v>1</v>
      </c>
      <c r="N612" s="15">
        <f t="shared" ca="1" si="112"/>
        <v>-9.0009714043701479</v>
      </c>
      <c r="O612" s="15">
        <f t="shared" ca="1" si="121"/>
        <v>0.26143774923943752</v>
      </c>
      <c r="P612" s="15">
        <f t="shared" ca="1" si="120"/>
        <v>0.2614377299932385</v>
      </c>
      <c r="Q612" s="15">
        <v>0</v>
      </c>
      <c r="R612" s="15">
        <f t="shared" ca="1" si="113"/>
        <v>0.2614377299932385</v>
      </c>
      <c r="S612" s="15">
        <f t="shared" ca="1" si="122"/>
        <v>9.9932391888813523</v>
      </c>
      <c r="T612" s="15">
        <f t="shared" ca="1" si="114"/>
        <v>7.7322297653712449E-3</v>
      </c>
      <c r="U612" s="15">
        <f t="shared" ca="1" si="115"/>
        <v>10.000971418646724</v>
      </c>
      <c r="V612" s="15">
        <f t="shared" ca="1" si="116"/>
        <v>10.000971404370148</v>
      </c>
      <c r="X612" s="15">
        <f t="shared" si="117"/>
        <v>1.05</v>
      </c>
      <c r="Y612" s="15">
        <f t="shared" si="118"/>
        <v>0.95</v>
      </c>
      <c r="Z612" s="15">
        <f t="shared" ca="1" si="119"/>
        <v>0</v>
      </c>
    </row>
    <row r="613" spans="12:26" x14ac:dyDescent="0.3">
      <c r="L613" s="15">
        <v>611</v>
      </c>
      <c r="M613" s="15">
        <f t="shared" si="111"/>
        <v>1</v>
      </c>
      <c r="N613" s="15">
        <f t="shared" ca="1" si="112"/>
        <v>-8.9959392822338131</v>
      </c>
      <c r="O613" s="15">
        <f t="shared" ca="1" si="121"/>
        <v>0.26143774923943752</v>
      </c>
      <c r="P613" s="15">
        <f t="shared" ca="1" si="120"/>
        <v>0.2614377299932385</v>
      </c>
      <c r="Q613" s="15">
        <v>0</v>
      </c>
      <c r="R613" s="15">
        <f t="shared" ca="1" si="113"/>
        <v>0.2614377299932385</v>
      </c>
      <c r="S613" s="15">
        <f t="shared" ca="1" si="122"/>
        <v>9.9932484348347579</v>
      </c>
      <c r="T613" s="15">
        <f t="shared" ca="1" si="114"/>
        <v>2.6908569609210399E-3</v>
      </c>
      <c r="U613" s="15">
        <f t="shared" ca="1" si="115"/>
        <v>9.9959392917956791</v>
      </c>
      <c r="V613" s="15">
        <f t="shared" ca="1" si="116"/>
        <v>9.9959392822338131</v>
      </c>
      <c r="X613" s="15">
        <f t="shared" si="117"/>
        <v>1.05</v>
      </c>
      <c r="Y613" s="15">
        <f t="shared" si="118"/>
        <v>0.95</v>
      </c>
      <c r="Z613" s="15">
        <f t="shared" ca="1" si="119"/>
        <v>0</v>
      </c>
    </row>
    <row r="614" spans="12:26" x14ac:dyDescent="0.3">
      <c r="L614" s="15">
        <v>612</v>
      </c>
      <c r="M614" s="15">
        <f t="shared" si="111"/>
        <v>1</v>
      </c>
      <c r="N614" s="15">
        <f t="shared" ca="1" si="112"/>
        <v>-8.9964479939072515</v>
      </c>
      <c r="O614" s="15">
        <f t="shared" ca="1" si="121"/>
        <v>8.5040717375868269E-2</v>
      </c>
      <c r="P614" s="15">
        <f t="shared" ca="1" si="120"/>
        <v>8.5040694122444999E-2</v>
      </c>
      <c r="Q614" s="15">
        <v>0</v>
      </c>
      <c r="R614" s="15">
        <f t="shared" ca="1" si="113"/>
        <v>8.5040694122444999E-2</v>
      </c>
      <c r="S614" s="15">
        <f t="shared" ca="1" si="122"/>
        <v>9.9932578617419594</v>
      </c>
      <c r="T614" s="15">
        <f t="shared" ca="1" si="114"/>
        <v>3.1901430215546468E-3</v>
      </c>
      <c r="U614" s="15">
        <f t="shared" ca="1" si="115"/>
        <v>9.9964480047635149</v>
      </c>
      <c r="V614" s="15">
        <f t="shared" ca="1" si="116"/>
        <v>9.9964479939072515</v>
      </c>
      <c r="X614" s="15">
        <f t="shared" si="117"/>
        <v>1.05</v>
      </c>
      <c r="Y614" s="15">
        <f t="shared" si="118"/>
        <v>0.95</v>
      </c>
      <c r="Z614" s="15">
        <f t="shared" ca="1" si="119"/>
        <v>0</v>
      </c>
    </row>
    <row r="615" spans="12:26" x14ac:dyDescent="0.3">
      <c r="L615" s="15">
        <v>613</v>
      </c>
      <c r="M615" s="15">
        <f t="shared" si="111"/>
        <v>1</v>
      </c>
      <c r="N615" s="15">
        <f t="shared" ca="1" si="112"/>
        <v>-9.0020348350522195</v>
      </c>
      <c r="O615" s="15">
        <f t="shared" ca="1" si="121"/>
        <v>8.5040717375868269E-2</v>
      </c>
      <c r="P615" s="15">
        <f t="shared" ca="1" si="120"/>
        <v>8.5040694122444999E-2</v>
      </c>
      <c r="Q615" s="15">
        <v>0</v>
      </c>
      <c r="R615" s="15">
        <f t="shared" ca="1" si="113"/>
        <v>8.5040694122444999E-2</v>
      </c>
      <c r="S615" s="15">
        <f t="shared" ca="1" si="122"/>
        <v>9.993282151395702</v>
      </c>
      <c r="T615" s="15">
        <f t="shared" ca="1" si="114"/>
        <v>8.7527057039134513E-3</v>
      </c>
      <c r="U615" s="15">
        <f t="shared" ca="1" si="115"/>
        <v>10.002034857099616</v>
      </c>
      <c r="V615" s="15">
        <f t="shared" ca="1" si="116"/>
        <v>10.002034835052219</v>
      </c>
      <c r="X615" s="15">
        <f t="shared" si="117"/>
        <v>1.05</v>
      </c>
      <c r="Y615" s="15">
        <f t="shared" si="118"/>
        <v>0.95</v>
      </c>
      <c r="Z615" s="15">
        <f t="shared" ca="1" si="119"/>
        <v>0</v>
      </c>
    </row>
    <row r="616" spans="12:26" x14ac:dyDescent="0.3">
      <c r="L616" s="15">
        <v>614</v>
      </c>
      <c r="M616" s="15">
        <f t="shared" si="111"/>
        <v>1</v>
      </c>
      <c r="N616" s="15">
        <f t="shared" ca="1" si="112"/>
        <v>-9.0010208343158062</v>
      </c>
      <c r="O616" s="15">
        <f t="shared" ca="1" si="121"/>
        <v>8.5040717375868269E-2</v>
      </c>
      <c r="P616" s="15">
        <f t="shared" ca="1" si="120"/>
        <v>8.5040694122444999E-2</v>
      </c>
      <c r="Q616" s="15">
        <v>0</v>
      </c>
      <c r="R616" s="15">
        <f t="shared" ca="1" si="113"/>
        <v>8.5040694122444999E-2</v>
      </c>
      <c r="S616" s="15">
        <f t="shared" ca="1" si="122"/>
        <v>9.9933193144401304</v>
      </c>
      <c r="T616" s="15">
        <f t="shared" ca="1" si="114"/>
        <v>7.7015330975115917E-3</v>
      </c>
      <c r="U616" s="15">
        <f t="shared" ca="1" si="115"/>
        <v>10.001020847537642</v>
      </c>
      <c r="V616" s="15">
        <f t="shared" ca="1" si="116"/>
        <v>10.001020834315806</v>
      </c>
      <c r="X616" s="15">
        <f t="shared" si="117"/>
        <v>1.05</v>
      </c>
      <c r="Y616" s="15">
        <f t="shared" si="118"/>
        <v>0.95</v>
      </c>
      <c r="Z616" s="15">
        <f t="shared" ca="1" si="119"/>
        <v>0</v>
      </c>
    </row>
    <row r="617" spans="12:26" x14ac:dyDescent="0.3">
      <c r="L617" s="15">
        <v>615</v>
      </c>
      <c r="M617" s="15">
        <f t="shared" si="111"/>
        <v>1</v>
      </c>
      <c r="N617" s="15">
        <f t="shared" ca="1" si="112"/>
        <v>-8.9978516367259083</v>
      </c>
      <c r="O617" s="15">
        <f t="shared" ca="1" si="121"/>
        <v>-9.4383705210923985E-2</v>
      </c>
      <c r="P617" s="15">
        <f t="shared" ca="1" si="120"/>
        <v>-9.4383722193162822E-2</v>
      </c>
      <c r="Q617" s="15">
        <v>0</v>
      </c>
      <c r="R617" s="15">
        <f t="shared" ca="1" si="113"/>
        <v>-9.4383722193162822E-2</v>
      </c>
      <c r="S617" s="15">
        <f t="shared" ca="1" si="122"/>
        <v>9.9933604108772887</v>
      </c>
      <c r="T617" s="15">
        <f t="shared" ca="1" si="114"/>
        <v>4.4912383365735709E-3</v>
      </c>
      <c r="U617" s="15">
        <f t="shared" ca="1" si="115"/>
        <v>9.997851649213862</v>
      </c>
      <c r="V617" s="15">
        <f t="shared" ca="1" si="116"/>
        <v>9.9978516367259083</v>
      </c>
      <c r="X617" s="15">
        <f t="shared" si="117"/>
        <v>1.05</v>
      </c>
      <c r="Y617" s="15">
        <f t="shared" si="118"/>
        <v>0.95</v>
      </c>
      <c r="Z617" s="15">
        <f t="shared" ca="1" si="119"/>
        <v>0</v>
      </c>
    </row>
    <row r="618" spans="12:26" x14ac:dyDescent="0.3">
      <c r="L618" s="15">
        <v>616</v>
      </c>
      <c r="M618" s="15">
        <f t="shared" si="111"/>
        <v>1</v>
      </c>
      <c r="N618" s="15">
        <f t="shared" ca="1" si="112"/>
        <v>-9.0028548878624246</v>
      </c>
      <c r="O618" s="15">
        <f t="shared" ca="1" si="121"/>
        <v>-9.4383705210923985E-2</v>
      </c>
      <c r="P618" s="15">
        <f t="shared" ca="1" si="120"/>
        <v>-9.4383722193162822E-2</v>
      </c>
      <c r="Q618" s="15">
        <v>0</v>
      </c>
      <c r="R618" s="15">
        <f t="shared" ca="1" si="113"/>
        <v>-9.4383722193162822E-2</v>
      </c>
      <c r="S618" s="15">
        <f t="shared" ca="1" si="122"/>
        <v>9.9933979351480069</v>
      </c>
      <c r="T618" s="15">
        <f t="shared" ca="1" si="114"/>
        <v>9.4569716353064444E-3</v>
      </c>
      <c r="U618" s="15">
        <f t="shared" ca="1" si="115"/>
        <v>10.002854906783313</v>
      </c>
      <c r="V618" s="15">
        <f t="shared" ca="1" si="116"/>
        <v>10.002854887862425</v>
      </c>
      <c r="X618" s="15">
        <f t="shared" si="117"/>
        <v>1.05</v>
      </c>
      <c r="Y618" s="15">
        <f t="shared" si="118"/>
        <v>0.95</v>
      </c>
      <c r="Z618" s="15">
        <f t="shared" ca="1" si="119"/>
        <v>0</v>
      </c>
    </row>
    <row r="619" spans="12:26" x14ac:dyDescent="0.3">
      <c r="L619" s="15">
        <v>617</v>
      </c>
      <c r="M619" s="15">
        <f t="shared" si="111"/>
        <v>1</v>
      </c>
      <c r="N619" s="15">
        <f t="shared" ca="1" si="112"/>
        <v>-9.0019377912399214</v>
      </c>
      <c r="O619" s="15">
        <f t="shared" ca="1" si="121"/>
        <v>-9.4383705210923985E-2</v>
      </c>
      <c r="P619" s="15">
        <f t="shared" ca="1" si="120"/>
        <v>-9.4383722193162822E-2</v>
      </c>
      <c r="Q619" s="15">
        <v>0</v>
      </c>
      <c r="R619" s="15">
        <f t="shared" ca="1" si="113"/>
        <v>-9.4383722193162822E-2</v>
      </c>
      <c r="S619" s="15">
        <f t="shared" ca="1" si="122"/>
        <v>9.9934321819763401</v>
      </c>
      <c r="T619" s="15">
        <f t="shared" ca="1" si="114"/>
        <v>8.505612805998904E-3</v>
      </c>
      <c r="U619" s="15">
        <f t="shared" ca="1" si="115"/>
        <v>10.001937794782339</v>
      </c>
      <c r="V619" s="15">
        <f t="shared" ca="1" si="116"/>
        <v>10.001937791239921</v>
      </c>
      <c r="X619" s="15">
        <f t="shared" si="117"/>
        <v>1.05</v>
      </c>
      <c r="Y619" s="15">
        <f t="shared" si="118"/>
        <v>0.95</v>
      </c>
      <c r="Z619" s="15">
        <f t="shared" ca="1" si="119"/>
        <v>0</v>
      </c>
    </row>
    <row r="620" spans="12:26" x14ac:dyDescent="0.3">
      <c r="L620" s="15">
        <v>618</v>
      </c>
      <c r="M620" s="15">
        <f t="shared" si="111"/>
        <v>1</v>
      </c>
      <c r="N620" s="15">
        <f t="shared" ca="1" si="112"/>
        <v>-8.9954599072214823</v>
      </c>
      <c r="O620" s="15">
        <f t="shared" ca="1" si="121"/>
        <v>-0.26833757475594133</v>
      </c>
      <c r="P620" s="15">
        <f t="shared" ca="1" si="120"/>
        <v>-0.26833759627033438</v>
      </c>
      <c r="Q620" s="15">
        <v>0</v>
      </c>
      <c r="R620" s="15">
        <f t="shared" ca="1" si="113"/>
        <v>-0.26833759627033438</v>
      </c>
      <c r="S620" s="15">
        <f t="shared" ca="1" si="122"/>
        <v>9.9934608895809856</v>
      </c>
      <c r="T620" s="15">
        <f t="shared" ca="1" si="114"/>
        <v>1.9990379043737438E-3</v>
      </c>
      <c r="U620" s="15">
        <f t="shared" ca="1" si="115"/>
        <v>9.9954599274853599</v>
      </c>
      <c r="V620" s="15">
        <f t="shared" ca="1" si="116"/>
        <v>9.9954599072214823</v>
      </c>
      <c r="X620" s="15">
        <f t="shared" si="117"/>
        <v>1.05</v>
      </c>
      <c r="Y620" s="15">
        <f t="shared" si="118"/>
        <v>0.95</v>
      </c>
      <c r="Z620" s="15">
        <f t="shared" ca="1" si="119"/>
        <v>0</v>
      </c>
    </row>
    <row r="621" spans="12:26" x14ac:dyDescent="0.3">
      <c r="L621" s="15">
        <v>619</v>
      </c>
      <c r="M621" s="15">
        <f t="shared" si="111"/>
        <v>1</v>
      </c>
      <c r="N621" s="15">
        <f t="shared" ca="1" si="112"/>
        <v>-9.000471214298269</v>
      </c>
      <c r="O621" s="15">
        <f t="shared" ca="1" si="121"/>
        <v>-0.26833757475594133</v>
      </c>
      <c r="P621" s="15">
        <f t="shared" ca="1" si="120"/>
        <v>-0.26833759627033438</v>
      </c>
      <c r="Q621" s="15">
        <v>0</v>
      </c>
      <c r="R621" s="15">
        <f t="shared" ca="1" si="113"/>
        <v>-0.26833759627033438</v>
      </c>
      <c r="S621" s="15">
        <f t="shared" ca="1" si="122"/>
        <v>9.9934822187718488</v>
      </c>
      <c r="T621" s="15">
        <f t="shared" ca="1" si="114"/>
        <v>6.989005422288864E-3</v>
      </c>
      <c r="U621" s="15">
        <f t="shared" ca="1" si="115"/>
        <v>10.000471224194138</v>
      </c>
      <c r="V621" s="15">
        <f t="shared" ca="1" si="116"/>
        <v>10.000471214298269</v>
      </c>
      <c r="X621" s="15">
        <f t="shared" si="117"/>
        <v>1.05</v>
      </c>
      <c r="Y621" s="15">
        <f t="shared" si="118"/>
        <v>0.95</v>
      </c>
      <c r="Z621" s="15">
        <f t="shared" ca="1" si="119"/>
        <v>0</v>
      </c>
    </row>
    <row r="622" spans="12:26" x14ac:dyDescent="0.3">
      <c r="L622" s="15">
        <v>620</v>
      </c>
      <c r="M622" s="15">
        <f t="shared" si="111"/>
        <v>1</v>
      </c>
      <c r="N622" s="15">
        <f t="shared" ca="1" si="112"/>
        <v>-9.000528024975333</v>
      </c>
      <c r="O622" s="15">
        <f t="shared" ca="1" si="121"/>
        <v>-0.26833757475594133</v>
      </c>
      <c r="P622" s="15">
        <f t="shared" ca="1" si="120"/>
        <v>-0.26833759627033438</v>
      </c>
      <c r="Q622" s="15">
        <v>0</v>
      </c>
      <c r="R622" s="15">
        <f t="shared" ca="1" si="113"/>
        <v>-0.26833759627033438</v>
      </c>
      <c r="S622" s="15">
        <f t="shared" ca="1" si="122"/>
        <v>9.9934970159223155</v>
      </c>
      <c r="T622" s="15">
        <f t="shared" ca="1" si="114"/>
        <v>7.0310134950041401E-3</v>
      </c>
      <c r="U622" s="15">
        <f t="shared" ca="1" si="115"/>
        <v>10.000528029417319</v>
      </c>
      <c r="V622" s="15">
        <f t="shared" ca="1" si="116"/>
        <v>10.000528024975333</v>
      </c>
      <c r="X622" s="15">
        <f t="shared" si="117"/>
        <v>1.05</v>
      </c>
      <c r="Y622" s="15">
        <f t="shared" si="118"/>
        <v>0.95</v>
      </c>
      <c r="Z622" s="15">
        <f t="shared" ca="1" si="119"/>
        <v>0</v>
      </c>
    </row>
    <row r="623" spans="12:26" x14ac:dyDescent="0.3">
      <c r="L623" s="15">
        <v>621</v>
      </c>
      <c r="M623" s="15">
        <f t="shared" si="111"/>
        <v>1</v>
      </c>
      <c r="N623" s="15">
        <f t="shared" ca="1" si="112"/>
        <v>-8.9351128120755572</v>
      </c>
      <c r="O623" s="15">
        <f t="shared" ca="1" si="121"/>
        <v>-0.39874750130696324</v>
      </c>
      <c r="P623" s="15">
        <f t="shared" ca="1" si="120"/>
        <v>-0.39874750664428521</v>
      </c>
      <c r="Q623" s="15">
        <v>0</v>
      </c>
      <c r="R623" s="15">
        <f t="shared" ca="1" si="113"/>
        <v>-0.39874750664428521</v>
      </c>
      <c r="S623" s="15">
        <f t="shared" ca="1" si="122"/>
        <v>9.9320374749398148</v>
      </c>
      <c r="T623" s="15">
        <f t="shared" ca="1" si="114"/>
        <v>3.0753538141579241E-3</v>
      </c>
      <c r="U623" s="15">
        <f t="shared" ca="1" si="115"/>
        <v>9.9351128287539723</v>
      </c>
      <c r="V623" s="15">
        <f t="shared" ca="1" si="116"/>
        <v>9.9351128120755572</v>
      </c>
      <c r="X623" s="15">
        <f t="shared" si="117"/>
        <v>1.05</v>
      </c>
      <c r="Y623" s="15">
        <f t="shared" si="118"/>
        <v>0.95</v>
      </c>
      <c r="Z623" s="15">
        <f t="shared" ca="1" si="119"/>
        <v>0</v>
      </c>
    </row>
    <row r="624" spans="12:26" x14ac:dyDescent="0.3">
      <c r="L624" s="15">
        <v>622</v>
      </c>
      <c r="M624" s="15">
        <f t="shared" si="111"/>
        <v>1</v>
      </c>
      <c r="N624" s="15">
        <f t="shared" ca="1" si="112"/>
        <v>-8.7598506626113899</v>
      </c>
      <c r="O624" s="15">
        <f t="shared" ca="1" si="121"/>
        <v>-0.39874750130696324</v>
      </c>
      <c r="P624" s="15">
        <f t="shared" ca="1" si="120"/>
        <v>-0.39874750664428521</v>
      </c>
      <c r="Q624" s="15">
        <v>0</v>
      </c>
      <c r="R624" s="15">
        <f t="shared" ca="1" si="113"/>
        <v>-0.39874750664428521</v>
      </c>
      <c r="S624" s="15">
        <f t="shared" ca="1" si="122"/>
        <v>9.7584177226756452</v>
      </c>
      <c r="T624" s="15">
        <f t="shared" ca="1" si="114"/>
        <v>1.4329403808792274E-3</v>
      </c>
      <c r="U624" s="15">
        <f t="shared" ca="1" si="115"/>
        <v>9.7598506630565236</v>
      </c>
      <c r="V624" s="15">
        <f t="shared" ca="1" si="116"/>
        <v>9.7598506626113899</v>
      </c>
      <c r="X624" s="15">
        <f t="shared" si="117"/>
        <v>1.05</v>
      </c>
      <c r="Y624" s="15">
        <f t="shared" si="118"/>
        <v>0.95</v>
      </c>
      <c r="Z624" s="15">
        <f t="shared" ca="1" si="119"/>
        <v>0</v>
      </c>
    </row>
    <row r="625" spans="12:26" x14ac:dyDescent="0.3">
      <c r="L625" s="15">
        <v>623</v>
      </c>
      <c r="M625" s="15">
        <f t="shared" si="111"/>
        <v>1</v>
      </c>
      <c r="N625" s="15">
        <f t="shared" ca="1" si="112"/>
        <v>-8.4944684555508356</v>
      </c>
      <c r="O625" s="15">
        <f t="shared" ca="1" si="121"/>
        <v>-0.39874750130696324</v>
      </c>
      <c r="P625" s="15">
        <f t="shared" ca="1" si="120"/>
        <v>-0.39874750664428521</v>
      </c>
      <c r="Q625" s="15">
        <v>0</v>
      </c>
      <c r="R625" s="15">
        <f t="shared" ca="1" si="113"/>
        <v>-0.39874750664428521</v>
      </c>
      <c r="S625" s="15">
        <f t="shared" ca="1" si="122"/>
        <v>9.4876092903863363</v>
      </c>
      <c r="T625" s="15">
        <f t="shared" ca="1" si="114"/>
        <v>6.8591711426691472E-3</v>
      </c>
      <c r="U625" s="15">
        <f t="shared" ca="1" si="115"/>
        <v>9.4944684615290047</v>
      </c>
      <c r="V625" s="15">
        <f t="shared" ca="1" si="116"/>
        <v>9.4944684555508356</v>
      </c>
      <c r="X625" s="15">
        <f t="shared" si="117"/>
        <v>1.05</v>
      </c>
      <c r="Y625" s="15">
        <f t="shared" si="118"/>
        <v>0.95</v>
      </c>
      <c r="Z625" s="15">
        <f t="shared" ca="1" si="119"/>
        <v>0</v>
      </c>
    </row>
    <row r="626" spans="12:26" x14ac:dyDescent="0.3">
      <c r="L626" s="15">
        <v>624</v>
      </c>
      <c r="M626" s="15">
        <f t="shared" si="111"/>
        <v>1</v>
      </c>
      <c r="N626" s="15">
        <f t="shared" ca="1" si="112"/>
        <v>-8.1829868287739789</v>
      </c>
      <c r="O626" s="15">
        <f t="shared" ca="1" si="121"/>
        <v>-1.6366106074899633E-2</v>
      </c>
      <c r="P626" s="15">
        <f t="shared" ca="1" si="120"/>
        <v>-1.636610832446397E-2</v>
      </c>
      <c r="Q626" s="15">
        <v>0</v>
      </c>
      <c r="R626" s="15">
        <f t="shared" ca="1" si="113"/>
        <v>-1.636610832446397E-2</v>
      </c>
      <c r="S626" s="15">
        <f t="shared" ca="1" si="122"/>
        <v>9.178232002959767</v>
      </c>
      <c r="T626" s="15">
        <f t="shared" ca="1" si="114"/>
        <v>4.7548383576878619E-3</v>
      </c>
      <c r="U626" s="15">
        <f t="shared" ca="1" si="115"/>
        <v>9.1829868413174545</v>
      </c>
      <c r="V626" s="15">
        <f t="shared" ca="1" si="116"/>
        <v>9.1829868287739789</v>
      </c>
      <c r="X626" s="15">
        <f t="shared" si="117"/>
        <v>1.05</v>
      </c>
      <c r="Y626" s="15">
        <f t="shared" si="118"/>
        <v>0.95</v>
      </c>
      <c r="Z626" s="15">
        <f t="shared" ca="1" si="119"/>
        <v>0</v>
      </c>
    </row>
    <row r="627" spans="12:26" x14ac:dyDescent="0.3">
      <c r="L627" s="15">
        <v>625</v>
      </c>
      <c r="M627" s="15">
        <f t="shared" si="111"/>
        <v>1</v>
      </c>
      <c r="N627" s="15">
        <f t="shared" ca="1" si="112"/>
        <v>-7.8893886676266298</v>
      </c>
      <c r="O627" s="15">
        <f t="shared" ca="1" si="121"/>
        <v>-1.6366106074899633E-2</v>
      </c>
      <c r="P627" s="15">
        <f t="shared" ca="1" si="120"/>
        <v>-1.636610832446397E-2</v>
      </c>
      <c r="Q627" s="15">
        <v>0</v>
      </c>
      <c r="R627" s="15">
        <f t="shared" ca="1" si="113"/>
        <v>-1.636610832446397E-2</v>
      </c>
      <c r="S627" s="15">
        <f t="shared" ca="1" si="122"/>
        <v>8.8796309046129664</v>
      </c>
      <c r="T627" s="15">
        <f t="shared" ca="1" si="114"/>
        <v>9.7577683737021716E-3</v>
      </c>
      <c r="U627" s="15">
        <f t="shared" ca="1" si="115"/>
        <v>8.8893886729866693</v>
      </c>
      <c r="V627" s="15">
        <f t="shared" ca="1" si="116"/>
        <v>8.8893886676266298</v>
      </c>
      <c r="X627" s="15">
        <f t="shared" si="117"/>
        <v>1.05</v>
      </c>
      <c r="Y627" s="15">
        <f t="shared" si="118"/>
        <v>0.95</v>
      </c>
      <c r="Z627" s="15">
        <f t="shared" ca="1" si="119"/>
        <v>0</v>
      </c>
    </row>
    <row r="628" spans="12:26" x14ac:dyDescent="0.3">
      <c r="L628" s="15">
        <v>626</v>
      </c>
      <c r="M628" s="15">
        <f t="shared" si="111"/>
        <v>1</v>
      </c>
      <c r="N628" s="15">
        <f t="shared" ca="1" si="112"/>
        <v>-7.5999992696102705</v>
      </c>
      <c r="O628" s="15">
        <f t="shared" ca="1" si="121"/>
        <v>-1.6366106074899633E-2</v>
      </c>
      <c r="P628" s="15">
        <f t="shared" ca="1" si="120"/>
        <v>-1.636610832446397E-2</v>
      </c>
      <c r="Q628" s="15">
        <v>0</v>
      </c>
      <c r="R628" s="15">
        <f t="shared" ca="1" si="113"/>
        <v>-1.636610832446397E-2</v>
      </c>
      <c r="S628" s="15">
        <f t="shared" ca="1" si="122"/>
        <v>8.5917010736458987</v>
      </c>
      <c r="T628" s="15">
        <f t="shared" ca="1" si="114"/>
        <v>8.2982102782259599E-3</v>
      </c>
      <c r="U628" s="15">
        <f t="shared" ca="1" si="115"/>
        <v>8.5999992839241255</v>
      </c>
      <c r="V628" s="15">
        <f t="shared" ca="1" si="116"/>
        <v>8.5999992696102705</v>
      </c>
      <c r="X628" s="15">
        <f t="shared" si="117"/>
        <v>1.05</v>
      </c>
      <c r="Y628" s="15">
        <f t="shared" si="118"/>
        <v>0.95</v>
      </c>
      <c r="Z628" s="15">
        <f t="shared" ca="1" si="119"/>
        <v>0</v>
      </c>
    </row>
    <row r="629" spans="12:26" x14ac:dyDescent="0.3">
      <c r="L629" s="15">
        <v>627</v>
      </c>
      <c r="M629" s="15">
        <f t="shared" si="111"/>
        <v>1</v>
      </c>
      <c r="N629" s="15">
        <f t="shared" ca="1" si="112"/>
        <v>-7.3141058702753181</v>
      </c>
      <c r="O629" s="15">
        <f t="shared" ca="1" si="121"/>
        <v>5.7932177800625873E-2</v>
      </c>
      <c r="P629" s="15">
        <f t="shared" ca="1" si="120"/>
        <v>5.7932175709384533E-2</v>
      </c>
      <c r="Q629" s="15">
        <v>0</v>
      </c>
      <c r="R629" s="15">
        <f t="shared" ca="1" si="113"/>
        <v>5.7932175709384533E-2</v>
      </c>
      <c r="S629" s="15">
        <f t="shared" ca="1" si="122"/>
        <v>8.3127817406568578</v>
      </c>
      <c r="T629" s="15">
        <f t="shared" ca="1" si="114"/>
        <v>1.3241432744141145E-3</v>
      </c>
      <c r="U629" s="15">
        <f t="shared" ca="1" si="115"/>
        <v>8.3141058839312727</v>
      </c>
      <c r="V629" s="15">
        <f t="shared" ca="1" si="116"/>
        <v>8.3141058702753181</v>
      </c>
      <c r="X629" s="15">
        <f t="shared" si="117"/>
        <v>1.05</v>
      </c>
      <c r="Y629" s="15">
        <f t="shared" si="118"/>
        <v>0.95</v>
      </c>
      <c r="Z629" s="15">
        <f t="shared" ca="1" si="119"/>
        <v>0</v>
      </c>
    </row>
    <row r="630" spans="12:26" x14ac:dyDescent="0.3">
      <c r="L630" s="15">
        <v>628</v>
      </c>
      <c r="M630" s="15">
        <f t="shared" si="111"/>
        <v>1</v>
      </c>
      <c r="N630" s="15">
        <f t="shared" ca="1" si="112"/>
        <v>-7.0448211189463787</v>
      </c>
      <c r="O630" s="15">
        <f t="shared" ca="1" si="121"/>
        <v>5.7932177800625873E-2</v>
      </c>
      <c r="P630" s="15">
        <f t="shared" ca="1" si="120"/>
        <v>5.7932175709384533E-2</v>
      </c>
      <c r="Q630" s="15">
        <v>0</v>
      </c>
      <c r="R630" s="15">
        <f t="shared" ca="1" si="113"/>
        <v>5.7932175709384533E-2</v>
      </c>
      <c r="S630" s="15">
        <f t="shared" ca="1" si="122"/>
        <v>8.0414522617306652</v>
      </c>
      <c r="T630" s="15">
        <f t="shared" ca="1" si="114"/>
        <v>3.3688723531571773E-3</v>
      </c>
      <c r="U630" s="15">
        <f t="shared" ca="1" si="115"/>
        <v>8.044821134083822</v>
      </c>
      <c r="V630" s="15">
        <f t="shared" ca="1" si="116"/>
        <v>8.0448211189463787</v>
      </c>
      <c r="X630" s="15">
        <f t="shared" si="117"/>
        <v>1.05</v>
      </c>
      <c r="Y630" s="15">
        <f t="shared" si="118"/>
        <v>0.95</v>
      </c>
      <c r="Z630" s="15">
        <f t="shared" ca="1" si="119"/>
        <v>0</v>
      </c>
    </row>
    <row r="631" spans="12:26" x14ac:dyDescent="0.3">
      <c r="L631" s="15">
        <v>629</v>
      </c>
      <c r="M631" s="15">
        <f t="shared" si="111"/>
        <v>1</v>
      </c>
      <c r="N631" s="15">
        <f t="shared" ca="1" si="112"/>
        <v>-6.7846192307268778</v>
      </c>
      <c r="O631" s="15">
        <f t="shared" ca="1" si="121"/>
        <v>5.7932177800625873E-2</v>
      </c>
      <c r="P631" s="15">
        <f t="shared" ca="1" si="120"/>
        <v>5.7932175709384533E-2</v>
      </c>
      <c r="Q631" s="15">
        <v>0</v>
      </c>
      <c r="R631" s="15">
        <f t="shared" ca="1" si="113"/>
        <v>5.7932175709384533E-2</v>
      </c>
      <c r="S631" s="15">
        <f t="shared" ca="1" si="122"/>
        <v>7.7778968279838354</v>
      </c>
      <c r="T631" s="15">
        <f t="shared" ca="1" si="114"/>
        <v>6.7224040674119887E-3</v>
      </c>
      <c r="U631" s="15">
        <f t="shared" ca="1" si="115"/>
        <v>7.7846192320512477</v>
      </c>
      <c r="V631" s="15">
        <f t="shared" ca="1" si="116"/>
        <v>7.7846192307268778</v>
      </c>
      <c r="X631" s="15">
        <f t="shared" si="117"/>
        <v>1.05</v>
      </c>
      <c r="Y631" s="15">
        <f t="shared" si="118"/>
        <v>0.95</v>
      </c>
      <c r="Z631" s="15">
        <f t="shared" ca="1" si="119"/>
        <v>0</v>
      </c>
    </row>
    <row r="632" spans="12:26" x14ac:dyDescent="0.3">
      <c r="L632" s="15">
        <v>630</v>
      </c>
      <c r="M632" s="15">
        <f t="shared" si="111"/>
        <v>1</v>
      </c>
      <c r="N632" s="15">
        <f t="shared" ca="1" si="112"/>
        <v>-6.5225204479700238</v>
      </c>
      <c r="O632" s="15">
        <f t="shared" ca="1" si="121"/>
        <v>1.8189719156786133E-2</v>
      </c>
      <c r="P632" s="15">
        <f t="shared" ca="1" si="120"/>
        <v>1.8189707775178764E-2</v>
      </c>
      <c r="Q632" s="15">
        <v>0</v>
      </c>
      <c r="R632" s="15">
        <f t="shared" ca="1" si="113"/>
        <v>1.8189707775178764E-2</v>
      </c>
      <c r="S632" s="15">
        <f t="shared" ca="1" si="122"/>
        <v>7.5207495164370304</v>
      </c>
      <c r="T632" s="15">
        <f t="shared" ca="1" si="114"/>
        <v>1.770947380829232E-3</v>
      </c>
      <c r="U632" s="15">
        <f t="shared" ca="1" si="115"/>
        <v>7.5225204638178598</v>
      </c>
      <c r="V632" s="15">
        <f t="shared" ca="1" si="116"/>
        <v>7.5225204479700238</v>
      </c>
      <c r="X632" s="15">
        <f t="shared" si="117"/>
        <v>1.05</v>
      </c>
      <c r="Y632" s="15">
        <f t="shared" si="118"/>
        <v>0.95</v>
      </c>
      <c r="Z632" s="15">
        <f t="shared" ca="1" si="119"/>
        <v>0</v>
      </c>
    </row>
    <row r="633" spans="12:26" x14ac:dyDescent="0.3">
      <c r="L633" s="15">
        <v>631</v>
      </c>
      <c r="M633" s="15">
        <f t="shared" si="111"/>
        <v>1</v>
      </c>
      <c r="N633" s="15">
        <f t="shared" ca="1" si="112"/>
        <v>-6.273466653952716</v>
      </c>
      <c r="O633" s="15">
        <f t="shared" ca="1" si="121"/>
        <v>1.8189719156786133E-2</v>
      </c>
      <c r="P633" s="15">
        <f t="shared" ca="1" si="120"/>
        <v>1.8189707775178764E-2</v>
      </c>
      <c r="Q633" s="15">
        <v>0</v>
      </c>
      <c r="R633" s="15">
        <f t="shared" ca="1" si="113"/>
        <v>1.8189707775178764E-2</v>
      </c>
      <c r="S633" s="15">
        <f t="shared" ca="1" si="122"/>
        <v>7.268856774838091</v>
      </c>
      <c r="T633" s="15">
        <f t="shared" ca="1" si="114"/>
        <v>4.6098960522314349E-3</v>
      </c>
      <c r="U633" s="15">
        <f t="shared" ca="1" si="115"/>
        <v>7.2734666708903228</v>
      </c>
      <c r="V633" s="15">
        <f t="shared" ca="1" si="116"/>
        <v>7.273466653952716</v>
      </c>
      <c r="X633" s="15">
        <f t="shared" si="117"/>
        <v>1.05</v>
      </c>
      <c r="Y633" s="15">
        <f t="shared" si="118"/>
        <v>0.95</v>
      </c>
      <c r="Z633" s="15">
        <f t="shared" ca="1" si="119"/>
        <v>0</v>
      </c>
    </row>
    <row r="634" spans="12:26" x14ac:dyDescent="0.3">
      <c r="L634" s="15">
        <v>632</v>
      </c>
      <c r="M634" s="15">
        <f t="shared" si="111"/>
        <v>1</v>
      </c>
      <c r="N634" s="15">
        <f t="shared" ca="1" si="112"/>
        <v>-6.0272305298194366</v>
      </c>
      <c r="O634" s="15">
        <f t="shared" ca="1" si="121"/>
        <v>1.8189719156786133E-2</v>
      </c>
      <c r="P634" s="15">
        <f t="shared" ca="1" si="120"/>
        <v>1.8189707775178764E-2</v>
      </c>
      <c r="Q634" s="15">
        <v>0</v>
      </c>
      <c r="R634" s="15">
        <f t="shared" ca="1" si="113"/>
        <v>1.8189707775178764E-2</v>
      </c>
      <c r="S634" s="15">
        <f t="shared" ca="1" si="122"/>
        <v>7.0226170164829256</v>
      </c>
      <c r="T634" s="15">
        <f t="shared" ca="1" si="114"/>
        <v>4.6135232046310738E-3</v>
      </c>
      <c r="U634" s="15">
        <f t="shared" ca="1" si="115"/>
        <v>7.0272305396875563</v>
      </c>
      <c r="V634" s="15">
        <f t="shared" ca="1" si="116"/>
        <v>7.0272305298194366</v>
      </c>
      <c r="X634" s="15">
        <f t="shared" si="117"/>
        <v>1.05</v>
      </c>
      <c r="Y634" s="15">
        <f t="shared" si="118"/>
        <v>0.95</v>
      </c>
      <c r="Z634" s="15">
        <f t="shared" ca="1" si="119"/>
        <v>0</v>
      </c>
    </row>
    <row r="635" spans="12:26" x14ac:dyDescent="0.3">
      <c r="L635" s="15">
        <v>633</v>
      </c>
      <c r="M635" s="15">
        <f t="shared" si="111"/>
        <v>1</v>
      </c>
      <c r="N635" s="15">
        <f t="shared" ca="1" si="112"/>
        <v>-5.7829113003758046</v>
      </c>
      <c r="O635" s="15">
        <f t="shared" ca="1" si="121"/>
        <v>-6.8336535938584575E-4</v>
      </c>
      <c r="P635" s="15">
        <f t="shared" ca="1" si="120"/>
        <v>-6.8338122234758484E-4</v>
      </c>
      <c r="Q635" s="15">
        <v>0</v>
      </c>
      <c r="R635" s="15">
        <f t="shared" ca="1" si="113"/>
        <v>-6.8338122234758484E-4</v>
      </c>
      <c r="S635" s="15">
        <f t="shared" ca="1" si="122"/>
        <v>6.7808282355827325</v>
      </c>
      <c r="T635" s="15">
        <f t="shared" ca="1" si="114"/>
        <v>2.083066502599974E-3</v>
      </c>
      <c r="U635" s="15">
        <f t="shared" ca="1" si="115"/>
        <v>6.7829113020853322</v>
      </c>
      <c r="V635" s="15">
        <f t="shared" ca="1" si="116"/>
        <v>6.7829113003758046</v>
      </c>
      <c r="X635" s="15">
        <f t="shared" si="117"/>
        <v>1.05</v>
      </c>
      <c r="Y635" s="15">
        <f t="shared" si="118"/>
        <v>0.95</v>
      </c>
      <c r="Z635" s="15">
        <f t="shared" ca="1" si="119"/>
        <v>0</v>
      </c>
    </row>
    <row r="636" spans="12:26" x14ac:dyDescent="0.3">
      <c r="L636" s="15">
        <v>634</v>
      </c>
      <c r="M636" s="15">
        <f t="shared" si="111"/>
        <v>1</v>
      </c>
      <c r="N636" s="15">
        <f t="shared" ca="1" si="112"/>
        <v>-5.5502432655892893</v>
      </c>
      <c r="O636" s="15">
        <f t="shared" ca="1" si="121"/>
        <v>-6.8336535938584575E-4</v>
      </c>
      <c r="P636" s="15">
        <f t="shared" ca="1" si="120"/>
        <v>-6.8338122234758484E-4</v>
      </c>
      <c r="Q636" s="15">
        <v>0</v>
      </c>
      <c r="R636" s="15">
        <f t="shared" ca="1" si="113"/>
        <v>-6.8338122234758484E-4</v>
      </c>
      <c r="S636" s="15">
        <f t="shared" ca="1" si="122"/>
        <v>6.5424896874330338</v>
      </c>
      <c r="T636" s="15">
        <f t="shared" ca="1" si="114"/>
        <v>7.7535867400790916E-3</v>
      </c>
      <c r="U636" s="15">
        <f t="shared" ca="1" si="115"/>
        <v>6.5502432741731127</v>
      </c>
      <c r="V636" s="15">
        <f t="shared" ca="1" si="116"/>
        <v>6.5502432655892893</v>
      </c>
      <c r="X636" s="15">
        <f t="shared" si="117"/>
        <v>1.05</v>
      </c>
      <c r="Y636" s="15">
        <f t="shared" si="118"/>
        <v>0.95</v>
      </c>
      <c r="Z636" s="15">
        <f t="shared" ca="1" si="119"/>
        <v>0</v>
      </c>
    </row>
    <row r="637" spans="12:26" x14ac:dyDescent="0.3">
      <c r="L637" s="15">
        <v>635</v>
      </c>
      <c r="M637" s="15">
        <f t="shared" si="111"/>
        <v>1</v>
      </c>
      <c r="N637" s="15">
        <f t="shared" ca="1" si="112"/>
        <v>-5.3100921237631917</v>
      </c>
      <c r="O637" s="15">
        <f t="shared" ca="1" si="121"/>
        <v>-6.8336535938584575E-4</v>
      </c>
      <c r="P637" s="15">
        <f t="shared" ca="1" si="120"/>
        <v>-6.8338122234758484E-4</v>
      </c>
      <c r="Q637" s="15">
        <v>0</v>
      </c>
      <c r="R637" s="15">
        <f t="shared" ca="1" si="113"/>
        <v>-6.8338122234758484E-4</v>
      </c>
      <c r="S637" s="15">
        <f t="shared" ca="1" si="122"/>
        <v>6.3081714920138658</v>
      </c>
      <c r="T637" s="15">
        <f t="shared" ca="1" si="114"/>
        <v>1.9206348411434694E-3</v>
      </c>
      <c r="U637" s="15">
        <f t="shared" ca="1" si="115"/>
        <v>6.3100921268550092</v>
      </c>
      <c r="V637" s="15">
        <f t="shared" ca="1" si="116"/>
        <v>6.3100921237631917</v>
      </c>
      <c r="X637" s="15">
        <f t="shared" si="117"/>
        <v>1.05</v>
      </c>
      <c r="Y637" s="15">
        <f t="shared" si="118"/>
        <v>0.95</v>
      </c>
      <c r="Z637" s="15">
        <f t="shared" ca="1" si="119"/>
        <v>0</v>
      </c>
    </row>
    <row r="638" spans="12:26" x14ac:dyDescent="0.3">
      <c r="L638" s="15">
        <v>636</v>
      </c>
      <c r="M638" s="15">
        <f t="shared" si="111"/>
        <v>1</v>
      </c>
      <c r="N638" s="15">
        <f t="shared" ca="1" si="112"/>
        <v>-5.0835810625188937</v>
      </c>
      <c r="O638" s="15">
        <f t="shared" ca="1" si="121"/>
        <v>-5.6604661323103045E-3</v>
      </c>
      <c r="P638" s="15">
        <f t="shared" ca="1" si="120"/>
        <v>-5.6604854775733513E-3</v>
      </c>
      <c r="Q638" s="15">
        <v>0</v>
      </c>
      <c r="R638" s="15">
        <f t="shared" ca="1" si="113"/>
        <v>-5.6604854775733513E-3</v>
      </c>
      <c r="S638" s="15">
        <f t="shared" ca="1" si="122"/>
        <v>6.0768022712368515</v>
      </c>
      <c r="T638" s="15">
        <f t="shared" ca="1" si="114"/>
        <v>6.7788094292713435E-3</v>
      </c>
      <c r="U638" s="15">
        <f t="shared" ca="1" si="115"/>
        <v>6.0835810806661232</v>
      </c>
      <c r="V638" s="15">
        <f t="shared" ca="1" si="116"/>
        <v>6.0835810625188937</v>
      </c>
      <c r="X638" s="15">
        <f t="shared" si="117"/>
        <v>1.05</v>
      </c>
      <c r="Y638" s="15">
        <f t="shared" si="118"/>
        <v>0.95</v>
      </c>
      <c r="Z638" s="15">
        <f t="shared" ca="1" si="119"/>
        <v>0</v>
      </c>
    </row>
    <row r="639" spans="12:26" x14ac:dyDescent="0.3">
      <c r="L639" s="15">
        <v>637</v>
      </c>
      <c r="M639" s="15">
        <f t="shared" si="111"/>
        <v>1</v>
      </c>
      <c r="N639" s="15">
        <f t="shared" ca="1" si="112"/>
        <v>-4.8505887877779523</v>
      </c>
      <c r="O639" s="15">
        <f t="shared" ca="1" si="121"/>
        <v>-5.6604661323103045E-3</v>
      </c>
      <c r="P639" s="15">
        <f t="shared" ca="1" si="120"/>
        <v>-5.6604854775733513E-3</v>
      </c>
      <c r="Q639" s="15">
        <v>0</v>
      </c>
      <c r="R639" s="15">
        <f t="shared" ca="1" si="113"/>
        <v>-5.6604854775733513E-3</v>
      </c>
      <c r="S639" s="15">
        <f t="shared" ca="1" si="122"/>
        <v>5.8475028382156831</v>
      </c>
      <c r="T639" s="15">
        <f t="shared" ca="1" si="114"/>
        <v>3.0859496399441521E-3</v>
      </c>
      <c r="U639" s="15">
        <f t="shared" ca="1" si="115"/>
        <v>5.8505887878556271</v>
      </c>
      <c r="V639" s="15">
        <f t="shared" ca="1" si="116"/>
        <v>5.8505887877779523</v>
      </c>
      <c r="X639" s="15">
        <f t="shared" si="117"/>
        <v>1.05</v>
      </c>
      <c r="Y639" s="15">
        <f t="shared" si="118"/>
        <v>0.95</v>
      </c>
      <c r="Z639" s="15">
        <f t="shared" ca="1" si="119"/>
        <v>0</v>
      </c>
    </row>
    <row r="640" spans="12:26" x14ac:dyDescent="0.3">
      <c r="L640" s="15">
        <v>638</v>
      </c>
      <c r="M640" s="15">
        <f t="shared" si="111"/>
        <v>1</v>
      </c>
      <c r="N640" s="15">
        <f t="shared" ca="1" si="112"/>
        <v>-4.6270207524362537</v>
      </c>
      <c r="O640" s="15">
        <f t="shared" ca="1" si="121"/>
        <v>-5.6604661323103045E-3</v>
      </c>
      <c r="P640" s="15">
        <f t="shared" ca="1" si="120"/>
        <v>-5.6604854775733513E-3</v>
      </c>
      <c r="Q640" s="15">
        <v>0</v>
      </c>
      <c r="R640" s="15">
        <f t="shared" ca="1" si="113"/>
        <v>-5.6604854775733513E-3</v>
      </c>
      <c r="S640" s="15">
        <f t="shared" ca="1" si="122"/>
        <v>5.620980309387293</v>
      </c>
      <c r="T640" s="15">
        <f t="shared" ca="1" si="114"/>
        <v>6.0404611830918642E-3</v>
      </c>
      <c r="U640" s="15">
        <f t="shared" ca="1" si="115"/>
        <v>5.6270207705703852</v>
      </c>
      <c r="V640" s="15">
        <f t="shared" ca="1" si="116"/>
        <v>5.6270207524362537</v>
      </c>
      <c r="X640" s="15">
        <f t="shared" si="117"/>
        <v>1.05</v>
      </c>
      <c r="Y640" s="15">
        <f t="shared" si="118"/>
        <v>0.95</v>
      </c>
      <c r="Z640" s="15">
        <f t="shared" ca="1" si="119"/>
        <v>0</v>
      </c>
    </row>
    <row r="641" spans="12:26" x14ac:dyDescent="0.3">
      <c r="L641" s="15">
        <v>639</v>
      </c>
      <c r="M641" s="15">
        <f t="shared" si="111"/>
        <v>1</v>
      </c>
      <c r="N641" s="15">
        <f t="shared" ca="1" si="112"/>
        <v>-4.4021260248036418</v>
      </c>
      <c r="O641" s="15">
        <f t="shared" ca="1" si="121"/>
        <v>1.3143923714091343E-2</v>
      </c>
      <c r="P641" s="15">
        <f t="shared" ca="1" si="120"/>
        <v>1.3143918480059113E-2</v>
      </c>
      <c r="Q641" s="15">
        <v>0</v>
      </c>
      <c r="R641" s="15">
        <f t="shared" ca="1" si="113"/>
        <v>1.3143918480059113E-2</v>
      </c>
      <c r="S641" s="15">
        <f t="shared" ca="1" si="122"/>
        <v>5.3963354959643528</v>
      </c>
      <c r="T641" s="15">
        <f t="shared" ca="1" si="114"/>
        <v>5.7905449432253588E-3</v>
      </c>
      <c r="U641" s="15">
        <f t="shared" ca="1" si="115"/>
        <v>5.4021260409075778</v>
      </c>
      <c r="V641" s="15">
        <f t="shared" ca="1" si="116"/>
        <v>5.4021260248036418</v>
      </c>
      <c r="X641" s="15">
        <f t="shared" si="117"/>
        <v>1.05</v>
      </c>
      <c r="Y641" s="15">
        <f t="shared" si="118"/>
        <v>0.95</v>
      </c>
      <c r="Z641" s="15">
        <f t="shared" ca="1" si="119"/>
        <v>0</v>
      </c>
    </row>
    <row r="642" spans="12:26" x14ac:dyDescent="0.3">
      <c r="L642" s="15">
        <v>640</v>
      </c>
      <c r="M642" s="15">
        <f t="shared" si="111"/>
        <v>1</v>
      </c>
      <c r="N642" s="15">
        <f t="shared" ca="1" si="112"/>
        <v>-4.1740264997757102</v>
      </c>
      <c r="O642" s="15">
        <f t="shared" ca="1" si="121"/>
        <v>1.3143923714091343E-2</v>
      </c>
      <c r="P642" s="15">
        <f t="shared" ca="1" si="120"/>
        <v>1.3143918480059113E-2</v>
      </c>
      <c r="Q642" s="15">
        <v>0</v>
      </c>
      <c r="R642" s="15">
        <f t="shared" ca="1" si="113"/>
        <v>1.3143918480059113E-2</v>
      </c>
      <c r="S642" s="15">
        <f t="shared" ca="1" si="122"/>
        <v>5.1728419806880419</v>
      </c>
      <c r="T642" s="15">
        <f t="shared" ca="1" si="114"/>
        <v>1.1845195768868644E-3</v>
      </c>
      <c r="U642" s="15">
        <f t="shared" ca="1" si="115"/>
        <v>5.1740265002649286</v>
      </c>
      <c r="V642" s="15">
        <f t="shared" ca="1" si="116"/>
        <v>5.1740264997757102</v>
      </c>
      <c r="X642" s="15">
        <f t="shared" si="117"/>
        <v>1.05</v>
      </c>
      <c r="Y642" s="15">
        <f t="shared" si="118"/>
        <v>0.95</v>
      </c>
      <c r="Z642" s="15">
        <f t="shared" ca="1" si="119"/>
        <v>0</v>
      </c>
    </row>
    <row r="643" spans="12:26" x14ac:dyDescent="0.3">
      <c r="L643" s="15">
        <v>641</v>
      </c>
      <c r="M643" s="15">
        <f t="shared" ref="M643:M706" si="123">IF(L643&lt;$D$16,$D$13,IF(L643&lt;$E$16,$E$13,$F$13))</f>
        <v>1</v>
      </c>
      <c r="N643" s="15">
        <f t="shared" ref="N643:N706" ca="1" si="124">M643-V643</f>
        <v>-3.9592573672903839</v>
      </c>
      <c r="O643" s="15">
        <f t="shared" ca="1" si="121"/>
        <v>1.3143923714091343E-2</v>
      </c>
      <c r="P643" s="15">
        <f t="shared" ca="1" si="120"/>
        <v>1.3143918480059113E-2</v>
      </c>
      <c r="Q643" s="15">
        <v>0</v>
      </c>
      <c r="R643" s="15">
        <f t="shared" ref="R643:R706" ca="1" si="125">P643+Q643</f>
        <v>1.3143918480059113E-2</v>
      </c>
      <c r="S643" s="15">
        <f t="shared" ca="1" si="122"/>
        <v>4.9512989127729812</v>
      </c>
      <c r="T643" s="15">
        <f t="shared" ref="T643:T706" ca="1" si="126">RAND()*$G$12</f>
        <v>7.9584678946773828E-3</v>
      </c>
      <c r="U643" s="15">
        <f t="shared" ref="U643:U706" ca="1" si="127">S643+T643</f>
        <v>4.9592573806676583</v>
      </c>
      <c r="V643" s="15">
        <f t="shared" ref="V643:V706" ca="1" si="128">INT((2^$J$12-1)*U643/100)/(2^$J$12-1)*100</f>
        <v>4.9592573672903839</v>
      </c>
      <c r="X643" s="15">
        <f t="shared" ref="X643:X706" si="129">M643 * 1.05</f>
        <v>1.05</v>
      </c>
      <c r="Y643" s="15">
        <f t="shared" ref="Y643:Y706" si="130">M643 * 0.95</f>
        <v>0.95</v>
      </c>
      <c r="Z643" s="15">
        <f t="shared" ref="Z643:Z706" ca="1" si="131">IF(AND(V643 &lt;= X643, V643 &gt;= Y643), 1, 0)</f>
        <v>0</v>
      </c>
    </row>
    <row r="644" spans="12:26" x14ac:dyDescent="0.3">
      <c r="L644" s="15">
        <v>642</v>
      </c>
      <c r="M644" s="15">
        <f t="shared" si="123"/>
        <v>1</v>
      </c>
      <c r="N644" s="15">
        <f t="shared" ca="1" si="124"/>
        <v>-3.7361671702787671</v>
      </c>
      <c r="O644" s="15">
        <f t="shared" ca="1" si="121"/>
        <v>4.3815565335351803E-2</v>
      </c>
      <c r="P644" s="15">
        <f t="shared" ca="1" si="120"/>
        <v>4.3815560649106175E-2</v>
      </c>
      <c r="Q644" s="15">
        <v>0</v>
      </c>
      <c r="R644" s="15">
        <f t="shared" ca="1" si="125"/>
        <v>4.3815560649106175E-2</v>
      </c>
      <c r="S644" s="15">
        <f t="shared" ca="1" si="122"/>
        <v>4.7312676299152097</v>
      </c>
      <c r="T644" s="15">
        <f t="shared" ca="1" si="126"/>
        <v>4.8995576876357787E-3</v>
      </c>
      <c r="U644" s="15">
        <f t="shared" ca="1" si="127"/>
        <v>4.7361671876028453</v>
      </c>
      <c r="V644" s="15">
        <f t="shared" ca="1" si="128"/>
        <v>4.7361671702787671</v>
      </c>
      <c r="X644" s="15">
        <f t="shared" si="129"/>
        <v>1.05</v>
      </c>
      <c r="Y644" s="15">
        <f t="shared" si="130"/>
        <v>0.95</v>
      </c>
      <c r="Z644" s="15">
        <f t="shared" ca="1" si="131"/>
        <v>0</v>
      </c>
    </row>
    <row r="645" spans="12:26" x14ac:dyDescent="0.3">
      <c r="L645" s="15">
        <v>643</v>
      </c>
      <c r="M645" s="15">
        <f t="shared" si="123"/>
        <v>1</v>
      </c>
      <c r="N645" s="15">
        <f t="shared" ca="1" si="124"/>
        <v>-3.5127734552400129</v>
      </c>
      <c r="O645" s="15">
        <f t="shared" ca="1" si="121"/>
        <v>4.3815565335351803E-2</v>
      </c>
      <c r="P645" s="15">
        <f t="shared" ca="1" si="120"/>
        <v>4.3815560649106175E-2</v>
      </c>
      <c r="Q645" s="15">
        <v>0</v>
      </c>
      <c r="R645" s="15">
        <f t="shared" ca="1" si="125"/>
        <v>4.3815560649106175E-2</v>
      </c>
      <c r="S645" s="15">
        <f t="shared" ca="1" si="122"/>
        <v>4.5124086668881667</v>
      </c>
      <c r="T645" s="15">
        <f t="shared" ca="1" si="126"/>
        <v>3.6479545290679427E-4</v>
      </c>
      <c r="U645" s="15">
        <f t="shared" ca="1" si="127"/>
        <v>4.5127734623410731</v>
      </c>
      <c r="V645" s="15">
        <f t="shared" ca="1" si="128"/>
        <v>4.5127734552400129</v>
      </c>
      <c r="X645" s="15">
        <f t="shared" si="129"/>
        <v>1.05</v>
      </c>
      <c r="Y645" s="15">
        <f t="shared" si="130"/>
        <v>0.95</v>
      </c>
      <c r="Z645" s="15">
        <f t="shared" ca="1" si="131"/>
        <v>0</v>
      </c>
    </row>
    <row r="646" spans="12:26" x14ac:dyDescent="0.3">
      <c r="L646" s="15">
        <v>644</v>
      </c>
      <c r="M646" s="15">
        <f t="shared" si="123"/>
        <v>1</v>
      </c>
      <c r="N646" s="15">
        <f t="shared" ca="1" si="124"/>
        <v>-3.2969010081833465</v>
      </c>
      <c r="O646" s="15">
        <f t="shared" ca="1" si="121"/>
        <v>4.3815565335351803E-2</v>
      </c>
      <c r="P646" s="15">
        <f t="shared" ca="1" si="120"/>
        <v>4.3815560649106175E-2</v>
      </c>
      <c r="Q646" s="15">
        <v>0</v>
      </c>
      <c r="R646" s="15">
        <f t="shared" ca="1" si="125"/>
        <v>4.3815560649106175E-2</v>
      </c>
      <c r="S646" s="15">
        <f t="shared" ca="1" si="122"/>
        <v>4.2954989021421852</v>
      </c>
      <c r="T646" s="15">
        <f t="shared" ca="1" si="126"/>
        <v>1.4021110445087792E-3</v>
      </c>
      <c r="U646" s="15">
        <f t="shared" ca="1" si="127"/>
        <v>4.2969010131866936</v>
      </c>
      <c r="V646" s="15">
        <f t="shared" ca="1" si="128"/>
        <v>4.2969010081833465</v>
      </c>
      <c r="X646" s="15">
        <f t="shared" si="129"/>
        <v>1.05</v>
      </c>
      <c r="Y646" s="15">
        <f t="shared" si="130"/>
        <v>0.95</v>
      </c>
      <c r="Z646" s="15">
        <f t="shared" ca="1" si="131"/>
        <v>0</v>
      </c>
    </row>
    <row r="647" spans="12:26" x14ac:dyDescent="0.3">
      <c r="L647" s="15">
        <v>645</v>
      </c>
      <c r="M647" s="15">
        <f t="shared" si="123"/>
        <v>1</v>
      </c>
      <c r="N647" s="15">
        <f t="shared" ca="1" si="124"/>
        <v>-3.0901887938590233</v>
      </c>
      <c r="O647" s="15">
        <f t="shared" ca="1" si="121"/>
        <v>8.1080982216293229E-2</v>
      </c>
      <c r="P647" s="15">
        <f t="shared" ca="1" si="120"/>
        <v>8.108096664796606E-2</v>
      </c>
      <c r="Q647" s="15">
        <v>0</v>
      </c>
      <c r="R647" s="15">
        <f t="shared" ca="1" si="125"/>
        <v>8.108096664796606E-2</v>
      </c>
      <c r="S647" s="15">
        <f t="shared" ca="1" si="122"/>
        <v>4.0845161754646533</v>
      </c>
      <c r="T647" s="15">
        <f t="shared" ca="1" si="126"/>
        <v>5.6726343126031979E-3</v>
      </c>
      <c r="U647" s="15">
        <f t="shared" ca="1" si="127"/>
        <v>4.0901888097772563</v>
      </c>
      <c r="V647" s="15">
        <f t="shared" ca="1" si="128"/>
        <v>4.0901887938590233</v>
      </c>
      <c r="X647" s="15">
        <f t="shared" si="129"/>
        <v>1.05</v>
      </c>
      <c r="Y647" s="15">
        <f t="shared" si="130"/>
        <v>0.95</v>
      </c>
      <c r="Z647" s="15">
        <f t="shared" ca="1" si="131"/>
        <v>0</v>
      </c>
    </row>
    <row r="648" spans="12:26" x14ac:dyDescent="0.3">
      <c r="L648" s="15">
        <v>646</v>
      </c>
      <c r="M648" s="15">
        <f t="shared" si="123"/>
        <v>1</v>
      </c>
      <c r="N648" s="15">
        <f t="shared" ca="1" si="124"/>
        <v>-2.8859613714474159</v>
      </c>
      <c r="O648" s="15">
        <f t="shared" ca="1" si="121"/>
        <v>8.1080982216293229E-2</v>
      </c>
      <c r="P648" s="15">
        <f t="shared" ca="1" si="120"/>
        <v>8.108096664796606E-2</v>
      </c>
      <c r="Q648" s="15">
        <v>0</v>
      </c>
      <c r="R648" s="15">
        <f t="shared" ca="1" si="125"/>
        <v>8.108096664796606E-2</v>
      </c>
      <c r="S648" s="15">
        <f t="shared" ca="1" si="122"/>
        <v>3.8827619845078547</v>
      </c>
      <c r="T648" s="15">
        <f t="shared" ca="1" si="126"/>
        <v>3.1994014638393985E-3</v>
      </c>
      <c r="U648" s="15">
        <f t="shared" ca="1" si="127"/>
        <v>3.8859613859716942</v>
      </c>
      <c r="V648" s="15">
        <f t="shared" ca="1" si="128"/>
        <v>3.8859613714474159</v>
      </c>
      <c r="X648" s="15">
        <f t="shared" si="129"/>
        <v>1.05</v>
      </c>
      <c r="Y648" s="15">
        <f t="shared" si="130"/>
        <v>0.95</v>
      </c>
      <c r="Z648" s="15">
        <f t="shared" ca="1" si="131"/>
        <v>0</v>
      </c>
    </row>
    <row r="649" spans="12:26" x14ac:dyDescent="0.3">
      <c r="L649" s="15">
        <v>647</v>
      </c>
      <c r="M649" s="15">
        <f t="shared" si="123"/>
        <v>1</v>
      </c>
      <c r="N649" s="15">
        <f t="shared" ca="1" si="124"/>
        <v>-2.6938782789963014</v>
      </c>
      <c r="O649" s="15">
        <f t="shared" ca="1" si="121"/>
        <v>8.1080982216293229E-2</v>
      </c>
      <c r="P649" s="15">
        <f t="shared" ca="1" si="120"/>
        <v>8.108096664796606E-2</v>
      </c>
      <c r="Q649" s="15">
        <v>0</v>
      </c>
      <c r="R649" s="15">
        <f t="shared" ca="1" si="125"/>
        <v>8.108096664796606E-2</v>
      </c>
      <c r="S649" s="15">
        <f t="shared" ca="1" si="122"/>
        <v>3.6899182360301492</v>
      </c>
      <c r="T649" s="15">
        <f t="shared" ca="1" si="126"/>
        <v>3.9600575938077342E-3</v>
      </c>
      <c r="U649" s="15">
        <f t="shared" ca="1" si="127"/>
        <v>3.6938782936239569</v>
      </c>
      <c r="V649" s="15">
        <f t="shared" ca="1" si="128"/>
        <v>3.6938782789963014</v>
      </c>
      <c r="X649" s="15">
        <f t="shared" si="129"/>
        <v>1.05</v>
      </c>
      <c r="Y649" s="15">
        <f t="shared" si="130"/>
        <v>0.95</v>
      </c>
      <c r="Z649" s="15">
        <f t="shared" ca="1" si="131"/>
        <v>0</v>
      </c>
    </row>
    <row r="650" spans="12:26" x14ac:dyDescent="0.3">
      <c r="L650" s="15">
        <v>648</v>
      </c>
      <c r="M650" s="15">
        <f t="shared" si="123"/>
        <v>1</v>
      </c>
      <c r="N650" s="15">
        <f t="shared" ca="1" si="124"/>
        <v>-2.509173380096716</v>
      </c>
      <c r="O650" s="15">
        <f t="shared" ca="1" si="121"/>
        <v>9.1710423209300007E-2</v>
      </c>
      <c r="P650" s="15">
        <f t="shared" ca="1" si="120"/>
        <v>9.1710407308235389E-2</v>
      </c>
      <c r="Q650" s="15">
        <v>0</v>
      </c>
      <c r="R650" s="15">
        <f t="shared" ca="1" si="125"/>
        <v>9.1710407308235389E-2</v>
      </c>
      <c r="S650" s="15">
        <f t="shared" ca="1" si="122"/>
        <v>3.5063122496362364</v>
      </c>
      <c r="T650" s="15">
        <f t="shared" ca="1" si="126"/>
        <v>2.8611427271654122E-3</v>
      </c>
      <c r="U650" s="15">
        <f t="shared" ca="1" si="127"/>
        <v>3.5091733923634019</v>
      </c>
      <c r="V650" s="15">
        <f t="shared" ca="1" si="128"/>
        <v>3.509173380096716</v>
      </c>
      <c r="X650" s="15">
        <f t="shared" si="129"/>
        <v>1.05</v>
      </c>
      <c r="Y650" s="15">
        <f t="shared" si="130"/>
        <v>0.95</v>
      </c>
      <c r="Z650" s="15">
        <f t="shared" ca="1" si="131"/>
        <v>0</v>
      </c>
    </row>
    <row r="651" spans="12:26" x14ac:dyDescent="0.3">
      <c r="L651" s="15">
        <v>649</v>
      </c>
      <c r="M651" s="15">
        <f t="shared" si="123"/>
        <v>1</v>
      </c>
      <c r="N651" s="15">
        <f t="shared" ca="1" si="124"/>
        <v>-2.3324390657554472</v>
      </c>
      <c r="O651" s="15">
        <f t="shared" ca="1" si="121"/>
        <v>9.1710423209300007E-2</v>
      </c>
      <c r="P651" s="15">
        <f t="shared" ca="1" si="120"/>
        <v>9.1710407308235389E-2</v>
      </c>
      <c r="Q651" s="15">
        <v>0</v>
      </c>
      <c r="R651" s="15">
        <f t="shared" ca="1" si="125"/>
        <v>9.1710407308235389E-2</v>
      </c>
      <c r="S651" s="15">
        <f t="shared" ca="1" si="122"/>
        <v>3.3321622893708196</v>
      </c>
      <c r="T651" s="15">
        <f t="shared" ca="1" si="126"/>
        <v>2.7679171135017725E-4</v>
      </c>
      <c r="U651" s="15">
        <f t="shared" ca="1" si="127"/>
        <v>3.3324390810821698</v>
      </c>
      <c r="V651" s="15">
        <f t="shared" ca="1" si="128"/>
        <v>3.3324390657554472</v>
      </c>
      <c r="X651" s="15">
        <f t="shared" si="129"/>
        <v>1.05</v>
      </c>
      <c r="Y651" s="15">
        <f t="shared" si="130"/>
        <v>0.95</v>
      </c>
      <c r="Z651" s="15">
        <f t="shared" ca="1" si="131"/>
        <v>0</v>
      </c>
    </row>
    <row r="652" spans="12:26" x14ac:dyDescent="0.3">
      <c r="L652" s="15">
        <v>650</v>
      </c>
      <c r="M652" s="15">
        <f t="shared" si="123"/>
        <v>1</v>
      </c>
      <c r="N652" s="15">
        <f t="shared" ca="1" si="124"/>
        <v>-2.1703669818049223</v>
      </c>
      <c r="O652" s="15">
        <f t="shared" ca="1" si="121"/>
        <v>9.1710423209300007E-2</v>
      </c>
      <c r="P652" s="15">
        <f t="shared" ca="1" si="120"/>
        <v>9.1710407308235389E-2</v>
      </c>
      <c r="Q652" s="15">
        <v>0</v>
      </c>
      <c r="R652" s="15">
        <f t="shared" ca="1" si="125"/>
        <v>9.1710407308235389E-2</v>
      </c>
      <c r="S652" s="15">
        <f t="shared" ca="1" si="122"/>
        <v>3.1670046300794152</v>
      </c>
      <c r="T652" s="15">
        <f t="shared" ca="1" si="126"/>
        <v>3.3623718836973725E-3</v>
      </c>
      <c r="U652" s="15">
        <f t="shared" ca="1" si="127"/>
        <v>3.1703670019631125</v>
      </c>
      <c r="V652" s="15">
        <f t="shared" ca="1" si="128"/>
        <v>3.1703669818049223</v>
      </c>
      <c r="X652" s="15">
        <f t="shared" si="129"/>
        <v>1.05</v>
      </c>
      <c r="Y652" s="15">
        <f t="shared" si="130"/>
        <v>0.95</v>
      </c>
      <c r="Z652" s="15">
        <f t="shared" ca="1" si="131"/>
        <v>0</v>
      </c>
    </row>
    <row r="653" spans="12:26" x14ac:dyDescent="0.3">
      <c r="L653" s="15">
        <v>651</v>
      </c>
      <c r="M653" s="15">
        <f t="shared" si="123"/>
        <v>1</v>
      </c>
      <c r="N653" s="15">
        <f t="shared" ca="1" si="124"/>
        <v>-2.019542201193874</v>
      </c>
      <c r="O653" s="15">
        <f t="shared" ca="1" si="121"/>
        <v>8.0549741516188433E-2</v>
      </c>
      <c r="P653" s="15">
        <f t="shared" ref="P653:P716" ca="1" si="132">INT((2^$J$12-1)*O653/100)/(2^$J$12-1)*100</f>
        <v>8.0549740251281712E-2</v>
      </c>
      <c r="Q653" s="15">
        <v>0</v>
      </c>
      <c r="R653" s="15">
        <f t="shared" ca="1" si="125"/>
        <v>8.0549740251281712E-2</v>
      </c>
      <c r="S653" s="15">
        <f t="shared" ca="1" si="122"/>
        <v>3.0100525808958762</v>
      </c>
      <c r="T653" s="15">
        <f t="shared" ca="1" si="126"/>
        <v>9.4896431849901802E-3</v>
      </c>
      <c r="U653" s="15">
        <f t="shared" ca="1" si="127"/>
        <v>3.0195422240808663</v>
      </c>
      <c r="V653" s="15">
        <f t="shared" ca="1" si="128"/>
        <v>3.019542201193874</v>
      </c>
      <c r="X653" s="15">
        <f t="shared" si="129"/>
        <v>1.05</v>
      </c>
      <c r="Y653" s="15">
        <f t="shared" si="130"/>
        <v>0.95</v>
      </c>
      <c r="Z653" s="15">
        <f t="shared" ca="1" si="131"/>
        <v>0</v>
      </c>
    </row>
    <row r="654" spans="12:26" x14ac:dyDescent="0.3">
      <c r="L654" s="15">
        <v>652</v>
      </c>
      <c r="M654" s="15">
        <f t="shared" si="123"/>
        <v>1</v>
      </c>
      <c r="N654" s="15">
        <f t="shared" ca="1" si="124"/>
        <v>-1.8650103842059642</v>
      </c>
      <c r="O654" s="15">
        <f t="shared" ca="1" si="121"/>
        <v>8.0549741516188433E-2</v>
      </c>
      <c r="P654" s="15">
        <f t="shared" ca="1" si="132"/>
        <v>8.0549740251281712E-2</v>
      </c>
      <c r="Q654" s="15">
        <v>0</v>
      </c>
      <c r="R654" s="15">
        <f t="shared" ca="1" si="125"/>
        <v>8.0549740251281712E-2</v>
      </c>
      <c r="S654" s="15">
        <f t="shared" ca="1" si="122"/>
        <v>2.8605998137954196</v>
      </c>
      <c r="T654" s="15">
        <f t="shared" ca="1" si="126"/>
        <v>4.4105792066176566E-3</v>
      </c>
      <c r="U654" s="15">
        <f t="shared" ca="1" si="127"/>
        <v>2.8650103930020374</v>
      </c>
      <c r="V654" s="15">
        <f t="shared" ca="1" si="128"/>
        <v>2.8650103842059642</v>
      </c>
      <c r="X654" s="15">
        <f t="shared" si="129"/>
        <v>1.05</v>
      </c>
      <c r="Y654" s="15">
        <f t="shared" si="130"/>
        <v>0.95</v>
      </c>
      <c r="Z654" s="15">
        <f t="shared" ca="1" si="131"/>
        <v>0</v>
      </c>
    </row>
    <row r="655" spans="12:26" x14ac:dyDescent="0.3">
      <c r="L655" s="15">
        <v>653</v>
      </c>
      <c r="M655" s="15">
        <f t="shared" si="123"/>
        <v>1</v>
      </c>
      <c r="N655" s="15">
        <f t="shared" ca="1" si="124"/>
        <v>-1.7249198180448544</v>
      </c>
      <c r="O655" s="15">
        <f t="shared" ca="1" si="121"/>
        <v>8.0549741516188433E-2</v>
      </c>
      <c r="P655" s="15">
        <f t="shared" ca="1" si="132"/>
        <v>8.0549740251281712E-2</v>
      </c>
      <c r="Q655" s="15">
        <v>0</v>
      </c>
      <c r="R655" s="15">
        <f t="shared" ca="1" si="125"/>
        <v>8.0549740251281712E-2</v>
      </c>
      <c r="S655" s="15">
        <f t="shared" ca="1" si="122"/>
        <v>2.7183265256967108</v>
      </c>
      <c r="T655" s="15">
        <f t="shared" ca="1" si="126"/>
        <v>6.593309847425453E-3</v>
      </c>
      <c r="U655" s="15">
        <f t="shared" ca="1" si="127"/>
        <v>2.7249198355441364</v>
      </c>
      <c r="V655" s="15">
        <f t="shared" ca="1" si="128"/>
        <v>2.7249198180448544</v>
      </c>
      <c r="X655" s="15">
        <f t="shared" si="129"/>
        <v>1.05</v>
      </c>
      <c r="Y655" s="15">
        <f t="shared" si="130"/>
        <v>0.95</v>
      </c>
      <c r="Z655" s="15">
        <f t="shared" ca="1" si="131"/>
        <v>0</v>
      </c>
    </row>
    <row r="656" spans="12:26" x14ac:dyDescent="0.3">
      <c r="L656" s="15">
        <v>654</v>
      </c>
      <c r="M656" s="15">
        <f t="shared" si="123"/>
        <v>1</v>
      </c>
      <c r="N656" s="15">
        <f t="shared" ca="1" si="124"/>
        <v>-1.585713030441132</v>
      </c>
      <c r="O656" s="15">
        <f t="shared" ca="1" si="121"/>
        <v>8.9760735996478491E-2</v>
      </c>
      <c r="P656" s="15">
        <f t="shared" ca="1" si="132"/>
        <v>8.9760730063952673E-2</v>
      </c>
      <c r="Q656" s="15">
        <v>0</v>
      </c>
      <c r="R656" s="15">
        <f t="shared" ca="1" si="125"/>
        <v>8.9760730063952673E-2</v>
      </c>
      <c r="S656" s="15">
        <f t="shared" ca="1" si="122"/>
        <v>2.5827598785875132</v>
      </c>
      <c r="T656" s="15">
        <f t="shared" ca="1" si="126"/>
        <v>2.9531695080859087E-3</v>
      </c>
      <c r="U656" s="15">
        <f t="shared" ca="1" si="127"/>
        <v>2.5857130480955992</v>
      </c>
      <c r="V656" s="15">
        <f t="shared" ca="1" si="128"/>
        <v>2.585713030441132</v>
      </c>
      <c r="X656" s="15">
        <f t="shared" si="129"/>
        <v>1.05</v>
      </c>
      <c r="Y656" s="15">
        <f t="shared" si="130"/>
        <v>0.95</v>
      </c>
      <c r="Z656" s="15">
        <f t="shared" ca="1" si="131"/>
        <v>0</v>
      </c>
    </row>
    <row r="657" spans="12:26" x14ac:dyDescent="0.3">
      <c r="L657" s="15">
        <v>655</v>
      </c>
      <c r="M657" s="15">
        <f t="shared" si="123"/>
        <v>1</v>
      </c>
      <c r="N657" s="15">
        <f t="shared" ca="1" si="124"/>
        <v>-1.4589190730962249</v>
      </c>
      <c r="O657" s="15">
        <f t="shared" ca="1" si="121"/>
        <v>8.9760735996478491E-2</v>
      </c>
      <c r="P657" s="15">
        <f t="shared" ca="1" si="132"/>
        <v>8.9760730063952673E-2</v>
      </c>
      <c r="Q657" s="15">
        <v>0</v>
      </c>
      <c r="R657" s="15">
        <f t="shared" ca="1" si="125"/>
        <v>8.9760730063952673E-2</v>
      </c>
      <c r="S657" s="15">
        <f t="shared" ca="1" si="122"/>
        <v>2.4534659111464743</v>
      </c>
      <c r="T657" s="15">
        <f t="shared" ca="1" si="126"/>
        <v>5.4531706638473766E-3</v>
      </c>
      <c r="U657" s="15">
        <f t="shared" ca="1" si="127"/>
        <v>2.4589190818103215</v>
      </c>
      <c r="V657" s="15">
        <f t="shared" ca="1" si="128"/>
        <v>2.4589190730962249</v>
      </c>
      <c r="X657" s="15">
        <f t="shared" si="129"/>
        <v>1.05</v>
      </c>
      <c r="Y657" s="15">
        <f t="shared" si="130"/>
        <v>0.95</v>
      </c>
      <c r="Z657" s="15">
        <f t="shared" ca="1" si="131"/>
        <v>0</v>
      </c>
    </row>
    <row r="658" spans="12:26" x14ac:dyDescent="0.3">
      <c r="L658" s="15">
        <v>656</v>
      </c>
      <c r="M658" s="15">
        <f t="shared" si="123"/>
        <v>1</v>
      </c>
      <c r="N658" s="15">
        <f t="shared" ca="1" si="124"/>
        <v>-1.3338639182815943</v>
      </c>
      <c r="O658" s="15">
        <f t="shared" ca="1" si="121"/>
        <v>8.9760735996478491E-2</v>
      </c>
      <c r="P658" s="15">
        <f t="shared" ca="1" si="132"/>
        <v>8.9760730063952673E-2</v>
      </c>
      <c r="Q658" s="15">
        <v>0</v>
      </c>
      <c r="R658" s="15">
        <f t="shared" ca="1" si="125"/>
        <v>8.9760730063952673E-2</v>
      </c>
      <c r="S658" s="15">
        <f t="shared" ca="1" si="122"/>
        <v>2.3301952566239206</v>
      </c>
      <c r="T658" s="15">
        <f t="shared" ca="1" si="126"/>
        <v>3.668666582678678E-3</v>
      </c>
      <c r="U658" s="15">
        <f t="shared" ca="1" si="127"/>
        <v>2.3338639232065992</v>
      </c>
      <c r="V658" s="15">
        <f t="shared" ca="1" si="128"/>
        <v>2.3338639182815943</v>
      </c>
      <c r="X658" s="15">
        <f t="shared" si="129"/>
        <v>1.05</v>
      </c>
      <c r="Y658" s="15">
        <f t="shared" si="130"/>
        <v>0.95</v>
      </c>
      <c r="Z658" s="15">
        <f t="shared" ca="1" si="131"/>
        <v>0</v>
      </c>
    </row>
    <row r="659" spans="12:26" x14ac:dyDescent="0.3">
      <c r="L659" s="15">
        <v>657</v>
      </c>
      <c r="M659" s="15">
        <f t="shared" si="123"/>
        <v>1</v>
      </c>
      <c r="N659" s="15">
        <f t="shared" ca="1" si="124"/>
        <v>-1.2192019974391912</v>
      </c>
      <c r="O659" s="15">
        <f t="shared" ca="1" si="121"/>
        <v>8.7802673558067701E-2</v>
      </c>
      <c r="P659" s="15">
        <f t="shared" ca="1" si="132"/>
        <v>8.7802670916496461E-2</v>
      </c>
      <c r="Q659" s="15">
        <v>0</v>
      </c>
      <c r="R659" s="15">
        <f t="shared" ca="1" si="125"/>
        <v>8.7802670916496461E-2</v>
      </c>
      <c r="S659" s="15">
        <f t="shared" ca="1" si="122"/>
        <v>2.2126616708373654</v>
      </c>
      <c r="T659" s="15">
        <f t="shared" ca="1" si="126"/>
        <v>6.5403395099586613E-3</v>
      </c>
      <c r="U659" s="15">
        <f t="shared" ca="1" si="127"/>
        <v>2.219202010347324</v>
      </c>
      <c r="V659" s="15">
        <f t="shared" ca="1" si="128"/>
        <v>2.2192019974391912</v>
      </c>
      <c r="X659" s="15">
        <f t="shared" si="129"/>
        <v>1.05</v>
      </c>
      <c r="Y659" s="15">
        <f t="shared" si="130"/>
        <v>0.95</v>
      </c>
      <c r="Z659" s="15">
        <f t="shared" ca="1" si="131"/>
        <v>0</v>
      </c>
    </row>
    <row r="660" spans="12:26" x14ac:dyDescent="0.3">
      <c r="L660" s="15">
        <v>658</v>
      </c>
      <c r="M660" s="15">
        <f t="shared" si="123"/>
        <v>1</v>
      </c>
      <c r="N660" s="15">
        <f t="shared" ca="1" si="124"/>
        <v>-1.1069728541437009</v>
      </c>
      <c r="O660" s="15">
        <f t="shared" ca="1" si="121"/>
        <v>8.7802673558067701E-2</v>
      </c>
      <c r="P660" s="15">
        <f t="shared" ca="1" si="132"/>
        <v>8.7802670916496461E-2</v>
      </c>
      <c r="Q660" s="15">
        <v>0</v>
      </c>
      <c r="R660" s="15">
        <f t="shared" ca="1" si="125"/>
        <v>8.7802670916496461E-2</v>
      </c>
      <c r="S660" s="15">
        <f t="shared" ca="1" si="122"/>
        <v>2.100592883565187</v>
      </c>
      <c r="T660" s="15">
        <f t="shared" ca="1" si="126"/>
        <v>6.3799874312124366E-3</v>
      </c>
      <c r="U660" s="15">
        <f t="shared" ca="1" si="127"/>
        <v>2.1069728709963993</v>
      </c>
      <c r="V660" s="15">
        <f t="shared" ca="1" si="128"/>
        <v>2.1069728541437009</v>
      </c>
      <c r="X660" s="15">
        <f t="shared" si="129"/>
        <v>1.05</v>
      </c>
      <c r="Y660" s="15">
        <f t="shared" si="130"/>
        <v>0.95</v>
      </c>
      <c r="Z660" s="15">
        <f t="shared" ca="1" si="131"/>
        <v>0</v>
      </c>
    </row>
    <row r="661" spans="12:26" x14ac:dyDescent="0.3">
      <c r="L661" s="15">
        <v>659</v>
      </c>
      <c r="M661" s="15">
        <f t="shared" si="123"/>
        <v>1</v>
      </c>
      <c r="N661" s="15">
        <f t="shared" ca="1" si="124"/>
        <v>-0.99945471296074206</v>
      </c>
      <c r="O661" s="15">
        <f t="shared" ca="1" si="121"/>
        <v>8.7802673558067701E-2</v>
      </c>
      <c r="P661" s="15">
        <f t="shared" ca="1" si="132"/>
        <v>8.7802670916496461E-2</v>
      </c>
      <c r="Q661" s="15">
        <v>0</v>
      </c>
      <c r="R661" s="15">
        <f t="shared" ca="1" si="125"/>
        <v>8.7802670916496461E-2</v>
      </c>
      <c r="S661" s="15">
        <f t="shared" ca="1" si="122"/>
        <v>1.9937692215862783</v>
      </c>
      <c r="T661" s="15">
        <f t="shared" ca="1" si="126"/>
        <v>5.6854949612460881E-3</v>
      </c>
      <c r="U661" s="15">
        <f t="shared" ca="1" si="127"/>
        <v>1.9994547165475245</v>
      </c>
      <c r="V661" s="15">
        <f t="shared" ca="1" si="128"/>
        <v>1.9994547129607421</v>
      </c>
      <c r="X661" s="15">
        <f t="shared" si="129"/>
        <v>1.05</v>
      </c>
      <c r="Y661" s="15">
        <f t="shared" si="130"/>
        <v>0.95</v>
      </c>
      <c r="Z661" s="15">
        <f t="shared" ca="1" si="131"/>
        <v>0</v>
      </c>
    </row>
    <row r="662" spans="12:26" x14ac:dyDescent="0.3">
      <c r="L662" s="15">
        <v>660</v>
      </c>
      <c r="M662" s="15">
        <f t="shared" si="123"/>
        <v>1</v>
      </c>
      <c r="N662" s="15">
        <f t="shared" ca="1" si="124"/>
        <v>-0.90202128186403341</v>
      </c>
      <c r="O662" s="15">
        <f t="shared" ca="1" si="121"/>
        <v>9.4470456072367481E-2</v>
      </c>
      <c r="P662" s="15">
        <f t="shared" ca="1" si="132"/>
        <v>9.4470451607944095E-2</v>
      </c>
      <c r="Q662" s="15">
        <v>0</v>
      </c>
      <c r="R662" s="15">
        <f t="shared" ca="1" si="125"/>
        <v>9.4470451607944095E-2</v>
      </c>
      <c r="S662" s="15">
        <f t="shared" ca="1" si="122"/>
        <v>1.8921393802584441</v>
      </c>
      <c r="T662" s="15">
        <f t="shared" ca="1" si="126"/>
        <v>9.8819218274186337E-3</v>
      </c>
      <c r="U662" s="15">
        <f t="shared" ca="1" si="127"/>
        <v>1.9020213020858627</v>
      </c>
      <c r="V662" s="15">
        <f t="shared" ca="1" si="128"/>
        <v>1.9020212818640334</v>
      </c>
      <c r="X662" s="15">
        <f t="shared" si="129"/>
        <v>1.05</v>
      </c>
      <c r="Y662" s="15">
        <f t="shared" si="130"/>
        <v>0.95</v>
      </c>
      <c r="Z662" s="15">
        <f t="shared" ca="1" si="131"/>
        <v>0</v>
      </c>
    </row>
    <row r="663" spans="12:26" x14ac:dyDescent="0.3">
      <c r="L663" s="15">
        <v>661</v>
      </c>
      <c r="M663" s="15">
        <f t="shared" si="123"/>
        <v>1</v>
      </c>
      <c r="N663" s="15">
        <f t="shared" ca="1" si="124"/>
        <v>-0.79709554691731355</v>
      </c>
      <c r="O663" s="15">
        <f t="shared" ref="O663:O726" ca="1" si="133">IF(MOD(L663,$B$11)=0,OFFSET(O663,-$B$11,0)+ $E$2*N663+$E$3*OFFSET(N663,-$B$11,0)+ $E$4*OFFSET(N663,-2* $B$11,0), O662)</f>
        <v>9.4470456072367481E-2</v>
      </c>
      <c r="P663" s="15">
        <f t="shared" ca="1" si="132"/>
        <v>9.4470451607944095E-2</v>
      </c>
      <c r="Q663" s="15">
        <v>0</v>
      </c>
      <c r="R663" s="15">
        <f t="shared" ca="1" si="125"/>
        <v>9.4470451607944095E-2</v>
      </c>
      <c r="S663" s="15">
        <f t="shared" ca="1" si="122"/>
        <v>1.7956294028732436</v>
      </c>
      <c r="T663" s="15">
        <f t="shared" ca="1" si="126"/>
        <v>1.4661642157316635E-3</v>
      </c>
      <c r="U663" s="15">
        <f t="shared" ca="1" si="127"/>
        <v>1.7970955670889752</v>
      </c>
      <c r="V663" s="15">
        <f t="shared" ca="1" si="128"/>
        <v>1.7970955469173135</v>
      </c>
      <c r="X663" s="15">
        <f t="shared" si="129"/>
        <v>1.05</v>
      </c>
      <c r="Y663" s="15">
        <f t="shared" si="130"/>
        <v>0.95</v>
      </c>
      <c r="Z663" s="15">
        <f t="shared" ca="1" si="131"/>
        <v>0</v>
      </c>
    </row>
    <row r="664" spans="12:26" x14ac:dyDescent="0.3">
      <c r="L664" s="15">
        <v>662</v>
      </c>
      <c r="M664" s="15">
        <f t="shared" si="123"/>
        <v>1</v>
      </c>
      <c r="N664" s="15">
        <f t="shared" ca="1" si="124"/>
        <v>-0.70712713191917342</v>
      </c>
      <c r="O664" s="15">
        <f t="shared" ca="1" si="133"/>
        <v>9.4470456072367481E-2</v>
      </c>
      <c r="P664" s="15">
        <f t="shared" ca="1" si="132"/>
        <v>9.4470451607944095E-2</v>
      </c>
      <c r="Q664" s="15">
        <v>0</v>
      </c>
      <c r="R664" s="15">
        <f t="shared" ca="1" si="125"/>
        <v>9.4470451607944095E-2</v>
      </c>
      <c r="S664" s="15">
        <f t="shared" ca="1" si="122"/>
        <v>1.7039975931713847</v>
      </c>
      <c r="T664" s="15">
        <f t="shared" ca="1" si="126"/>
        <v>3.1295491110473394E-3</v>
      </c>
      <c r="U664" s="15">
        <f t="shared" ca="1" si="127"/>
        <v>1.7071271422824319</v>
      </c>
      <c r="V664" s="15">
        <f t="shared" ca="1" si="128"/>
        <v>1.7071271319191734</v>
      </c>
      <c r="X664" s="15">
        <f t="shared" si="129"/>
        <v>1.05</v>
      </c>
      <c r="Y664" s="15">
        <f t="shared" si="130"/>
        <v>0.95</v>
      </c>
      <c r="Z664" s="15">
        <f t="shared" ca="1" si="131"/>
        <v>0</v>
      </c>
    </row>
    <row r="665" spans="12:26" x14ac:dyDescent="0.3">
      <c r="L665" s="15">
        <v>663</v>
      </c>
      <c r="M665" s="15">
        <f t="shared" si="123"/>
        <v>1</v>
      </c>
      <c r="N665" s="15">
        <f t="shared" ca="1" si="124"/>
        <v>-0.62660023235403939</v>
      </c>
      <c r="O665" s="15">
        <f t="shared" ca="1" si="133"/>
        <v>0.10398216138729077</v>
      </c>
      <c r="P665" s="15">
        <f t="shared" ca="1" si="132"/>
        <v>0.10398214219696404</v>
      </c>
      <c r="Q665" s="15">
        <v>0</v>
      </c>
      <c r="R665" s="15">
        <f t="shared" ca="1" si="125"/>
        <v>0.10398214219696404</v>
      </c>
      <c r="S665" s="15">
        <f t="shared" ref="S665:S728" ca="1" si="134">$I$1*S664-$I$2*S663+$I$3*R644+$I$4*R643</f>
        <v>1.6172776295361635</v>
      </c>
      <c r="T665" s="15">
        <f t="shared" ca="1" si="126"/>
        <v>9.3226040550912874E-3</v>
      </c>
      <c r="U665" s="15">
        <f t="shared" ca="1" si="127"/>
        <v>1.6266002335912548</v>
      </c>
      <c r="V665" s="15">
        <f t="shared" ca="1" si="128"/>
        <v>1.6266002323540394</v>
      </c>
      <c r="X665" s="15">
        <f t="shared" si="129"/>
        <v>1.05</v>
      </c>
      <c r="Y665" s="15">
        <f t="shared" si="130"/>
        <v>0.95</v>
      </c>
      <c r="Z665" s="15">
        <f t="shared" ca="1" si="131"/>
        <v>0</v>
      </c>
    </row>
    <row r="666" spans="12:26" x14ac:dyDescent="0.3">
      <c r="L666" s="15">
        <v>664</v>
      </c>
      <c r="M666" s="15">
        <f t="shared" si="123"/>
        <v>1</v>
      </c>
      <c r="N666" s="15">
        <f t="shared" ca="1" si="124"/>
        <v>-0.53714537190672607</v>
      </c>
      <c r="O666" s="15">
        <f t="shared" ca="1" si="133"/>
        <v>0.10398216138729077</v>
      </c>
      <c r="P666" s="15">
        <f t="shared" ca="1" si="132"/>
        <v>0.10398214219696404</v>
      </c>
      <c r="Q666" s="15">
        <v>0</v>
      </c>
      <c r="R666" s="15">
        <f t="shared" ca="1" si="125"/>
        <v>0.10398214219696404</v>
      </c>
      <c r="S666" s="15">
        <f t="shared" ca="1" si="134"/>
        <v>1.5354664017924526</v>
      </c>
      <c r="T666" s="15">
        <f t="shared" ca="1" si="126"/>
        <v>1.6789738841922154E-3</v>
      </c>
      <c r="U666" s="15">
        <f t="shared" ca="1" si="127"/>
        <v>1.5371453756766449</v>
      </c>
      <c r="V666" s="15">
        <f t="shared" ca="1" si="128"/>
        <v>1.5371453719067261</v>
      </c>
      <c r="X666" s="15">
        <f t="shared" si="129"/>
        <v>1.05</v>
      </c>
      <c r="Y666" s="15">
        <f t="shared" si="130"/>
        <v>0.95</v>
      </c>
      <c r="Z666" s="15">
        <f t="shared" ca="1" si="131"/>
        <v>0</v>
      </c>
    </row>
    <row r="667" spans="12:26" x14ac:dyDescent="0.3">
      <c r="L667" s="15">
        <v>665</v>
      </c>
      <c r="M667" s="15">
        <f t="shared" si="123"/>
        <v>1</v>
      </c>
      <c r="N667" s="15">
        <f t="shared" ca="1" si="124"/>
        <v>-0.46720204536505094</v>
      </c>
      <c r="O667" s="15">
        <f t="shared" ca="1" si="133"/>
        <v>0.10398216138729077</v>
      </c>
      <c r="P667" s="15">
        <f t="shared" ca="1" si="132"/>
        <v>0.10398214219696404</v>
      </c>
      <c r="Q667" s="15">
        <v>0</v>
      </c>
      <c r="R667" s="15">
        <f t="shared" ca="1" si="125"/>
        <v>0.10398214219696404</v>
      </c>
      <c r="S667" s="15">
        <f t="shared" ca="1" si="134"/>
        <v>1.4582868434760805</v>
      </c>
      <c r="T667" s="15">
        <f t="shared" ca="1" si="126"/>
        <v>8.915208554948555E-3</v>
      </c>
      <c r="U667" s="15">
        <f t="shared" ca="1" si="127"/>
        <v>1.4672020520310292</v>
      </c>
      <c r="V667" s="15">
        <f t="shared" ca="1" si="128"/>
        <v>1.4672020453650509</v>
      </c>
      <c r="X667" s="15">
        <f t="shared" si="129"/>
        <v>1.05</v>
      </c>
      <c r="Y667" s="15">
        <f t="shared" si="130"/>
        <v>0.95</v>
      </c>
      <c r="Z667" s="15">
        <f t="shared" ca="1" si="131"/>
        <v>0</v>
      </c>
    </row>
    <row r="668" spans="12:26" x14ac:dyDescent="0.3">
      <c r="L668" s="15">
        <v>666</v>
      </c>
      <c r="M668" s="15">
        <f t="shared" si="123"/>
        <v>1</v>
      </c>
      <c r="N668" s="15">
        <f t="shared" ca="1" si="124"/>
        <v>-0.38748106579004826</v>
      </c>
      <c r="O668" s="15">
        <f t="shared" ca="1" si="133"/>
        <v>0.11528604703761103</v>
      </c>
      <c r="P668" s="15">
        <f t="shared" ca="1" si="132"/>
        <v>0.11528604666592696</v>
      </c>
      <c r="Q668" s="15">
        <v>0</v>
      </c>
      <c r="R668" s="15">
        <f t="shared" ca="1" si="125"/>
        <v>0.11528604666592696</v>
      </c>
      <c r="S668" s="15">
        <f t="shared" ca="1" si="134"/>
        <v>1.3857998349758993</v>
      </c>
      <c r="T668" s="15">
        <f t="shared" ca="1" si="126"/>
        <v>1.6812439169022054E-3</v>
      </c>
      <c r="U668" s="15">
        <f t="shared" ca="1" si="127"/>
        <v>1.3874810788928016</v>
      </c>
      <c r="V668" s="15">
        <f t="shared" ca="1" si="128"/>
        <v>1.3874810657900483</v>
      </c>
      <c r="X668" s="15">
        <f t="shared" si="129"/>
        <v>1.05</v>
      </c>
      <c r="Y668" s="15">
        <f t="shared" si="130"/>
        <v>0.95</v>
      </c>
      <c r="Z668" s="15">
        <f t="shared" ca="1" si="131"/>
        <v>0</v>
      </c>
    </row>
    <row r="669" spans="12:26" x14ac:dyDescent="0.3">
      <c r="L669" s="15">
        <v>667</v>
      </c>
      <c r="M669" s="15">
        <f t="shared" si="123"/>
        <v>1</v>
      </c>
      <c r="N669" s="15">
        <f t="shared" ca="1" si="124"/>
        <v>-0.32185716678431664</v>
      </c>
      <c r="O669" s="15">
        <f t="shared" ca="1" si="133"/>
        <v>0.11528604703761103</v>
      </c>
      <c r="P669" s="15">
        <f t="shared" ca="1" si="132"/>
        <v>0.11528604666592696</v>
      </c>
      <c r="Q669" s="15">
        <v>0</v>
      </c>
      <c r="R669" s="15">
        <f t="shared" ca="1" si="125"/>
        <v>0.11528604666592696</v>
      </c>
      <c r="S669" s="15">
        <f t="shared" ca="1" si="134"/>
        <v>1.3180244192398485</v>
      </c>
      <c r="T669" s="15">
        <f t="shared" ca="1" si="126"/>
        <v>3.8327507673872351E-3</v>
      </c>
      <c r="U669" s="15">
        <f t="shared" ca="1" si="127"/>
        <v>1.3218571700072357</v>
      </c>
      <c r="V669" s="15">
        <f t="shared" ca="1" si="128"/>
        <v>1.3218571667843166</v>
      </c>
      <c r="X669" s="15">
        <f t="shared" si="129"/>
        <v>1.05</v>
      </c>
      <c r="Y669" s="15">
        <f t="shared" si="130"/>
        <v>0.95</v>
      </c>
      <c r="Z669" s="15">
        <f t="shared" ca="1" si="131"/>
        <v>0</v>
      </c>
    </row>
    <row r="670" spans="12:26" x14ac:dyDescent="0.3">
      <c r="L670" s="15">
        <v>668</v>
      </c>
      <c r="M670" s="15">
        <f t="shared" si="123"/>
        <v>1</v>
      </c>
      <c r="N670" s="15">
        <f t="shared" ca="1" si="124"/>
        <v>-0.25886907364681111</v>
      </c>
      <c r="O670" s="15">
        <f t="shared" ca="1" si="133"/>
        <v>0.11528604703761103</v>
      </c>
      <c r="P670" s="15">
        <f t="shared" ca="1" si="132"/>
        <v>0.11528604666592696</v>
      </c>
      <c r="Q670" s="15">
        <v>0</v>
      </c>
      <c r="R670" s="15">
        <f t="shared" ca="1" si="125"/>
        <v>0.11528604666592696</v>
      </c>
      <c r="S670" s="15">
        <f t="shared" ca="1" si="134"/>
        <v>1.2546491883744479</v>
      </c>
      <c r="T670" s="15">
        <f t="shared" ca="1" si="126"/>
        <v>4.2198879159169519E-3</v>
      </c>
      <c r="U670" s="15">
        <f t="shared" ca="1" si="127"/>
        <v>1.2588690762903649</v>
      </c>
      <c r="V670" s="15">
        <f t="shared" ca="1" si="128"/>
        <v>1.2588690736468111</v>
      </c>
      <c r="X670" s="15">
        <f t="shared" si="129"/>
        <v>1.05</v>
      </c>
      <c r="Y670" s="15">
        <f t="shared" si="130"/>
        <v>0.95</v>
      </c>
      <c r="Z670" s="15">
        <f t="shared" ca="1" si="131"/>
        <v>0</v>
      </c>
    </row>
    <row r="671" spans="12:26" x14ac:dyDescent="0.3">
      <c r="L671" s="15">
        <v>669</v>
      </c>
      <c r="M671" s="15">
        <f t="shared" si="123"/>
        <v>1</v>
      </c>
      <c r="N671" s="15">
        <f t="shared" ca="1" si="124"/>
        <v>-0.19551550624787706</v>
      </c>
      <c r="O671" s="15">
        <f t="shared" ca="1" si="133"/>
        <v>0.11582371719846485</v>
      </c>
      <c r="P671" s="15">
        <f t="shared" ca="1" si="132"/>
        <v>0.11582369918837765</v>
      </c>
      <c r="Q671" s="15">
        <v>0</v>
      </c>
      <c r="R671" s="15">
        <f t="shared" ca="1" si="125"/>
        <v>0.11582369918837765</v>
      </c>
      <c r="S671" s="15">
        <f t="shared" ca="1" si="134"/>
        <v>1.1954756031339571</v>
      </c>
      <c r="T671" s="15">
        <f t="shared" ca="1" si="126"/>
        <v>3.9912969518697272E-5</v>
      </c>
      <c r="U671" s="15">
        <f t="shared" ca="1" si="127"/>
        <v>1.1955155161034758</v>
      </c>
      <c r="V671" s="15">
        <f t="shared" ca="1" si="128"/>
        <v>1.1955155062478771</v>
      </c>
      <c r="X671" s="15">
        <f t="shared" si="129"/>
        <v>1.05</v>
      </c>
      <c r="Y671" s="15">
        <f t="shared" si="130"/>
        <v>0.95</v>
      </c>
      <c r="Z671" s="15">
        <f t="shared" ca="1" si="131"/>
        <v>0</v>
      </c>
    </row>
    <row r="672" spans="12:26" x14ac:dyDescent="0.3">
      <c r="L672" s="15">
        <v>670</v>
      </c>
      <c r="M672" s="15">
        <f t="shared" si="123"/>
        <v>1</v>
      </c>
      <c r="N672" s="15">
        <f t="shared" ca="1" si="124"/>
        <v>-0.14625801824644613</v>
      </c>
      <c r="O672" s="15">
        <f t="shared" ca="1" si="133"/>
        <v>0.11582371719846485</v>
      </c>
      <c r="P672" s="15">
        <f t="shared" ca="1" si="132"/>
        <v>0.11582369918837765</v>
      </c>
      <c r="Q672" s="15">
        <v>0</v>
      </c>
      <c r="R672" s="15">
        <f t="shared" ca="1" si="125"/>
        <v>0.11582369918837765</v>
      </c>
      <c r="S672" s="15">
        <f t="shared" ca="1" si="134"/>
        <v>1.1403084867602271</v>
      </c>
      <c r="T672" s="15">
        <f t="shared" ca="1" si="126"/>
        <v>5.9495495759073801E-3</v>
      </c>
      <c r="U672" s="15">
        <f t="shared" ca="1" si="127"/>
        <v>1.1462580363361345</v>
      </c>
      <c r="V672" s="15">
        <f t="shared" ca="1" si="128"/>
        <v>1.1462580182464461</v>
      </c>
      <c r="X672" s="15">
        <f t="shared" si="129"/>
        <v>1.05</v>
      </c>
      <c r="Y672" s="15">
        <f t="shared" si="130"/>
        <v>0.95</v>
      </c>
      <c r="Z672" s="15">
        <f t="shared" ca="1" si="131"/>
        <v>0</v>
      </c>
    </row>
    <row r="673" spans="12:26" x14ac:dyDescent="0.3">
      <c r="L673" s="15">
        <v>671</v>
      </c>
      <c r="M673" s="15">
        <f t="shared" si="123"/>
        <v>1</v>
      </c>
      <c r="N673" s="15">
        <f t="shared" ca="1" si="124"/>
        <v>-9.2998986386926497E-2</v>
      </c>
      <c r="O673" s="15">
        <f t="shared" ca="1" si="133"/>
        <v>0.11582371719846485</v>
      </c>
      <c r="P673" s="15">
        <f t="shared" ca="1" si="132"/>
        <v>0.11582369918837765</v>
      </c>
      <c r="Q673" s="15">
        <v>0</v>
      </c>
      <c r="R673" s="15">
        <f t="shared" ca="1" si="125"/>
        <v>0.11582369918837765</v>
      </c>
      <c r="S673" s="15">
        <f t="shared" ca="1" si="134"/>
        <v>1.0888726088850809</v>
      </c>
      <c r="T673" s="15">
        <f t="shared" ca="1" si="126"/>
        <v>4.1263983556745357E-3</v>
      </c>
      <c r="U673" s="15">
        <f t="shared" ca="1" si="127"/>
        <v>1.0929990072407554</v>
      </c>
      <c r="V673" s="15">
        <f t="shared" ca="1" si="128"/>
        <v>1.0929989863869265</v>
      </c>
      <c r="X673" s="15">
        <f t="shared" si="129"/>
        <v>1.05</v>
      </c>
      <c r="Y673" s="15">
        <f t="shared" si="130"/>
        <v>0.95</v>
      </c>
      <c r="Z673" s="15">
        <f t="shared" ca="1" si="131"/>
        <v>0</v>
      </c>
    </row>
    <row r="674" spans="12:26" x14ac:dyDescent="0.3">
      <c r="L674" s="15">
        <v>672</v>
      </c>
      <c r="M674" s="15">
        <f t="shared" si="123"/>
        <v>1</v>
      </c>
      <c r="N674" s="15">
        <f t="shared" ca="1" si="124"/>
        <v>-4.1842159126382894E-2</v>
      </c>
      <c r="O674" s="15">
        <f t="shared" ca="1" si="133"/>
        <v>0.11817917151334392</v>
      </c>
      <c r="P674" s="15">
        <f t="shared" ca="1" si="132"/>
        <v>0.1181791536785148</v>
      </c>
      <c r="Q674" s="15">
        <v>0</v>
      </c>
      <c r="R674" s="15">
        <f t="shared" ca="1" si="125"/>
        <v>0.1181791536785148</v>
      </c>
      <c r="S674" s="15">
        <f t="shared" ca="1" si="134"/>
        <v>1.0408153479338411</v>
      </c>
      <c r="T674" s="15">
        <f t="shared" ca="1" si="126"/>
        <v>1.0268339471320742E-3</v>
      </c>
      <c r="U674" s="15">
        <f t="shared" ca="1" si="127"/>
        <v>1.0418421818809731</v>
      </c>
      <c r="V674" s="15">
        <f t="shared" ca="1" si="128"/>
        <v>1.0418421591263829</v>
      </c>
      <c r="X674" s="15">
        <f t="shared" si="129"/>
        <v>1.05</v>
      </c>
      <c r="Y674" s="15">
        <f t="shared" si="130"/>
        <v>0.95</v>
      </c>
      <c r="Z674" s="15">
        <f t="shared" ca="1" si="131"/>
        <v>1</v>
      </c>
    </row>
    <row r="675" spans="12:26" x14ac:dyDescent="0.3">
      <c r="L675" s="15">
        <v>673</v>
      </c>
      <c r="M675" s="15">
        <f t="shared" si="123"/>
        <v>1</v>
      </c>
      <c r="N675" s="15">
        <f t="shared" ca="1" si="124"/>
        <v>2.3139163391463491E-3</v>
      </c>
      <c r="O675" s="15">
        <f t="shared" ca="1" si="133"/>
        <v>0.11817917151334392</v>
      </c>
      <c r="P675" s="15">
        <f t="shared" ca="1" si="132"/>
        <v>0.1181791536785148</v>
      </c>
      <c r="Q675" s="15">
        <v>0</v>
      </c>
      <c r="R675" s="15">
        <f t="shared" ca="1" si="125"/>
        <v>0.1181791536785148</v>
      </c>
      <c r="S675" s="15">
        <f t="shared" ca="1" si="134"/>
        <v>0.99581882383146303</v>
      </c>
      <c r="T675" s="15">
        <f t="shared" ca="1" si="126"/>
        <v>1.8672775511973617E-3</v>
      </c>
      <c r="U675" s="15">
        <f t="shared" ca="1" si="127"/>
        <v>0.99768610138266034</v>
      </c>
      <c r="V675" s="15">
        <f t="shared" ca="1" si="128"/>
        <v>0.99768608366085365</v>
      </c>
      <c r="X675" s="15">
        <f t="shared" si="129"/>
        <v>1.05</v>
      </c>
      <c r="Y675" s="15">
        <f t="shared" si="130"/>
        <v>0.95</v>
      </c>
      <c r="Z675" s="15">
        <f t="shared" ca="1" si="131"/>
        <v>1</v>
      </c>
    </row>
    <row r="676" spans="12:26" x14ac:dyDescent="0.3">
      <c r="L676" s="15">
        <v>674</v>
      </c>
      <c r="M676" s="15">
        <f t="shared" si="123"/>
        <v>1</v>
      </c>
      <c r="N676" s="15">
        <f t="shared" ca="1" si="124"/>
        <v>3.9896367825543622E-2</v>
      </c>
      <c r="O676" s="15">
        <f t="shared" ca="1" si="133"/>
        <v>0.11817917151334392</v>
      </c>
      <c r="P676" s="15">
        <f t="shared" ca="1" si="132"/>
        <v>0.1181791536785148</v>
      </c>
      <c r="Q676" s="15">
        <v>0</v>
      </c>
      <c r="R676" s="15">
        <f t="shared" ca="1" si="125"/>
        <v>0.1181791536785148</v>
      </c>
      <c r="S676" s="15">
        <f t="shared" ca="1" si="134"/>
        <v>0.95368483615983035</v>
      </c>
      <c r="T676" s="15">
        <f t="shared" ca="1" si="126"/>
        <v>6.4188123315138401E-3</v>
      </c>
      <c r="U676" s="15">
        <f t="shared" ca="1" si="127"/>
        <v>0.96010364849134422</v>
      </c>
      <c r="V676" s="15">
        <f t="shared" ca="1" si="128"/>
        <v>0.96010363217445638</v>
      </c>
      <c r="X676" s="15">
        <f t="shared" si="129"/>
        <v>1.05</v>
      </c>
      <c r="Y676" s="15">
        <f t="shared" si="130"/>
        <v>0.95</v>
      </c>
      <c r="Z676" s="15">
        <f t="shared" ca="1" si="131"/>
        <v>1</v>
      </c>
    </row>
    <row r="677" spans="12:26" x14ac:dyDescent="0.3">
      <c r="L677" s="15">
        <v>675</v>
      </c>
      <c r="M677" s="15">
        <f t="shared" si="123"/>
        <v>1</v>
      </c>
      <c r="N677" s="15">
        <f t="shared" ca="1" si="124"/>
        <v>7.6564074278940408E-2</v>
      </c>
      <c r="O677" s="15">
        <f t="shared" ca="1" si="133"/>
        <v>0.1186729313726429</v>
      </c>
      <c r="P677" s="15">
        <f t="shared" ca="1" si="132"/>
        <v>0.11867291762462653</v>
      </c>
      <c r="Q677" s="15">
        <v>0</v>
      </c>
      <c r="R677" s="15">
        <f t="shared" ca="1" si="125"/>
        <v>0.11867291762462653</v>
      </c>
      <c r="S677" s="15">
        <f t="shared" ca="1" si="134"/>
        <v>0.91430791626204677</v>
      </c>
      <c r="T677" s="15">
        <f t="shared" ca="1" si="126"/>
        <v>9.1280143040676897E-3</v>
      </c>
      <c r="U677" s="15">
        <f t="shared" ca="1" si="127"/>
        <v>0.9234359305661145</v>
      </c>
      <c r="V677" s="15">
        <f t="shared" ca="1" si="128"/>
        <v>0.92343592572105959</v>
      </c>
      <c r="X677" s="15">
        <f t="shared" si="129"/>
        <v>1.05</v>
      </c>
      <c r="Y677" s="15">
        <f t="shared" si="130"/>
        <v>0.95</v>
      </c>
      <c r="Z677" s="15">
        <f t="shared" ca="1" si="131"/>
        <v>0</v>
      </c>
    </row>
    <row r="678" spans="12:26" x14ac:dyDescent="0.3">
      <c r="L678" s="15">
        <v>676</v>
      </c>
      <c r="M678" s="15">
        <f t="shared" si="123"/>
        <v>1</v>
      </c>
      <c r="N678" s="15">
        <f t="shared" ca="1" si="124"/>
        <v>0.11287082338539667</v>
      </c>
      <c r="O678" s="15">
        <f t="shared" ca="1" si="133"/>
        <v>0.1186729313726429</v>
      </c>
      <c r="P678" s="15">
        <f t="shared" ca="1" si="132"/>
        <v>0.11867291762462653</v>
      </c>
      <c r="Q678" s="15">
        <v>0</v>
      </c>
      <c r="R678" s="15">
        <f t="shared" ca="1" si="125"/>
        <v>0.11867291762462653</v>
      </c>
      <c r="S678" s="15">
        <f t="shared" ca="1" si="134"/>
        <v>0.87758079680300816</v>
      </c>
      <c r="T678" s="15">
        <f t="shared" ca="1" si="126"/>
        <v>9.5483951443720121E-3</v>
      </c>
      <c r="U678" s="15">
        <f t="shared" ca="1" si="127"/>
        <v>0.88712919194738016</v>
      </c>
      <c r="V678" s="15">
        <f t="shared" ca="1" si="128"/>
        <v>0.88712917661460333</v>
      </c>
      <c r="X678" s="15">
        <f t="shared" si="129"/>
        <v>1.05</v>
      </c>
      <c r="Y678" s="15">
        <f t="shared" si="130"/>
        <v>0.95</v>
      </c>
      <c r="Z678" s="15">
        <f t="shared" ca="1" si="131"/>
        <v>0</v>
      </c>
    </row>
    <row r="679" spans="12:26" x14ac:dyDescent="0.3">
      <c r="L679" s="15">
        <v>677</v>
      </c>
      <c r="M679" s="15">
        <f t="shared" si="123"/>
        <v>1</v>
      </c>
      <c r="N679" s="15">
        <f t="shared" ca="1" si="124"/>
        <v>0.154675355915603</v>
      </c>
      <c r="O679" s="15">
        <f t="shared" ca="1" si="133"/>
        <v>0.1186729313726429</v>
      </c>
      <c r="P679" s="15">
        <f t="shared" ca="1" si="132"/>
        <v>0.11867291762462653</v>
      </c>
      <c r="Q679" s="15">
        <v>0</v>
      </c>
      <c r="R679" s="15">
        <f t="shared" ca="1" si="125"/>
        <v>0.11867291762462653</v>
      </c>
      <c r="S679" s="15">
        <f t="shared" ca="1" si="134"/>
        <v>0.84332246369398534</v>
      </c>
      <c r="T679" s="15">
        <f t="shared" ca="1" si="126"/>
        <v>2.0021975239928858E-3</v>
      </c>
      <c r="U679" s="15">
        <f t="shared" ca="1" si="127"/>
        <v>0.84532466121797822</v>
      </c>
      <c r="V679" s="15">
        <f t="shared" ca="1" si="128"/>
        <v>0.845324644084397</v>
      </c>
      <c r="X679" s="15">
        <f t="shared" si="129"/>
        <v>1.05</v>
      </c>
      <c r="Y679" s="15">
        <f t="shared" si="130"/>
        <v>0.95</v>
      </c>
      <c r="Z679" s="15">
        <f t="shared" ca="1" si="131"/>
        <v>0</v>
      </c>
    </row>
    <row r="680" spans="12:26" x14ac:dyDescent="0.3">
      <c r="L680" s="15">
        <v>678</v>
      </c>
      <c r="M680" s="15">
        <f t="shared" si="123"/>
        <v>1</v>
      </c>
      <c r="N680" s="15">
        <f t="shared" ca="1" si="124"/>
        <v>0.18301529232017122</v>
      </c>
      <c r="O680" s="15">
        <f t="shared" ca="1" si="133"/>
        <v>0.13320973881912751</v>
      </c>
      <c r="P680" s="15">
        <f t="shared" ca="1" si="132"/>
        <v>0.13320972214760488</v>
      </c>
      <c r="Q680" s="15">
        <v>0</v>
      </c>
      <c r="R680" s="15">
        <f t="shared" ca="1" si="125"/>
        <v>0.13320972214760488</v>
      </c>
      <c r="S680" s="15">
        <f t="shared" ca="1" si="134"/>
        <v>0.81134749973428943</v>
      </c>
      <c r="T680" s="15">
        <f t="shared" ca="1" si="126"/>
        <v>5.6372275079204859E-3</v>
      </c>
      <c r="U680" s="15">
        <f t="shared" ca="1" si="127"/>
        <v>0.81698472724220994</v>
      </c>
      <c r="V680" s="15">
        <f t="shared" ca="1" si="128"/>
        <v>0.81698470767982878</v>
      </c>
      <c r="X680" s="15">
        <f t="shared" si="129"/>
        <v>1.05</v>
      </c>
      <c r="Y680" s="15">
        <f t="shared" si="130"/>
        <v>0.95</v>
      </c>
      <c r="Z680" s="15">
        <f t="shared" ca="1" si="131"/>
        <v>0</v>
      </c>
    </row>
    <row r="681" spans="12:26" x14ac:dyDescent="0.3">
      <c r="L681" s="15">
        <v>679</v>
      </c>
      <c r="M681" s="15">
        <f t="shared" si="123"/>
        <v>1</v>
      </c>
      <c r="N681" s="15">
        <f t="shared" ca="1" si="124"/>
        <v>0.21794845704407162</v>
      </c>
      <c r="O681" s="15">
        <f t="shared" ca="1" si="133"/>
        <v>0.13320973881912751</v>
      </c>
      <c r="P681" s="15">
        <f t="shared" ca="1" si="132"/>
        <v>0.13320972214760488</v>
      </c>
      <c r="Q681" s="15">
        <v>0</v>
      </c>
      <c r="R681" s="15">
        <f t="shared" ca="1" si="125"/>
        <v>0.13320972214760488</v>
      </c>
      <c r="S681" s="15">
        <f t="shared" ca="1" si="134"/>
        <v>0.78148511547868249</v>
      </c>
      <c r="T681" s="15">
        <f t="shared" ca="1" si="126"/>
        <v>5.6643359382647419E-4</v>
      </c>
      <c r="U681" s="15">
        <f t="shared" ca="1" si="127"/>
        <v>0.78205154907250896</v>
      </c>
      <c r="V681" s="15">
        <f t="shared" ca="1" si="128"/>
        <v>0.78205154295592838</v>
      </c>
      <c r="X681" s="15">
        <f t="shared" si="129"/>
        <v>1.05</v>
      </c>
      <c r="Y681" s="15">
        <f t="shared" si="130"/>
        <v>0.95</v>
      </c>
      <c r="Z681" s="15">
        <f t="shared" ca="1" si="131"/>
        <v>0</v>
      </c>
    </row>
    <row r="682" spans="12:26" x14ac:dyDescent="0.3">
      <c r="L682" s="15">
        <v>680</v>
      </c>
      <c r="M682" s="15">
        <f t="shared" si="123"/>
        <v>1</v>
      </c>
      <c r="N682" s="15">
        <f t="shared" ca="1" si="124"/>
        <v>0.24101165943802605</v>
      </c>
      <c r="O682" s="15">
        <f t="shared" ca="1" si="133"/>
        <v>0.13320973881912751</v>
      </c>
      <c r="P682" s="15">
        <f t="shared" ca="1" si="132"/>
        <v>0.13320972214760488</v>
      </c>
      <c r="Q682" s="15">
        <v>0</v>
      </c>
      <c r="R682" s="15">
        <f t="shared" ca="1" si="125"/>
        <v>0.13320972214760488</v>
      </c>
      <c r="S682" s="15">
        <f t="shared" ca="1" si="134"/>
        <v>0.75359345442093961</v>
      </c>
      <c r="T682" s="15">
        <f t="shared" ca="1" si="126"/>
        <v>5.3948943982450826E-3</v>
      </c>
      <c r="U682" s="15">
        <f t="shared" ca="1" si="127"/>
        <v>0.75898834881918464</v>
      </c>
      <c r="V682" s="15">
        <f t="shared" ca="1" si="128"/>
        <v>0.75898834056197395</v>
      </c>
      <c r="X682" s="15">
        <f t="shared" si="129"/>
        <v>1.05</v>
      </c>
      <c r="Y682" s="15">
        <f t="shared" si="130"/>
        <v>0.95</v>
      </c>
      <c r="Z682" s="15">
        <f t="shared" ca="1" si="131"/>
        <v>0</v>
      </c>
    </row>
    <row r="683" spans="12:26" x14ac:dyDescent="0.3">
      <c r="L683" s="15">
        <v>681</v>
      </c>
      <c r="M683" s="15">
        <f t="shared" si="123"/>
        <v>1</v>
      </c>
      <c r="N683" s="15">
        <f t="shared" ca="1" si="124"/>
        <v>0.26603815966892008</v>
      </c>
      <c r="O683" s="15">
        <f t="shared" ca="1" si="133"/>
        <v>0.13850573296412416</v>
      </c>
      <c r="P683" s="15">
        <f t="shared" ca="1" si="132"/>
        <v>0.1385057112524532</v>
      </c>
      <c r="Q683" s="15">
        <v>0</v>
      </c>
      <c r="R683" s="15">
        <f t="shared" ca="1" si="125"/>
        <v>0.1385057112524532</v>
      </c>
      <c r="S683" s="15">
        <f t="shared" ca="1" si="134"/>
        <v>0.72759801153288817</v>
      </c>
      <c r="T683" s="15">
        <f t="shared" ca="1" si="126"/>
        <v>6.3638517446629244E-3</v>
      </c>
      <c r="U683" s="15">
        <f t="shared" ca="1" si="127"/>
        <v>0.73396186327755109</v>
      </c>
      <c r="V683" s="15">
        <f t="shared" ca="1" si="128"/>
        <v>0.73396184033107992</v>
      </c>
      <c r="X683" s="15">
        <f t="shared" si="129"/>
        <v>1.05</v>
      </c>
      <c r="Y683" s="15">
        <f t="shared" si="130"/>
        <v>0.95</v>
      </c>
      <c r="Z683" s="15">
        <f t="shared" ca="1" si="131"/>
        <v>0</v>
      </c>
    </row>
    <row r="684" spans="12:26" x14ac:dyDescent="0.3">
      <c r="L684" s="15">
        <v>682</v>
      </c>
      <c r="M684" s="15">
        <f t="shared" si="123"/>
        <v>1</v>
      </c>
      <c r="N684" s="15">
        <f t="shared" ca="1" si="124"/>
        <v>0.29215207213818839</v>
      </c>
      <c r="O684" s="15">
        <f t="shared" ca="1" si="133"/>
        <v>0.13850573296412416</v>
      </c>
      <c r="P684" s="15">
        <f t="shared" ca="1" si="132"/>
        <v>0.1385057112524532</v>
      </c>
      <c r="Q684" s="15">
        <v>0</v>
      </c>
      <c r="R684" s="15">
        <f t="shared" ca="1" si="125"/>
        <v>0.1385057112524532</v>
      </c>
      <c r="S684" s="15">
        <f t="shared" ca="1" si="134"/>
        <v>0.70342316707517238</v>
      </c>
      <c r="T684" s="15">
        <f t="shared" ca="1" si="126"/>
        <v>4.4247646515731855E-3</v>
      </c>
      <c r="U684" s="15">
        <f t="shared" ca="1" si="127"/>
        <v>0.70784793172674554</v>
      </c>
      <c r="V684" s="15">
        <f t="shared" ca="1" si="128"/>
        <v>0.70784792786181161</v>
      </c>
      <c r="X684" s="15">
        <f t="shared" si="129"/>
        <v>1.05</v>
      </c>
      <c r="Y684" s="15">
        <f t="shared" si="130"/>
        <v>0.95</v>
      </c>
      <c r="Z684" s="15">
        <f t="shared" ca="1" si="131"/>
        <v>0</v>
      </c>
    </row>
    <row r="685" spans="12:26" x14ac:dyDescent="0.3">
      <c r="L685" s="15">
        <v>683</v>
      </c>
      <c r="M685" s="15">
        <f t="shared" si="123"/>
        <v>1</v>
      </c>
      <c r="N685" s="15">
        <f t="shared" ca="1" si="124"/>
        <v>0.30918791780927868</v>
      </c>
      <c r="O685" s="15">
        <f t="shared" ca="1" si="133"/>
        <v>0.13850573296412416</v>
      </c>
      <c r="P685" s="15">
        <f t="shared" ca="1" si="132"/>
        <v>0.1385057112524532</v>
      </c>
      <c r="Q685" s="15">
        <v>0</v>
      </c>
      <c r="R685" s="15">
        <f t="shared" ca="1" si="125"/>
        <v>0.1385057112524532</v>
      </c>
      <c r="S685" s="15">
        <f t="shared" ca="1" si="134"/>
        <v>0.68094007144539503</v>
      </c>
      <c r="T685" s="15">
        <f t="shared" ca="1" si="126"/>
        <v>9.8720251001380051E-3</v>
      </c>
      <c r="U685" s="15">
        <f t="shared" ca="1" si="127"/>
        <v>0.69081209654553299</v>
      </c>
      <c r="V685" s="15">
        <f t="shared" ca="1" si="128"/>
        <v>0.69081208219072132</v>
      </c>
      <c r="X685" s="15">
        <f t="shared" si="129"/>
        <v>1.05</v>
      </c>
      <c r="Y685" s="15">
        <f t="shared" si="130"/>
        <v>0.95</v>
      </c>
      <c r="Z685" s="15">
        <f t="shared" ca="1" si="131"/>
        <v>0</v>
      </c>
    </row>
    <row r="686" spans="12:26" x14ac:dyDescent="0.3">
      <c r="L686" s="15">
        <v>684</v>
      </c>
      <c r="M686" s="15">
        <f t="shared" si="123"/>
        <v>1</v>
      </c>
      <c r="N686" s="15">
        <f t="shared" ca="1" si="124"/>
        <v>0.33791200149290079</v>
      </c>
      <c r="O686" s="15">
        <f t="shared" ca="1" si="133"/>
        <v>0.15068330166898675</v>
      </c>
      <c r="P686" s="15">
        <f t="shared" ca="1" si="132"/>
        <v>0.1506832894288663</v>
      </c>
      <c r="Q686" s="15">
        <v>0</v>
      </c>
      <c r="R686" s="15">
        <f t="shared" ca="1" si="125"/>
        <v>0.1506832894288663</v>
      </c>
      <c r="S686" s="15">
        <f t="shared" ca="1" si="134"/>
        <v>0.66011135688673939</v>
      </c>
      <c r="T686" s="15">
        <f t="shared" ca="1" si="126"/>
        <v>1.976643445871118E-3</v>
      </c>
      <c r="U686" s="15">
        <f t="shared" ca="1" si="127"/>
        <v>0.6620880003326105</v>
      </c>
      <c r="V686" s="15">
        <f t="shared" ca="1" si="128"/>
        <v>0.66208799850709921</v>
      </c>
      <c r="X686" s="15">
        <f t="shared" si="129"/>
        <v>1.05</v>
      </c>
      <c r="Y686" s="15">
        <f t="shared" si="130"/>
        <v>0.95</v>
      </c>
      <c r="Z686" s="15">
        <f t="shared" ca="1" si="131"/>
        <v>0</v>
      </c>
    </row>
    <row r="687" spans="12:26" x14ac:dyDescent="0.3">
      <c r="L687" s="15">
        <v>685</v>
      </c>
      <c r="M687" s="15">
        <f t="shared" si="123"/>
        <v>1</v>
      </c>
      <c r="N687" s="15">
        <f t="shared" ca="1" si="124"/>
        <v>0.34925714026886434</v>
      </c>
      <c r="O687" s="15">
        <f t="shared" ca="1" si="133"/>
        <v>0.15068330166898675</v>
      </c>
      <c r="P687" s="15">
        <f t="shared" ca="1" si="132"/>
        <v>0.1506832894288663</v>
      </c>
      <c r="Q687" s="15">
        <v>0</v>
      </c>
      <c r="R687" s="15">
        <f t="shared" ca="1" si="125"/>
        <v>0.1506832894288663</v>
      </c>
      <c r="S687" s="15">
        <f t="shared" ca="1" si="134"/>
        <v>0.64089376135126086</v>
      </c>
      <c r="T687" s="15">
        <f t="shared" ca="1" si="126"/>
        <v>9.8491026799042078E-3</v>
      </c>
      <c r="U687" s="15">
        <f t="shared" ca="1" si="127"/>
        <v>0.6507428640311651</v>
      </c>
      <c r="V687" s="15">
        <f t="shared" ca="1" si="128"/>
        <v>0.65074285973113566</v>
      </c>
      <c r="X687" s="15">
        <f t="shared" si="129"/>
        <v>1.05</v>
      </c>
      <c r="Y687" s="15">
        <f t="shared" si="130"/>
        <v>0.95</v>
      </c>
      <c r="Z687" s="15">
        <f t="shared" ca="1" si="131"/>
        <v>0</v>
      </c>
    </row>
    <row r="688" spans="12:26" x14ac:dyDescent="0.3">
      <c r="L688" s="15">
        <v>686</v>
      </c>
      <c r="M688" s="15">
        <f t="shared" si="123"/>
        <v>1</v>
      </c>
      <c r="N688" s="15">
        <f t="shared" ca="1" si="124"/>
        <v>0.36799302216805352</v>
      </c>
      <c r="O688" s="15">
        <f t="shared" ca="1" si="133"/>
        <v>0.15068330166898675</v>
      </c>
      <c r="P688" s="15">
        <f t="shared" ca="1" si="132"/>
        <v>0.1506832894288663</v>
      </c>
      <c r="Q688" s="15">
        <v>0</v>
      </c>
      <c r="R688" s="15">
        <f t="shared" ca="1" si="125"/>
        <v>0.1506832894288663</v>
      </c>
      <c r="S688" s="15">
        <f t="shared" ca="1" si="134"/>
        <v>0.62316405851588086</v>
      </c>
      <c r="T688" s="15">
        <f t="shared" ca="1" si="126"/>
        <v>8.8429245949307768E-3</v>
      </c>
      <c r="U688" s="15">
        <f t="shared" ca="1" si="127"/>
        <v>0.6320069831108116</v>
      </c>
      <c r="V688" s="15">
        <f t="shared" ca="1" si="128"/>
        <v>0.63200697783194648</v>
      </c>
      <c r="X688" s="15">
        <f t="shared" si="129"/>
        <v>1.05</v>
      </c>
      <c r="Y688" s="15">
        <f t="shared" si="130"/>
        <v>0.95</v>
      </c>
      <c r="Z688" s="15">
        <f t="shared" ca="1" si="131"/>
        <v>0</v>
      </c>
    </row>
    <row r="689" spans="12:26" x14ac:dyDescent="0.3">
      <c r="L689" s="15">
        <v>687</v>
      </c>
      <c r="M689" s="15">
        <f t="shared" si="123"/>
        <v>1</v>
      </c>
      <c r="N689" s="15">
        <f t="shared" ca="1" si="124"/>
        <v>0.39053475376929503</v>
      </c>
      <c r="O689" s="15">
        <f t="shared" ca="1" si="133"/>
        <v>0.15575676603821462</v>
      </c>
      <c r="P689" s="15">
        <f t="shared" ca="1" si="132"/>
        <v>0.15575676228752286</v>
      </c>
      <c r="Q689" s="15">
        <v>0</v>
      </c>
      <c r="R689" s="15">
        <f t="shared" ca="1" si="125"/>
        <v>0.15575676228752286</v>
      </c>
      <c r="S689" s="15">
        <f t="shared" ca="1" si="134"/>
        <v>0.60690615602150388</v>
      </c>
      <c r="T689" s="15">
        <f t="shared" ca="1" si="126"/>
        <v>2.5591021013874472E-3</v>
      </c>
      <c r="U689" s="15">
        <f t="shared" ca="1" si="127"/>
        <v>0.60946525812289132</v>
      </c>
      <c r="V689" s="15">
        <f t="shared" ca="1" si="128"/>
        <v>0.60946524623070497</v>
      </c>
      <c r="X689" s="15">
        <f t="shared" si="129"/>
        <v>1.05</v>
      </c>
      <c r="Y689" s="15">
        <f t="shared" si="130"/>
        <v>0.95</v>
      </c>
      <c r="Z689" s="15">
        <f t="shared" ca="1" si="131"/>
        <v>0</v>
      </c>
    </row>
    <row r="690" spans="12:26" x14ac:dyDescent="0.3">
      <c r="L690" s="15">
        <v>688</v>
      </c>
      <c r="M690" s="15">
        <f t="shared" si="123"/>
        <v>1</v>
      </c>
      <c r="N690" s="15">
        <f t="shared" ca="1" si="124"/>
        <v>0.40649722688982659</v>
      </c>
      <c r="O690" s="15">
        <f t="shared" ca="1" si="133"/>
        <v>0.15575676603821462</v>
      </c>
      <c r="P690" s="15">
        <f t="shared" ca="1" si="132"/>
        <v>0.15575676228752286</v>
      </c>
      <c r="Q690" s="15">
        <v>0</v>
      </c>
      <c r="R690" s="15">
        <f t="shared" ca="1" si="125"/>
        <v>0.15575676228752286</v>
      </c>
      <c r="S690" s="15">
        <f t="shared" ca="1" si="134"/>
        <v>0.59209545294702026</v>
      </c>
      <c r="T690" s="15">
        <f t="shared" ca="1" si="126"/>
        <v>1.4073305521863355E-3</v>
      </c>
      <c r="U690" s="15">
        <f t="shared" ca="1" si="127"/>
        <v>0.5935027834992066</v>
      </c>
      <c r="V690" s="15">
        <f t="shared" ca="1" si="128"/>
        <v>0.59350277311017341</v>
      </c>
      <c r="X690" s="15">
        <f t="shared" si="129"/>
        <v>1.05</v>
      </c>
      <c r="Y690" s="15">
        <f t="shared" si="130"/>
        <v>0.95</v>
      </c>
      <c r="Z690" s="15">
        <f t="shared" ca="1" si="131"/>
        <v>0</v>
      </c>
    </row>
    <row r="691" spans="12:26" x14ac:dyDescent="0.3">
      <c r="L691" s="15">
        <v>689</v>
      </c>
      <c r="M691" s="15">
        <f t="shared" si="123"/>
        <v>1</v>
      </c>
      <c r="N691" s="15">
        <f t="shared" ca="1" si="124"/>
        <v>0.41916663651800867</v>
      </c>
      <c r="O691" s="15">
        <f t="shared" ca="1" si="133"/>
        <v>0.15575676603821462</v>
      </c>
      <c r="P691" s="15">
        <f t="shared" ca="1" si="132"/>
        <v>0.15575676228752286</v>
      </c>
      <c r="Q691" s="15">
        <v>0</v>
      </c>
      <c r="R691" s="15">
        <f t="shared" ca="1" si="125"/>
        <v>0.15575676228752286</v>
      </c>
      <c r="S691" s="15">
        <f t="shared" ca="1" si="134"/>
        <v>0.57861089085544881</v>
      </c>
      <c r="T691" s="15">
        <f t="shared" ca="1" si="126"/>
        <v>2.2224910302720137E-3</v>
      </c>
      <c r="U691" s="15">
        <f t="shared" ca="1" si="127"/>
        <v>0.58083338188572087</v>
      </c>
      <c r="V691" s="15">
        <f t="shared" ca="1" si="128"/>
        <v>0.58083336348199133</v>
      </c>
      <c r="X691" s="15">
        <f t="shared" si="129"/>
        <v>1.05</v>
      </c>
      <c r="Y691" s="15">
        <f t="shared" si="130"/>
        <v>0.95</v>
      </c>
      <c r="Z691" s="15">
        <f t="shared" ca="1" si="131"/>
        <v>0</v>
      </c>
    </row>
    <row r="692" spans="12:26" x14ac:dyDescent="0.3">
      <c r="L692" s="15">
        <v>690</v>
      </c>
      <c r="M692" s="15">
        <f t="shared" si="123"/>
        <v>1</v>
      </c>
      <c r="N692" s="15">
        <f t="shared" ca="1" si="124"/>
        <v>0.43248738987196411</v>
      </c>
      <c r="O692" s="15">
        <f t="shared" ca="1" si="133"/>
        <v>0.16498675187911957</v>
      </c>
      <c r="P692" s="15">
        <f t="shared" ca="1" si="132"/>
        <v>0.16498675108072039</v>
      </c>
      <c r="Q692" s="15">
        <v>0</v>
      </c>
      <c r="R692" s="15">
        <f t="shared" ca="1" si="125"/>
        <v>0.16498675108072039</v>
      </c>
      <c r="S692" s="15">
        <f t="shared" ca="1" si="134"/>
        <v>0.56634581994795452</v>
      </c>
      <c r="T692" s="15">
        <f t="shared" ca="1" si="126"/>
        <v>1.1667920031849732E-3</v>
      </c>
      <c r="U692" s="15">
        <f t="shared" ca="1" si="127"/>
        <v>0.56751261195113945</v>
      </c>
      <c r="V692" s="15">
        <f t="shared" ca="1" si="128"/>
        <v>0.56751261012803589</v>
      </c>
      <c r="X692" s="15">
        <f t="shared" si="129"/>
        <v>1.05</v>
      </c>
      <c r="Y692" s="15">
        <f t="shared" si="130"/>
        <v>0.95</v>
      </c>
      <c r="Z692" s="15">
        <f t="shared" ca="1" si="131"/>
        <v>0</v>
      </c>
    </row>
    <row r="693" spans="12:26" x14ac:dyDescent="0.3">
      <c r="L693" s="15">
        <v>691</v>
      </c>
      <c r="M693" s="15">
        <f t="shared" si="123"/>
        <v>1</v>
      </c>
      <c r="N693" s="15">
        <f t="shared" ca="1" si="124"/>
        <v>0.44138412816482231</v>
      </c>
      <c r="O693" s="15">
        <f t="shared" ca="1" si="133"/>
        <v>0.16498675187911957</v>
      </c>
      <c r="P693" s="15">
        <f t="shared" ca="1" si="132"/>
        <v>0.16498675108072039</v>
      </c>
      <c r="Q693" s="15">
        <v>0</v>
      </c>
      <c r="R693" s="15">
        <f t="shared" ca="1" si="125"/>
        <v>0.16498675108072039</v>
      </c>
      <c r="S693" s="15">
        <f t="shared" ca="1" si="134"/>
        <v>0.55520176440404112</v>
      </c>
      <c r="T693" s="15">
        <f t="shared" ca="1" si="126"/>
        <v>3.414121128531592E-3</v>
      </c>
      <c r="U693" s="15">
        <f t="shared" ca="1" si="127"/>
        <v>0.55861588553257269</v>
      </c>
      <c r="V693" s="15">
        <f t="shared" ca="1" si="128"/>
        <v>0.55861587183517769</v>
      </c>
      <c r="X693" s="15">
        <f t="shared" si="129"/>
        <v>1.05</v>
      </c>
      <c r="Y693" s="15">
        <f t="shared" si="130"/>
        <v>0.95</v>
      </c>
      <c r="Z693" s="15">
        <f t="shared" ca="1" si="131"/>
        <v>0</v>
      </c>
    </row>
    <row r="694" spans="12:26" x14ac:dyDescent="0.3">
      <c r="L694" s="15">
        <v>692</v>
      </c>
      <c r="M694" s="15">
        <f t="shared" si="123"/>
        <v>1</v>
      </c>
      <c r="N694" s="15">
        <f t="shared" ca="1" si="124"/>
        <v>0.44702174967318342</v>
      </c>
      <c r="O694" s="15">
        <f t="shared" ca="1" si="133"/>
        <v>0.16498675187911957</v>
      </c>
      <c r="P694" s="15">
        <f t="shared" ca="1" si="132"/>
        <v>0.16498675108072039</v>
      </c>
      <c r="Q694" s="15">
        <v>0</v>
      </c>
      <c r="R694" s="15">
        <f t="shared" ca="1" si="125"/>
        <v>0.16498675108072039</v>
      </c>
      <c r="S694" s="15">
        <f t="shared" ca="1" si="134"/>
        <v>0.54508356184844209</v>
      </c>
      <c r="T694" s="15">
        <f t="shared" ca="1" si="126"/>
        <v>7.8946965564050692E-3</v>
      </c>
      <c r="U694" s="15">
        <f t="shared" ca="1" si="127"/>
        <v>0.55297825840484716</v>
      </c>
      <c r="V694" s="15">
        <f t="shared" ca="1" si="128"/>
        <v>0.55297825032681658</v>
      </c>
      <c r="X694" s="15">
        <f t="shared" si="129"/>
        <v>1.05</v>
      </c>
      <c r="Y694" s="15">
        <f t="shared" si="130"/>
        <v>0.95</v>
      </c>
      <c r="Z694" s="15">
        <f t="shared" ca="1" si="131"/>
        <v>0</v>
      </c>
    </row>
    <row r="695" spans="12:26" x14ac:dyDescent="0.3">
      <c r="L695" s="15">
        <v>693</v>
      </c>
      <c r="M695" s="15">
        <f t="shared" si="123"/>
        <v>1</v>
      </c>
      <c r="N695" s="15">
        <f t="shared" ca="1" si="124"/>
        <v>0.45494814297532393</v>
      </c>
      <c r="O695" s="15">
        <f t="shared" ca="1" si="133"/>
        <v>0.16604756105154844</v>
      </c>
      <c r="P695" s="15">
        <f t="shared" ca="1" si="132"/>
        <v>0.16604755077651878</v>
      </c>
      <c r="Q695" s="15">
        <v>0</v>
      </c>
      <c r="R695" s="15">
        <f t="shared" ca="1" si="125"/>
        <v>0.16604755077651878</v>
      </c>
      <c r="S695" s="15">
        <f t="shared" ca="1" si="134"/>
        <v>0.53592416653413855</v>
      </c>
      <c r="T695" s="15">
        <f t="shared" ca="1" si="126"/>
        <v>9.1277067939053574E-3</v>
      </c>
      <c r="U695" s="15">
        <f t="shared" ca="1" si="127"/>
        <v>0.54505187332804395</v>
      </c>
      <c r="V695" s="15">
        <f t="shared" ca="1" si="128"/>
        <v>0.54505185702467607</v>
      </c>
      <c r="X695" s="15">
        <f t="shared" si="129"/>
        <v>1.05</v>
      </c>
      <c r="Y695" s="15">
        <f t="shared" si="130"/>
        <v>0.95</v>
      </c>
      <c r="Z695" s="15">
        <f t="shared" ca="1" si="131"/>
        <v>0</v>
      </c>
    </row>
    <row r="696" spans="12:26" x14ac:dyDescent="0.3">
      <c r="L696" s="15">
        <v>694</v>
      </c>
      <c r="M696" s="15">
        <f t="shared" si="123"/>
        <v>1</v>
      </c>
      <c r="N696" s="15">
        <f t="shared" ca="1" si="124"/>
        <v>0.46889299886973879</v>
      </c>
      <c r="O696" s="15">
        <f t="shared" ca="1" si="133"/>
        <v>0.16604756105154844</v>
      </c>
      <c r="P696" s="15">
        <f t="shared" ca="1" si="132"/>
        <v>0.16604755077651878</v>
      </c>
      <c r="Q696" s="15">
        <v>0</v>
      </c>
      <c r="R696" s="15">
        <f t="shared" ca="1" si="125"/>
        <v>0.16604755077651878</v>
      </c>
      <c r="S696" s="15">
        <f t="shared" ca="1" si="134"/>
        <v>0.52766008640583806</v>
      </c>
      <c r="T696" s="15">
        <f t="shared" ca="1" si="126"/>
        <v>3.4469170107625478E-3</v>
      </c>
      <c r="U696" s="15">
        <f t="shared" ca="1" si="127"/>
        <v>0.53110700341660055</v>
      </c>
      <c r="V696" s="15">
        <f t="shared" ca="1" si="128"/>
        <v>0.53110700113026121</v>
      </c>
      <c r="X696" s="15">
        <f t="shared" si="129"/>
        <v>1.05</v>
      </c>
      <c r="Y696" s="15">
        <f t="shared" si="130"/>
        <v>0.95</v>
      </c>
      <c r="Z696" s="15">
        <f t="shared" ca="1" si="131"/>
        <v>0</v>
      </c>
    </row>
    <row r="697" spans="12:26" x14ac:dyDescent="0.3">
      <c r="L697" s="15">
        <v>695</v>
      </c>
      <c r="M697" s="15">
        <f t="shared" si="123"/>
        <v>1</v>
      </c>
      <c r="N697" s="15">
        <f t="shared" ca="1" si="124"/>
        <v>0.47671305841689771</v>
      </c>
      <c r="O697" s="15">
        <f t="shared" ca="1" si="133"/>
        <v>0.16604756105154844</v>
      </c>
      <c r="P697" s="15">
        <f t="shared" ca="1" si="132"/>
        <v>0.16604755077651878</v>
      </c>
      <c r="Q697" s="15">
        <v>0</v>
      </c>
      <c r="R697" s="15">
        <f t="shared" ca="1" si="125"/>
        <v>0.16604755077651878</v>
      </c>
      <c r="S697" s="15">
        <f t="shared" ca="1" si="134"/>
        <v>0.52021262742848862</v>
      </c>
      <c r="T697" s="15">
        <f t="shared" ca="1" si="126"/>
        <v>3.0743273517672841E-3</v>
      </c>
      <c r="U697" s="15">
        <f t="shared" ca="1" si="127"/>
        <v>0.52328695478025589</v>
      </c>
      <c r="V697" s="15">
        <f t="shared" ca="1" si="128"/>
        <v>0.52328694158310229</v>
      </c>
      <c r="X697" s="15">
        <f t="shared" si="129"/>
        <v>1.05</v>
      </c>
      <c r="Y697" s="15">
        <f t="shared" si="130"/>
        <v>0.95</v>
      </c>
      <c r="Z697" s="15">
        <f t="shared" ca="1" si="131"/>
        <v>0</v>
      </c>
    </row>
    <row r="698" spans="12:26" x14ac:dyDescent="0.3">
      <c r="L698" s="15">
        <v>696</v>
      </c>
      <c r="M698" s="15">
        <f t="shared" si="123"/>
        <v>1</v>
      </c>
      <c r="N698" s="15">
        <f t="shared" ca="1" si="124"/>
        <v>0.48096110007748039</v>
      </c>
      <c r="O698" s="15">
        <f t="shared" ca="1" si="133"/>
        <v>0.18205014284282395</v>
      </c>
      <c r="P698" s="15">
        <f t="shared" ca="1" si="132"/>
        <v>0.18205014061696134</v>
      </c>
      <c r="Q698" s="15">
        <v>0</v>
      </c>
      <c r="R698" s="15">
        <f t="shared" ca="1" si="125"/>
        <v>0.18205014061696134</v>
      </c>
      <c r="S698" s="15">
        <f t="shared" ca="1" si="134"/>
        <v>0.51351390203948744</v>
      </c>
      <c r="T698" s="15">
        <f t="shared" ca="1" si="126"/>
        <v>5.5250097587700633E-3</v>
      </c>
      <c r="U698" s="15">
        <f t="shared" ca="1" si="127"/>
        <v>0.51903891179825745</v>
      </c>
      <c r="V698" s="15">
        <f t="shared" ca="1" si="128"/>
        <v>0.51903889992251961</v>
      </c>
      <c r="X698" s="15">
        <f t="shared" si="129"/>
        <v>1.05</v>
      </c>
      <c r="Y698" s="15">
        <f t="shared" si="130"/>
        <v>0.95</v>
      </c>
      <c r="Z698" s="15">
        <f t="shared" ca="1" si="131"/>
        <v>0</v>
      </c>
    </row>
    <row r="699" spans="12:26" x14ac:dyDescent="0.3">
      <c r="L699" s="15">
        <v>697</v>
      </c>
      <c r="M699" s="15">
        <f t="shared" si="123"/>
        <v>1</v>
      </c>
      <c r="N699" s="15">
        <f t="shared" ca="1" si="124"/>
        <v>0.48345131694419574</v>
      </c>
      <c r="O699" s="15">
        <f t="shared" ca="1" si="133"/>
        <v>0.18205014284282395</v>
      </c>
      <c r="P699" s="15">
        <f t="shared" ca="1" si="132"/>
        <v>0.18205014061696134</v>
      </c>
      <c r="Q699" s="15">
        <v>0</v>
      </c>
      <c r="R699" s="15">
        <f t="shared" ca="1" si="125"/>
        <v>0.18205014061696134</v>
      </c>
      <c r="S699" s="15">
        <f t="shared" ca="1" si="134"/>
        <v>0.50750128424292063</v>
      </c>
      <c r="T699" s="15">
        <f t="shared" ca="1" si="126"/>
        <v>9.0474200144027312E-3</v>
      </c>
      <c r="U699" s="15">
        <f t="shared" ca="1" si="127"/>
        <v>0.51654870425732335</v>
      </c>
      <c r="V699" s="15">
        <f t="shared" ca="1" si="128"/>
        <v>0.51654868305580426</v>
      </c>
      <c r="X699" s="15">
        <f t="shared" si="129"/>
        <v>1.05</v>
      </c>
      <c r="Y699" s="15">
        <f t="shared" si="130"/>
        <v>0.95</v>
      </c>
      <c r="Z699" s="15">
        <f t="shared" ca="1" si="131"/>
        <v>0</v>
      </c>
    </row>
    <row r="700" spans="12:26" x14ac:dyDescent="0.3">
      <c r="L700" s="15">
        <v>698</v>
      </c>
      <c r="M700" s="15">
        <f t="shared" si="123"/>
        <v>1</v>
      </c>
      <c r="N700" s="15">
        <f t="shared" ca="1" si="124"/>
        <v>0.49400452885171509</v>
      </c>
      <c r="O700" s="15">
        <f t="shared" ca="1" si="133"/>
        <v>0.18205014284282395</v>
      </c>
      <c r="P700" s="15">
        <f t="shared" ca="1" si="132"/>
        <v>0.18205014061696134</v>
      </c>
      <c r="Q700" s="15">
        <v>0</v>
      </c>
      <c r="R700" s="15">
        <f t="shared" ca="1" si="125"/>
        <v>0.18205014061696134</v>
      </c>
      <c r="S700" s="15">
        <f t="shared" ca="1" si="134"/>
        <v>0.50211311320429142</v>
      </c>
      <c r="T700" s="15">
        <f t="shared" ca="1" si="126"/>
        <v>3.8823743568795754E-3</v>
      </c>
      <c r="U700" s="15">
        <f t="shared" ca="1" si="127"/>
        <v>0.50599548756117096</v>
      </c>
      <c r="V700" s="15">
        <f t="shared" ca="1" si="128"/>
        <v>0.50599547114828491</v>
      </c>
      <c r="X700" s="15">
        <f t="shared" si="129"/>
        <v>1.05</v>
      </c>
      <c r="Y700" s="15">
        <f t="shared" si="130"/>
        <v>0.95</v>
      </c>
      <c r="Z700" s="15">
        <f t="shared" ca="1" si="131"/>
        <v>0</v>
      </c>
    </row>
    <row r="701" spans="12:26" x14ac:dyDescent="0.3">
      <c r="L701" s="15">
        <v>699</v>
      </c>
      <c r="M701" s="15">
        <f t="shared" si="123"/>
        <v>1</v>
      </c>
      <c r="N701" s="15">
        <f t="shared" ca="1" si="124"/>
        <v>0.4972890241763761</v>
      </c>
      <c r="O701" s="15">
        <f t="shared" ca="1" si="133"/>
        <v>0.18878278696225198</v>
      </c>
      <c r="P701" s="15">
        <f t="shared" ca="1" si="132"/>
        <v>0.18878276464268165</v>
      </c>
      <c r="Q701" s="15">
        <v>0</v>
      </c>
      <c r="R701" s="15">
        <f t="shared" ca="1" si="125"/>
        <v>0.18878276464268165</v>
      </c>
      <c r="S701" s="15">
        <f t="shared" ca="1" si="134"/>
        <v>0.49741866565651482</v>
      </c>
      <c r="T701" s="15">
        <f t="shared" ca="1" si="126"/>
        <v>5.2923253006897531E-3</v>
      </c>
      <c r="U701" s="15">
        <f t="shared" ca="1" si="127"/>
        <v>0.50271099095720462</v>
      </c>
      <c r="V701" s="15">
        <f t="shared" ca="1" si="128"/>
        <v>0.5027109758236239</v>
      </c>
      <c r="X701" s="15">
        <f t="shared" si="129"/>
        <v>1.05</v>
      </c>
      <c r="Y701" s="15">
        <f t="shared" si="130"/>
        <v>0.95</v>
      </c>
      <c r="Z701" s="15">
        <f t="shared" ca="1" si="131"/>
        <v>0</v>
      </c>
    </row>
    <row r="702" spans="12:26" x14ac:dyDescent="0.3">
      <c r="L702" s="15">
        <v>700</v>
      </c>
      <c r="M702" s="15">
        <f t="shared" si="123"/>
        <v>1</v>
      </c>
      <c r="N702" s="15">
        <f t="shared" ca="1" si="124"/>
        <v>0.49946007679669646</v>
      </c>
      <c r="O702" s="15">
        <f t="shared" ca="1" si="133"/>
        <v>0.18878278696225198</v>
      </c>
      <c r="P702" s="15">
        <f t="shared" ca="1" si="132"/>
        <v>0.18878276464268165</v>
      </c>
      <c r="Q702" s="15">
        <v>0</v>
      </c>
      <c r="R702" s="15">
        <f t="shared" ca="1" si="125"/>
        <v>0.18878276464268165</v>
      </c>
      <c r="S702" s="15">
        <f t="shared" ca="1" si="134"/>
        <v>0.49346992704299303</v>
      </c>
      <c r="T702" s="15">
        <f t="shared" ca="1" si="126"/>
        <v>7.0699974576403325E-3</v>
      </c>
      <c r="U702" s="15">
        <f t="shared" ca="1" si="127"/>
        <v>0.50053992450063334</v>
      </c>
      <c r="V702" s="15">
        <f t="shared" ca="1" si="128"/>
        <v>0.50053992320330354</v>
      </c>
      <c r="X702" s="15">
        <f t="shared" si="129"/>
        <v>1.05</v>
      </c>
      <c r="Y702" s="15">
        <f t="shared" si="130"/>
        <v>0.95</v>
      </c>
      <c r="Z702" s="15">
        <f t="shared" ca="1" si="131"/>
        <v>0</v>
      </c>
    </row>
    <row r="703" spans="12:26" x14ac:dyDescent="0.3">
      <c r="L703" s="15">
        <v>701</v>
      </c>
      <c r="M703" s="15">
        <f t="shared" si="123"/>
        <v>1</v>
      </c>
      <c r="N703" s="15">
        <f t="shared" ca="1" si="124"/>
        <v>0.50122586439857852</v>
      </c>
      <c r="O703" s="15">
        <f t="shared" ca="1" si="133"/>
        <v>0.18878278696225198</v>
      </c>
      <c r="P703" s="15">
        <f t="shared" ca="1" si="132"/>
        <v>0.18878276464268165</v>
      </c>
      <c r="Q703" s="15">
        <v>0</v>
      </c>
      <c r="R703" s="15">
        <f t="shared" ca="1" si="125"/>
        <v>0.18878276464268165</v>
      </c>
      <c r="S703" s="15">
        <f t="shared" ca="1" si="134"/>
        <v>0.49018894155766657</v>
      </c>
      <c r="T703" s="15">
        <f t="shared" ca="1" si="126"/>
        <v>8.5852020543846427E-3</v>
      </c>
      <c r="U703" s="15">
        <f t="shared" ca="1" si="127"/>
        <v>0.49877414361205119</v>
      </c>
      <c r="V703" s="15">
        <f t="shared" ca="1" si="128"/>
        <v>0.49877413560142142</v>
      </c>
      <c r="X703" s="15">
        <f t="shared" si="129"/>
        <v>1.05</v>
      </c>
      <c r="Y703" s="15">
        <f t="shared" si="130"/>
        <v>0.95</v>
      </c>
      <c r="Z703" s="15">
        <f t="shared" ca="1" si="131"/>
        <v>0</v>
      </c>
    </row>
    <row r="704" spans="12:26" x14ac:dyDescent="0.3">
      <c r="L704" s="15">
        <v>702</v>
      </c>
      <c r="M704" s="15">
        <f t="shared" si="123"/>
        <v>1</v>
      </c>
      <c r="N704" s="15">
        <f t="shared" ca="1" si="124"/>
        <v>0.50384593091529006</v>
      </c>
      <c r="O704" s="15">
        <f t="shared" ca="1" si="133"/>
        <v>0.19392974477289465</v>
      </c>
      <c r="P704" s="15">
        <f t="shared" ca="1" si="132"/>
        <v>0.19392974213555683</v>
      </c>
      <c r="Q704" s="15">
        <v>0</v>
      </c>
      <c r="R704" s="15">
        <f t="shared" ca="1" si="125"/>
        <v>0.19392974213555683</v>
      </c>
      <c r="S704" s="15">
        <f t="shared" ca="1" si="134"/>
        <v>0.48755063783039437</v>
      </c>
      <c r="T704" s="15">
        <f t="shared" ca="1" si="126"/>
        <v>8.6034449125237111E-3</v>
      </c>
      <c r="U704" s="15">
        <f t="shared" ca="1" si="127"/>
        <v>0.49615408274291806</v>
      </c>
      <c r="V704" s="15">
        <f t="shared" ca="1" si="128"/>
        <v>0.49615406908470994</v>
      </c>
      <c r="X704" s="15">
        <f t="shared" si="129"/>
        <v>1.05</v>
      </c>
      <c r="Y704" s="15">
        <f t="shared" si="130"/>
        <v>0.95</v>
      </c>
      <c r="Z704" s="15">
        <f t="shared" ca="1" si="131"/>
        <v>0</v>
      </c>
    </row>
    <row r="705" spans="12:26" x14ac:dyDescent="0.3">
      <c r="L705" s="15">
        <v>703</v>
      </c>
      <c r="M705" s="15">
        <f t="shared" si="123"/>
        <v>1</v>
      </c>
      <c r="N705" s="15">
        <f t="shared" ca="1" si="124"/>
        <v>0.50696818984741543</v>
      </c>
      <c r="O705" s="15">
        <f t="shared" ca="1" si="133"/>
        <v>0.19392974477289465</v>
      </c>
      <c r="P705" s="15">
        <f t="shared" ca="1" si="132"/>
        <v>0.19392974213555683</v>
      </c>
      <c r="Q705" s="15">
        <v>0</v>
      </c>
      <c r="R705" s="15">
        <f t="shared" ca="1" si="125"/>
        <v>0.19392974213555683</v>
      </c>
      <c r="S705" s="15">
        <f t="shared" ca="1" si="134"/>
        <v>0.48552838183085462</v>
      </c>
      <c r="T705" s="15">
        <f t="shared" ca="1" si="126"/>
        <v>7.5034412473256882E-3</v>
      </c>
      <c r="U705" s="15">
        <f t="shared" ca="1" si="127"/>
        <v>0.49303182307818033</v>
      </c>
      <c r="V705" s="15">
        <f t="shared" ca="1" si="128"/>
        <v>0.49303181015258463</v>
      </c>
      <c r="X705" s="15">
        <f t="shared" si="129"/>
        <v>1.05</v>
      </c>
      <c r="Y705" s="15">
        <f t="shared" si="130"/>
        <v>0.95</v>
      </c>
      <c r="Z705" s="15">
        <f t="shared" ca="1" si="131"/>
        <v>0</v>
      </c>
    </row>
    <row r="706" spans="12:26" x14ac:dyDescent="0.3">
      <c r="L706" s="15">
        <v>704</v>
      </c>
      <c r="M706" s="15">
        <f t="shared" si="123"/>
        <v>1</v>
      </c>
      <c r="N706" s="15">
        <f t="shared" ca="1" si="124"/>
        <v>0.50643642794025046</v>
      </c>
      <c r="O706" s="15">
        <f t="shared" ca="1" si="133"/>
        <v>0.19392974477289465</v>
      </c>
      <c r="P706" s="15">
        <f t="shared" ca="1" si="132"/>
        <v>0.19392974213555683</v>
      </c>
      <c r="Q706" s="15">
        <v>0</v>
      </c>
      <c r="R706" s="15">
        <f t="shared" ca="1" si="125"/>
        <v>0.19392974213555683</v>
      </c>
      <c r="S706" s="15">
        <f t="shared" ca="1" si="134"/>
        <v>0.48405252817782413</v>
      </c>
      <c r="T706" s="15">
        <f t="shared" ca="1" si="126"/>
        <v>9.5110487031924203E-3</v>
      </c>
      <c r="U706" s="15">
        <f t="shared" ca="1" si="127"/>
        <v>0.49356357688101654</v>
      </c>
      <c r="V706" s="15">
        <f t="shared" ca="1" si="128"/>
        <v>0.49356357205974954</v>
      </c>
      <c r="X706" s="15">
        <f t="shared" si="129"/>
        <v>1.05</v>
      </c>
      <c r="Y706" s="15">
        <f t="shared" si="130"/>
        <v>0.95</v>
      </c>
      <c r="Z706" s="15">
        <f t="shared" ca="1" si="131"/>
        <v>0</v>
      </c>
    </row>
    <row r="707" spans="12:26" x14ac:dyDescent="0.3">
      <c r="L707" s="15">
        <v>705</v>
      </c>
      <c r="M707" s="15">
        <f t="shared" ref="M707:M770" si="135">IF(L707&lt;$D$16,$D$13,IF(L707&lt;$E$16,$E$13,$F$13))</f>
        <v>1</v>
      </c>
      <c r="N707" s="15">
        <f t="shared" ref="N707:N770" ca="1" si="136">M707-V707</f>
        <v>0.50813928141913822</v>
      </c>
      <c r="O707" s="15">
        <f t="shared" ca="1" si="133"/>
        <v>0.20328026893455853</v>
      </c>
      <c r="P707" s="15">
        <f t="shared" ca="1" si="132"/>
        <v>0.20328026735300206</v>
      </c>
      <c r="Q707" s="15">
        <v>0</v>
      </c>
      <c r="R707" s="15">
        <f t="shared" ref="R707:R770" ca="1" si="137">P707+Q707</f>
        <v>0.20328026735300206</v>
      </c>
      <c r="S707" s="15">
        <f t="shared" ca="1" si="134"/>
        <v>0.48316530401399183</v>
      </c>
      <c r="T707" s="15">
        <f t="shared" ref="T707:T770" ca="1" si="138">RAND()*$G$12</f>
        <v>8.6954297326548285E-3</v>
      </c>
      <c r="U707" s="15">
        <f t="shared" ref="U707:U770" ca="1" si="139">S707+T707</f>
        <v>0.49186073374664663</v>
      </c>
      <c r="V707" s="15">
        <f t="shared" ref="V707:V770" ca="1" si="140">INT((2^$J$12-1)*U707/100)/(2^$J$12-1)*100</f>
        <v>0.49186071858086178</v>
      </c>
      <c r="X707" s="15">
        <f t="shared" ref="X707:X770" si="141">M707 * 1.05</f>
        <v>1.05</v>
      </c>
      <c r="Y707" s="15">
        <f t="shared" ref="Y707:Y770" si="142">M707 * 0.95</f>
        <v>0.95</v>
      </c>
      <c r="Z707" s="15">
        <f t="shared" ref="Z707:Z770" ca="1" si="143">IF(AND(V707 &lt;= X707, V707 &gt;= Y707), 1, 0)</f>
        <v>0</v>
      </c>
    </row>
    <row r="708" spans="12:26" x14ac:dyDescent="0.3">
      <c r="L708" s="15">
        <v>706</v>
      </c>
      <c r="M708" s="15">
        <f t="shared" si="135"/>
        <v>1</v>
      </c>
      <c r="N708" s="15">
        <f t="shared" ca="1" si="136"/>
        <v>0.51111031684817521</v>
      </c>
      <c r="O708" s="15">
        <f t="shared" ca="1" si="133"/>
        <v>0.20328026893455853</v>
      </c>
      <c r="P708" s="15">
        <f t="shared" ca="1" si="132"/>
        <v>0.20328026735300206</v>
      </c>
      <c r="Q708" s="15">
        <v>0</v>
      </c>
      <c r="R708" s="15">
        <f t="shared" ca="1" si="137"/>
        <v>0.20328026735300206</v>
      </c>
      <c r="S708" s="15">
        <f t="shared" ca="1" si="134"/>
        <v>0.48289642617100315</v>
      </c>
      <c r="T708" s="15">
        <f t="shared" ca="1" si="138"/>
        <v>5.9932657524036171E-3</v>
      </c>
      <c r="U708" s="15">
        <f t="shared" ca="1" si="139"/>
        <v>0.48888969192340676</v>
      </c>
      <c r="V708" s="15">
        <f t="shared" ca="1" si="140"/>
        <v>0.48888968315182479</v>
      </c>
      <c r="X708" s="15">
        <f t="shared" si="141"/>
        <v>1.05</v>
      </c>
      <c r="Y708" s="15">
        <f t="shared" si="142"/>
        <v>0.95</v>
      </c>
      <c r="Z708" s="15">
        <f t="shared" ca="1" si="143"/>
        <v>0</v>
      </c>
    </row>
    <row r="709" spans="12:26" x14ac:dyDescent="0.3">
      <c r="L709" s="15">
        <v>707</v>
      </c>
      <c r="M709" s="15">
        <f t="shared" si="135"/>
        <v>1</v>
      </c>
      <c r="N709" s="15">
        <f t="shared" ca="1" si="136"/>
        <v>0.50937423843643026</v>
      </c>
      <c r="O709" s="15">
        <f t="shared" ca="1" si="133"/>
        <v>0.20328026893455853</v>
      </c>
      <c r="P709" s="15">
        <f t="shared" ca="1" si="132"/>
        <v>0.20328026735300206</v>
      </c>
      <c r="Q709" s="15">
        <v>0</v>
      </c>
      <c r="R709" s="15">
        <f t="shared" ca="1" si="137"/>
        <v>0.20328026735300206</v>
      </c>
      <c r="S709" s="15">
        <f t="shared" ca="1" si="134"/>
        <v>0.48316854138583243</v>
      </c>
      <c r="T709" s="15">
        <f t="shared" ca="1" si="138"/>
        <v>7.4572366271377036E-3</v>
      </c>
      <c r="U709" s="15">
        <f t="shared" ca="1" si="139"/>
        <v>0.49062577801297014</v>
      </c>
      <c r="V709" s="15">
        <f t="shared" ca="1" si="140"/>
        <v>0.49062576156356974</v>
      </c>
      <c r="X709" s="15">
        <f t="shared" si="141"/>
        <v>1.05</v>
      </c>
      <c r="Y709" s="15">
        <f t="shared" si="142"/>
        <v>0.95</v>
      </c>
      <c r="Z709" s="15">
        <f t="shared" ca="1" si="143"/>
        <v>0</v>
      </c>
    </row>
    <row r="710" spans="12:26" x14ac:dyDescent="0.3">
      <c r="L710" s="15">
        <v>708</v>
      </c>
      <c r="M710" s="15">
        <f t="shared" si="135"/>
        <v>1</v>
      </c>
      <c r="N710" s="15">
        <f t="shared" ca="1" si="136"/>
        <v>0.50923321291553636</v>
      </c>
      <c r="O710" s="15">
        <f t="shared" ca="1" si="133"/>
        <v>0.21154627332563503</v>
      </c>
      <c r="P710" s="15">
        <f t="shared" ca="1" si="132"/>
        <v>0.21154626743205501</v>
      </c>
      <c r="Q710" s="15">
        <v>0</v>
      </c>
      <c r="R710" s="15">
        <f t="shared" ca="1" si="137"/>
        <v>0.21154626743205501</v>
      </c>
      <c r="S710" s="15">
        <f t="shared" ca="1" si="134"/>
        <v>0.48395571559875256</v>
      </c>
      <c r="T710" s="15">
        <f t="shared" ca="1" si="138"/>
        <v>6.8110806617141537E-3</v>
      </c>
      <c r="U710" s="15">
        <f t="shared" ca="1" si="139"/>
        <v>0.49076679626046671</v>
      </c>
      <c r="V710" s="15">
        <f t="shared" ca="1" si="140"/>
        <v>0.4907667870844637</v>
      </c>
      <c r="X710" s="15">
        <f t="shared" si="141"/>
        <v>1.05</v>
      </c>
      <c r="Y710" s="15">
        <f t="shared" si="142"/>
        <v>0.95</v>
      </c>
      <c r="Z710" s="15">
        <f t="shared" ca="1" si="143"/>
        <v>0</v>
      </c>
    </row>
    <row r="711" spans="12:26" x14ac:dyDescent="0.3">
      <c r="L711" s="15">
        <v>709</v>
      </c>
      <c r="M711" s="15">
        <f t="shared" si="135"/>
        <v>1</v>
      </c>
      <c r="N711" s="15">
        <f t="shared" ca="1" si="136"/>
        <v>0.50850259035558043</v>
      </c>
      <c r="O711" s="15">
        <f t="shared" ca="1" si="133"/>
        <v>0.21154627332563503</v>
      </c>
      <c r="P711" s="15">
        <f t="shared" ca="1" si="132"/>
        <v>0.21154626743205501</v>
      </c>
      <c r="Q711" s="15">
        <v>0</v>
      </c>
      <c r="R711" s="15">
        <f t="shared" ca="1" si="137"/>
        <v>0.21154626743205501</v>
      </c>
      <c r="S711" s="15">
        <f t="shared" ca="1" si="134"/>
        <v>0.48523118655025055</v>
      </c>
      <c r="T711" s="15">
        <f t="shared" ca="1" si="138"/>
        <v>6.2662344356389154E-3</v>
      </c>
      <c r="U711" s="15">
        <f t="shared" ca="1" si="139"/>
        <v>0.49149742098588944</v>
      </c>
      <c r="V711" s="15">
        <f t="shared" ca="1" si="140"/>
        <v>0.49149740964441962</v>
      </c>
      <c r="X711" s="15">
        <f t="shared" si="141"/>
        <v>1.05</v>
      </c>
      <c r="Y711" s="15">
        <f t="shared" si="142"/>
        <v>0.95</v>
      </c>
      <c r="Z711" s="15">
        <f t="shared" ca="1" si="143"/>
        <v>0</v>
      </c>
    </row>
    <row r="712" spans="12:26" x14ac:dyDescent="0.3">
      <c r="L712" s="15">
        <v>710</v>
      </c>
      <c r="M712" s="15">
        <f t="shared" si="135"/>
        <v>1</v>
      </c>
      <c r="N712" s="15">
        <f t="shared" ca="1" si="136"/>
        <v>0.5107545283415249</v>
      </c>
      <c r="O712" s="15">
        <f t="shared" ca="1" si="133"/>
        <v>0.21154627332563503</v>
      </c>
      <c r="P712" s="15">
        <f t="shared" ca="1" si="132"/>
        <v>0.21154626743205501</v>
      </c>
      <c r="Q712" s="15">
        <v>0</v>
      </c>
      <c r="R712" s="15">
        <f t="shared" ca="1" si="137"/>
        <v>0.21154626743205501</v>
      </c>
      <c r="S712" s="15">
        <f t="shared" ca="1" si="134"/>
        <v>0.48692757697839878</v>
      </c>
      <c r="T712" s="15">
        <f t="shared" ca="1" si="138"/>
        <v>2.3178971800996585E-3</v>
      </c>
      <c r="U712" s="15">
        <f t="shared" ca="1" si="139"/>
        <v>0.48924547415849845</v>
      </c>
      <c r="V712" s="15">
        <f t="shared" ca="1" si="140"/>
        <v>0.4892454716584751</v>
      </c>
      <c r="X712" s="15">
        <f t="shared" si="141"/>
        <v>1.05</v>
      </c>
      <c r="Y712" s="15">
        <f t="shared" si="142"/>
        <v>0.95</v>
      </c>
      <c r="Z712" s="15">
        <f t="shared" ca="1" si="143"/>
        <v>0</v>
      </c>
    </row>
    <row r="713" spans="12:26" x14ac:dyDescent="0.3">
      <c r="L713" s="15">
        <v>711</v>
      </c>
      <c r="M713" s="15">
        <f t="shared" si="135"/>
        <v>1</v>
      </c>
      <c r="N713" s="15">
        <f t="shared" ca="1" si="136"/>
        <v>0.50964346050974996</v>
      </c>
      <c r="O713" s="15">
        <f t="shared" ca="1" si="133"/>
        <v>0.22121342398127641</v>
      </c>
      <c r="P713" s="15">
        <f t="shared" ca="1" si="132"/>
        <v>0.22121341904187888</v>
      </c>
      <c r="Q713" s="15">
        <v>0</v>
      </c>
      <c r="R713" s="15">
        <f t="shared" ca="1" si="137"/>
        <v>0.22121341904187888</v>
      </c>
      <c r="S713" s="15">
        <f t="shared" ca="1" si="134"/>
        <v>0.48906412663413046</v>
      </c>
      <c r="T713" s="15">
        <f t="shared" ca="1" si="138"/>
        <v>1.2924340048167027E-3</v>
      </c>
      <c r="U713" s="15">
        <f t="shared" ca="1" si="139"/>
        <v>0.49035656063894717</v>
      </c>
      <c r="V713" s="15">
        <f t="shared" ca="1" si="140"/>
        <v>0.4903565394902501</v>
      </c>
      <c r="X713" s="15">
        <f t="shared" si="141"/>
        <v>1.05</v>
      </c>
      <c r="Y713" s="15">
        <f t="shared" si="142"/>
        <v>0.95</v>
      </c>
      <c r="Z713" s="15">
        <f t="shared" ca="1" si="143"/>
        <v>0</v>
      </c>
    </row>
    <row r="714" spans="12:26" x14ac:dyDescent="0.3">
      <c r="L714" s="15">
        <v>712</v>
      </c>
      <c r="M714" s="15">
        <f t="shared" si="135"/>
        <v>1</v>
      </c>
      <c r="N714" s="15">
        <f t="shared" ca="1" si="136"/>
        <v>0.50328164256719909</v>
      </c>
      <c r="O714" s="15">
        <f t="shared" ca="1" si="133"/>
        <v>0.22121342398127641</v>
      </c>
      <c r="P714" s="15">
        <f t="shared" ca="1" si="132"/>
        <v>0.22121341904187888</v>
      </c>
      <c r="Q714" s="15">
        <v>0</v>
      </c>
      <c r="R714" s="15">
        <f t="shared" ca="1" si="137"/>
        <v>0.22121341904187888</v>
      </c>
      <c r="S714" s="15">
        <f t="shared" ca="1" si="134"/>
        <v>0.49165223893325133</v>
      </c>
      <c r="T714" s="15">
        <f t="shared" ca="1" si="138"/>
        <v>5.0661198601171789E-3</v>
      </c>
      <c r="U714" s="15">
        <f t="shared" ca="1" si="139"/>
        <v>0.49671835879336851</v>
      </c>
      <c r="V714" s="15">
        <f t="shared" ca="1" si="140"/>
        <v>0.49671835743280091</v>
      </c>
      <c r="X714" s="15">
        <f t="shared" si="141"/>
        <v>1.05</v>
      </c>
      <c r="Y714" s="15">
        <f t="shared" si="142"/>
        <v>0.95</v>
      </c>
      <c r="Z714" s="15">
        <f t="shared" ca="1" si="143"/>
        <v>0</v>
      </c>
    </row>
    <row r="715" spans="12:26" x14ac:dyDescent="0.3">
      <c r="L715" s="15">
        <v>713</v>
      </c>
      <c r="M715" s="15">
        <f t="shared" si="135"/>
        <v>1</v>
      </c>
      <c r="N715" s="15">
        <f t="shared" ca="1" si="136"/>
        <v>0.49543385289037456</v>
      </c>
      <c r="O715" s="15">
        <f t="shared" ca="1" si="133"/>
        <v>0.22121342398127641</v>
      </c>
      <c r="P715" s="15">
        <f t="shared" ca="1" si="132"/>
        <v>0.22121341904187888</v>
      </c>
      <c r="Q715" s="15">
        <v>0</v>
      </c>
      <c r="R715" s="15">
        <f t="shared" ca="1" si="137"/>
        <v>0.22121341904187888</v>
      </c>
      <c r="S715" s="15">
        <f t="shared" ca="1" si="134"/>
        <v>0.49462364753703103</v>
      </c>
      <c r="T715" s="15">
        <f t="shared" ca="1" si="138"/>
        <v>9.942518311927195E-3</v>
      </c>
      <c r="U715" s="15">
        <f t="shared" ca="1" si="139"/>
        <v>0.50456616584895819</v>
      </c>
      <c r="V715" s="15">
        <f t="shared" ca="1" si="140"/>
        <v>0.50456614710962544</v>
      </c>
      <c r="X715" s="15">
        <f t="shared" si="141"/>
        <v>1.05</v>
      </c>
      <c r="Y715" s="15">
        <f t="shared" si="142"/>
        <v>0.95</v>
      </c>
      <c r="Z715" s="15">
        <f t="shared" ca="1" si="143"/>
        <v>0</v>
      </c>
    </row>
    <row r="716" spans="12:26" x14ac:dyDescent="0.3">
      <c r="L716" s="15">
        <v>714</v>
      </c>
      <c r="M716" s="15">
        <f t="shared" si="135"/>
        <v>1</v>
      </c>
      <c r="N716" s="15">
        <f t="shared" ca="1" si="136"/>
        <v>0.49220840341695782</v>
      </c>
      <c r="O716" s="15">
        <f t="shared" ca="1" si="133"/>
        <v>0.21720429464728708</v>
      </c>
      <c r="P716" s="15">
        <f t="shared" ca="1" si="132"/>
        <v>0.21720428490480509</v>
      </c>
      <c r="Q716" s="15">
        <v>0</v>
      </c>
      <c r="R716" s="15">
        <f t="shared" ca="1" si="137"/>
        <v>0.21720428490480509</v>
      </c>
      <c r="S716" s="15">
        <f t="shared" ca="1" si="134"/>
        <v>0.49792630690915451</v>
      </c>
      <c r="T716" s="15">
        <f t="shared" ca="1" si="138"/>
        <v>9.8652978991349595E-3</v>
      </c>
      <c r="U716" s="15">
        <f t="shared" ca="1" si="139"/>
        <v>0.50779160480828944</v>
      </c>
      <c r="V716" s="15">
        <f t="shared" ca="1" si="140"/>
        <v>0.50779159658304218</v>
      </c>
      <c r="X716" s="15">
        <f t="shared" si="141"/>
        <v>1.05</v>
      </c>
      <c r="Y716" s="15">
        <f t="shared" si="142"/>
        <v>0.95</v>
      </c>
      <c r="Z716" s="15">
        <f t="shared" ca="1" si="143"/>
        <v>0</v>
      </c>
    </row>
    <row r="717" spans="12:26" x14ac:dyDescent="0.3">
      <c r="L717" s="15">
        <v>715</v>
      </c>
      <c r="M717" s="15">
        <f t="shared" si="135"/>
        <v>1</v>
      </c>
      <c r="N717" s="15">
        <f t="shared" ca="1" si="136"/>
        <v>0.49551185115601681</v>
      </c>
      <c r="O717" s="15">
        <f t="shared" ca="1" si="133"/>
        <v>0.21720429464728708</v>
      </c>
      <c r="P717" s="15">
        <f t="shared" ref="P717:P780" ca="1" si="144">INT((2^$J$12-1)*O717/100)/(2^$J$12-1)*100</f>
        <v>0.21720428490480509</v>
      </c>
      <c r="Q717" s="15">
        <v>0</v>
      </c>
      <c r="R717" s="15">
        <f t="shared" ca="1" si="137"/>
        <v>0.21720428490480509</v>
      </c>
      <c r="S717" s="15">
        <f t="shared" ca="1" si="134"/>
        <v>0.50151297093327762</v>
      </c>
      <c r="T717" s="15">
        <f t="shared" ca="1" si="138"/>
        <v>2.9751977729978543E-3</v>
      </c>
      <c r="U717" s="15">
        <f t="shared" ca="1" si="139"/>
        <v>0.50448816870627544</v>
      </c>
      <c r="V717" s="15">
        <f t="shared" ca="1" si="140"/>
        <v>0.50448814884398319</v>
      </c>
      <c r="X717" s="15">
        <f t="shared" si="141"/>
        <v>1.05</v>
      </c>
      <c r="Y717" s="15">
        <f t="shared" si="142"/>
        <v>0.95</v>
      </c>
      <c r="Z717" s="15">
        <f t="shared" ca="1" si="143"/>
        <v>0</v>
      </c>
    </row>
    <row r="718" spans="12:26" x14ac:dyDescent="0.3">
      <c r="L718" s="15">
        <v>716</v>
      </c>
      <c r="M718" s="15">
        <f t="shared" si="135"/>
        <v>1</v>
      </c>
      <c r="N718" s="15">
        <f t="shared" ca="1" si="136"/>
        <v>0.49464765365576546</v>
      </c>
      <c r="O718" s="15">
        <f t="shared" ca="1" si="133"/>
        <v>0.21720429464728708</v>
      </c>
      <c r="P718" s="15">
        <f t="shared" ca="1" si="144"/>
        <v>0.21720428490480509</v>
      </c>
      <c r="Q718" s="15">
        <v>0</v>
      </c>
      <c r="R718" s="15">
        <f t="shared" ca="1" si="137"/>
        <v>0.21720428490480509</v>
      </c>
      <c r="S718" s="15">
        <f t="shared" ca="1" si="134"/>
        <v>0.50533241895462588</v>
      </c>
      <c r="T718" s="15">
        <f t="shared" ca="1" si="138"/>
        <v>1.9939768976507955E-5</v>
      </c>
      <c r="U718" s="15">
        <f t="shared" ca="1" si="139"/>
        <v>0.5053523587236024</v>
      </c>
      <c r="V718" s="15">
        <f t="shared" ca="1" si="140"/>
        <v>0.50535234634423454</v>
      </c>
      <c r="X718" s="15">
        <f t="shared" si="141"/>
        <v>1.05</v>
      </c>
      <c r="Y718" s="15">
        <f t="shared" si="142"/>
        <v>0.95</v>
      </c>
      <c r="Z718" s="15">
        <f t="shared" ca="1" si="143"/>
        <v>0</v>
      </c>
    </row>
    <row r="719" spans="12:26" x14ac:dyDescent="0.3">
      <c r="L719" s="15">
        <v>717</v>
      </c>
      <c r="M719" s="15">
        <f t="shared" si="135"/>
        <v>1</v>
      </c>
      <c r="N719" s="15">
        <f t="shared" ca="1" si="136"/>
        <v>0.48707930731751936</v>
      </c>
      <c r="O719" s="15">
        <f t="shared" ca="1" si="133"/>
        <v>0.23327945874170253</v>
      </c>
      <c r="P719" s="15">
        <f t="shared" ca="1" si="144"/>
        <v>0.23327944805689146</v>
      </c>
      <c r="Q719" s="15">
        <v>0</v>
      </c>
      <c r="R719" s="15">
        <f t="shared" ca="1" si="137"/>
        <v>0.23327944805689146</v>
      </c>
      <c r="S719" s="15">
        <f t="shared" ca="1" si="134"/>
        <v>0.50947737911897584</v>
      </c>
      <c r="T719" s="15">
        <f t="shared" ca="1" si="138"/>
        <v>3.4433157432324502E-3</v>
      </c>
      <c r="U719" s="15">
        <f t="shared" ca="1" si="139"/>
        <v>0.51292069486220826</v>
      </c>
      <c r="V719" s="15">
        <f t="shared" ca="1" si="140"/>
        <v>0.51292069268248064</v>
      </c>
      <c r="X719" s="15">
        <f t="shared" si="141"/>
        <v>1.05</v>
      </c>
      <c r="Y719" s="15">
        <f t="shared" si="142"/>
        <v>0.95</v>
      </c>
      <c r="Z719" s="15">
        <f t="shared" ca="1" si="143"/>
        <v>0</v>
      </c>
    </row>
    <row r="720" spans="12:26" x14ac:dyDescent="0.3">
      <c r="L720" s="15">
        <v>718</v>
      </c>
      <c r="M720" s="15">
        <f t="shared" si="135"/>
        <v>1</v>
      </c>
      <c r="N720" s="15">
        <f t="shared" ca="1" si="136"/>
        <v>0.48174604202661342</v>
      </c>
      <c r="O720" s="15">
        <f t="shared" ca="1" si="133"/>
        <v>0.23327945874170253</v>
      </c>
      <c r="P720" s="15">
        <f t="shared" ca="1" si="144"/>
        <v>0.23327944805689146</v>
      </c>
      <c r="Q720" s="15">
        <v>0</v>
      </c>
      <c r="R720" s="15">
        <f t="shared" ca="1" si="137"/>
        <v>0.23327944805689146</v>
      </c>
      <c r="S720" s="15">
        <f t="shared" ca="1" si="134"/>
        <v>0.51402130786955624</v>
      </c>
      <c r="T720" s="15">
        <f t="shared" ca="1" si="138"/>
        <v>4.2326586042552485E-3</v>
      </c>
      <c r="U720" s="15">
        <f t="shared" ca="1" si="139"/>
        <v>0.5182539664738115</v>
      </c>
      <c r="V720" s="15">
        <f t="shared" ca="1" si="140"/>
        <v>0.51825395797338658</v>
      </c>
      <c r="X720" s="15">
        <f t="shared" si="141"/>
        <v>1.05</v>
      </c>
      <c r="Y720" s="15">
        <f t="shared" si="142"/>
        <v>0.95</v>
      </c>
      <c r="Z720" s="15">
        <f t="shared" ca="1" si="143"/>
        <v>0</v>
      </c>
    </row>
    <row r="721" spans="12:26" x14ac:dyDescent="0.3">
      <c r="L721" s="15">
        <v>719</v>
      </c>
      <c r="M721" s="15">
        <f t="shared" si="135"/>
        <v>1</v>
      </c>
      <c r="N721" s="15">
        <f t="shared" ca="1" si="136"/>
        <v>0.48010649519974979</v>
      </c>
      <c r="O721" s="15">
        <f t="shared" ca="1" si="133"/>
        <v>0.23327945874170253</v>
      </c>
      <c r="P721" s="15">
        <f t="shared" ca="1" si="144"/>
        <v>0.23327944805689146</v>
      </c>
      <c r="Q721" s="15">
        <v>0</v>
      </c>
      <c r="R721" s="15">
        <f t="shared" ca="1" si="137"/>
        <v>0.23327944805689146</v>
      </c>
      <c r="S721" s="15">
        <f t="shared" ca="1" si="134"/>
        <v>0.51889434261323875</v>
      </c>
      <c r="T721" s="15">
        <f t="shared" ca="1" si="138"/>
        <v>9.9918467988290081E-4</v>
      </c>
      <c r="U721" s="15">
        <f t="shared" ca="1" si="139"/>
        <v>0.51989352729312166</v>
      </c>
      <c r="V721" s="15">
        <f t="shared" ca="1" si="140"/>
        <v>0.51989350480025021</v>
      </c>
      <c r="X721" s="15">
        <f t="shared" si="141"/>
        <v>1.05</v>
      </c>
      <c r="Y721" s="15">
        <f t="shared" si="142"/>
        <v>0.95</v>
      </c>
      <c r="Z721" s="15">
        <f t="shared" ca="1" si="143"/>
        <v>0</v>
      </c>
    </row>
    <row r="722" spans="12:26" x14ac:dyDescent="0.3">
      <c r="L722" s="15">
        <v>720</v>
      </c>
      <c r="M722" s="15">
        <f t="shared" si="135"/>
        <v>1</v>
      </c>
      <c r="N722" s="15">
        <f t="shared" ca="1" si="136"/>
        <v>0.4758968007461859</v>
      </c>
      <c r="O722" s="15">
        <f t="shared" ca="1" si="133"/>
        <v>0.23708923579126001</v>
      </c>
      <c r="P722" s="15">
        <f t="shared" ca="1" si="144"/>
        <v>0.23708923259682235</v>
      </c>
      <c r="Q722" s="15">
        <v>0</v>
      </c>
      <c r="R722" s="15">
        <f t="shared" ca="1" si="137"/>
        <v>0.23708923259682235</v>
      </c>
      <c r="S722" s="15">
        <f t="shared" ca="1" si="134"/>
        <v>0.52409233793771204</v>
      </c>
      <c r="T722" s="15">
        <f t="shared" ca="1" si="138"/>
        <v>1.0871676796884167E-5</v>
      </c>
      <c r="U722" s="15">
        <f t="shared" ca="1" si="139"/>
        <v>0.52410320961450896</v>
      </c>
      <c r="V722" s="15">
        <f t="shared" ca="1" si="140"/>
        <v>0.5241031992538141</v>
      </c>
      <c r="X722" s="15">
        <f t="shared" si="141"/>
        <v>1.05</v>
      </c>
      <c r="Y722" s="15">
        <f t="shared" si="142"/>
        <v>0.95</v>
      </c>
      <c r="Z722" s="15">
        <f t="shared" ca="1" si="143"/>
        <v>0</v>
      </c>
    </row>
    <row r="723" spans="12:26" x14ac:dyDescent="0.3">
      <c r="L723" s="15">
        <v>721</v>
      </c>
      <c r="M723" s="15">
        <f t="shared" si="135"/>
        <v>1</v>
      </c>
      <c r="N723" s="15">
        <f t="shared" ca="1" si="136"/>
        <v>0.46786290953584542</v>
      </c>
      <c r="O723" s="15">
        <f t="shared" ca="1" si="133"/>
        <v>0.23708923579126001</v>
      </c>
      <c r="P723" s="15">
        <f t="shared" ca="1" si="144"/>
        <v>0.23708923259682235</v>
      </c>
      <c r="Q723" s="15">
        <v>0</v>
      </c>
      <c r="R723" s="15">
        <f t="shared" ca="1" si="137"/>
        <v>0.23708923259682235</v>
      </c>
      <c r="S723" s="15">
        <f t="shared" ca="1" si="134"/>
        <v>0.52960772353141872</v>
      </c>
      <c r="T723" s="15">
        <f t="shared" ca="1" si="138"/>
        <v>2.5293813204241211E-3</v>
      </c>
      <c r="U723" s="15">
        <f t="shared" ca="1" si="139"/>
        <v>0.53213710485184285</v>
      </c>
      <c r="V723" s="15">
        <f t="shared" ca="1" si="140"/>
        <v>0.53213709046415458</v>
      </c>
      <c r="X723" s="15">
        <f t="shared" si="141"/>
        <v>1.05</v>
      </c>
      <c r="Y723" s="15">
        <f t="shared" si="142"/>
        <v>0.95</v>
      </c>
      <c r="Z723" s="15">
        <f t="shared" ca="1" si="143"/>
        <v>0</v>
      </c>
    </row>
    <row r="724" spans="12:26" x14ac:dyDescent="0.3">
      <c r="L724" s="15">
        <v>722</v>
      </c>
      <c r="M724" s="15">
        <f t="shared" si="135"/>
        <v>1</v>
      </c>
      <c r="N724" s="15">
        <f t="shared" ca="1" si="136"/>
        <v>0.46121389499428078</v>
      </c>
      <c r="O724" s="15">
        <f t="shared" ca="1" si="133"/>
        <v>0.23708923579126001</v>
      </c>
      <c r="P724" s="15">
        <f t="shared" ca="1" si="144"/>
        <v>0.23708923259682235</v>
      </c>
      <c r="Q724" s="15">
        <v>0</v>
      </c>
      <c r="R724" s="15">
        <f t="shared" ca="1" si="137"/>
        <v>0.23708923259682235</v>
      </c>
      <c r="S724" s="15">
        <f t="shared" ca="1" si="134"/>
        <v>0.53537688315571064</v>
      </c>
      <c r="T724" s="15">
        <f t="shared" ca="1" si="138"/>
        <v>3.4092249256972751E-3</v>
      </c>
      <c r="U724" s="15">
        <f t="shared" ca="1" si="139"/>
        <v>0.53878610808140792</v>
      </c>
      <c r="V724" s="15">
        <f t="shared" ca="1" si="140"/>
        <v>0.53878610500571922</v>
      </c>
      <c r="X724" s="15">
        <f t="shared" si="141"/>
        <v>1.05</v>
      </c>
      <c r="Y724" s="15">
        <f t="shared" si="142"/>
        <v>0.95</v>
      </c>
      <c r="Z724" s="15">
        <f t="shared" ca="1" si="143"/>
        <v>0</v>
      </c>
    </row>
    <row r="725" spans="12:26" x14ac:dyDescent="0.3">
      <c r="L725" s="15">
        <v>723</v>
      </c>
      <c r="M725" s="15">
        <f t="shared" si="135"/>
        <v>1</v>
      </c>
      <c r="N725" s="15">
        <f t="shared" ca="1" si="136"/>
        <v>0.45382396677830816</v>
      </c>
      <c r="O725" s="15">
        <f t="shared" ca="1" si="133"/>
        <v>0.23571009677481042</v>
      </c>
      <c r="P725" s="15">
        <f t="shared" ca="1" si="144"/>
        <v>0.23571008356188194</v>
      </c>
      <c r="Q725" s="15">
        <v>0</v>
      </c>
      <c r="R725" s="15">
        <f t="shared" ca="1" si="137"/>
        <v>0.23571008356188194</v>
      </c>
      <c r="S725" s="15">
        <f t="shared" ca="1" si="134"/>
        <v>0.5413877267322087</v>
      </c>
      <c r="T725" s="15">
        <f t="shared" ca="1" si="138"/>
        <v>4.7883099509704267E-3</v>
      </c>
      <c r="U725" s="15">
        <f t="shared" ca="1" si="139"/>
        <v>0.54617603668317916</v>
      </c>
      <c r="V725" s="15">
        <f t="shared" ca="1" si="140"/>
        <v>0.54617603322169184</v>
      </c>
      <c r="X725" s="15">
        <f t="shared" si="141"/>
        <v>1.05</v>
      </c>
      <c r="Y725" s="15">
        <f t="shared" si="142"/>
        <v>0.95</v>
      </c>
      <c r="Z725" s="15">
        <f t="shared" ca="1" si="143"/>
        <v>0</v>
      </c>
    </row>
    <row r="726" spans="12:26" x14ac:dyDescent="0.3">
      <c r="L726" s="15">
        <v>724</v>
      </c>
      <c r="M726" s="15">
        <f t="shared" si="135"/>
        <v>1</v>
      </c>
      <c r="N726" s="15">
        <f t="shared" ca="1" si="136"/>
        <v>0.44943422438796476</v>
      </c>
      <c r="O726" s="15">
        <f t="shared" ca="1" si="133"/>
        <v>0.23571009677481042</v>
      </c>
      <c r="P726" s="15">
        <f t="shared" ca="1" si="144"/>
        <v>0.23571008356188194</v>
      </c>
      <c r="Q726" s="15">
        <v>0</v>
      </c>
      <c r="R726" s="15">
        <f t="shared" ca="1" si="137"/>
        <v>0.23571008356188194</v>
      </c>
      <c r="S726" s="15">
        <f t="shared" ca="1" si="134"/>
        <v>0.54762670681988568</v>
      </c>
      <c r="T726" s="15">
        <f t="shared" ca="1" si="138"/>
        <v>2.9390854644332997E-3</v>
      </c>
      <c r="U726" s="15">
        <f t="shared" ca="1" si="139"/>
        <v>0.55056579228431901</v>
      </c>
      <c r="V726" s="15">
        <f t="shared" ca="1" si="140"/>
        <v>0.55056577561203524</v>
      </c>
      <c r="X726" s="15">
        <f t="shared" si="141"/>
        <v>1.05</v>
      </c>
      <c r="Y726" s="15">
        <f t="shared" si="142"/>
        <v>0.95</v>
      </c>
      <c r="Z726" s="15">
        <f t="shared" ca="1" si="143"/>
        <v>0</v>
      </c>
    </row>
    <row r="727" spans="12:26" x14ac:dyDescent="0.3">
      <c r="L727" s="15">
        <v>725</v>
      </c>
      <c r="M727" s="15">
        <f t="shared" si="135"/>
        <v>1</v>
      </c>
      <c r="N727" s="15">
        <f t="shared" ca="1" si="136"/>
        <v>0.44368395941417749</v>
      </c>
      <c r="O727" s="15">
        <f t="shared" ref="O727:O790" ca="1" si="145">IF(MOD(L727,$B$11)=0,OFFSET(O727,-$B$11,0)+ $E$2*N727+$E$3*OFFSET(N727,-$B$11,0)+ $E$4*OFFSET(N727,-2* $B$11,0), O726)</f>
        <v>0.23571009677481042</v>
      </c>
      <c r="P727" s="15">
        <f t="shared" ca="1" si="144"/>
        <v>0.23571008356188194</v>
      </c>
      <c r="Q727" s="15">
        <v>0</v>
      </c>
      <c r="R727" s="15">
        <f t="shared" ca="1" si="137"/>
        <v>0.23571008356188194</v>
      </c>
      <c r="S727" s="15">
        <f t="shared" ca="1" si="134"/>
        <v>0.55403847618691049</v>
      </c>
      <c r="T727" s="15">
        <f t="shared" ca="1" si="138"/>
        <v>2.2775860112141623E-3</v>
      </c>
      <c r="U727" s="15">
        <f t="shared" ca="1" si="139"/>
        <v>0.55631606219812468</v>
      </c>
      <c r="V727" s="15">
        <f t="shared" ca="1" si="140"/>
        <v>0.55631604058582251</v>
      </c>
      <c r="X727" s="15">
        <f t="shared" si="141"/>
        <v>1.05</v>
      </c>
      <c r="Y727" s="15">
        <f t="shared" si="142"/>
        <v>0.95</v>
      </c>
      <c r="Z727" s="15">
        <f t="shared" ca="1" si="143"/>
        <v>0</v>
      </c>
    </row>
    <row r="728" spans="12:26" x14ac:dyDescent="0.3">
      <c r="L728" s="15">
        <v>726</v>
      </c>
      <c r="M728" s="15">
        <f t="shared" si="135"/>
        <v>1</v>
      </c>
      <c r="N728" s="15">
        <f t="shared" ca="1" si="136"/>
        <v>0.43403480561311236</v>
      </c>
      <c r="O728" s="15">
        <f t="shared" ca="1" si="145"/>
        <v>0.24223541030289103</v>
      </c>
      <c r="P728" s="15">
        <f t="shared" ca="1" si="144"/>
        <v>0.24223539518244455</v>
      </c>
      <c r="Q728" s="15">
        <v>0</v>
      </c>
      <c r="R728" s="15">
        <f t="shared" ca="1" si="137"/>
        <v>0.24223539518244455</v>
      </c>
      <c r="S728" s="15">
        <f t="shared" ca="1" si="134"/>
        <v>0.56065486977216894</v>
      </c>
      <c r="T728" s="15">
        <f t="shared" ca="1" si="138"/>
        <v>5.3103296403019919E-3</v>
      </c>
      <c r="U728" s="15">
        <f t="shared" ca="1" si="139"/>
        <v>0.56596519941247092</v>
      </c>
      <c r="V728" s="15">
        <f t="shared" ca="1" si="140"/>
        <v>0.56596519438688764</v>
      </c>
      <c r="X728" s="15">
        <f t="shared" si="141"/>
        <v>1.05</v>
      </c>
      <c r="Y728" s="15">
        <f t="shared" si="142"/>
        <v>0.95</v>
      </c>
      <c r="Z728" s="15">
        <f t="shared" ca="1" si="143"/>
        <v>0</v>
      </c>
    </row>
    <row r="729" spans="12:26" x14ac:dyDescent="0.3">
      <c r="L729" s="15">
        <v>727</v>
      </c>
      <c r="M729" s="15">
        <f t="shared" si="135"/>
        <v>1</v>
      </c>
      <c r="N729" s="15">
        <f t="shared" ca="1" si="136"/>
        <v>0.4291622190338471</v>
      </c>
      <c r="O729" s="15">
        <f t="shared" ca="1" si="145"/>
        <v>0.24223541030289103</v>
      </c>
      <c r="P729" s="15">
        <f t="shared" ca="1" si="144"/>
        <v>0.24223539518244455</v>
      </c>
      <c r="Q729" s="15">
        <v>0</v>
      </c>
      <c r="R729" s="15">
        <f t="shared" ca="1" si="137"/>
        <v>0.24223539518244455</v>
      </c>
      <c r="S729" s="15">
        <f t="shared" ref="S729:S792" ca="1" si="146">$I$1*S728-$I$2*S727+$I$3*R708+$I$4*R707</f>
        <v>0.56749923748542064</v>
      </c>
      <c r="T729" s="15">
        <f t="shared" ca="1" si="138"/>
        <v>3.3385517125828234E-3</v>
      </c>
      <c r="U729" s="15">
        <f t="shared" ca="1" si="139"/>
        <v>0.57083778919800343</v>
      </c>
      <c r="V729" s="15">
        <f t="shared" ca="1" si="140"/>
        <v>0.5708377809661529</v>
      </c>
      <c r="X729" s="15">
        <f t="shared" si="141"/>
        <v>1.05</v>
      </c>
      <c r="Y729" s="15">
        <f t="shared" si="142"/>
        <v>0.95</v>
      </c>
      <c r="Z729" s="15">
        <f t="shared" ca="1" si="143"/>
        <v>0</v>
      </c>
    </row>
    <row r="730" spans="12:26" x14ac:dyDescent="0.3">
      <c r="L730" s="15">
        <v>728</v>
      </c>
      <c r="M730" s="15">
        <f t="shared" si="135"/>
        <v>1</v>
      </c>
      <c r="N730" s="15">
        <f t="shared" ca="1" si="136"/>
        <v>0.42314422210286007</v>
      </c>
      <c r="O730" s="15">
        <f t="shared" ca="1" si="145"/>
        <v>0.24223541030289103</v>
      </c>
      <c r="P730" s="15">
        <f t="shared" ca="1" si="144"/>
        <v>0.24223539518244455</v>
      </c>
      <c r="Q730" s="15">
        <v>0</v>
      </c>
      <c r="R730" s="15">
        <f t="shared" ca="1" si="137"/>
        <v>0.24223539518244455</v>
      </c>
      <c r="S730" s="15">
        <f t="shared" ca="1" si="146"/>
        <v>0.57451369215308856</v>
      </c>
      <c r="T730" s="15">
        <f t="shared" ca="1" si="138"/>
        <v>2.3420888398188867E-3</v>
      </c>
      <c r="U730" s="15">
        <f t="shared" ca="1" si="139"/>
        <v>0.57685578099290746</v>
      </c>
      <c r="V730" s="15">
        <f t="shared" ca="1" si="140"/>
        <v>0.57685577789713993</v>
      </c>
      <c r="X730" s="15">
        <f t="shared" si="141"/>
        <v>1.05</v>
      </c>
      <c r="Y730" s="15">
        <f t="shared" si="142"/>
        <v>0.95</v>
      </c>
      <c r="Z730" s="15">
        <f t="shared" ca="1" si="143"/>
        <v>0</v>
      </c>
    </row>
    <row r="731" spans="12:26" x14ac:dyDescent="0.3">
      <c r="L731" s="15">
        <v>729</v>
      </c>
      <c r="M731" s="15">
        <f t="shared" si="135"/>
        <v>1</v>
      </c>
      <c r="N731" s="15">
        <f t="shared" ca="1" si="136"/>
        <v>0.41778455381695745</v>
      </c>
      <c r="O731" s="15">
        <f t="shared" ca="1" si="145"/>
        <v>0.24979702794813913</v>
      </c>
      <c r="P731" s="15">
        <f t="shared" ca="1" si="144"/>
        <v>0.24979701271508753</v>
      </c>
      <c r="Q731" s="15">
        <v>0</v>
      </c>
      <c r="R731" s="15">
        <f t="shared" ca="1" si="137"/>
        <v>0.24979701271508753</v>
      </c>
      <c r="S731" s="15">
        <f t="shared" ca="1" si="146"/>
        <v>0.58171848084454425</v>
      </c>
      <c r="T731" s="15">
        <f t="shared" ca="1" si="138"/>
        <v>4.9697079748698412E-4</v>
      </c>
      <c r="U731" s="15">
        <f t="shared" ca="1" si="139"/>
        <v>0.58221545164203126</v>
      </c>
      <c r="V731" s="15">
        <f t="shared" ca="1" si="140"/>
        <v>0.58221544618304255</v>
      </c>
      <c r="X731" s="15">
        <f t="shared" si="141"/>
        <v>1.05</v>
      </c>
      <c r="Y731" s="15">
        <f t="shared" si="142"/>
        <v>0.95</v>
      </c>
      <c r="Z731" s="15">
        <f t="shared" ca="1" si="143"/>
        <v>0</v>
      </c>
    </row>
    <row r="732" spans="12:26" x14ac:dyDescent="0.3">
      <c r="L732" s="15">
        <v>730</v>
      </c>
      <c r="M732" s="15">
        <f t="shared" si="135"/>
        <v>1</v>
      </c>
      <c r="N732" s="15">
        <f t="shared" ca="1" si="136"/>
        <v>0.4085517477729711</v>
      </c>
      <c r="O732" s="15">
        <f t="shared" ca="1" si="145"/>
        <v>0.24979702794813913</v>
      </c>
      <c r="P732" s="15">
        <f t="shared" ca="1" si="144"/>
        <v>0.24979701271508753</v>
      </c>
      <c r="Q732" s="15">
        <v>0</v>
      </c>
      <c r="R732" s="15">
        <f t="shared" ca="1" si="137"/>
        <v>0.24979701271508753</v>
      </c>
      <c r="S732" s="15">
        <f t="shared" ca="1" si="146"/>
        <v>0.58912731202077584</v>
      </c>
      <c r="T732" s="15">
        <f t="shared" ca="1" si="138"/>
        <v>2.320946875720974E-3</v>
      </c>
      <c r="U732" s="15">
        <f t="shared" ca="1" si="139"/>
        <v>0.59144825889649677</v>
      </c>
      <c r="V732" s="15">
        <f t="shared" ca="1" si="140"/>
        <v>0.5914482522270289</v>
      </c>
      <c r="X732" s="15">
        <f t="shared" si="141"/>
        <v>1.05</v>
      </c>
      <c r="Y732" s="15">
        <f t="shared" si="142"/>
        <v>0.95</v>
      </c>
      <c r="Z732" s="15">
        <f t="shared" ca="1" si="143"/>
        <v>0</v>
      </c>
    </row>
    <row r="733" spans="12:26" x14ac:dyDescent="0.3">
      <c r="L733" s="15">
        <v>731</v>
      </c>
      <c r="M733" s="15">
        <f t="shared" si="135"/>
        <v>1</v>
      </c>
      <c r="N733" s="15">
        <f t="shared" ca="1" si="136"/>
        <v>0.39466733471366278</v>
      </c>
      <c r="O733" s="15">
        <f t="shared" ca="1" si="145"/>
        <v>0.24979702794813913</v>
      </c>
      <c r="P733" s="15">
        <f t="shared" ca="1" si="144"/>
        <v>0.24979701271508753</v>
      </c>
      <c r="Q733" s="15">
        <v>0</v>
      </c>
      <c r="R733" s="15">
        <f t="shared" ca="1" si="137"/>
        <v>0.24979701271508753</v>
      </c>
      <c r="S733" s="15">
        <f t="shared" ca="1" si="146"/>
        <v>0.59668294883849449</v>
      </c>
      <c r="T733" s="15">
        <f t="shared" ca="1" si="138"/>
        <v>8.6497305990767635E-3</v>
      </c>
      <c r="U733" s="15">
        <f t="shared" ca="1" si="139"/>
        <v>0.6053326794375713</v>
      </c>
      <c r="V733" s="15">
        <f t="shared" ca="1" si="140"/>
        <v>0.60533266528633722</v>
      </c>
      <c r="X733" s="15">
        <f t="shared" si="141"/>
        <v>1.05</v>
      </c>
      <c r="Y733" s="15">
        <f t="shared" si="142"/>
        <v>0.95</v>
      </c>
      <c r="Z733" s="15">
        <f t="shared" ca="1" si="143"/>
        <v>0</v>
      </c>
    </row>
    <row r="734" spans="12:26" x14ac:dyDescent="0.3">
      <c r="L734" s="15">
        <v>732</v>
      </c>
      <c r="M734" s="15">
        <f t="shared" si="135"/>
        <v>1</v>
      </c>
      <c r="N734" s="15">
        <f t="shared" ca="1" si="136"/>
        <v>0.39525572103337747</v>
      </c>
      <c r="O734" s="15">
        <f t="shared" ca="1" si="145"/>
        <v>0.24995726669862484</v>
      </c>
      <c r="P734" s="15">
        <f t="shared" ca="1" si="144"/>
        <v>0.24995724676408743</v>
      </c>
      <c r="Q734" s="15">
        <v>0</v>
      </c>
      <c r="R734" s="15">
        <f t="shared" ca="1" si="137"/>
        <v>0.24995724676408743</v>
      </c>
      <c r="S734" s="15">
        <f t="shared" ca="1" si="146"/>
        <v>0.60441842538676827</v>
      </c>
      <c r="T734" s="15">
        <f t="shared" ca="1" si="138"/>
        <v>3.2586217572306506E-4</v>
      </c>
      <c r="U734" s="15">
        <f t="shared" ca="1" si="139"/>
        <v>0.60474428756249132</v>
      </c>
      <c r="V734" s="15">
        <f t="shared" ca="1" si="140"/>
        <v>0.60474427896662253</v>
      </c>
      <c r="X734" s="15">
        <f t="shared" si="141"/>
        <v>1.05</v>
      </c>
      <c r="Y734" s="15">
        <f t="shared" si="142"/>
        <v>0.95</v>
      </c>
      <c r="Z734" s="15">
        <f t="shared" ca="1" si="143"/>
        <v>0</v>
      </c>
    </row>
    <row r="735" spans="12:26" x14ac:dyDescent="0.3">
      <c r="L735" s="15">
        <v>733</v>
      </c>
      <c r="M735" s="15">
        <f t="shared" si="135"/>
        <v>1</v>
      </c>
      <c r="N735" s="15">
        <f t="shared" ca="1" si="136"/>
        <v>0.38613811959189781</v>
      </c>
      <c r="O735" s="15">
        <f t="shared" ca="1" si="145"/>
        <v>0.24995726669862484</v>
      </c>
      <c r="P735" s="15">
        <f t="shared" ca="1" si="144"/>
        <v>0.24995724676408743</v>
      </c>
      <c r="Q735" s="15">
        <v>0</v>
      </c>
      <c r="R735" s="15">
        <f t="shared" ca="1" si="137"/>
        <v>0.24995724676408743</v>
      </c>
      <c r="S735" s="15">
        <f t="shared" ca="1" si="146"/>
        <v>0.6123581221625366</v>
      </c>
      <c r="T735" s="15">
        <f t="shared" ca="1" si="138"/>
        <v>1.5037814362082458E-3</v>
      </c>
      <c r="U735" s="15">
        <f t="shared" ca="1" si="139"/>
        <v>0.61386190359874482</v>
      </c>
      <c r="V735" s="15">
        <f t="shared" ca="1" si="140"/>
        <v>0.61386188040810219</v>
      </c>
      <c r="X735" s="15">
        <f t="shared" si="141"/>
        <v>1.05</v>
      </c>
      <c r="Y735" s="15">
        <f t="shared" si="142"/>
        <v>0.95</v>
      </c>
      <c r="Z735" s="15">
        <f t="shared" ca="1" si="143"/>
        <v>0</v>
      </c>
    </row>
    <row r="736" spans="12:26" x14ac:dyDescent="0.3">
      <c r="L736" s="15">
        <v>734</v>
      </c>
      <c r="M736" s="15">
        <f t="shared" si="135"/>
        <v>1</v>
      </c>
      <c r="N736" s="15">
        <f t="shared" ca="1" si="136"/>
        <v>0.37850784030242546</v>
      </c>
      <c r="O736" s="15">
        <f t="shared" ca="1" si="145"/>
        <v>0.24995726669862484</v>
      </c>
      <c r="P736" s="15">
        <f t="shared" ca="1" si="144"/>
        <v>0.24995724676408743</v>
      </c>
      <c r="Q736" s="15">
        <v>0</v>
      </c>
      <c r="R736" s="15">
        <f t="shared" ca="1" si="137"/>
        <v>0.24995724676408743</v>
      </c>
      <c r="S736" s="15">
        <f t="shared" ca="1" si="146"/>
        <v>0.62044253440565289</v>
      </c>
      <c r="T736" s="15">
        <f t="shared" ca="1" si="138"/>
        <v>1.0496399949908176E-3</v>
      </c>
      <c r="U736" s="15">
        <f t="shared" ca="1" si="139"/>
        <v>0.62149217440064375</v>
      </c>
      <c r="V736" s="15">
        <f t="shared" ca="1" si="140"/>
        <v>0.62149215969757454</v>
      </c>
      <c r="X736" s="15">
        <f t="shared" si="141"/>
        <v>1.05</v>
      </c>
      <c r="Y736" s="15">
        <f t="shared" si="142"/>
        <v>0.95</v>
      </c>
      <c r="Z736" s="15">
        <f t="shared" ca="1" si="143"/>
        <v>0</v>
      </c>
    </row>
    <row r="737" spans="12:26" x14ac:dyDescent="0.3">
      <c r="L737" s="15">
        <v>735</v>
      </c>
      <c r="M737" s="15">
        <f t="shared" si="135"/>
        <v>1</v>
      </c>
      <c r="N737" s="15">
        <f t="shared" ca="1" si="136"/>
        <v>0.36181558281225512</v>
      </c>
      <c r="O737" s="15">
        <f t="shared" ca="1" si="145"/>
        <v>0.24482432226678175</v>
      </c>
      <c r="P737" s="15">
        <f t="shared" ca="1" si="144"/>
        <v>0.24482430895902785</v>
      </c>
      <c r="Q737" s="15">
        <v>0</v>
      </c>
      <c r="R737" s="15">
        <f t="shared" ca="1" si="137"/>
        <v>0.24482430895902785</v>
      </c>
      <c r="S737" s="15">
        <f t="shared" ca="1" si="146"/>
        <v>0.62858441724919523</v>
      </c>
      <c r="T737" s="15">
        <f t="shared" ca="1" si="138"/>
        <v>9.6000117336531264E-3</v>
      </c>
      <c r="U737" s="15">
        <f t="shared" ca="1" si="139"/>
        <v>0.63818442898284833</v>
      </c>
      <c r="V737" s="15">
        <f t="shared" ca="1" si="140"/>
        <v>0.63818441718774488</v>
      </c>
      <c r="X737" s="15">
        <f t="shared" si="141"/>
        <v>1.05</v>
      </c>
      <c r="Y737" s="15">
        <f t="shared" si="142"/>
        <v>0.95</v>
      </c>
      <c r="Z737" s="15">
        <f t="shared" ca="1" si="143"/>
        <v>0</v>
      </c>
    </row>
    <row r="738" spans="12:26" x14ac:dyDescent="0.3">
      <c r="L738" s="15">
        <v>736</v>
      </c>
      <c r="M738" s="15">
        <f t="shared" si="135"/>
        <v>1</v>
      </c>
      <c r="N738" s="15">
        <f t="shared" ca="1" si="136"/>
        <v>0.35999682623892948</v>
      </c>
      <c r="O738" s="15">
        <f t="shared" ca="1" si="145"/>
        <v>0.24482432226678175</v>
      </c>
      <c r="P738" s="15">
        <f t="shared" ca="1" si="144"/>
        <v>0.24482430895902785</v>
      </c>
      <c r="Q738" s="15">
        <v>0</v>
      </c>
      <c r="R738" s="15">
        <f t="shared" ca="1" si="137"/>
        <v>0.24482430895902785</v>
      </c>
      <c r="S738" s="15">
        <f t="shared" ca="1" si="146"/>
        <v>0.63670889161425404</v>
      </c>
      <c r="T738" s="15">
        <f t="shared" ca="1" si="138"/>
        <v>3.2943037912721096E-3</v>
      </c>
      <c r="U738" s="15">
        <f t="shared" ca="1" si="139"/>
        <v>0.64000319540552619</v>
      </c>
      <c r="V738" s="15">
        <f t="shared" ca="1" si="140"/>
        <v>0.64000317376107052</v>
      </c>
      <c r="X738" s="15">
        <f t="shared" si="141"/>
        <v>1.05</v>
      </c>
      <c r="Y738" s="15">
        <f t="shared" si="142"/>
        <v>0.95</v>
      </c>
      <c r="Z738" s="15">
        <f t="shared" ca="1" si="143"/>
        <v>0</v>
      </c>
    </row>
    <row r="739" spans="12:26" x14ac:dyDescent="0.3">
      <c r="L739" s="15">
        <v>737</v>
      </c>
      <c r="M739" s="15">
        <f t="shared" si="135"/>
        <v>1</v>
      </c>
      <c r="N739" s="15">
        <f t="shared" ca="1" si="136"/>
        <v>0.35426148570940397</v>
      </c>
      <c r="O739" s="15">
        <f t="shared" ca="1" si="145"/>
        <v>0.24482432226678175</v>
      </c>
      <c r="P739" s="15">
        <f t="shared" ca="1" si="144"/>
        <v>0.24482430895902785</v>
      </c>
      <c r="Q739" s="15">
        <v>0</v>
      </c>
      <c r="R739" s="15">
        <f t="shared" ca="1" si="137"/>
        <v>0.24482430895902785</v>
      </c>
      <c r="S739" s="15">
        <f t="shared" ca="1" si="146"/>
        <v>0.6447838039017596</v>
      </c>
      <c r="T739" s="15">
        <f t="shared" ca="1" si="138"/>
        <v>9.547144012196485E-4</v>
      </c>
      <c r="U739" s="15">
        <f t="shared" ca="1" si="139"/>
        <v>0.64573851830297924</v>
      </c>
      <c r="V739" s="15">
        <f t="shared" ca="1" si="140"/>
        <v>0.64573851429059603</v>
      </c>
      <c r="X739" s="15">
        <f t="shared" si="141"/>
        <v>1.05</v>
      </c>
      <c r="Y739" s="15">
        <f t="shared" si="142"/>
        <v>0.95</v>
      </c>
      <c r="Z739" s="15">
        <f t="shared" ca="1" si="143"/>
        <v>0</v>
      </c>
    </row>
    <row r="740" spans="12:26" x14ac:dyDescent="0.3">
      <c r="L740" s="15">
        <v>738</v>
      </c>
      <c r="M740" s="15">
        <f t="shared" si="135"/>
        <v>1</v>
      </c>
      <c r="N740" s="15">
        <f t="shared" ca="1" si="136"/>
        <v>0.34204462900339727</v>
      </c>
      <c r="O740" s="15">
        <f t="shared" ca="1" si="145"/>
        <v>0.25637768876273603</v>
      </c>
      <c r="P740" s="15">
        <f t="shared" ca="1" si="144"/>
        <v>0.25637766817965957</v>
      </c>
      <c r="Q740" s="15">
        <v>0</v>
      </c>
      <c r="R740" s="15">
        <f t="shared" ca="1" si="137"/>
        <v>0.25637766817965957</v>
      </c>
      <c r="S740" s="15">
        <f t="shared" ca="1" si="146"/>
        <v>0.65292035102924917</v>
      </c>
      <c r="T740" s="15">
        <f t="shared" ca="1" si="138"/>
        <v>5.0350379492244699E-3</v>
      </c>
      <c r="U740" s="15">
        <f t="shared" ca="1" si="139"/>
        <v>0.65795538897847361</v>
      </c>
      <c r="V740" s="15">
        <f t="shared" ca="1" si="140"/>
        <v>0.65795537099660273</v>
      </c>
      <c r="X740" s="15">
        <f t="shared" si="141"/>
        <v>1.05</v>
      </c>
      <c r="Y740" s="15">
        <f t="shared" si="142"/>
        <v>0.95</v>
      </c>
      <c r="Z740" s="15">
        <f t="shared" ca="1" si="143"/>
        <v>0</v>
      </c>
    </row>
    <row r="741" spans="12:26" x14ac:dyDescent="0.3">
      <c r="L741" s="15">
        <v>739</v>
      </c>
      <c r="M741" s="15">
        <f t="shared" si="135"/>
        <v>1</v>
      </c>
      <c r="N741" s="15">
        <f t="shared" ca="1" si="136"/>
        <v>0.33348165343829461</v>
      </c>
      <c r="O741" s="15">
        <f t="shared" ca="1" si="145"/>
        <v>0.25637768876273603</v>
      </c>
      <c r="P741" s="15">
        <f t="shared" ca="1" si="144"/>
        <v>0.25637766817965957</v>
      </c>
      <c r="Q741" s="15">
        <v>0</v>
      </c>
      <c r="R741" s="15">
        <f t="shared" ca="1" si="137"/>
        <v>0.25637766817965957</v>
      </c>
      <c r="S741" s="15">
        <f t="shared" ca="1" si="146"/>
        <v>0.66120920218035373</v>
      </c>
      <c r="T741" s="15">
        <f t="shared" ca="1" si="138"/>
        <v>5.309165555765381E-3</v>
      </c>
      <c r="U741" s="15">
        <f t="shared" ca="1" si="139"/>
        <v>0.66651836773611906</v>
      </c>
      <c r="V741" s="15">
        <f t="shared" ca="1" si="140"/>
        <v>0.66651834656170539</v>
      </c>
      <c r="X741" s="15">
        <f t="shared" si="141"/>
        <v>1.05</v>
      </c>
      <c r="Y741" s="15">
        <f t="shared" si="142"/>
        <v>0.95</v>
      </c>
      <c r="Z741" s="15">
        <f t="shared" ca="1" si="143"/>
        <v>0</v>
      </c>
    </row>
    <row r="742" spans="12:26" x14ac:dyDescent="0.3">
      <c r="L742" s="15">
        <v>740</v>
      </c>
      <c r="M742" s="15">
        <f t="shared" si="135"/>
        <v>1</v>
      </c>
      <c r="N742" s="15">
        <f t="shared" ca="1" si="136"/>
        <v>0.32582948806831369</v>
      </c>
      <c r="O742" s="15">
        <f t="shared" ca="1" si="145"/>
        <v>0.25637768876273603</v>
      </c>
      <c r="P742" s="15">
        <f t="shared" ca="1" si="144"/>
        <v>0.25637766817965957</v>
      </c>
      <c r="Q742" s="15">
        <v>0</v>
      </c>
      <c r="R742" s="15">
        <f t="shared" ca="1" si="137"/>
        <v>0.25637766817965957</v>
      </c>
      <c r="S742" s="15">
        <f t="shared" ca="1" si="146"/>
        <v>0.66959596585171643</v>
      </c>
      <c r="T742" s="15">
        <f t="shared" ca="1" si="138"/>
        <v>4.5745660143665448E-3</v>
      </c>
      <c r="U742" s="15">
        <f t="shared" ca="1" si="139"/>
        <v>0.674170531866083</v>
      </c>
      <c r="V742" s="15">
        <f t="shared" ca="1" si="140"/>
        <v>0.67417051193168631</v>
      </c>
      <c r="X742" s="15">
        <f t="shared" si="141"/>
        <v>1.05</v>
      </c>
      <c r="Y742" s="15">
        <f t="shared" si="142"/>
        <v>0.95</v>
      </c>
      <c r="Z742" s="15">
        <f t="shared" ca="1" si="143"/>
        <v>0</v>
      </c>
    </row>
    <row r="743" spans="12:26" x14ac:dyDescent="0.3">
      <c r="L743" s="15">
        <v>741</v>
      </c>
      <c r="M743" s="15">
        <f t="shared" si="135"/>
        <v>1</v>
      </c>
      <c r="N743" s="15">
        <f t="shared" ca="1" si="136"/>
        <v>0.32160177252292677</v>
      </c>
      <c r="O743" s="15">
        <f t="shared" ca="1" si="145"/>
        <v>0.25881063402645132</v>
      </c>
      <c r="P743" s="15">
        <f t="shared" ca="1" si="144"/>
        <v>0.25881063199108711</v>
      </c>
      <c r="Q743" s="15">
        <v>0</v>
      </c>
      <c r="R743" s="15">
        <f t="shared" ca="1" si="137"/>
        <v>0.25881063199108711</v>
      </c>
      <c r="S743" s="15">
        <f t="shared" ca="1" si="146"/>
        <v>0.67806569749088275</v>
      </c>
      <c r="T743" s="15">
        <f t="shared" ca="1" si="138"/>
        <v>3.3255056257018079E-4</v>
      </c>
      <c r="U743" s="15">
        <f t="shared" ca="1" si="139"/>
        <v>0.67839824805345295</v>
      </c>
      <c r="V743" s="15">
        <f t="shared" ca="1" si="140"/>
        <v>0.67839822747707323</v>
      </c>
      <c r="X743" s="15">
        <f t="shared" si="141"/>
        <v>1.05</v>
      </c>
      <c r="Y743" s="15">
        <f t="shared" si="142"/>
        <v>0.95</v>
      </c>
      <c r="Z743" s="15">
        <f t="shared" ca="1" si="143"/>
        <v>0</v>
      </c>
    </row>
    <row r="744" spans="12:26" x14ac:dyDescent="0.3">
      <c r="L744" s="15">
        <v>742</v>
      </c>
      <c r="M744" s="15">
        <f t="shared" si="135"/>
        <v>1</v>
      </c>
      <c r="N744" s="15">
        <f t="shared" ca="1" si="136"/>
        <v>0.31285569893961207</v>
      </c>
      <c r="O744" s="15">
        <f t="shared" ca="1" si="145"/>
        <v>0.25881063402645132</v>
      </c>
      <c r="P744" s="15">
        <f t="shared" ca="1" si="144"/>
        <v>0.25881063199108711</v>
      </c>
      <c r="Q744" s="15">
        <v>0</v>
      </c>
      <c r="R744" s="15">
        <f t="shared" ca="1" si="137"/>
        <v>0.25881063199108711</v>
      </c>
      <c r="S744" s="15">
        <f t="shared" ca="1" si="146"/>
        <v>0.68660354058323514</v>
      </c>
      <c r="T744" s="15">
        <f t="shared" ca="1" si="138"/>
        <v>5.4076841976145483E-4</v>
      </c>
      <c r="U744" s="15">
        <f t="shared" ca="1" si="139"/>
        <v>0.68714430900299661</v>
      </c>
      <c r="V744" s="15">
        <f t="shared" ca="1" si="140"/>
        <v>0.68714430106038793</v>
      </c>
      <c r="X744" s="15">
        <f t="shared" si="141"/>
        <v>1.05</v>
      </c>
      <c r="Y744" s="15">
        <f t="shared" si="142"/>
        <v>0.95</v>
      </c>
      <c r="Z744" s="15">
        <f t="shared" ca="1" si="143"/>
        <v>0</v>
      </c>
    </row>
    <row r="745" spans="12:26" x14ac:dyDescent="0.3">
      <c r="L745" s="15">
        <v>743</v>
      </c>
      <c r="M745" s="15">
        <f t="shared" si="135"/>
        <v>1</v>
      </c>
      <c r="N745" s="15">
        <f t="shared" ca="1" si="136"/>
        <v>0.29545018805550649</v>
      </c>
      <c r="O745" s="15">
        <f t="shared" ca="1" si="145"/>
        <v>0.25881063402645132</v>
      </c>
      <c r="P745" s="15">
        <f t="shared" ca="1" si="144"/>
        <v>0.25881063199108711</v>
      </c>
      <c r="Q745" s="15">
        <v>0</v>
      </c>
      <c r="R745" s="15">
        <f t="shared" ca="1" si="137"/>
        <v>0.25881063199108711</v>
      </c>
      <c r="S745" s="15">
        <f t="shared" ca="1" si="146"/>
        <v>0.69516473756856456</v>
      </c>
      <c r="T745" s="15">
        <f t="shared" ca="1" si="138"/>
        <v>9.3850837014705663E-3</v>
      </c>
      <c r="U745" s="15">
        <f t="shared" ca="1" si="139"/>
        <v>0.70454982127003518</v>
      </c>
      <c r="V745" s="15">
        <f t="shared" ca="1" si="140"/>
        <v>0.70454981194449351</v>
      </c>
      <c r="X745" s="15">
        <f t="shared" si="141"/>
        <v>1.05</v>
      </c>
      <c r="Y745" s="15">
        <f t="shared" si="142"/>
        <v>0.95</v>
      </c>
      <c r="Z745" s="15">
        <f t="shared" ca="1" si="143"/>
        <v>0</v>
      </c>
    </row>
    <row r="746" spans="12:26" x14ac:dyDescent="0.3">
      <c r="L746" s="15">
        <v>744</v>
      </c>
      <c r="M746" s="15">
        <f t="shared" si="135"/>
        <v>1</v>
      </c>
      <c r="N746" s="15">
        <f t="shared" ca="1" si="136"/>
        <v>0.29620143941049493</v>
      </c>
      <c r="O746" s="15">
        <f t="shared" ca="1" si="145"/>
        <v>0.25732979234965581</v>
      </c>
      <c r="P746" s="15">
        <f t="shared" ca="1" si="144"/>
        <v>0.25732978253097505</v>
      </c>
      <c r="Q746" s="15">
        <v>0</v>
      </c>
      <c r="R746" s="15">
        <f t="shared" ca="1" si="137"/>
        <v>0.25732978253097505</v>
      </c>
      <c r="S746" s="15">
        <f t="shared" ca="1" si="146"/>
        <v>0.7036981830272383</v>
      </c>
      <c r="T746" s="15">
        <f t="shared" ca="1" si="138"/>
        <v>1.0039024624110882E-4</v>
      </c>
      <c r="U746" s="15">
        <f t="shared" ca="1" si="139"/>
        <v>0.70379857327347939</v>
      </c>
      <c r="V746" s="15">
        <f t="shared" ca="1" si="140"/>
        <v>0.70379856058950507</v>
      </c>
      <c r="X746" s="15">
        <f t="shared" si="141"/>
        <v>1.05</v>
      </c>
      <c r="Y746" s="15">
        <f t="shared" si="142"/>
        <v>0.95</v>
      </c>
      <c r="Z746" s="15">
        <f t="shared" ca="1" si="143"/>
        <v>0</v>
      </c>
    </row>
    <row r="747" spans="12:26" x14ac:dyDescent="0.3">
      <c r="L747" s="15">
        <v>745</v>
      </c>
      <c r="M747" s="15">
        <f t="shared" si="135"/>
        <v>1</v>
      </c>
      <c r="N747" s="15">
        <f t="shared" ca="1" si="136"/>
        <v>0.28382299823775492</v>
      </c>
      <c r="O747" s="15">
        <f t="shared" ca="1" si="145"/>
        <v>0.25732979234965581</v>
      </c>
      <c r="P747" s="15">
        <f t="shared" ca="1" si="144"/>
        <v>0.25732978253097505</v>
      </c>
      <c r="Q747" s="15">
        <v>0</v>
      </c>
      <c r="R747" s="15">
        <f t="shared" ca="1" si="137"/>
        <v>0.25732978253097505</v>
      </c>
      <c r="S747" s="15">
        <f t="shared" ca="1" si="146"/>
        <v>0.71215990385851979</v>
      </c>
      <c r="T747" s="15">
        <f t="shared" ca="1" si="138"/>
        <v>4.0170994892875719E-3</v>
      </c>
      <c r="U747" s="15">
        <f t="shared" ca="1" si="139"/>
        <v>0.71617700334780732</v>
      </c>
      <c r="V747" s="15">
        <f t="shared" ca="1" si="140"/>
        <v>0.71617700176224508</v>
      </c>
      <c r="X747" s="15">
        <f t="shared" si="141"/>
        <v>1.05</v>
      </c>
      <c r="Y747" s="15">
        <f t="shared" si="142"/>
        <v>0.95</v>
      </c>
      <c r="Z747" s="15">
        <f t="shared" ca="1" si="143"/>
        <v>0</v>
      </c>
    </row>
    <row r="748" spans="12:26" x14ac:dyDescent="0.3">
      <c r="L748" s="15">
        <v>746</v>
      </c>
      <c r="M748" s="15">
        <f t="shared" si="135"/>
        <v>1</v>
      </c>
      <c r="N748" s="15">
        <f t="shared" ca="1" si="136"/>
        <v>0.27841972077228594</v>
      </c>
      <c r="O748" s="15">
        <f t="shared" ca="1" si="145"/>
        <v>0.25732979234965581</v>
      </c>
      <c r="P748" s="15">
        <f t="shared" ca="1" si="144"/>
        <v>0.25732978253097505</v>
      </c>
      <c r="Q748" s="15">
        <v>0</v>
      </c>
      <c r="R748" s="15">
        <f t="shared" ca="1" si="137"/>
        <v>0.25732978253097505</v>
      </c>
      <c r="S748" s="15">
        <f t="shared" ca="1" si="146"/>
        <v>0.72052321472577241</v>
      </c>
      <c r="T748" s="15">
        <f t="shared" ca="1" si="138"/>
        <v>1.0570756161301165E-3</v>
      </c>
      <c r="U748" s="15">
        <f t="shared" ca="1" si="139"/>
        <v>0.72158029034190252</v>
      </c>
      <c r="V748" s="15">
        <f t="shared" ca="1" si="140"/>
        <v>0.72158027922771406</v>
      </c>
      <c r="X748" s="15">
        <f t="shared" si="141"/>
        <v>1.05</v>
      </c>
      <c r="Y748" s="15">
        <f t="shared" si="142"/>
        <v>0.95</v>
      </c>
      <c r="Z748" s="15">
        <f t="shared" ca="1" si="143"/>
        <v>0</v>
      </c>
    </row>
    <row r="749" spans="12:26" x14ac:dyDescent="0.3">
      <c r="L749" s="15">
        <v>747</v>
      </c>
      <c r="M749" s="15">
        <f t="shared" si="135"/>
        <v>1</v>
      </c>
      <c r="N749" s="15">
        <f t="shared" ca="1" si="136"/>
        <v>0.26492224895975602</v>
      </c>
      <c r="O749" s="15">
        <f t="shared" ca="1" si="145"/>
        <v>0.25368143806044652</v>
      </c>
      <c r="P749" s="15">
        <f t="shared" ca="1" si="144"/>
        <v>0.25368141947632689</v>
      </c>
      <c r="Q749" s="15">
        <v>0</v>
      </c>
      <c r="R749" s="15">
        <f t="shared" ca="1" si="137"/>
        <v>0.25368141947632689</v>
      </c>
      <c r="S749" s="15">
        <f t="shared" ca="1" si="146"/>
        <v>0.7288216815719768</v>
      </c>
      <c r="T749" s="15">
        <f t="shared" ca="1" si="138"/>
        <v>6.2560762774228583E-3</v>
      </c>
      <c r="U749" s="15">
        <f t="shared" ca="1" si="139"/>
        <v>0.73507775784939966</v>
      </c>
      <c r="V749" s="15">
        <f t="shared" ca="1" si="140"/>
        <v>0.73507775104024398</v>
      </c>
      <c r="X749" s="15">
        <f t="shared" si="141"/>
        <v>1.05</v>
      </c>
      <c r="Y749" s="15">
        <f t="shared" si="142"/>
        <v>0.95</v>
      </c>
      <c r="Z749" s="15">
        <f t="shared" ca="1" si="143"/>
        <v>0</v>
      </c>
    </row>
    <row r="750" spans="12:26" x14ac:dyDescent="0.3">
      <c r="L750" s="15">
        <v>748</v>
      </c>
      <c r="M750" s="15">
        <f t="shared" si="135"/>
        <v>1</v>
      </c>
      <c r="N750" s="15">
        <f t="shared" ca="1" si="136"/>
        <v>0.25351103284710808</v>
      </c>
      <c r="O750" s="15">
        <f t="shared" ca="1" si="145"/>
        <v>0.25368143806044652</v>
      </c>
      <c r="P750" s="15">
        <f t="shared" ca="1" si="144"/>
        <v>0.25368141947632689</v>
      </c>
      <c r="Q750" s="15">
        <v>0</v>
      </c>
      <c r="R750" s="15">
        <f t="shared" ca="1" si="137"/>
        <v>0.25368141947632689</v>
      </c>
      <c r="S750" s="15">
        <f t="shared" ca="1" si="146"/>
        <v>0.73708238656835601</v>
      </c>
      <c r="T750" s="15">
        <f t="shared" ca="1" si="138"/>
        <v>9.4065966633630621E-3</v>
      </c>
      <c r="U750" s="15">
        <f t="shared" ca="1" si="139"/>
        <v>0.74648898323171908</v>
      </c>
      <c r="V750" s="15">
        <f t="shared" ca="1" si="140"/>
        <v>0.74648896715289192</v>
      </c>
      <c r="X750" s="15">
        <f t="shared" si="141"/>
        <v>1.05</v>
      </c>
      <c r="Y750" s="15">
        <f t="shared" si="142"/>
        <v>0.95</v>
      </c>
      <c r="Z750" s="15">
        <f t="shared" ca="1" si="143"/>
        <v>0</v>
      </c>
    </row>
    <row r="751" spans="12:26" x14ac:dyDescent="0.3">
      <c r="L751" s="15">
        <v>749</v>
      </c>
      <c r="M751" s="15">
        <f t="shared" si="135"/>
        <v>1</v>
      </c>
      <c r="N751" s="15">
        <f t="shared" ca="1" si="136"/>
        <v>0.25346660876028859</v>
      </c>
      <c r="O751" s="15">
        <f t="shared" ca="1" si="145"/>
        <v>0.25368143806044652</v>
      </c>
      <c r="P751" s="15">
        <f t="shared" ca="1" si="144"/>
        <v>0.25368141947632689</v>
      </c>
      <c r="Q751" s="15">
        <v>0</v>
      </c>
      <c r="R751" s="15">
        <f t="shared" ca="1" si="137"/>
        <v>0.25368141947632689</v>
      </c>
      <c r="S751" s="15">
        <f t="shared" ca="1" si="146"/>
        <v>0.74527518349222699</v>
      </c>
      <c r="T751" s="15">
        <f t="shared" ca="1" si="138"/>
        <v>1.258218938566772E-3</v>
      </c>
      <c r="U751" s="15">
        <f t="shared" ca="1" si="139"/>
        <v>0.7465334024307938</v>
      </c>
      <c r="V751" s="15">
        <f t="shared" ca="1" si="140"/>
        <v>0.74653339123971141</v>
      </c>
      <c r="X751" s="15">
        <f t="shared" si="141"/>
        <v>1.05</v>
      </c>
      <c r="Y751" s="15">
        <f t="shared" si="142"/>
        <v>0.95</v>
      </c>
      <c r="Z751" s="15">
        <f t="shared" ca="1" si="143"/>
        <v>0</v>
      </c>
    </row>
    <row r="752" spans="12:26" x14ac:dyDescent="0.3">
      <c r="L752" s="15">
        <v>750</v>
      </c>
      <c r="M752" s="15">
        <f t="shared" si="135"/>
        <v>1</v>
      </c>
      <c r="N752" s="15">
        <f t="shared" ca="1" si="136"/>
        <v>0.23680881020538713</v>
      </c>
      <c r="O752" s="15">
        <f t="shared" ca="1" si="145"/>
        <v>0.25544655686519435</v>
      </c>
      <c r="P752" s="15">
        <f t="shared" ca="1" si="144"/>
        <v>0.25544655515240655</v>
      </c>
      <c r="Q752" s="15">
        <v>0</v>
      </c>
      <c r="R752" s="15">
        <f t="shared" ca="1" si="137"/>
        <v>0.25544655515240655</v>
      </c>
      <c r="S752" s="15">
        <f t="shared" ca="1" si="146"/>
        <v>0.75343945234490062</v>
      </c>
      <c r="T752" s="15">
        <f t="shared" ca="1" si="138"/>
        <v>9.7517459484877424E-3</v>
      </c>
      <c r="U752" s="15">
        <f t="shared" ca="1" si="139"/>
        <v>0.76319119829338833</v>
      </c>
      <c r="V752" s="15">
        <f t="shared" ca="1" si="140"/>
        <v>0.76319118979461287</v>
      </c>
      <c r="X752" s="15">
        <f t="shared" si="141"/>
        <v>1.05</v>
      </c>
      <c r="Y752" s="15">
        <f t="shared" si="142"/>
        <v>0.95</v>
      </c>
      <c r="Z752" s="15">
        <f t="shared" ca="1" si="143"/>
        <v>0</v>
      </c>
    </row>
    <row r="753" spans="12:26" x14ac:dyDescent="0.3">
      <c r="L753" s="15">
        <v>751</v>
      </c>
      <c r="M753" s="15">
        <f t="shared" si="135"/>
        <v>1</v>
      </c>
      <c r="N753" s="15">
        <f t="shared" ca="1" si="136"/>
        <v>0.23579043225287244</v>
      </c>
      <c r="O753" s="15">
        <f t="shared" ca="1" si="145"/>
        <v>0.25544655686519435</v>
      </c>
      <c r="P753" s="15">
        <f t="shared" ca="1" si="144"/>
        <v>0.25544655515240655</v>
      </c>
      <c r="Q753" s="15">
        <v>0</v>
      </c>
      <c r="R753" s="15">
        <f t="shared" ca="1" si="137"/>
        <v>0.25544655515240655</v>
      </c>
      <c r="S753" s="15">
        <f t="shared" ca="1" si="146"/>
        <v>0.76160680113427282</v>
      </c>
      <c r="T753" s="15">
        <f t="shared" ca="1" si="138"/>
        <v>2.6027882339255061E-3</v>
      </c>
      <c r="U753" s="15">
        <f t="shared" ca="1" si="139"/>
        <v>0.76420958936819827</v>
      </c>
      <c r="V753" s="15">
        <f t="shared" ca="1" si="140"/>
        <v>0.76420956774712756</v>
      </c>
      <c r="X753" s="15">
        <f t="shared" si="141"/>
        <v>1.05</v>
      </c>
      <c r="Y753" s="15">
        <f t="shared" si="142"/>
        <v>0.95</v>
      </c>
      <c r="Z753" s="15">
        <f t="shared" ca="1" si="143"/>
        <v>0</v>
      </c>
    </row>
    <row r="754" spans="12:26" x14ac:dyDescent="0.3">
      <c r="L754" s="15">
        <v>752</v>
      </c>
      <c r="M754" s="15">
        <f t="shared" si="135"/>
        <v>1</v>
      </c>
      <c r="N754" s="15">
        <f t="shared" ca="1" si="136"/>
        <v>0.22931024321106031</v>
      </c>
      <c r="O754" s="15">
        <f t="shared" ca="1" si="145"/>
        <v>0.25544655686519435</v>
      </c>
      <c r="P754" s="15">
        <f t="shared" ca="1" si="144"/>
        <v>0.25544655515240655</v>
      </c>
      <c r="Q754" s="15">
        <v>0</v>
      </c>
      <c r="R754" s="15">
        <f t="shared" ca="1" si="137"/>
        <v>0.25544655515240655</v>
      </c>
      <c r="S754" s="15">
        <f t="shared" ca="1" si="146"/>
        <v>0.76974229419826046</v>
      </c>
      <c r="T754" s="15">
        <f t="shared" ca="1" si="138"/>
        <v>9.4747306068964428E-4</v>
      </c>
      <c r="U754" s="15">
        <f t="shared" ca="1" si="139"/>
        <v>0.77068976725895011</v>
      </c>
      <c r="V754" s="15">
        <f t="shared" ca="1" si="140"/>
        <v>0.77068975678893969</v>
      </c>
      <c r="X754" s="15">
        <f t="shared" si="141"/>
        <v>1.05</v>
      </c>
      <c r="Y754" s="15">
        <f t="shared" si="142"/>
        <v>0.95</v>
      </c>
      <c r="Z754" s="15">
        <f t="shared" ca="1" si="143"/>
        <v>0</v>
      </c>
    </row>
    <row r="755" spans="12:26" x14ac:dyDescent="0.3">
      <c r="L755" s="15">
        <v>753</v>
      </c>
      <c r="M755" s="15">
        <f t="shared" si="135"/>
        <v>1</v>
      </c>
      <c r="N755" s="15">
        <f t="shared" ca="1" si="136"/>
        <v>0.21364148594756638</v>
      </c>
      <c r="O755" s="15">
        <f t="shared" ca="1" si="145"/>
        <v>0.25866671010439901</v>
      </c>
      <c r="P755" s="15">
        <f t="shared" ca="1" si="144"/>
        <v>0.25866669608714682</v>
      </c>
      <c r="Q755" s="15">
        <v>0</v>
      </c>
      <c r="R755" s="15">
        <f t="shared" ca="1" si="137"/>
        <v>0.25866669608714682</v>
      </c>
      <c r="S755" s="15">
        <f t="shared" ca="1" si="146"/>
        <v>0.77781695132807627</v>
      </c>
      <c r="T755" s="15">
        <f t="shared" ca="1" si="138"/>
        <v>8.5415773551672652E-3</v>
      </c>
      <c r="U755" s="15">
        <f t="shared" ca="1" si="139"/>
        <v>0.78635852868324352</v>
      </c>
      <c r="V755" s="15">
        <f t="shared" ca="1" si="140"/>
        <v>0.78635851405243362</v>
      </c>
      <c r="X755" s="15">
        <f t="shared" si="141"/>
        <v>1.05</v>
      </c>
      <c r="Y755" s="15">
        <f t="shared" si="142"/>
        <v>0.95</v>
      </c>
      <c r="Z755" s="15">
        <f t="shared" ca="1" si="143"/>
        <v>0</v>
      </c>
    </row>
    <row r="756" spans="12:26" x14ac:dyDescent="0.3">
      <c r="L756" s="15">
        <v>754</v>
      </c>
      <c r="M756" s="15">
        <f t="shared" si="135"/>
        <v>1</v>
      </c>
      <c r="N756" s="15">
        <f t="shared" ca="1" si="136"/>
        <v>0.20636997539698387</v>
      </c>
      <c r="O756" s="15">
        <f t="shared" ca="1" si="145"/>
        <v>0.25866671010439901</v>
      </c>
      <c r="P756" s="15">
        <f t="shared" ca="1" si="144"/>
        <v>0.25866669608714682</v>
      </c>
      <c r="Q756" s="15">
        <v>0</v>
      </c>
      <c r="R756" s="15">
        <f t="shared" ca="1" si="137"/>
        <v>0.25866669608714682</v>
      </c>
      <c r="S756" s="15">
        <f t="shared" ca="1" si="146"/>
        <v>0.78580566694063481</v>
      </c>
      <c r="T756" s="15">
        <f t="shared" ca="1" si="138"/>
        <v>7.8243729011225442E-3</v>
      </c>
      <c r="U756" s="15">
        <f t="shared" ca="1" si="139"/>
        <v>0.7936300398417574</v>
      </c>
      <c r="V756" s="15">
        <f t="shared" ca="1" si="140"/>
        <v>0.79363002460301613</v>
      </c>
      <c r="X756" s="15">
        <f t="shared" si="141"/>
        <v>1.05</v>
      </c>
      <c r="Y756" s="15">
        <f t="shared" si="142"/>
        <v>0.95</v>
      </c>
      <c r="Z756" s="15">
        <f t="shared" ca="1" si="143"/>
        <v>0</v>
      </c>
    </row>
    <row r="757" spans="12:26" x14ac:dyDescent="0.3">
      <c r="L757" s="15">
        <v>755</v>
      </c>
      <c r="M757" s="15">
        <f t="shared" si="135"/>
        <v>1</v>
      </c>
      <c r="N757" s="15">
        <f ca="1">M757-V757</f>
        <v>0.20204542558687855</v>
      </c>
      <c r="O757" s="15">
        <f t="shared" ca="1" si="145"/>
        <v>0.25866671010439901</v>
      </c>
      <c r="P757" s="15">
        <f t="shared" ca="1" si="144"/>
        <v>0.25866669608714682</v>
      </c>
      <c r="Q757" s="15">
        <v>0</v>
      </c>
      <c r="R757" s="15">
        <f t="shared" ca="1" si="137"/>
        <v>0.25866669608714682</v>
      </c>
      <c r="S757" s="15">
        <f t="shared" ca="1" si="146"/>
        <v>0.79368556096478737</v>
      </c>
      <c r="T757" s="15">
        <f t="shared" ca="1" si="138"/>
        <v>4.2690364822295084E-3</v>
      </c>
      <c r="U757" s="15">
        <f t="shared" ca="1" si="139"/>
        <v>0.79795459744701691</v>
      </c>
      <c r="V757" s="15">
        <f t="shared" ca="1" si="140"/>
        <v>0.79795457441312145</v>
      </c>
      <c r="X757" s="15">
        <f t="shared" si="141"/>
        <v>1.05</v>
      </c>
      <c r="Y757" s="15">
        <f t="shared" si="142"/>
        <v>0.95</v>
      </c>
      <c r="Z757" s="15">
        <f t="shared" ca="1" si="143"/>
        <v>0</v>
      </c>
    </row>
    <row r="758" spans="12:26" x14ac:dyDescent="0.3">
      <c r="L758" s="15">
        <v>756</v>
      </c>
      <c r="M758" s="15">
        <f t="shared" si="135"/>
        <v>1</v>
      </c>
      <c r="N758" s="15">
        <f t="shared" ca="1" si="136"/>
        <v>0.18963715880867948</v>
      </c>
      <c r="O758" s="15">
        <f t="shared" ca="1" si="145"/>
        <v>0.25780319254836648</v>
      </c>
      <c r="P758" s="15">
        <f t="shared" ca="1" si="144"/>
        <v>0.25780317379576229</v>
      </c>
      <c r="Q758" s="15">
        <v>0</v>
      </c>
      <c r="R758" s="15">
        <f t="shared" ca="1" si="137"/>
        <v>0.25780317379576229</v>
      </c>
      <c r="S758" s="15">
        <f t="shared" ca="1" si="146"/>
        <v>0.80139271503809628</v>
      </c>
      <c r="T758" s="15">
        <f t="shared" ca="1" si="138"/>
        <v>8.9701326459263857E-3</v>
      </c>
      <c r="U758" s="15">
        <f t="shared" ca="1" si="139"/>
        <v>0.81036284768402267</v>
      </c>
      <c r="V758" s="15">
        <f t="shared" ca="1" si="140"/>
        <v>0.81036284119132052</v>
      </c>
      <c r="X758" s="15">
        <f t="shared" si="141"/>
        <v>1.05</v>
      </c>
      <c r="Y758" s="15">
        <f t="shared" si="142"/>
        <v>0.95</v>
      </c>
      <c r="Z758" s="15">
        <f t="shared" ca="1" si="143"/>
        <v>0</v>
      </c>
    </row>
    <row r="759" spans="12:26" x14ac:dyDescent="0.3">
      <c r="L759" s="15">
        <v>757</v>
      </c>
      <c r="M759" s="15">
        <f t="shared" si="135"/>
        <v>1</v>
      </c>
      <c r="N759" s="15">
        <f t="shared" ca="1" si="136"/>
        <v>0.18380982689182501</v>
      </c>
      <c r="O759" s="15">
        <f t="shared" ca="1" si="145"/>
        <v>0.25780319254836648</v>
      </c>
      <c r="P759" s="15">
        <f t="shared" ca="1" si="144"/>
        <v>0.25780317379576229</v>
      </c>
      <c r="Q759" s="15">
        <v>0</v>
      </c>
      <c r="R759" s="15">
        <f t="shared" ca="1" si="137"/>
        <v>0.25780317379576229</v>
      </c>
      <c r="S759" s="15">
        <f t="shared" ca="1" si="146"/>
        <v>0.80887401940145798</v>
      </c>
      <c r="T759" s="15">
        <f t="shared" ca="1" si="138"/>
        <v>7.3161762603170186E-3</v>
      </c>
      <c r="U759" s="15">
        <f t="shared" ca="1" si="139"/>
        <v>0.81619019566177498</v>
      </c>
      <c r="V759" s="15">
        <f t="shared" ca="1" si="140"/>
        <v>0.81619017310817499</v>
      </c>
      <c r="X759" s="15">
        <f t="shared" si="141"/>
        <v>1.05</v>
      </c>
      <c r="Y759" s="15">
        <f t="shared" si="142"/>
        <v>0.95</v>
      </c>
      <c r="Z759" s="15">
        <f t="shared" ca="1" si="143"/>
        <v>0</v>
      </c>
    </row>
    <row r="760" spans="12:26" x14ac:dyDescent="0.3">
      <c r="L760" s="15">
        <v>758</v>
      </c>
      <c r="M760" s="15">
        <f t="shared" si="135"/>
        <v>1</v>
      </c>
      <c r="N760" s="15">
        <f t="shared" ca="1" si="136"/>
        <v>0.17516494150626583</v>
      </c>
      <c r="O760" s="15">
        <f t="shared" ca="1" si="145"/>
        <v>0.25780319254836648</v>
      </c>
      <c r="P760" s="15">
        <f t="shared" ca="1" si="144"/>
        <v>0.25780317379576229</v>
      </c>
      <c r="Q760" s="15">
        <v>0</v>
      </c>
      <c r="R760" s="15">
        <f t="shared" ca="1" si="137"/>
        <v>0.25780317379576229</v>
      </c>
      <c r="S760" s="15">
        <f t="shared" ca="1" si="146"/>
        <v>0.81612649954549732</v>
      </c>
      <c r="T760" s="15">
        <f t="shared" ca="1" si="138"/>
        <v>8.7085736811408302E-3</v>
      </c>
      <c r="U760" s="15">
        <f t="shared" ca="1" si="139"/>
        <v>0.82483507322663818</v>
      </c>
      <c r="V760" s="15">
        <f t="shared" ca="1" si="140"/>
        <v>0.82483505849373417</v>
      </c>
      <c r="X760" s="15">
        <f t="shared" si="141"/>
        <v>1.05</v>
      </c>
      <c r="Y760" s="15">
        <f t="shared" si="142"/>
        <v>0.95</v>
      </c>
      <c r="Z760" s="15">
        <f t="shared" ca="1" si="143"/>
        <v>0</v>
      </c>
    </row>
    <row r="761" spans="12:26" x14ac:dyDescent="0.3">
      <c r="L761" s="15">
        <v>759</v>
      </c>
      <c r="M761" s="15">
        <f t="shared" si="135"/>
        <v>1</v>
      </c>
      <c r="N761" s="15">
        <f t="shared" ca="1" si="136"/>
        <v>0.16859902422144046</v>
      </c>
      <c r="O761" s="15">
        <f t="shared" ca="1" si="145"/>
        <v>0.25931327183249331</v>
      </c>
      <c r="P761" s="15">
        <f t="shared" ca="1" si="144"/>
        <v>0.25931326678472416</v>
      </c>
      <c r="Q761" s="15">
        <v>0</v>
      </c>
      <c r="R761" s="15">
        <f t="shared" ca="1" si="137"/>
        <v>0.25931326678472416</v>
      </c>
      <c r="S761" s="15">
        <f t="shared" ca="1" si="146"/>
        <v>0.82324846959248366</v>
      </c>
      <c r="T761" s="15">
        <f t="shared" ca="1" si="138"/>
        <v>8.1525228780167502E-3</v>
      </c>
      <c r="U761" s="15">
        <f t="shared" ca="1" si="139"/>
        <v>0.83140099247050037</v>
      </c>
      <c r="V761" s="15">
        <f t="shared" ca="1" si="140"/>
        <v>0.83140097577855954</v>
      </c>
      <c r="X761" s="15">
        <f t="shared" si="141"/>
        <v>1.05</v>
      </c>
      <c r="Y761" s="15">
        <f t="shared" si="142"/>
        <v>0.95</v>
      </c>
      <c r="Z761" s="15">
        <f t="shared" ca="1" si="143"/>
        <v>0</v>
      </c>
    </row>
    <row r="762" spans="12:26" x14ac:dyDescent="0.3">
      <c r="L762" s="15">
        <v>760</v>
      </c>
      <c r="M762" s="15">
        <f t="shared" si="135"/>
        <v>1</v>
      </c>
      <c r="N762" s="15">
        <f t="shared" ca="1" si="136"/>
        <v>0.1638256700625238</v>
      </c>
      <c r="O762" s="15">
        <f t="shared" ca="1" si="145"/>
        <v>0.25931327183249331</v>
      </c>
      <c r="P762" s="15">
        <f t="shared" ca="1" si="144"/>
        <v>0.25931326678472416</v>
      </c>
      <c r="Q762" s="15">
        <v>0</v>
      </c>
      <c r="R762" s="15">
        <f t="shared" ca="1" si="137"/>
        <v>0.25931326678472416</v>
      </c>
      <c r="S762" s="15">
        <f t="shared" ca="1" si="146"/>
        <v>0.83032189446310478</v>
      </c>
      <c r="T762" s="15">
        <f t="shared" ca="1" si="138"/>
        <v>5.852454619544898E-3</v>
      </c>
      <c r="U762" s="15">
        <f t="shared" ca="1" si="139"/>
        <v>0.83617434908264965</v>
      </c>
      <c r="V762" s="15">
        <f t="shared" ca="1" si="140"/>
        <v>0.8361743299374762</v>
      </c>
      <c r="X762" s="15">
        <f t="shared" si="141"/>
        <v>1.05</v>
      </c>
      <c r="Y762" s="15">
        <f t="shared" si="142"/>
        <v>0.95</v>
      </c>
      <c r="Z762" s="15">
        <f t="shared" ca="1" si="143"/>
        <v>0</v>
      </c>
    </row>
    <row r="763" spans="12:26" x14ac:dyDescent="0.3">
      <c r="L763" s="15">
        <v>761</v>
      </c>
      <c r="M763" s="15">
        <f t="shared" si="135"/>
        <v>1</v>
      </c>
      <c r="N763" s="15">
        <f t="shared" ca="1" si="136"/>
        <v>0.15986841059286805</v>
      </c>
      <c r="O763" s="15">
        <f t="shared" ca="1" si="145"/>
        <v>0.25931327183249331</v>
      </c>
      <c r="P763" s="15">
        <f t="shared" ca="1" si="144"/>
        <v>0.25931326678472416</v>
      </c>
      <c r="Q763" s="15">
        <v>0</v>
      </c>
      <c r="R763" s="15">
        <f t="shared" ca="1" si="137"/>
        <v>0.25931326678472416</v>
      </c>
      <c r="S763" s="15">
        <f t="shared" ca="1" si="146"/>
        <v>0.83732301846166657</v>
      </c>
      <c r="T763" s="15">
        <f t="shared" ca="1" si="138"/>
        <v>2.8085779588362448E-3</v>
      </c>
      <c r="U763" s="15">
        <f t="shared" ca="1" si="139"/>
        <v>0.84013159642050284</v>
      </c>
      <c r="V763" s="15">
        <f t="shared" ca="1" si="140"/>
        <v>0.84013158940713195</v>
      </c>
      <c r="X763" s="15">
        <f t="shared" si="141"/>
        <v>1.05</v>
      </c>
      <c r="Y763" s="15">
        <f t="shared" si="142"/>
        <v>0.95</v>
      </c>
      <c r="Z763" s="15">
        <f t="shared" ca="1" si="143"/>
        <v>0</v>
      </c>
    </row>
    <row r="764" spans="12:26" x14ac:dyDescent="0.3">
      <c r="L764" s="15">
        <v>762</v>
      </c>
      <c r="M764" s="15">
        <f t="shared" si="135"/>
        <v>1</v>
      </c>
      <c r="N764" s="15">
        <f t="shared" ca="1" si="136"/>
        <v>0.15554374436744112</v>
      </c>
      <c r="O764" s="15">
        <f t="shared" ca="1" si="145"/>
        <v>0.26493552693577171</v>
      </c>
      <c r="P764" s="15">
        <f t="shared" ca="1" si="144"/>
        <v>0.26493552147060062</v>
      </c>
      <c r="Q764" s="15">
        <v>0</v>
      </c>
      <c r="R764" s="15">
        <f t="shared" ca="1" si="137"/>
        <v>0.26493552147060062</v>
      </c>
      <c r="S764" s="15">
        <f t="shared" ca="1" si="146"/>
        <v>0.84425245369431789</v>
      </c>
      <c r="T764" s="15">
        <f t="shared" ca="1" si="138"/>
        <v>2.0382246248396241E-4</v>
      </c>
      <c r="U764" s="15">
        <f t="shared" ca="1" si="139"/>
        <v>0.84445627615680185</v>
      </c>
      <c r="V764" s="15">
        <f t="shared" ca="1" si="140"/>
        <v>0.84445625563255888</v>
      </c>
      <c r="X764" s="15">
        <f t="shared" si="141"/>
        <v>1.05</v>
      </c>
      <c r="Y764" s="15">
        <f t="shared" si="142"/>
        <v>0.95</v>
      </c>
      <c r="Z764" s="15">
        <f t="shared" ca="1" si="143"/>
        <v>0</v>
      </c>
    </row>
    <row r="765" spans="12:26" x14ac:dyDescent="0.3">
      <c r="L765" s="15">
        <v>763</v>
      </c>
      <c r="M765" s="15">
        <f t="shared" si="135"/>
        <v>1</v>
      </c>
      <c r="N765" s="15">
        <f t="shared" ca="1" si="136"/>
        <v>0.14106067715703052</v>
      </c>
      <c r="O765" s="15">
        <f t="shared" ca="1" si="145"/>
        <v>0.26493552693577171</v>
      </c>
      <c r="P765" s="15">
        <f t="shared" ca="1" si="144"/>
        <v>0.26493552147060062</v>
      </c>
      <c r="Q765" s="15">
        <v>0</v>
      </c>
      <c r="R765" s="15">
        <f t="shared" ca="1" si="137"/>
        <v>0.26493552147060062</v>
      </c>
      <c r="S765" s="15">
        <f t="shared" ca="1" si="146"/>
        <v>0.85111010666383435</v>
      </c>
      <c r="T765" s="15">
        <f t="shared" ca="1" si="138"/>
        <v>7.8292297074389079E-3</v>
      </c>
      <c r="U765" s="15">
        <f t="shared" ca="1" si="139"/>
        <v>0.85893933637127329</v>
      </c>
      <c r="V765" s="15">
        <f t="shared" ca="1" si="140"/>
        <v>0.85893932284296948</v>
      </c>
      <c r="X765" s="15">
        <f t="shared" si="141"/>
        <v>1.05</v>
      </c>
      <c r="Y765" s="15">
        <f t="shared" si="142"/>
        <v>0.95</v>
      </c>
      <c r="Z765" s="15">
        <f t="shared" ca="1" si="143"/>
        <v>0</v>
      </c>
    </row>
    <row r="766" spans="12:26" x14ac:dyDescent="0.3">
      <c r="L766" s="15">
        <v>764</v>
      </c>
      <c r="M766" s="15">
        <f t="shared" si="135"/>
        <v>1</v>
      </c>
      <c r="N766" s="15">
        <f t="shared" ca="1" si="136"/>
        <v>0.13684364853818987</v>
      </c>
      <c r="O766" s="15">
        <f t="shared" ca="1" si="145"/>
        <v>0.26493552693577171</v>
      </c>
      <c r="P766" s="15">
        <f t="shared" ca="1" si="144"/>
        <v>0.26493552147060062</v>
      </c>
      <c r="Q766" s="15">
        <v>0</v>
      </c>
      <c r="R766" s="15">
        <f t="shared" ca="1" si="137"/>
        <v>0.26493552147060062</v>
      </c>
      <c r="S766" s="15">
        <f t="shared" ca="1" si="146"/>
        <v>0.85787608393240677</v>
      </c>
      <c r="T766" s="15">
        <f t="shared" ca="1" si="138"/>
        <v>5.2802898515477703E-3</v>
      </c>
      <c r="U766" s="15">
        <f t="shared" ca="1" si="139"/>
        <v>0.86315637378395449</v>
      </c>
      <c r="V766" s="15">
        <f ca="1">INT((2^$J$12-1)*U766/100)/(2^$J$12-1)*100</f>
        <v>0.86315635146181013</v>
      </c>
      <c r="X766" s="15">
        <f t="shared" si="141"/>
        <v>1.05</v>
      </c>
      <c r="Y766" s="15">
        <f t="shared" si="142"/>
        <v>0.95</v>
      </c>
      <c r="Z766" s="15">
        <f t="shared" ca="1" si="143"/>
        <v>0</v>
      </c>
    </row>
    <row r="767" spans="12:26" x14ac:dyDescent="0.3">
      <c r="L767" s="15">
        <v>765</v>
      </c>
      <c r="M767" s="15">
        <f t="shared" si="135"/>
        <v>1</v>
      </c>
      <c r="N767" s="15">
        <f t="shared" ca="1" si="136"/>
        <v>0.12957297617792463</v>
      </c>
      <c r="O767" s="15">
        <f t="shared" ca="1" si="145"/>
        <v>0.25531082346206657</v>
      </c>
      <c r="P767" s="15">
        <f t="shared" ca="1" si="144"/>
        <v>0.25531081488712482</v>
      </c>
      <c r="Q767" s="15">
        <v>0</v>
      </c>
      <c r="R767" s="15">
        <f t="shared" ca="1" si="137"/>
        <v>0.25531081488712482</v>
      </c>
      <c r="S767" s="15">
        <f t="shared" ca="1" si="146"/>
        <v>0.86452059480949028</v>
      </c>
      <c r="T767" s="15">
        <f t="shared" ca="1" si="138"/>
        <v>5.9064449769904576E-3</v>
      </c>
      <c r="U767" s="15">
        <f t="shared" ca="1" si="139"/>
        <v>0.87042703978648073</v>
      </c>
      <c r="V767" s="15">
        <f t="shared" ca="1" si="140"/>
        <v>0.87042702382207537</v>
      </c>
      <c r="X767" s="15">
        <f t="shared" si="141"/>
        <v>1.05</v>
      </c>
      <c r="Y767" s="15">
        <f t="shared" si="142"/>
        <v>0.95</v>
      </c>
      <c r="Z767" s="15">
        <f t="shared" ca="1" si="143"/>
        <v>0</v>
      </c>
    </row>
    <row r="768" spans="12:26" x14ac:dyDescent="0.3">
      <c r="L768" s="15">
        <v>766</v>
      </c>
      <c r="M768" s="15">
        <f t="shared" si="135"/>
        <v>1</v>
      </c>
      <c r="N768" s="15">
        <f t="shared" ca="1" si="136"/>
        <v>0.12683395648534268</v>
      </c>
      <c r="O768" s="15">
        <f t="shared" ca="1" si="145"/>
        <v>0.25531082346206657</v>
      </c>
      <c r="P768" s="15">
        <f t="shared" ca="1" si="144"/>
        <v>0.25531081488712482</v>
      </c>
      <c r="Q768" s="15">
        <v>0</v>
      </c>
      <c r="R768" s="15">
        <f t="shared" ca="1" si="137"/>
        <v>0.25531081488712482</v>
      </c>
      <c r="S768" s="15">
        <f t="shared" ca="1" si="146"/>
        <v>0.87101871061264713</v>
      </c>
      <c r="T768" s="15">
        <f t="shared" ca="1" si="138"/>
        <v>2.1473490111766956E-3</v>
      </c>
      <c r="U768" s="15">
        <f t="shared" ca="1" si="139"/>
        <v>0.87316605962382388</v>
      </c>
      <c r="V768" s="15">
        <f t="shared" ca="1" si="140"/>
        <v>0.87316604351465732</v>
      </c>
      <c r="X768" s="15">
        <f t="shared" si="141"/>
        <v>1.05</v>
      </c>
      <c r="Y768" s="15">
        <f t="shared" si="142"/>
        <v>0.95</v>
      </c>
      <c r="Z768" s="15">
        <f t="shared" ca="1" si="143"/>
        <v>0</v>
      </c>
    </row>
    <row r="769" spans="12:26" x14ac:dyDescent="0.3">
      <c r="L769" s="15">
        <v>767</v>
      </c>
      <c r="M769" s="15">
        <f t="shared" si="135"/>
        <v>1</v>
      </c>
      <c r="N769" s="15">
        <f t="shared" ca="1" si="136"/>
        <v>0.11732051966649504</v>
      </c>
      <c r="O769" s="15">
        <f t="shared" ca="1" si="145"/>
        <v>0.25531082346206657</v>
      </c>
      <c r="P769" s="15">
        <f t="shared" ca="1" si="144"/>
        <v>0.25531081488712482</v>
      </c>
      <c r="Q769" s="15">
        <v>0</v>
      </c>
      <c r="R769" s="15">
        <f t="shared" ca="1" si="137"/>
        <v>0.25531081488712482</v>
      </c>
      <c r="S769" s="15">
        <f t="shared" ca="1" si="146"/>
        <v>0.8773615296705416</v>
      </c>
      <c r="T769" s="15">
        <f t="shared" ca="1" si="138"/>
        <v>5.3179583697440759E-3</v>
      </c>
      <c r="U769" s="15">
        <f t="shared" ca="1" si="139"/>
        <v>0.88267948804028562</v>
      </c>
      <c r="V769" s="15">
        <f t="shared" ca="1" si="140"/>
        <v>0.88267948033350496</v>
      </c>
      <c r="X769" s="15">
        <f t="shared" si="141"/>
        <v>1.05</v>
      </c>
      <c r="Y769" s="15">
        <f t="shared" si="142"/>
        <v>0.95</v>
      </c>
      <c r="Z769" s="15">
        <f t="shared" ca="1" si="143"/>
        <v>0</v>
      </c>
    </row>
    <row r="770" spans="12:26" x14ac:dyDescent="0.3">
      <c r="L770" s="15">
        <v>768</v>
      </c>
      <c r="M770" s="15">
        <f t="shared" si="135"/>
        <v>1</v>
      </c>
      <c r="N770" s="15">
        <f t="shared" ca="1" si="136"/>
        <v>0.11104827167257858</v>
      </c>
      <c r="O770" s="15">
        <f t="shared" ca="1" si="145"/>
        <v>0.2588064780223206</v>
      </c>
      <c r="P770" s="15">
        <f t="shared" ca="1" si="144"/>
        <v>0.25880646432256477</v>
      </c>
      <c r="Q770" s="15">
        <v>0</v>
      </c>
      <c r="R770" s="15">
        <f t="shared" ca="1" si="137"/>
        <v>0.25880646432256477</v>
      </c>
      <c r="S770" s="15">
        <f t="shared" ca="1" si="146"/>
        <v>0.88351037665580567</v>
      </c>
      <c r="T770" s="15">
        <f t="shared" ca="1" si="138"/>
        <v>5.4413676460878203E-3</v>
      </c>
      <c r="U770" s="15">
        <f t="shared" ca="1" si="139"/>
        <v>0.8889517443018935</v>
      </c>
      <c r="V770" s="15">
        <f t="shared" ca="1" si="140"/>
        <v>0.88895172832742142</v>
      </c>
      <c r="X770" s="15">
        <f t="shared" si="141"/>
        <v>1.05</v>
      </c>
      <c r="Y770" s="15">
        <f t="shared" si="142"/>
        <v>0.95</v>
      </c>
      <c r="Z770" s="15">
        <f t="shared" ca="1" si="143"/>
        <v>0</v>
      </c>
    </row>
    <row r="771" spans="12:26" x14ac:dyDescent="0.3">
      <c r="L771" s="15">
        <v>769</v>
      </c>
      <c r="M771" s="15">
        <f t="shared" ref="M771:M834" si="147">IF(L771&lt;$D$16,$D$13,IF(L771&lt;$E$16,$E$13,$F$13))</f>
        <v>1</v>
      </c>
      <c r="N771" s="15">
        <f t="shared" ref="N771:N834" ca="1" si="148">M771-V771</f>
        <v>0.10163453293536662</v>
      </c>
      <c r="O771" s="15">
        <f t="shared" ca="1" si="145"/>
        <v>0.2588064780223206</v>
      </c>
      <c r="P771" s="15">
        <f t="shared" ca="1" si="144"/>
        <v>0.25880646432256477</v>
      </c>
      <c r="Q771" s="15">
        <v>0</v>
      </c>
      <c r="R771" s="15">
        <f t="shared" ref="R771:R834" ca="1" si="149">P771+Q771</f>
        <v>0.25880646432256477</v>
      </c>
      <c r="S771" s="15">
        <f t="shared" ca="1" si="146"/>
        <v>0.88943370223171847</v>
      </c>
      <c r="T771" s="15">
        <f t="shared" ref="T771:T834" ca="1" si="150">RAND()*$G$12</f>
        <v>8.9317776914963811E-3</v>
      </c>
      <c r="U771" s="15">
        <f t="shared" ref="U771:U834" ca="1" si="151">S771+T771</f>
        <v>0.8983654799232148</v>
      </c>
      <c r="V771" s="15">
        <f t="shared" ref="V771:V834" ca="1" si="152">INT((2^$J$12-1)*U771/100)/(2^$J$12-1)*100</f>
        <v>0.89836546706463338</v>
      </c>
      <c r="X771" s="15">
        <f t="shared" ref="X771:X834" si="153">M771 * 1.05</f>
        <v>1.05</v>
      </c>
      <c r="Y771" s="15">
        <f t="shared" ref="Y771:Y834" si="154">M771 * 0.95</f>
        <v>0.95</v>
      </c>
      <c r="Z771" s="15">
        <f t="shared" ref="Z771:Z834" ca="1" si="155">IF(AND(V771 &lt;= X771, V771 &gt;= Y771), 1, 0)</f>
        <v>0</v>
      </c>
    </row>
    <row r="772" spans="12:26" x14ac:dyDescent="0.3">
      <c r="L772" s="15">
        <v>770</v>
      </c>
      <c r="M772" s="15">
        <f t="shared" si="147"/>
        <v>1</v>
      </c>
      <c r="N772" s="15">
        <f t="shared" ca="1" si="148"/>
        <v>0.10440067739794046</v>
      </c>
      <c r="O772" s="15">
        <f t="shared" ca="1" si="145"/>
        <v>0.2588064780223206</v>
      </c>
      <c r="P772" s="15">
        <f t="shared" ca="1" si="144"/>
        <v>0.25880646432256477</v>
      </c>
      <c r="Q772" s="15">
        <v>0</v>
      </c>
      <c r="R772" s="15">
        <f t="shared" ca="1" si="149"/>
        <v>0.25880646432256477</v>
      </c>
      <c r="S772" s="15">
        <f t="shared" ca="1" si="146"/>
        <v>0.89513507985960605</v>
      </c>
      <c r="T772" s="15">
        <f t="shared" ca="1" si="150"/>
        <v>4.6425237786847594E-4</v>
      </c>
      <c r="U772" s="15">
        <f t="shared" ca="1" si="151"/>
        <v>0.89559933223747457</v>
      </c>
      <c r="V772" s="15">
        <f t="shared" ca="1" si="152"/>
        <v>0.89559932260205954</v>
      </c>
      <c r="X772" s="15">
        <f t="shared" si="153"/>
        <v>1.05</v>
      </c>
      <c r="Y772" s="15">
        <f t="shared" si="154"/>
        <v>0.95</v>
      </c>
      <c r="Z772" s="15">
        <f t="shared" ca="1" si="155"/>
        <v>0</v>
      </c>
    </row>
    <row r="773" spans="12:26" x14ac:dyDescent="0.3">
      <c r="L773" s="15">
        <v>771</v>
      </c>
      <c r="M773" s="15">
        <f t="shared" si="147"/>
        <v>1</v>
      </c>
      <c r="N773" s="15">
        <f t="shared" ca="1" si="148"/>
        <v>9.2208896552261055E-2</v>
      </c>
      <c r="O773" s="15">
        <f t="shared" ca="1" si="145"/>
        <v>0.25722220396516082</v>
      </c>
      <c r="P773" s="15">
        <f t="shared" ca="1" si="144"/>
        <v>0.2572221914905175</v>
      </c>
      <c r="Q773" s="15">
        <v>0</v>
      </c>
      <c r="R773" s="15">
        <f t="shared" ca="1" si="149"/>
        <v>0.2572221914905175</v>
      </c>
      <c r="S773" s="15">
        <f t="shared" ca="1" si="146"/>
        <v>0.90063383759451066</v>
      </c>
      <c r="T773" s="15">
        <f t="shared" ca="1" si="150"/>
        <v>7.1572765080606558E-3</v>
      </c>
      <c r="U773" s="15">
        <f t="shared" ca="1" si="151"/>
        <v>0.90779111410257129</v>
      </c>
      <c r="V773" s="15">
        <f t="shared" ca="1" si="152"/>
        <v>0.90779110344773895</v>
      </c>
      <c r="X773" s="15">
        <f t="shared" si="153"/>
        <v>1.05</v>
      </c>
      <c r="Y773" s="15">
        <f t="shared" si="154"/>
        <v>0.95</v>
      </c>
      <c r="Z773" s="15">
        <f t="shared" ca="1" si="155"/>
        <v>0</v>
      </c>
    </row>
    <row r="774" spans="12:26" x14ac:dyDescent="0.3">
      <c r="L774" s="15">
        <v>772</v>
      </c>
      <c r="M774" s="15">
        <f t="shared" si="147"/>
        <v>1</v>
      </c>
      <c r="N774" s="15">
        <f t="shared" ca="1" si="148"/>
        <v>8.819014650960233E-2</v>
      </c>
      <c r="O774" s="15">
        <f t="shared" ca="1" si="145"/>
        <v>0.25722220396516082</v>
      </c>
      <c r="P774" s="15">
        <f t="shared" ca="1" si="144"/>
        <v>0.2572221914905175</v>
      </c>
      <c r="Q774" s="15">
        <v>0</v>
      </c>
      <c r="R774" s="15">
        <f t="shared" ca="1" si="149"/>
        <v>0.2572221914905175</v>
      </c>
      <c r="S774" s="15">
        <f t="shared" ca="1" si="146"/>
        <v>0.90594703152977341</v>
      </c>
      <c r="T774" s="15">
        <f t="shared" ca="1" si="150"/>
        <v>5.8628264080894544E-3</v>
      </c>
      <c r="U774" s="15">
        <f t="shared" ca="1" si="151"/>
        <v>0.91180985793786284</v>
      </c>
      <c r="V774" s="15">
        <f t="shared" ca="1" si="152"/>
        <v>0.91180985349039767</v>
      </c>
      <c r="X774" s="15">
        <f t="shared" si="153"/>
        <v>1.05</v>
      </c>
      <c r="Y774" s="15">
        <f t="shared" si="154"/>
        <v>0.95</v>
      </c>
      <c r="Z774" s="15">
        <f t="shared" ca="1" si="155"/>
        <v>0</v>
      </c>
    </row>
    <row r="775" spans="12:26" x14ac:dyDescent="0.3">
      <c r="L775" s="15">
        <v>773</v>
      </c>
      <c r="M775" s="15">
        <f t="shared" si="147"/>
        <v>1</v>
      </c>
      <c r="N775" s="15">
        <f t="shared" ca="1" si="148"/>
        <v>8.2715739282480438E-2</v>
      </c>
      <c r="O775" s="15">
        <f t="shared" ca="1" si="145"/>
        <v>0.25722220396516082</v>
      </c>
      <c r="P775" s="15">
        <f t="shared" ca="1" si="144"/>
        <v>0.2572221914905175</v>
      </c>
      <c r="Q775" s="15">
        <v>0</v>
      </c>
      <c r="R775" s="15">
        <f t="shared" ca="1" si="149"/>
        <v>0.2572221914905175</v>
      </c>
      <c r="S775" s="15">
        <f t="shared" ca="1" si="146"/>
        <v>0.9110757436802962</v>
      </c>
      <c r="T775" s="15">
        <f t="shared" ca="1" si="150"/>
        <v>6.2085296721067296E-3</v>
      </c>
      <c r="U775" s="15">
        <f t="shared" ca="1" si="151"/>
        <v>0.91728427335240292</v>
      </c>
      <c r="V775" s="15">
        <f t="shared" ca="1" si="152"/>
        <v>0.91728426071751956</v>
      </c>
      <c r="X775" s="15">
        <f t="shared" si="153"/>
        <v>1.05</v>
      </c>
      <c r="Y775" s="15">
        <f t="shared" si="154"/>
        <v>0.95</v>
      </c>
      <c r="Z775" s="15">
        <f t="shared" ca="1" si="155"/>
        <v>0</v>
      </c>
    </row>
    <row r="776" spans="12:26" x14ac:dyDescent="0.3">
      <c r="L776" s="15">
        <v>774</v>
      </c>
      <c r="M776" s="15">
        <f t="shared" si="147"/>
        <v>1</v>
      </c>
      <c r="N776" s="15">
        <f t="shared" ca="1" si="148"/>
        <v>7.6483282045573753E-2</v>
      </c>
      <c r="O776" s="15">
        <f t="shared" ca="1" si="145"/>
        <v>0.257916100202914</v>
      </c>
      <c r="P776" s="15">
        <f t="shared" ca="1" si="144"/>
        <v>0.25791609665796073</v>
      </c>
      <c r="Q776" s="15">
        <v>0</v>
      </c>
      <c r="R776" s="15">
        <f t="shared" ca="1" si="149"/>
        <v>0.25791609665796073</v>
      </c>
      <c r="S776" s="15">
        <f t="shared" ca="1" si="146"/>
        <v>0.91604955507682617</v>
      </c>
      <c r="T776" s="15">
        <f t="shared" ca="1" si="150"/>
        <v>7.4671737504603411E-3</v>
      </c>
      <c r="U776" s="15">
        <f t="shared" ca="1" si="151"/>
        <v>0.92351672882728653</v>
      </c>
      <c r="V776" s="15">
        <f t="shared" ca="1" si="152"/>
        <v>0.92351671795442625</v>
      </c>
      <c r="X776" s="15">
        <f t="shared" si="153"/>
        <v>1.05</v>
      </c>
      <c r="Y776" s="15">
        <f t="shared" si="154"/>
        <v>0.95</v>
      </c>
      <c r="Z776" s="15">
        <f t="shared" ca="1" si="155"/>
        <v>0</v>
      </c>
    </row>
    <row r="777" spans="12:26" x14ac:dyDescent="0.3">
      <c r="L777" s="15">
        <v>775</v>
      </c>
      <c r="M777" s="15">
        <f t="shared" si="147"/>
        <v>1</v>
      </c>
      <c r="N777" s="15">
        <f t="shared" ca="1" si="148"/>
        <v>7.4303963937401796E-2</v>
      </c>
      <c r="O777" s="15">
        <f t="shared" ca="1" si="145"/>
        <v>0.257916100202914</v>
      </c>
      <c r="P777" s="15">
        <f t="shared" ca="1" si="144"/>
        <v>0.25791609665796073</v>
      </c>
      <c r="Q777" s="15">
        <v>0</v>
      </c>
      <c r="R777" s="15">
        <f t="shared" ca="1" si="149"/>
        <v>0.25791609665796073</v>
      </c>
      <c r="S777" s="15">
        <f t="shared" ca="1" si="146"/>
        <v>0.9208937146359506</v>
      </c>
      <c r="T777" s="15">
        <f t="shared" ca="1" si="150"/>
        <v>4.8023219552268204E-3</v>
      </c>
      <c r="U777" s="15">
        <f t="shared" ca="1" si="151"/>
        <v>0.92569603659117738</v>
      </c>
      <c r="V777" s="15">
        <f t="shared" ca="1" si="152"/>
        <v>0.9256960360625982</v>
      </c>
      <c r="X777" s="15">
        <f t="shared" si="153"/>
        <v>1.05</v>
      </c>
      <c r="Y777" s="15">
        <f t="shared" si="154"/>
        <v>0.95</v>
      </c>
      <c r="Z777" s="15">
        <f t="shared" ca="1" si="155"/>
        <v>0</v>
      </c>
    </row>
    <row r="778" spans="12:26" x14ac:dyDescent="0.3">
      <c r="L778" s="15">
        <v>776</v>
      </c>
      <c r="M778" s="15">
        <f t="shared" si="147"/>
        <v>1</v>
      </c>
      <c r="N778" s="15">
        <f t="shared" ca="1" si="148"/>
        <v>6.8667343600808395E-2</v>
      </c>
      <c r="O778" s="15">
        <f t="shared" ca="1" si="145"/>
        <v>0.257916100202914</v>
      </c>
      <c r="P778" s="15">
        <f t="shared" ca="1" si="144"/>
        <v>0.25791609665796073</v>
      </c>
      <c r="Q778" s="15">
        <v>0</v>
      </c>
      <c r="R778" s="15">
        <f t="shared" ca="1" si="149"/>
        <v>0.25791609665796073</v>
      </c>
      <c r="S778" s="15">
        <f t="shared" ca="1" si="146"/>
        <v>0.92560419095528013</v>
      </c>
      <c r="T778" s="15">
        <f t="shared" ca="1" si="150"/>
        <v>5.7284672801692881E-3</v>
      </c>
      <c r="U778" s="15">
        <f t="shared" ca="1" si="151"/>
        <v>0.93133265823544942</v>
      </c>
      <c r="V778" s="15">
        <f t="shared" ca="1" si="152"/>
        <v>0.93133265639919161</v>
      </c>
      <c r="X778" s="15">
        <f t="shared" si="153"/>
        <v>1.05</v>
      </c>
      <c r="Y778" s="15">
        <f t="shared" si="154"/>
        <v>0.95</v>
      </c>
      <c r="Z778" s="15">
        <f t="shared" ca="1" si="155"/>
        <v>0</v>
      </c>
    </row>
    <row r="779" spans="12:26" x14ac:dyDescent="0.3">
      <c r="L779" s="15">
        <v>777</v>
      </c>
      <c r="M779" s="15">
        <f t="shared" si="147"/>
        <v>1</v>
      </c>
      <c r="N779" s="15">
        <f t="shared" ca="1" si="148"/>
        <v>6.5554328045238308E-2</v>
      </c>
      <c r="O779" s="15">
        <f t="shared" ca="1" si="145"/>
        <v>0.26022143586755636</v>
      </c>
      <c r="P779" s="15">
        <f t="shared" ca="1" si="144"/>
        <v>0.26022142271050752</v>
      </c>
      <c r="Q779" s="15">
        <v>0</v>
      </c>
      <c r="R779" s="15">
        <f t="shared" ca="1" si="149"/>
        <v>0.26022142271050752</v>
      </c>
      <c r="S779" s="15">
        <f t="shared" ca="1" si="146"/>
        <v>0.93017055982535213</v>
      </c>
      <c r="T779" s="15">
        <f t="shared" ca="1" si="150"/>
        <v>4.2751263530794118E-3</v>
      </c>
      <c r="U779" s="15">
        <f t="shared" ca="1" si="151"/>
        <v>0.93444568617843149</v>
      </c>
      <c r="V779" s="15">
        <f t="shared" ca="1" si="152"/>
        <v>0.93444567195476169</v>
      </c>
      <c r="X779" s="15">
        <f t="shared" si="153"/>
        <v>1.05</v>
      </c>
      <c r="Y779" s="15">
        <f t="shared" si="154"/>
        <v>0.95</v>
      </c>
      <c r="Z779" s="15">
        <f t="shared" ca="1" si="155"/>
        <v>0</v>
      </c>
    </row>
    <row r="780" spans="12:26" x14ac:dyDescent="0.3">
      <c r="L780" s="15">
        <v>778</v>
      </c>
      <c r="M780" s="15">
        <f t="shared" si="147"/>
        <v>1</v>
      </c>
      <c r="N780" s="15">
        <f t="shared" ca="1" si="148"/>
        <v>5.9839430046230491E-2</v>
      </c>
      <c r="O780" s="15">
        <f t="shared" ca="1" si="145"/>
        <v>0.26022143586755636</v>
      </c>
      <c r="P780" s="15">
        <f t="shared" ca="1" si="144"/>
        <v>0.26022142271050752</v>
      </c>
      <c r="Q780" s="15">
        <v>0</v>
      </c>
      <c r="R780" s="15">
        <f t="shared" ca="1" si="149"/>
        <v>0.26022142271050752</v>
      </c>
      <c r="S780" s="15">
        <f t="shared" ca="1" si="146"/>
        <v>0.93458466024327735</v>
      </c>
      <c r="T780" s="15">
        <f t="shared" ca="1" si="150"/>
        <v>5.575926608811798E-3</v>
      </c>
      <c r="U780" s="15">
        <f t="shared" ca="1" si="151"/>
        <v>0.94016058685208914</v>
      </c>
      <c r="V780" s="15">
        <f t="shared" ca="1" si="152"/>
        <v>0.94016056995376951</v>
      </c>
      <c r="X780" s="15">
        <f t="shared" si="153"/>
        <v>1.05</v>
      </c>
      <c r="Y780" s="15">
        <f t="shared" si="154"/>
        <v>0.95</v>
      </c>
      <c r="Z780" s="15">
        <f t="shared" ca="1" si="155"/>
        <v>0</v>
      </c>
    </row>
    <row r="781" spans="12:26" x14ac:dyDescent="0.3">
      <c r="L781" s="15">
        <v>779</v>
      </c>
      <c r="M781" s="15">
        <f t="shared" si="147"/>
        <v>1</v>
      </c>
      <c r="N781" s="15">
        <f t="shared" ca="1" si="148"/>
        <v>5.6083848480154685E-2</v>
      </c>
      <c r="O781" s="15">
        <f t="shared" ca="1" si="145"/>
        <v>0.26022143586755636</v>
      </c>
      <c r="P781" s="15">
        <f t="shared" ref="P781:P844" ca="1" si="156">INT((2^$J$12-1)*O781/100)/(2^$J$12-1)*100</f>
        <v>0.26022142271050752</v>
      </c>
      <c r="Q781" s="15">
        <v>0</v>
      </c>
      <c r="R781" s="15">
        <f t="shared" ca="1" si="149"/>
        <v>0.26022142271050752</v>
      </c>
      <c r="S781" s="15">
        <f t="shared" ca="1" si="146"/>
        <v>0.93884715065583768</v>
      </c>
      <c r="T781" s="15">
        <f t="shared" ca="1" si="150"/>
        <v>5.0690112350387498E-3</v>
      </c>
      <c r="U781" s="15">
        <f t="shared" ca="1" si="151"/>
        <v>0.94391616189087646</v>
      </c>
      <c r="V781" s="15">
        <f t="shared" ca="1" si="152"/>
        <v>0.94391615151984531</v>
      </c>
      <c r="X781" s="15">
        <f t="shared" si="153"/>
        <v>1.05</v>
      </c>
      <c r="Y781" s="15">
        <f t="shared" si="154"/>
        <v>0.95</v>
      </c>
      <c r="Z781" s="15">
        <f t="shared" ca="1" si="155"/>
        <v>0</v>
      </c>
    </row>
    <row r="782" spans="12:26" x14ac:dyDescent="0.3">
      <c r="L782" s="15">
        <v>780</v>
      </c>
      <c r="M782" s="15">
        <f t="shared" si="147"/>
        <v>1</v>
      </c>
      <c r="N782" s="15">
        <f t="shared" ca="1" si="148"/>
        <v>5.3214932571448159E-2</v>
      </c>
      <c r="O782" s="15">
        <f t="shared" ca="1" si="145"/>
        <v>0.25832017799334694</v>
      </c>
      <c r="P782" s="15">
        <f t="shared" ca="1" si="156"/>
        <v>0.25832017424011605</v>
      </c>
      <c r="Q782" s="15">
        <v>0</v>
      </c>
      <c r="R782" s="15">
        <f t="shared" ca="1" si="149"/>
        <v>0.25832017424011605</v>
      </c>
      <c r="S782" s="15">
        <f t="shared" ca="1" si="146"/>
        <v>0.94297231035582407</v>
      </c>
      <c r="T782" s="15">
        <f t="shared" ca="1" si="150"/>
        <v>3.8127622009421257E-3</v>
      </c>
      <c r="U782" s="15">
        <f t="shared" ca="1" si="151"/>
        <v>0.94678507255676625</v>
      </c>
      <c r="V782" s="15">
        <f t="shared" ca="1" si="152"/>
        <v>0.94678506742855184</v>
      </c>
      <c r="X782" s="15">
        <f t="shared" si="153"/>
        <v>1.05</v>
      </c>
      <c r="Y782" s="15">
        <f t="shared" si="154"/>
        <v>0.95</v>
      </c>
      <c r="Z782" s="15">
        <f t="shared" ca="1" si="155"/>
        <v>0</v>
      </c>
    </row>
    <row r="783" spans="12:26" x14ac:dyDescent="0.3">
      <c r="L783" s="15">
        <v>781</v>
      </c>
      <c r="M783" s="15">
        <f t="shared" si="147"/>
        <v>1</v>
      </c>
      <c r="N783" s="15">
        <f t="shared" ca="1" si="148"/>
        <v>4.6833882817727046E-2</v>
      </c>
      <c r="O783" s="15">
        <f t="shared" ca="1" si="145"/>
        <v>0.25832017799334694</v>
      </c>
      <c r="P783" s="15">
        <f t="shared" ca="1" si="156"/>
        <v>0.25832017424011605</v>
      </c>
      <c r="Q783" s="15">
        <v>0</v>
      </c>
      <c r="R783" s="15">
        <f t="shared" ca="1" si="149"/>
        <v>0.25832017424011605</v>
      </c>
      <c r="S783" s="15">
        <f t="shared" ca="1" si="146"/>
        <v>0.94697260900451763</v>
      </c>
      <c r="T783" s="15">
        <f t="shared" ca="1" si="150"/>
        <v>6.1935130028351474E-3</v>
      </c>
      <c r="U783" s="15">
        <f t="shared" ca="1" si="151"/>
        <v>0.95316612200735273</v>
      </c>
      <c r="V783" s="15">
        <f t="shared" ca="1" si="152"/>
        <v>0.95316611718227295</v>
      </c>
      <c r="X783" s="15">
        <f t="shared" si="153"/>
        <v>1.05</v>
      </c>
      <c r="Y783" s="15">
        <f t="shared" si="154"/>
        <v>0.95</v>
      </c>
      <c r="Z783" s="15">
        <f t="shared" ca="1" si="155"/>
        <v>1</v>
      </c>
    </row>
    <row r="784" spans="12:26" x14ac:dyDescent="0.3">
      <c r="L784" s="15">
        <v>782</v>
      </c>
      <c r="M784" s="15">
        <f t="shared" si="147"/>
        <v>1</v>
      </c>
      <c r="N784" s="15">
        <f t="shared" ca="1" si="148"/>
        <v>4.7383246721556138E-2</v>
      </c>
      <c r="O784" s="15">
        <f t="shared" ca="1" si="145"/>
        <v>0.25832017799334694</v>
      </c>
      <c r="P784" s="15">
        <f t="shared" ca="1" si="156"/>
        <v>0.25832017424011605</v>
      </c>
      <c r="Q784" s="15">
        <v>0</v>
      </c>
      <c r="R784" s="15">
        <f t="shared" ca="1" si="149"/>
        <v>0.25832017424011605</v>
      </c>
      <c r="S784" s="15">
        <f t="shared" ca="1" si="146"/>
        <v>0.95084697627873294</v>
      </c>
      <c r="T784" s="15">
        <f t="shared" ca="1" si="150"/>
        <v>1.7697835819089514E-3</v>
      </c>
      <c r="U784" s="15">
        <f t="shared" ca="1" si="151"/>
        <v>0.95261675986064187</v>
      </c>
      <c r="V784" s="15">
        <f t="shared" ca="1" si="152"/>
        <v>0.95261675327844386</v>
      </c>
      <c r="X784" s="15">
        <f t="shared" si="153"/>
        <v>1.05</v>
      </c>
      <c r="Y784" s="15">
        <f t="shared" si="154"/>
        <v>0.95</v>
      </c>
      <c r="Z784" s="15">
        <f t="shared" ca="1" si="155"/>
        <v>1</v>
      </c>
    </row>
    <row r="785" spans="12:26" x14ac:dyDescent="0.3">
      <c r="L785" s="15">
        <v>783</v>
      </c>
      <c r="M785" s="15">
        <f t="shared" si="147"/>
        <v>1</v>
      </c>
      <c r="N785" s="15">
        <f t="shared" ca="1" si="148"/>
        <v>3.7020024619302649E-2</v>
      </c>
      <c r="O785" s="15">
        <f t="shared" ca="1" si="145"/>
        <v>0.25397773029100218</v>
      </c>
      <c r="P785" s="15">
        <f t="shared" ca="1" si="156"/>
        <v>0.2539777197535098</v>
      </c>
      <c r="Q785" s="15">
        <v>0</v>
      </c>
      <c r="R785" s="15">
        <f t="shared" ca="1" si="149"/>
        <v>0.2539777197535098</v>
      </c>
      <c r="S785" s="15">
        <f t="shared" ca="1" si="146"/>
        <v>0.95464364610475572</v>
      </c>
      <c r="T785" s="15">
        <f t="shared" ca="1" si="150"/>
        <v>8.3363385465052165E-3</v>
      </c>
      <c r="U785" s="15">
        <f t="shared" ca="1" si="151"/>
        <v>0.96297998465126089</v>
      </c>
      <c r="V785" s="15">
        <f t="shared" ca="1" si="152"/>
        <v>0.96297997538069735</v>
      </c>
      <c r="X785" s="15">
        <f t="shared" si="153"/>
        <v>1.05</v>
      </c>
      <c r="Y785" s="15">
        <f t="shared" si="154"/>
        <v>0.95</v>
      </c>
      <c r="Z785" s="15">
        <f t="shared" ca="1" si="155"/>
        <v>1</v>
      </c>
    </row>
    <row r="786" spans="12:26" x14ac:dyDescent="0.3">
      <c r="L786" s="15">
        <v>784</v>
      </c>
      <c r="M786" s="15">
        <f t="shared" si="147"/>
        <v>1</v>
      </c>
      <c r="N786" s="15">
        <f t="shared" ca="1" si="148"/>
        <v>3.518692567832471E-2</v>
      </c>
      <c r="O786" s="15">
        <f t="shared" ca="1" si="145"/>
        <v>0.25397773029100218</v>
      </c>
      <c r="P786" s="15">
        <f t="shared" ca="1" si="156"/>
        <v>0.2539777197535098</v>
      </c>
      <c r="Q786" s="15">
        <v>0</v>
      </c>
      <c r="R786" s="15">
        <f t="shared" ca="1" si="149"/>
        <v>0.2539777197535098</v>
      </c>
      <c r="S786" s="15">
        <f t="shared" ca="1" si="146"/>
        <v>0.95840290671381212</v>
      </c>
      <c r="T786" s="15">
        <f t="shared" ca="1" si="150"/>
        <v>6.4101811897306262E-3</v>
      </c>
      <c r="U786" s="15">
        <f t="shared" ca="1" si="151"/>
        <v>0.9648130879035427</v>
      </c>
      <c r="V786" s="15">
        <f t="shared" ca="1" si="152"/>
        <v>0.96481307432167529</v>
      </c>
      <c r="X786" s="15">
        <f t="shared" si="153"/>
        <v>1.05</v>
      </c>
      <c r="Y786" s="15">
        <f t="shared" si="154"/>
        <v>0.95</v>
      </c>
      <c r="Z786" s="15">
        <f t="shared" ca="1" si="155"/>
        <v>1</v>
      </c>
    </row>
    <row r="787" spans="12:26" x14ac:dyDescent="0.3">
      <c r="L787" s="15">
        <v>785</v>
      </c>
      <c r="M787" s="15">
        <f t="shared" si="147"/>
        <v>1</v>
      </c>
      <c r="N787" s="15">
        <f t="shared" ca="1" si="148"/>
        <v>3.2470211161409912E-2</v>
      </c>
      <c r="O787" s="15">
        <f t="shared" ca="1" si="145"/>
        <v>0.25397773029100218</v>
      </c>
      <c r="P787" s="15">
        <f t="shared" ca="1" si="156"/>
        <v>0.2539777197535098</v>
      </c>
      <c r="Q787" s="15">
        <v>0</v>
      </c>
      <c r="R787" s="15">
        <f t="shared" ca="1" si="149"/>
        <v>0.2539777197535098</v>
      </c>
      <c r="S787" s="15">
        <f t="shared" ca="1" si="146"/>
        <v>0.96211360647919497</v>
      </c>
      <c r="T787" s="15">
        <f t="shared" ca="1" si="150"/>
        <v>5.4162005329607913E-3</v>
      </c>
      <c r="U787" s="15">
        <f t="shared" ca="1" si="151"/>
        <v>0.96752980701215574</v>
      </c>
      <c r="V787" s="15">
        <f t="shared" ca="1" si="152"/>
        <v>0.96752978883859009</v>
      </c>
      <c r="X787" s="15">
        <f t="shared" si="153"/>
        <v>1.05</v>
      </c>
      <c r="Y787" s="15">
        <f t="shared" si="154"/>
        <v>0.95</v>
      </c>
      <c r="Z787" s="15">
        <f t="shared" ca="1" si="155"/>
        <v>1</v>
      </c>
    </row>
    <row r="788" spans="12:26" x14ac:dyDescent="0.3">
      <c r="L788" s="15">
        <v>786</v>
      </c>
      <c r="M788" s="15">
        <f t="shared" si="147"/>
        <v>1</v>
      </c>
      <c r="N788" s="15">
        <f t="shared" ca="1" si="148"/>
        <v>2.7870408964313254E-2</v>
      </c>
      <c r="O788" s="15">
        <f t="shared" ca="1" si="145"/>
        <v>0.25719508092658239</v>
      </c>
      <c r="P788" s="15">
        <f t="shared" ca="1" si="156"/>
        <v>0.25719506672052556</v>
      </c>
      <c r="Q788" s="15">
        <v>0</v>
      </c>
      <c r="R788" s="15">
        <f t="shared" ca="1" si="149"/>
        <v>0.25719506672052556</v>
      </c>
      <c r="S788" s="15">
        <f t="shared" ca="1" si="146"/>
        <v>0.96568295544876936</v>
      </c>
      <c r="T788" s="15">
        <f t="shared" ca="1" si="150"/>
        <v>6.44664634816044E-3</v>
      </c>
      <c r="U788" s="15">
        <f t="shared" ca="1" si="151"/>
        <v>0.97212960179692975</v>
      </c>
      <c r="V788" s="15">
        <f t="shared" ca="1" si="152"/>
        <v>0.97212959103568675</v>
      </c>
      <c r="X788" s="15">
        <f t="shared" si="153"/>
        <v>1.05</v>
      </c>
      <c r="Y788" s="15">
        <f t="shared" si="154"/>
        <v>0.95</v>
      </c>
      <c r="Z788" s="15">
        <f t="shared" ca="1" si="155"/>
        <v>1</v>
      </c>
    </row>
    <row r="789" spans="12:26" x14ac:dyDescent="0.3">
      <c r="L789" s="15">
        <v>787</v>
      </c>
      <c r="M789" s="15">
        <f t="shared" si="147"/>
        <v>1</v>
      </c>
      <c r="N789" s="15">
        <f t="shared" ca="1" si="148"/>
        <v>2.1000065612839625E-2</v>
      </c>
      <c r="O789" s="15">
        <f t="shared" ca="1" si="145"/>
        <v>0.25719508092658239</v>
      </c>
      <c r="P789" s="15">
        <f t="shared" ca="1" si="156"/>
        <v>0.25719506672052556</v>
      </c>
      <c r="Q789" s="15">
        <v>0</v>
      </c>
      <c r="R789" s="15">
        <f t="shared" ca="1" si="149"/>
        <v>0.25719506672052556</v>
      </c>
      <c r="S789" s="15">
        <f t="shared" ca="1" si="146"/>
        <v>0.96903422340535683</v>
      </c>
      <c r="T789" s="15">
        <f t="shared" ca="1" si="150"/>
        <v>9.9657328412851905E-3</v>
      </c>
      <c r="U789" s="15">
        <f t="shared" ca="1" si="151"/>
        <v>0.97899995624664204</v>
      </c>
      <c r="V789" s="15">
        <f t="shared" ca="1" si="152"/>
        <v>0.97899993438716038</v>
      </c>
      <c r="X789" s="15">
        <f t="shared" si="153"/>
        <v>1.05</v>
      </c>
      <c r="Y789" s="15">
        <f t="shared" si="154"/>
        <v>0.95</v>
      </c>
      <c r="Z789" s="15">
        <f t="shared" ca="1" si="155"/>
        <v>1</v>
      </c>
    </row>
    <row r="790" spans="12:26" x14ac:dyDescent="0.3">
      <c r="L790" s="15">
        <v>788</v>
      </c>
      <c r="M790" s="15">
        <f t="shared" si="147"/>
        <v>1</v>
      </c>
      <c r="N790" s="15">
        <f t="shared" ca="1" si="148"/>
        <v>1.9849952082114819E-2</v>
      </c>
      <c r="O790" s="15">
        <f t="shared" ca="1" si="145"/>
        <v>0.25719508092658239</v>
      </c>
      <c r="P790" s="15">
        <f t="shared" ca="1" si="156"/>
        <v>0.25719506672052556</v>
      </c>
      <c r="Q790" s="15">
        <v>0</v>
      </c>
      <c r="R790" s="15">
        <f t="shared" ca="1" si="149"/>
        <v>0.25719506672052556</v>
      </c>
      <c r="S790" s="15">
        <f t="shared" ca="1" si="146"/>
        <v>0.97218091815759955</v>
      </c>
      <c r="T790" s="15">
        <f t="shared" ca="1" si="150"/>
        <v>7.969142433968051E-3</v>
      </c>
      <c r="U790" s="15">
        <f t="shared" ca="1" si="151"/>
        <v>0.98015006059156762</v>
      </c>
      <c r="V790" s="15">
        <f t="shared" ca="1" si="152"/>
        <v>0.98015004791788518</v>
      </c>
      <c r="X790" s="15">
        <f t="shared" si="153"/>
        <v>1.05</v>
      </c>
      <c r="Y790" s="15">
        <f t="shared" si="154"/>
        <v>0.95</v>
      </c>
      <c r="Z790" s="15">
        <f t="shared" ca="1" si="155"/>
        <v>1</v>
      </c>
    </row>
    <row r="791" spans="12:26" x14ac:dyDescent="0.3">
      <c r="L791" s="15">
        <v>789</v>
      </c>
      <c r="M791" s="15">
        <f t="shared" si="147"/>
        <v>1</v>
      </c>
      <c r="N791" s="15">
        <f t="shared" ca="1" si="148"/>
        <v>2.2139515500082529E-2</v>
      </c>
      <c r="O791" s="15">
        <f t="shared" ref="O791:O854" ca="1" si="157">IF(MOD(L791,$B$11)=0,OFFSET(O791,-$B$11,0)+ $E$2*N791+$E$3*OFFSET(N791,-$B$11,0)+ $E$4*OFFSET(N791,-2* $B$11,0), O790)</f>
        <v>0.25870575994858103</v>
      </c>
      <c r="P791" s="15">
        <f t="shared" ca="1" si="156"/>
        <v>0.25870574178609668</v>
      </c>
      <c r="Q791" s="15">
        <v>0</v>
      </c>
      <c r="R791" s="15">
        <f t="shared" ca="1" si="149"/>
        <v>0.25870574178609668</v>
      </c>
      <c r="S791" s="15">
        <f t="shared" ca="1" si="146"/>
        <v>0.97516593753369429</v>
      </c>
      <c r="T791" s="15">
        <f t="shared" ca="1" si="150"/>
        <v>2.6945512387559632E-3</v>
      </c>
      <c r="U791" s="15">
        <f t="shared" ca="1" si="151"/>
        <v>0.97786048877245024</v>
      </c>
      <c r="V791" s="15">
        <f t="shared" ca="1" si="152"/>
        <v>0.97786048449991747</v>
      </c>
      <c r="X791" s="15">
        <f t="shared" si="153"/>
        <v>1.05</v>
      </c>
      <c r="Y791" s="15">
        <f t="shared" si="154"/>
        <v>0.95</v>
      </c>
      <c r="Z791" s="15">
        <f t="shared" ca="1" si="155"/>
        <v>1</v>
      </c>
    </row>
    <row r="792" spans="12:26" x14ac:dyDescent="0.3">
      <c r="L792" s="15">
        <v>790</v>
      </c>
      <c r="M792" s="15">
        <f t="shared" si="147"/>
        <v>1</v>
      </c>
      <c r="N792" s="15">
        <f t="shared" ca="1" si="148"/>
        <v>1.7688445518186491E-2</v>
      </c>
      <c r="O792" s="15">
        <f t="shared" ca="1" si="157"/>
        <v>0.25870575994858103</v>
      </c>
      <c r="P792" s="15">
        <f t="shared" ca="1" si="156"/>
        <v>0.25870574178609668</v>
      </c>
      <c r="Q792" s="15">
        <v>0</v>
      </c>
      <c r="R792" s="15">
        <f t="shared" ca="1" si="149"/>
        <v>0.25870574178609668</v>
      </c>
      <c r="S792" s="15">
        <f t="shared" ca="1" si="146"/>
        <v>0.97802608007850478</v>
      </c>
      <c r="T792" s="15">
        <f t="shared" ca="1" si="150"/>
        <v>4.2854897187222145E-3</v>
      </c>
      <c r="U792" s="15">
        <f t="shared" ca="1" si="151"/>
        <v>0.982311569797227</v>
      </c>
      <c r="V792" s="15">
        <f t="shared" ca="1" si="152"/>
        <v>0.98231155448181351</v>
      </c>
      <c r="X792" s="15">
        <f t="shared" si="153"/>
        <v>1.05</v>
      </c>
      <c r="Y792" s="15">
        <f t="shared" si="154"/>
        <v>0.95</v>
      </c>
      <c r="Z792" s="15">
        <f t="shared" ca="1" si="155"/>
        <v>1</v>
      </c>
    </row>
    <row r="793" spans="12:26" x14ac:dyDescent="0.3">
      <c r="L793" s="15">
        <v>791</v>
      </c>
      <c r="M793" s="15">
        <f t="shared" si="147"/>
        <v>1</v>
      </c>
      <c r="N793" s="15">
        <f t="shared" ca="1" si="148"/>
        <v>1.2715206251646238E-2</v>
      </c>
      <c r="O793" s="15">
        <f t="shared" ca="1" si="157"/>
        <v>0.25870575994858103</v>
      </c>
      <c r="P793" s="15">
        <f t="shared" ca="1" si="156"/>
        <v>0.25870574178609668</v>
      </c>
      <c r="Q793" s="15">
        <v>0</v>
      </c>
      <c r="R793" s="15">
        <f t="shared" ca="1" si="149"/>
        <v>0.25870574178609668</v>
      </c>
      <c r="S793" s="15">
        <f t="shared" ref="S793:S856" ca="1" si="158">$I$1*S792-$I$2*S791+$I$3*R772+$I$4*R771</f>
        <v>0.98076509988847849</v>
      </c>
      <c r="T793" s="15">
        <f t="shared" ca="1" si="150"/>
        <v>6.5197150947900705E-3</v>
      </c>
      <c r="U793" s="15">
        <f t="shared" ca="1" si="151"/>
        <v>0.98728481498326859</v>
      </c>
      <c r="V793" s="15">
        <f t="shared" ca="1" si="152"/>
        <v>0.98728479374835376</v>
      </c>
      <c r="X793" s="15">
        <f t="shared" si="153"/>
        <v>1.05</v>
      </c>
      <c r="Y793" s="15">
        <f t="shared" si="154"/>
        <v>0.95</v>
      </c>
      <c r="Z793" s="15">
        <f t="shared" ca="1" si="155"/>
        <v>1</v>
      </c>
    </row>
    <row r="794" spans="12:26" x14ac:dyDescent="0.3">
      <c r="L794" s="15">
        <v>792</v>
      </c>
      <c r="M794" s="15">
        <f t="shared" si="147"/>
        <v>1</v>
      </c>
      <c r="N794" s="15">
        <f t="shared" ca="1" si="148"/>
        <v>9.5834245461930978E-3</v>
      </c>
      <c r="O794" s="15">
        <f t="shared" ca="1" si="157"/>
        <v>0.25266200667626731</v>
      </c>
      <c r="P794" s="15">
        <f t="shared" ca="1" si="156"/>
        <v>0.25266199378591542</v>
      </c>
      <c r="Q794" s="15">
        <v>0</v>
      </c>
      <c r="R794" s="15">
        <f t="shared" ca="1" si="149"/>
        <v>0.25266199378591542</v>
      </c>
      <c r="S794" s="15">
        <f t="shared" ca="1" si="158"/>
        <v>0.98337308195764617</v>
      </c>
      <c r="T794" s="15">
        <f t="shared" ca="1" si="150"/>
        <v>7.0435125396541313E-3</v>
      </c>
      <c r="U794" s="15">
        <f t="shared" ca="1" si="151"/>
        <v>0.99041659449730035</v>
      </c>
      <c r="V794" s="15">
        <f t="shared" ca="1" si="152"/>
        <v>0.9904165754538069</v>
      </c>
      <c r="X794" s="15">
        <f t="shared" si="153"/>
        <v>1.05</v>
      </c>
      <c r="Y794" s="15">
        <f t="shared" si="154"/>
        <v>0.95</v>
      </c>
      <c r="Z794" s="15">
        <f t="shared" ca="1" si="155"/>
        <v>1</v>
      </c>
    </row>
    <row r="795" spans="12:26" x14ac:dyDescent="0.3">
      <c r="L795" s="15">
        <v>793</v>
      </c>
      <c r="M795" s="15">
        <f t="shared" si="147"/>
        <v>1</v>
      </c>
      <c r="N795" s="15">
        <f t="shared" ca="1" si="148"/>
        <v>1.2191151038787984E-2</v>
      </c>
      <c r="O795" s="15">
        <f t="shared" ca="1" si="157"/>
        <v>0.25266200667626731</v>
      </c>
      <c r="P795" s="15">
        <f t="shared" ca="1" si="156"/>
        <v>0.25266199378591542</v>
      </c>
      <c r="Q795" s="15">
        <v>0</v>
      </c>
      <c r="R795" s="15">
        <f t="shared" ca="1" si="149"/>
        <v>0.25266199378591542</v>
      </c>
      <c r="S795" s="15">
        <f t="shared" ca="1" si="158"/>
        <v>0.98584253040921721</v>
      </c>
      <c r="T795" s="15">
        <f t="shared" ca="1" si="150"/>
        <v>1.9663415259983628E-3</v>
      </c>
      <c r="U795" s="15">
        <f t="shared" ca="1" si="151"/>
        <v>0.9878088719352156</v>
      </c>
      <c r="V795" s="15">
        <f t="shared" ca="1" si="152"/>
        <v>0.98780884896121202</v>
      </c>
      <c r="X795" s="15">
        <f t="shared" si="153"/>
        <v>1.05</v>
      </c>
      <c r="Y795" s="15">
        <f t="shared" si="154"/>
        <v>0.95</v>
      </c>
      <c r="Z795" s="15">
        <f t="shared" ca="1" si="155"/>
        <v>1</v>
      </c>
    </row>
    <row r="796" spans="12:26" x14ac:dyDescent="0.3">
      <c r="L796" s="15">
        <v>794</v>
      </c>
      <c r="M796" s="15">
        <f t="shared" si="147"/>
        <v>1</v>
      </c>
      <c r="N796" s="15">
        <f t="shared" ca="1" si="148"/>
        <v>1.99603266129178E-3</v>
      </c>
      <c r="O796" s="15">
        <f t="shared" ca="1" si="157"/>
        <v>0.25266200667626731</v>
      </c>
      <c r="P796" s="15">
        <f t="shared" ca="1" si="156"/>
        <v>0.25266199378591542</v>
      </c>
      <c r="Q796" s="15">
        <v>0</v>
      </c>
      <c r="R796" s="15">
        <f t="shared" ca="1" si="149"/>
        <v>0.25266199378591542</v>
      </c>
      <c r="S796" s="15">
        <f t="shared" ca="1" si="158"/>
        <v>0.98818058536370312</v>
      </c>
      <c r="T796" s="15">
        <f t="shared" ca="1" si="150"/>
        <v>9.8233988051065306E-3</v>
      </c>
      <c r="U796" s="15">
        <f t="shared" ca="1" si="151"/>
        <v>0.99800398416880964</v>
      </c>
      <c r="V796" s="15">
        <f t="shared" ca="1" si="152"/>
        <v>0.99800396733870822</v>
      </c>
      <c r="X796" s="15">
        <f t="shared" si="153"/>
        <v>1.05</v>
      </c>
      <c r="Y796" s="15">
        <f t="shared" si="154"/>
        <v>0.95</v>
      </c>
      <c r="Z796" s="15">
        <f t="shared" ca="1" si="155"/>
        <v>1</v>
      </c>
    </row>
    <row r="797" spans="12:26" x14ac:dyDescent="0.3">
      <c r="L797" s="15">
        <v>795</v>
      </c>
      <c r="M797" s="15">
        <f t="shared" si="147"/>
        <v>1</v>
      </c>
      <c r="N797" s="15">
        <f t="shared" ca="1" si="148"/>
        <v>7.8906188737348781E-4</v>
      </c>
      <c r="O797" s="15">
        <f t="shared" ca="1" si="157"/>
        <v>0.25343789733243305</v>
      </c>
      <c r="P797" s="15">
        <f t="shared" ca="1" si="156"/>
        <v>0.25343787862300821</v>
      </c>
      <c r="Q797" s="15">
        <v>0</v>
      </c>
      <c r="R797" s="15">
        <f t="shared" ca="1" si="149"/>
        <v>0.25343787862300821</v>
      </c>
      <c r="S797" s="15">
        <f t="shared" ca="1" si="158"/>
        <v>0.99040003902539853</v>
      </c>
      <c r="T797" s="15">
        <f t="shared" ca="1" si="150"/>
        <v>8.8109072998776069E-3</v>
      </c>
      <c r="U797" s="15">
        <f t="shared" ca="1" si="151"/>
        <v>0.99921094632527618</v>
      </c>
      <c r="V797" s="15">
        <f t="shared" ca="1" si="152"/>
        <v>0.99921093811262651</v>
      </c>
      <c r="X797" s="15">
        <f t="shared" si="153"/>
        <v>1.05</v>
      </c>
      <c r="Y797" s="15">
        <f t="shared" si="154"/>
        <v>0.95</v>
      </c>
      <c r="Z797" s="15">
        <f t="shared" ca="1" si="155"/>
        <v>1</v>
      </c>
    </row>
    <row r="798" spans="12:26" x14ac:dyDescent="0.3">
      <c r="L798" s="15">
        <v>796</v>
      </c>
      <c r="M798" s="15">
        <f t="shared" si="147"/>
        <v>1</v>
      </c>
      <c r="N798" s="15">
        <f t="shared" ca="1" si="148"/>
        <v>4.2952352679090922E-3</v>
      </c>
      <c r="O798" s="15">
        <f t="shared" ca="1" si="157"/>
        <v>0.25343789733243305</v>
      </c>
      <c r="P798" s="15">
        <f t="shared" ca="1" si="156"/>
        <v>0.25343787862300821</v>
      </c>
      <c r="Q798" s="15">
        <v>0</v>
      </c>
      <c r="R798" s="15">
        <f t="shared" ca="1" si="149"/>
        <v>0.25343787862300821</v>
      </c>
      <c r="S798" s="15">
        <f t="shared" ca="1" si="158"/>
        <v>0.99251229587780954</v>
      </c>
      <c r="T798" s="15">
        <f t="shared" ca="1" si="150"/>
        <v>3.1924844511561036E-3</v>
      </c>
      <c r="U798" s="15">
        <f t="shared" ca="1" si="151"/>
        <v>0.99570478032896559</v>
      </c>
      <c r="V798" s="15">
        <f t="shared" ca="1" si="152"/>
        <v>0.99570476473209091</v>
      </c>
      <c r="X798" s="15">
        <f t="shared" si="153"/>
        <v>1.05</v>
      </c>
      <c r="Y798" s="15">
        <f t="shared" si="154"/>
        <v>0.95</v>
      </c>
      <c r="Z798" s="15">
        <f t="shared" ca="1" si="155"/>
        <v>1</v>
      </c>
    </row>
    <row r="799" spans="12:26" x14ac:dyDescent="0.3">
      <c r="L799" s="15">
        <v>797</v>
      </c>
      <c r="M799" s="15">
        <f t="shared" si="147"/>
        <v>1</v>
      </c>
      <c r="N799" s="15">
        <f t="shared" ca="1" si="148"/>
        <v>1.1747225656114635E-3</v>
      </c>
      <c r="O799" s="15">
        <f t="shared" ca="1" si="157"/>
        <v>0.25343789733243305</v>
      </c>
      <c r="P799" s="15">
        <f t="shared" ca="1" si="156"/>
        <v>0.25343787862300821</v>
      </c>
      <c r="Q799" s="15">
        <v>0</v>
      </c>
      <c r="R799" s="15">
        <f t="shared" ca="1" si="149"/>
        <v>0.25343787862300821</v>
      </c>
      <c r="S799" s="15">
        <f t="shared" ca="1" si="158"/>
        <v>0.9945220290485729</v>
      </c>
      <c r="T799" s="15">
        <f t="shared" ca="1" si="150"/>
        <v>4.3032614041042128E-3</v>
      </c>
      <c r="U799" s="15">
        <f t="shared" ca="1" si="151"/>
        <v>0.99882529045267709</v>
      </c>
      <c r="V799" s="15">
        <f t="shared" ca="1" si="152"/>
        <v>0.99882527743438854</v>
      </c>
      <c r="X799" s="15">
        <f t="shared" si="153"/>
        <v>1.05</v>
      </c>
      <c r="Y799" s="15">
        <f t="shared" si="154"/>
        <v>0.95</v>
      </c>
      <c r="Z799" s="15">
        <f t="shared" ca="1" si="155"/>
        <v>1</v>
      </c>
    </row>
    <row r="800" spans="12:26" x14ac:dyDescent="0.3">
      <c r="L800" s="15">
        <v>798</v>
      </c>
      <c r="M800" s="15">
        <f t="shared" si="147"/>
        <v>1</v>
      </c>
      <c r="N800" s="15">
        <f t="shared" ca="1" si="148"/>
        <v>2.839927329411629E-3</v>
      </c>
      <c r="O800" s="15">
        <f t="shared" ca="1" si="157"/>
        <v>0.26034982004846113</v>
      </c>
      <c r="P800" s="15">
        <f t="shared" ca="1" si="156"/>
        <v>0.26034980552744813</v>
      </c>
      <c r="Q800" s="15">
        <v>0</v>
      </c>
      <c r="R800" s="15">
        <f t="shared" ca="1" si="149"/>
        <v>0.26034980552744813</v>
      </c>
      <c r="S800" s="15">
        <f t="shared" ca="1" si="158"/>
        <v>0.99645369451179533</v>
      </c>
      <c r="T800" s="15">
        <f t="shared" ca="1" si="150"/>
        <v>7.0637867039965334E-4</v>
      </c>
      <c r="U800" s="15">
        <f t="shared" ca="1" si="151"/>
        <v>0.99716007318219502</v>
      </c>
      <c r="V800" s="15">
        <f t="shared" ca="1" si="152"/>
        <v>0.99716007267058837</v>
      </c>
      <c r="X800" s="15">
        <f t="shared" si="153"/>
        <v>1.05</v>
      </c>
      <c r="Y800" s="15">
        <f t="shared" si="154"/>
        <v>0.95</v>
      </c>
      <c r="Z800" s="15">
        <f t="shared" ca="1" si="155"/>
        <v>1</v>
      </c>
    </row>
    <row r="801" spans="12:26" x14ac:dyDescent="0.3">
      <c r="L801" s="15">
        <v>799</v>
      </c>
      <c r="M801" s="15">
        <f t="shared" si="147"/>
        <v>1</v>
      </c>
      <c r="N801" s="15">
        <f t="shared" ca="1" si="148"/>
        <v>-2.1975731947918575E-3</v>
      </c>
      <c r="O801" s="15">
        <f t="shared" ca="1" si="157"/>
        <v>0.26034982004846113</v>
      </c>
      <c r="P801" s="15">
        <f t="shared" ca="1" si="156"/>
        <v>0.26034980552744813</v>
      </c>
      <c r="Q801" s="15">
        <v>0</v>
      </c>
      <c r="R801" s="15">
        <f t="shared" ca="1" si="149"/>
        <v>0.26034980552744813</v>
      </c>
      <c r="S801" s="15">
        <f t="shared" ca="1" si="158"/>
        <v>0.99832809181775006</v>
      </c>
      <c r="T801" s="15">
        <f t="shared" ca="1" si="150"/>
        <v>3.8695031298373629E-3</v>
      </c>
      <c r="U801" s="15">
        <f t="shared" ca="1" si="151"/>
        <v>1.0021975949475874</v>
      </c>
      <c r="V801" s="15">
        <f t="shared" ca="1" si="152"/>
        <v>1.0021975731947919</v>
      </c>
      <c r="X801" s="15">
        <f t="shared" si="153"/>
        <v>1.05</v>
      </c>
      <c r="Y801" s="15">
        <f t="shared" si="154"/>
        <v>0.95</v>
      </c>
      <c r="Z801" s="15">
        <f t="shared" ca="1" si="155"/>
        <v>1</v>
      </c>
    </row>
    <row r="802" spans="12:26" x14ac:dyDescent="0.3">
      <c r="L802" s="15">
        <v>800</v>
      </c>
      <c r="M802" s="15">
        <f t="shared" si="147"/>
        <v>1</v>
      </c>
      <c r="N802" s="15">
        <f t="shared" ca="1" si="148"/>
        <v>-3.3260101925873808E-3</v>
      </c>
      <c r="O802" s="15">
        <f t="shared" ca="1" si="157"/>
        <v>0.26034982004846113</v>
      </c>
      <c r="P802" s="15">
        <f t="shared" ca="1" si="156"/>
        <v>0.26034980552744813</v>
      </c>
      <c r="Q802" s="15">
        <v>0</v>
      </c>
      <c r="R802" s="15">
        <f t="shared" ca="1" si="149"/>
        <v>0.26034980552744813</v>
      </c>
      <c r="S802" s="15">
        <f t="shared" ca="1" si="158"/>
        <v>1.0001445623956877</v>
      </c>
      <c r="T802" s="15">
        <f t="shared" ca="1" si="150"/>
        <v>3.1814543847974888E-3</v>
      </c>
      <c r="U802" s="15">
        <f t="shared" ca="1" si="151"/>
        <v>1.0033260167804852</v>
      </c>
      <c r="V802" s="15">
        <f t="shared" ca="1" si="152"/>
        <v>1.0033260101925874</v>
      </c>
      <c r="X802" s="15">
        <f t="shared" si="153"/>
        <v>1.05</v>
      </c>
      <c r="Y802" s="15">
        <f t="shared" si="154"/>
        <v>0.95</v>
      </c>
      <c r="Z802" s="15">
        <f t="shared" ca="1" si="155"/>
        <v>1</v>
      </c>
    </row>
    <row r="803" spans="12:26" x14ac:dyDescent="0.3">
      <c r="L803" s="15">
        <v>801</v>
      </c>
      <c r="M803" s="15">
        <f t="shared" si="147"/>
        <v>1</v>
      </c>
      <c r="N803" s="15">
        <f t="shared" ca="1" si="148"/>
        <v>-3.7496921149431373E-3</v>
      </c>
      <c r="O803" s="15">
        <f t="shared" ca="1" si="157"/>
        <v>0.25397046538056545</v>
      </c>
      <c r="P803" s="15">
        <f t="shared" ca="1" si="156"/>
        <v>0.25397045543742613</v>
      </c>
      <c r="Q803" s="15">
        <v>0</v>
      </c>
      <c r="R803" s="15">
        <f t="shared" ca="1" si="149"/>
        <v>0.25397045543742613</v>
      </c>
      <c r="S803" s="15">
        <f t="shared" ca="1" si="158"/>
        <v>1.0018863293828784</v>
      </c>
      <c r="T803" s="15">
        <f t="shared" ca="1" si="150"/>
        <v>1.8633851000781475E-3</v>
      </c>
      <c r="U803" s="15">
        <f t="shared" ca="1" si="151"/>
        <v>1.0037497144829566</v>
      </c>
      <c r="V803" s="15">
        <f t="shared" ca="1" si="152"/>
        <v>1.0037496921149431</v>
      </c>
      <c r="X803" s="15">
        <f t="shared" si="153"/>
        <v>1.05</v>
      </c>
      <c r="Y803" s="15">
        <f t="shared" si="154"/>
        <v>0.95</v>
      </c>
      <c r="Z803" s="15">
        <f t="shared" ca="1" si="155"/>
        <v>1</v>
      </c>
    </row>
    <row r="804" spans="12:26" x14ac:dyDescent="0.3">
      <c r="L804" s="15">
        <v>802</v>
      </c>
      <c r="M804" s="15">
        <f t="shared" si="147"/>
        <v>1</v>
      </c>
      <c r="N804" s="15">
        <f t="shared" ca="1" si="148"/>
        <v>-5.8962509515454453E-3</v>
      </c>
      <c r="O804" s="15">
        <f t="shared" ca="1" si="157"/>
        <v>0.25397046538056545</v>
      </c>
      <c r="P804" s="15">
        <f t="shared" ca="1" si="156"/>
        <v>0.25397045543742613</v>
      </c>
      <c r="Q804" s="15">
        <v>0</v>
      </c>
      <c r="R804" s="15">
        <f t="shared" ca="1" si="149"/>
        <v>0.25397045543742613</v>
      </c>
      <c r="S804" s="15">
        <f t="shared" ca="1" si="158"/>
        <v>1.0035397891019067</v>
      </c>
      <c r="T804" s="15">
        <f t="shared" ca="1" si="150"/>
        <v>2.3564698144106187E-3</v>
      </c>
      <c r="U804" s="15">
        <f t="shared" ca="1" si="151"/>
        <v>1.0058962589163172</v>
      </c>
      <c r="V804" s="15">
        <f t="shared" ca="1" si="152"/>
        <v>1.0058962509515454</v>
      </c>
      <c r="X804" s="15">
        <f t="shared" si="153"/>
        <v>1.05</v>
      </c>
      <c r="Y804" s="15">
        <f t="shared" si="154"/>
        <v>0.95</v>
      </c>
      <c r="Z804" s="15">
        <f t="shared" ca="1" si="155"/>
        <v>1</v>
      </c>
    </row>
    <row r="805" spans="12:26" x14ac:dyDescent="0.3">
      <c r="L805" s="15">
        <v>803</v>
      </c>
      <c r="M805" s="15">
        <f t="shared" si="147"/>
        <v>1</v>
      </c>
      <c r="N805" s="15">
        <f t="shared" ca="1" si="148"/>
        <v>-1.3524364916031262E-2</v>
      </c>
      <c r="O805" s="15">
        <f t="shared" ca="1" si="157"/>
        <v>0.25397046538056545</v>
      </c>
      <c r="P805" s="15">
        <f t="shared" ca="1" si="156"/>
        <v>0.25397045543742613</v>
      </c>
      <c r="Q805" s="15">
        <v>0</v>
      </c>
      <c r="R805" s="15">
        <f t="shared" ca="1" si="149"/>
        <v>0.25397045543742613</v>
      </c>
      <c r="S805" s="15">
        <f t="shared" ca="1" si="158"/>
        <v>1.0051091574477835</v>
      </c>
      <c r="T805" s="15">
        <f t="shared" ca="1" si="150"/>
        <v>8.4152190974528581E-3</v>
      </c>
      <c r="U805" s="15">
        <f t="shared" ca="1" si="151"/>
        <v>1.0135243765452364</v>
      </c>
      <c r="V805" s="15">
        <f t="shared" ca="1" si="152"/>
        <v>1.0135243649160313</v>
      </c>
      <c r="X805" s="15">
        <f t="shared" si="153"/>
        <v>1.05</v>
      </c>
      <c r="Y805" s="15">
        <f t="shared" si="154"/>
        <v>0.95</v>
      </c>
      <c r="Z805" s="15">
        <f t="shared" ca="1" si="155"/>
        <v>1</v>
      </c>
    </row>
    <row r="806" spans="12:26" x14ac:dyDescent="0.3">
      <c r="L806" s="15">
        <v>804</v>
      </c>
      <c r="M806" s="15">
        <f t="shared" si="147"/>
        <v>1</v>
      </c>
      <c r="N806" s="15">
        <f t="shared" ca="1" si="148"/>
        <v>-9.0169732014222514E-3</v>
      </c>
      <c r="O806" s="15">
        <f t="shared" ca="1" si="157"/>
        <v>0.25369041235843665</v>
      </c>
      <c r="P806" s="15">
        <f t="shared" ca="1" si="156"/>
        <v>0.25369040673917403</v>
      </c>
      <c r="Q806" s="15">
        <v>0</v>
      </c>
      <c r="R806" s="15">
        <f t="shared" ca="1" si="149"/>
        <v>0.25369040673917403</v>
      </c>
      <c r="S806" s="15">
        <f t="shared" ca="1" si="158"/>
        <v>1.0065609061036371</v>
      </c>
      <c r="T806" s="15">
        <f t="shared" ca="1" si="150"/>
        <v>2.4560696075932999E-3</v>
      </c>
      <c r="U806" s="15">
        <f t="shared" ca="1" si="151"/>
        <v>1.0090169757112304</v>
      </c>
      <c r="V806" s="15">
        <f t="shared" ca="1" si="152"/>
        <v>1.0090169732014223</v>
      </c>
      <c r="X806" s="15">
        <f t="shared" si="153"/>
        <v>1.05</v>
      </c>
      <c r="Y806" s="15">
        <f t="shared" si="154"/>
        <v>0.95</v>
      </c>
      <c r="Z806" s="15">
        <f t="shared" ca="1" si="155"/>
        <v>1</v>
      </c>
    </row>
    <row r="807" spans="12:26" x14ac:dyDescent="0.3">
      <c r="L807" s="15">
        <v>805</v>
      </c>
      <c r="M807" s="15">
        <f t="shared" si="147"/>
        <v>1</v>
      </c>
      <c r="N807" s="15">
        <f t="shared" ca="1" si="148"/>
        <v>-8.116407554623839E-3</v>
      </c>
      <c r="O807" s="15">
        <f t="shared" ca="1" si="157"/>
        <v>0.25369041235843665</v>
      </c>
      <c r="P807" s="15">
        <f t="shared" ca="1" si="156"/>
        <v>0.25369040673917403</v>
      </c>
      <c r="Q807" s="15">
        <v>0</v>
      </c>
      <c r="R807" s="15">
        <f t="shared" ca="1" si="149"/>
        <v>0.25369040673917403</v>
      </c>
      <c r="S807" s="15">
        <f t="shared" ca="1" si="158"/>
        <v>1.0078679220966049</v>
      </c>
      <c r="T807" s="15">
        <f t="shared" ca="1" si="150"/>
        <v>2.4848965381924935E-4</v>
      </c>
      <c r="U807" s="15">
        <f t="shared" ca="1" si="151"/>
        <v>1.0081164117504242</v>
      </c>
      <c r="V807" s="15">
        <f t="shared" ca="1" si="152"/>
        <v>1.0081164075546238</v>
      </c>
      <c r="X807" s="15">
        <f t="shared" si="153"/>
        <v>1.05</v>
      </c>
      <c r="Y807" s="15">
        <f t="shared" si="154"/>
        <v>0.95</v>
      </c>
      <c r="Z807" s="15">
        <f t="shared" ca="1" si="155"/>
        <v>1</v>
      </c>
    </row>
    <row r="808" spans="12:26" x14ac:dyDescent="0.3">
      <c r="L808" s="15">
        <v>806</v>
      </c>
      <c r="M808" s="15">
        <f t="shared" si="147"/>
        <v>1</v>
      </c>
      <c r="N808" s="15">
        <f t="shared" ca="1" si="148"/>
        <v>-1.5154179421987823E-2</v>
      </c>
      <c r="O808" s="15">
        <f t="shared" ca="1" si="157"/>
        <v>0.25369041235843665</v>
      </c>
      <c r="P808" s="15">
        <f t="shared" ca="1" si="156"/>
        <v>0.25369040673917403</v>
      </c>
      <c r="Q808" s="15">
        <v>0</v>
      </c>
      <c r="R808" s="15">
        <f t="shared" ca="1" si="149"/>
        <v>0.25369040673917403</v>
      </c>
      <c r="S808" s="15">
        <f t="shared" ca="1" si="158"/>
        <v>1.0090430490671367</v>
      </c>
      <c r="T808" s="15">
        <f t="shared" ca="1" si="150"/>
        <v>6.1111336088748441E-3</v>
      </c>
      <c r="U808" s="15">
        <f t="shared" ca="1" si="151"/>
        <v>1.0151541826760115</v>
      </c>
      <c r="V808" s="15">
        <f t="shared" ca="1" si="152"/>
        <v>1.0151541794219878</v>
      </c>
      <c r="X808" s="15">
        <f t="shared" si="153"/>
        <v>1.05</v>
      </c>
      <c r="Y808" s="15">
        <f t="shared" si="154"/>
        <v>0.95</v>
      </c>
      <c r="Z808" s="15">
        <f t="shared" ca="1" si="155"/>
        <v>1</v>
      </c>
    </row>
    <row r="809" spans="12:26" x14ac:dyDescent="0.3">
      <c r="L809" s="15">
        <v>807</v>
      </c>
      <c r="M809" s="15">
        <f t="shared" si="147"/>
        <v>1</v>
      </c>
      <c r="N809" s="15">
        <f t="shared" ca="1" si="148"/>
        <v>-1.4315849406252745E-2</v>
      </c>
      <c r="O809" s="15">
        <f t="shared" ca="1" si="157"/>
        <v>0.25248857167586281</v>
      </c>
      <c r="P809" s="15">
        <f t="shared" ca="1" si="156"/>
        <v>0.25248855823941729</v>
      </c>
      <c r="Q809" s="15">
        <v>0</v>
      </c>
      <c r="R809" s="15">
        <f t="shared" ca="1" si="149"/>
        <v>0.25248855823941729</v>
      </c>
      <c r="S809" s="15">
        <f t="shared" ca="1" si="158"/>
        <v>1.0101258900795183</v>
      </c>
      <c r="T809" s="15">
        <f t="shared" ca="1" si="150"/>
        <v>4.1899667275112585E-3</v>
      </c>
      <c r="U809" s="15">
        <f t="shared" ca="1" si="151"/>
        <v>1.0143158568070294</v>
      </c>
      <c r="V809" s="15">
        <f t="shared" ca="1" si="152"/>
        <v>1.0143158494062527</v>
      </c>
      <c r="X809" s="15">
        <f t="shared" si="153"/>
        <v>1.05</v>
      </c>
      <c r="Y809" s="15">
        <f t="shared" si="154"/>
        <v>0.95</v>
      </c>
      <c r="Z809" s="15">
        <f t="shared" ca="1" si="155"/>
        <v>1</v>
      </c>
    </row>
    <row r="810" spans="12:26" x14ac:dyDescent="0.3">
      <c r="L810" s="15">
        <v>808</v>
      </c>
      <c r="M810" s="15">
        <f t="shared" si="147"/>
        <v>1</v>
      </c>
      <c r="N810" s="15">
        <f t="shared" ca="1" si="148"/>
        <v>-1.606773701870523E-2</v>
      </c>
      <c r="O810" s="15">
        <f t="shared" ca="1" si="157"/>
        <v>0.25248857167586281</v>
      </c>
      <c r="P810" s="15">
        <f t="shared" ca="1" si="156"/>
        <v>0.25248855823941729</v>
      </c>
      <c r="Q810" s="15">
        <v>0</v>
      </c>
      <c r="R810" s="15">
        <f t="shared" ca="1" si="149"/>
        <v>0.25248855823941729</v>
      </c>
      <c r="S810" s="15">
        <f t="shared" ca="1" si="158"/>
        <v>1.0111501801584188</v>
      </c>
      <c r="T810" s="15">
        <f t="shared" ca="1" si="150"/>
        <v>4.9175696178992744E-3</v>
      </c>
      <c r="U810" s="15">
        <f t="shared" ca="1" si="151"/>
        <v>1.0160677497763182</v>
      </c>
      <c r="V810" s="15">
        <f t="shared" ca="1" si="152"/>
        <v>1.0160677370187052</v>
      </c>
      <c r="X810" s="15">
        <f t="shared" si="153"/>
        <v>1.05</v>
      </c>
      <c r="Y810" s="15">
        <f t="shared" si="154"/>
        <v>0.95</v>
      </c>
      <c r="Z810" s="15">
        <f t="shared" ca="1" si="155"/>
        <v>1</v>
      </c>
    </row>
    <row r="811" spans="12:26" x14ac:dyDescent="0.3">
      <c r="L811" s="15">
        <v>809</v>
      </c>
      <c r="M811" s="15">
        <f t="shared" si="147"/>
        <v>1</v>
      </c>
      <c r="N811" s="15">
        <f t="shared" ca="1" si="148"/>
        <v>-2.1466055191463385E-2</v>
      </c>
      <c r="O811" s="15">
        <f t="shared" ca="1" si="157"/>
        <v>0.25248857167586281</v>
      </c>
      <c r="P811" s="15">
        <f t="shared" ca="1" si="156"/>
        <v>0.25248855823941729</v>
      </c>
      <c r="Q811" s="15">
        <v>0</v>
      </c>
      <c r="R811" s="15">
        <f t="shared" ca="1" si="149"/>
        <v>0.25248855823941729</v>
      </c>
      <c r="S811" s="15">
        <f t="shared" ca="1" si="158"/>
        <v>1.0121190191865008</v>
      </c>
      <c r="T811" s="15">
        <f t="shared" ca="1" si="150"/>
        <v>9.3470450116145097E-3</v>
      </c>
      <c r="U811" s="15">
        <f t="shared" ca="1" si="151"/>
        <v>1.0214660641981153</v>
      </c>
      <c r="V811" s="15">
        <f t="shared" ca="1" si="152"/>
        <v>1.0214660551914634</v>
      </c>
      <c r="X811" s="15">
        <f t="shared" si="153"/>
        <v>1.05</v>
      </c>
      <c r="Y811" s="15">
        <f t="shared" si="154"/>
        <v>0.95</v>
      </c>
      <c r="Z811" s="15">
        <f t="shared" ca="1" si="155"/>
        <v>1</v>
      </c>
    </row>
    <row r="812" spans="12:26" x14ac:dyDescent="0.3">
      <c r="L812" s="15">
        <v>810</v>
      </c>
      <c r="M812" s="15">
        <f t="shared" si="147"/>
        <v>1</v>
      </c>
      <c r="N812" s="15">
        <f t="shared" ca="1" si="148"/>
        <v>-1.8827222524869125E-2</v>
      </c>
      <c r="O812" s="15">
        <f t="shared" ca="1" si="157"/>
        <v>0.25182362166000749</v>
      </c>
      <c r="P812" s="15">
        <f t="shared" ca="1" si="156"/>
        <v>0.25182361720405139</v>
      </c>
      <c r="Q812" s="15">
        <v>0</v>
      </c>
      <c r="R812" s="15">
        <f t="shared" ca="1" si="149"/>
        <v>0.25182361720405139</v>
      </c>
      <c r="S812" s="15">
        <f t="shared" ca="1" si="158"/>
        <v>1.0130484163062692</v>
      </c>
      <c r="T812" s="15">
        <f t="shared" ca="1" si="150"/>
        <v>5.7788195230635839E-3</v>
      </c>
      <c r="U812" s="15">
        <f t="shared" ca="1" si="151"/>
        <v>1.0188272358293329</v>
      </c>
      <c r="V812" s="15">
        <f t="shared" ca="1" si="152"/>
        <v>1.0188272225248691</v>
      </c>
      <c r="X812" s="15">
        <f t="shared" si="153"/>
        <v>1.05</v>
      </c>
      <c r="Y812" s="15">
        <f t="shared" si="154"/>
        <v>0.95</v>
      </c>
      <c r="Z812" s="15">
        <f t="shared" ca="1" si="155"/>
        <v>1</v>
      </c>
    </row>
    <row r="813" spans="12:26" x14ac:dyDescent="0.3">
      <c r="L813" s="15">
        <v>811</v>
      </c>
      <c r="M813" s="15">
        <f t="shared" si="147"/>
        <v>1</v>
      </c>
      <c r="N813" s="15">
        <f t="shared" ca="1" si="148"/>
        <v>-1.6550674339884441E-2</v>
      </c>
      <c r="O813" s="15">
        <f t="shared" ca="1" si="157"/>
        <v>0.25182362166000749</v>
      </c>
      <c r="P813" s="15">
        <f t="shared" ca="1" si="156"/>
        <v>0.25182361720405139</v>
      </c>
      <c r="Q813" s="15">
        <v>0</v>
      </c>
      <c r="R813" s="15">
        <f t="shared" ca="1" si="149"/>
        <v>0.25182361720405139</v>
      </c>
      <c r="S813" s="15">
        <f t="shared" ca="1" si="158"/>
        <v>1.0139519371939159</v>
      </c>
      <c r="T813" s="15">
        <f t="shared" ca="1" si="150"/>
        <v>2.5987426781689249E-3</v>
      </c>
      <c r="U813" s="15">
        <f t="shared" ca="1" si="151"/>
        <v>1.0165506798720847</v>
      </c>
      <c r="V813" s="15">
        <f t="shared" ca="1" si="152"/>
        <v>1.0165506743398844</v>
      </c>
      <c r="X813" s="15">
        <f t="shared" si="153"/>
        <v>1.05</v>
      </c>
      <c r="Y813" s="15">
        <f t="shared" si="154"/>
        <v>0.95</v>
      </c>
      <c r="Z813" s="15">
        <f t="shared" ca="1" si="155"/>
        <v>1</v>
      </c>
    </row>
    <row r="814" spans="12:26" x14ac:dyDescent="0.3">
      <c r="L814" s="15">
        <v>812</v>
      </c>
      <c r="M814" s="15">
        <f t="shared" si="147"/>
        <v>1</v>
      </c>
      <c r="N814" s="15">
        <f t="shared" ca="1" si="148"/>
        <v>-1.9378309375461589E-2</v>
      </c>
      <c r="O814" s="15">
        <f t="shared" ca="1" si="157"/>
        <v>0.25182362166000749</v>
      </c>
      <c r="P814" s="15">
        <f t="shared" ca="1" si="156"/>
        <v>0.25182361720405139</v>
      </c>
      <c r="Q814" s="15">
        <v>0</v>
      </c>
      <c r="R814" s="15">
        <f t="shared" ca="1" si="149"/>
        <v>0.25182361720405139</v>
      </c>
      <c r="S814" s="15">
        <f t="shared" ca="1" si="158"/>
        <v>1.014829044937442</v>
      </c>
      <c r="T814" s="15">
        <f t="shared" ca="1" si="150"/>
        <v>4.5492831982180161E-3</v>
      </c>
      <c r="U814" s="15">
        <f t="shared" ca="1" si="151"/>
        <v>1.0193783281356601</v>
      </c>
      <c r="V814" s="15">
        <f t="shared" ca="1" si="152"/>
        <v>1.0193783093754616</v>
      </c>
      <c r="X814" s="15">
        <f t="shared" si="153"/>
        <v>1.05</v>
      </c>
      <c r="Y814" s="15">
        <f t="shared" si="154"/>
        <v>0.95</v>
      </c>
      <c r="Z814" s="15">
        <f t="shared" ca="1" si="155"/>
        <v>1</v>
      </c>
    </row>
    <row r="815" spans="12:26" x14ac:dyDescent="0.3">
      <c r="L815" s="15">
        <v>813</v>
      </c>
      <c r="M815" s="15">
        <f t="shared" si="147"/>
        <v>1</v>
      </c>
      <c r="N815" s="15">
        <f t="shared" ca="1" si="148"/>
        <v>-1.9036025046146543E-2</v>
      </c>
      <c r="O815" s="15">
        <f t="shared" ca="1" si="157"/>
        <v>0.25399583131570186</v>
      </c>
      <c r="P815" s="15">
        <f t="shared" ca="1" si="156"/>
        <v>0.25399581069452593</v>
      </c>
      <c r="Q815" s="15">
        <v>0</v>
      </c>
      <c r="R815" s="15">
        <f t="shared" ca="1" si="149"/>
        <v>0.25399581069452593</v>
      </c>
      <c r="S815" s="15">
        <f t="shared" ca="1" si="158"/>
        <v>1.0156271005893798</v>
      </c>
      <c r="T815" s="15">
        <f t="shared" ca="1" si="150"/>
        <v>3.4089348975419043E-3</v>
      </c>
      <c r="U815" s="15">
        <f t="shared" ca="1" si="151"/>
        <v>1.0190360354869217</v>
      </c>
      <c r="V815" s="15">
        <f t="shared" ca="1" si="152"/>
        <v>1.0190360250461465</v>
      </c>
      <c r="X815" s="15">
        <f t="shared" si="153"/>
        <v>1.05</v>
      </c>
      <c r="Y815" s="15">
        <f t="shared" si="154"/>
        <v>0.95</v>
      </c>
      <c r="Z815" s="15">
        <f t="shared" ca="1" si="155"/>
        <v>1</v>
      </c>
    </row>
    <row r="816" spans="12:26" x14ac:dyDescent="0.3">
      <c r="L816" s="15">
        <v>814</v>
      </c>
      <c r="M816" s="15">
        <f t="shared" si="147"/>
        <v>1</v>
      </c>
      <c r="N816" s="15">
        <f t="shared" ca="1" si="148"/>
        <v>-2.3411331936579849E-2</v>
      </c>
      <c r="O816" s="15">
        <f t="shared" ca="1" si="157"/>
        <v>0.25399583131570186</v>
      </c>
      <c r="P816" s="15">
        <f t="shared" ca="1" si="156"/>
        <v>0.25399581069452593</v>
      </c>
      <c r="Q816" s="15">
        <v>0</v>
      </c>
      <c r="R816" s="15">
        <f t="shared" ca="1" si="149"/>
        <v>0.25399581069452593</v>
      </c>
      <c r="S816" s="15">
        <f t="shared" ca="1" si="158"/>
        <v>1.016302794353245</v>
      </c>
      <c r="T816" s="15">
        <f t="shared" ca="1" si="150"/>
        <v>7.1085533598665464E-3</v>
      </c>
      <c r="U816" s="15">
        <f t="shared" ca="1" si="151"/>
        <v>1.0234113477131115</v>
      </c>
      <c r="V816" s="15">
        <f t="shared" ca="1" si="152"/>
        <v>1.0234113319365798</v>
      </c>
      <c r="X816" s="15">
        <f t="shared" si="153"/>
        <v>1.05</v>
      </c>
      <c r="Y816" s="15">
        <f t="shared" si="154"/>
        <v>0.95</v>
      </c>
      <c r="Z816" s="15">
        <f t="shared" ca="1" si="155"/>
        <v>1</v>
      </c>
    </row>
    <row r="817" spans="12:26" x14ac:dyDescent="0.3">
      <c r="L817" s="15">
        <v>815</v>
      </c>
      <c r="M817" s="15">
        <f t="shared" si="147"/>
        <v>1</v>
      </c>
      <c r="N817" s="15">
        <f t="shared" ca="1" si="148"/>
        <v>-1.7375826141186046E-2</v>
      </c>
      <c r="O817" s="15">
        <f t="shared" ca="1" si="157"/>
        <v>0.25399583131570186</v>
      </c>
      <c r="P817" s="15">
        <f t="shared" ca="1" si="156"/>
        <v>0.25399581069452593</v>
      </c>
      <c r="Q817" s="15">
        <v>0</v>
      </c>
      <c r="R817" s="15">
        <f t="shared" ca="1" si="149"/>
        <v>0.25399581069452593</v>
      </c>
      <c r="S817" s="15">
        <f t="shared" ca="1" si="158"/>
        <v>1.0168688004564115</v>
      </c>
      <c r="T817" s="15">
        <f t="shared" ca="1" si="150"/>
        <v>5.0703238095051401E-4</v>
      </c>
      <c r="U817" s="15">
        <f t="shared" ca="1" si="151"/>
        <v>1.0173758328373621</v>
      </c>
      <c r="V817" s="15">
        <f t="shared" ca="1" si="152"/>
        <v>1.017375826141186</v>
      </c>
      <c r="X817" s="15">
        <f t="shared" si="153"/>
        <v>1.05</v>
      </c>
      <c r="Y817" s="15">
        <f t="shared" si="154"/>
        <v>0.95</v>
      </c>
      <c r="Z817" s="15">
        <f t="shared" ca="1" si="155"/>
        <v>1</v>
      </c>
    </row>
    <row r="818" spans="12:26" x14ac:dyDescent="0.3">
      <c r="L818" s="15">
        <v>816</v>
      </c>
      <c r="M818" s="15">
        <f t="shared" si="147"/>
        <v>1</v>
      </c>
      <c r="N818" s="15">
        <f t="shared" ca="1" si="148"/>
        <v>-1.9397028959216023E-2</v>
      </c>
      <c r="O818" s="15">
        <f t="shared" ca="1" si="157"/>
        <v>0.25346218706422147</v>
      </c>
      <c r="P818" s="15">
        <f t="shared" ca="1" si="156"/>
        <v>0.25346218614221139</v>
      </c>
      <c r="Q818" s="15">
        <v>0</v>
      </c>
      <c r="R818" s="15">
        <f t="shared" ca="1" si="149"/>
        <v>0.25346218614221139</v>
      </c>
      <c r="S818" s="15">
        <f t="shared" ca="1" si="158"/>
        <v>1.0173433600959143</v>
      </c>
      <c r="T818" s="15">
        <f t="shared" ca="1" si="150"/>
        <v>2.0536815753447648E-3</v>
      </c>
      <c r="U818" s="15">
        <f t="shared" ca="1" si="151"/>
        <v>1.019397041671259</v>
      </c>
      <c r="V818" s="15">
        <f t="shared" ca="1" si="152"/>
        <v>1.019397028959216</v>
      </c>
      <c r="X818" s="15">
        <f t="shared" si="153"/>
        <v>1.05</v>
      </c>
      <c r="Y818" s="15">
        <f t="shared" si="154"/>
        <v>0.95</v>
      </c>
      <c r="Z818" s="15">
        <f t="shared" ca="1" si="155"/>
        <v>1</v>
      </c>
    </row>
    <row r="819" spans="12:26" x14ac:dyDescent="0.3">
      <c r="L819" s="15">
        <v>817</v>
      </c>
      <c r="M819" s="15">
        <f t="shared" si="147"/>
        <v>1</v>
      </c>
      <c r="N819" s="15">
        <f t="shared" ca="1" si="148"/>
        <v>-2.7032477088978712E-2</v>
      </c>
      <c r="O819" s="15">
        <f t="shared" ca="1" si="157"/>
        <v>0.25346218706422147</v>
      </c>
      <c r="P819" s="15">
        <f t="shared" ca="1" si="156"/>
        <v>0.25346218614221139</v>
      </c>
      <c r="Q819" s="15">
        <v>0</v>
      </c>
      <c r="R819" s="15">
        <f t="shared" ca="1" si="149"/>
        <v>0.25346218614221139</v>
      </c>
      <c r="S819" s="15">
        <f t="shared" ca="1" si="158"/>
        <v>1.0177424888449187</v>
      </c>
      <c r="T819" s="15">
        <f t="shared" ca="1" si="150"/>
        <v>9.2900028548891216E-3</v>
      </c>
      <c r="U819" s="15">
        <f t="shared" ca="1" si="151"/>
        <v>1.0270324916998077</v>
      </c>
      <c r="V819" s="15">
        <f t="shared" ca="1" si="152"/>
        <v>1.0270324770889787</v>
      </c>
      <c r="X819" s="15">
        <f t="shared" si="153"/>
        <v>1.05</v>
      </c>
      <c r="Y819" s="15">
        <f t="shared" si="154"/>
        <v>0.95</v>
      </c>
      <c r="Z819" s="15">
        <f t="shared" ca="1" si="155"/>
        <v>1</v>
      </c>
    </row>
    <row r="820" spans="12:26" x14ac:dyDescent="0.3">
      <c r="L820" s="15">
        <v>818</v>
      </c>
      <c r="M820" s="15">
        <f t="shared" si="147"/>
        <v>1</v>
      </c>
      <c r="N820" s="15">
        <f t="shared" ca="1" si="148"/>
        <v>-2.5445596553721916E-2</v>
      </c>
      <c r="O820" s="15">
        <f t="shared" ca="1" si="157"/>
        <v>0.25346218706422147</v>
      </c>
      <c r="P820" s="15">
        <f t="shared" ca="1" si="156"/>
        <v>0.25346218614221139</v>
      </c>
      <c r="Q820" s="15">
        <v>0</v>
      </c>
      <c r="R820" s="15">
        <f t="shared" ca="1" si="149"/>
        <v>0.25346218614221139</v>
      </c>
      <c r="S820" s="15">
        <f t="shared" ca="1" si="158"/>
        <v>1.0180740734522433</v>
      </c>
      <c r="T820" s="15">
        <f t="shared" ca="1" si="150"/>
        <v>7.3715446964676846E-3</v>
      </c>
      <c r="U820" s="15">
        <f t="shared" ca="1" si="151"/>
        <v>1.025445618148711</v>
      </c>
      <c r="V820" s="15">
        <f t="shared" ca="1" si="152"/>
        <v>1.0254455965537219</v>
      </c>
      <c r="X820" s="15">
        <f t="shared" si="153"/>
        <v>1.05</v>
      </c>
      <c r="Y820" s="15">
        <f t="shared" si="154"/>
        <v>0.95</v>
      </c>
      <c r="Z820" s="15">
        <f t="shared" ca="1" si="155"/>
        <v>1</v>
      </c>
    </row>
    <row r="821" spans="12:26" x14ac:dyDescent="0.3">
      <c r="L821" s="15">
        <v>819</v>
      </c>
      <c r="M821" s="15">
        <f t="shared" si="147"/>
        <v>1</v>
      </c>
      <c r="N821" s="15">
        <f t="shared" ca="1" si="148"/>
        <v>-2.641314757671509E-2</v>
      </c>
      <c r="O821" s="15">
        <f t="shared" ca="1" si="157"/>
        <v>0.24775644424806112</v>
      </c>
      <c r="P821" s="15">
        <f t="shared" ca="1" si="156"/>
        <v>0.24775643838750114</v>
      </c>
      <c r="Q821" s="15">
        <v>0</v>
      </c>
      <c r="R821" s="15">
        <f t="shared" ca="1" si="149"/>
        <v>0.24775643838750114</v>
      </c>
      <c r="S821" s="15">
        <f t="shared" ca="1" si="158"/>
        <v>1.0184050773931186</v>
      </c>
      <c r="T821" s="15">
        <f t="shared" ca="1" si="150"/>
        <v>8.0080815372996633E-3</v>
      </c>
      <c r="U821" s="15">
        <f t="shared" ca="1" si="151"/>
        <v>1.0264131589304182</v>
      </c>
      <c r="V821" s="15">
        <f t="shared" ca="1" si="152"/>
        <v>1.0264131475767151</v>
      </c>
      <c r="X821" s="15">
        <f t="shared" si="153"/>
        <v>1.05</v>
      </c>
      <c r="Y821" s="15">
        <f t="shared" si="154"/>
        <v>0.95</v>
      </c>
      <c r="Z821" s="15">
        <f t="shared" ca="1" si="155"/>
        <v>1</v>
      </c>
    </row>
    <row r="822" spans="12:26" x14ac:dyDescent="0.3">
      <c r="L822" s="15">
        <v>820</v>
      </c>
      <c r="M822" s="15">
        <f t="shared" si="147"/>
        <v>1</v>
      </c>
      <c r="N822" s="15">
        <f t="shared" ca="1" si="148"/>
        <v>-2.3169653728410955E-2</v>
      </c>
      <c r="O822" s="15">
        <f t="shared" ca="1" si="157"/>
        <v>0.24775644424806112</v>
      </c>
      <c r="P822" s="15">
        <f t="shared" ca="1" si="156"/>
        <v>0.24775643838750114</v>
      </c>
      <c r="Q822" s="15">
        <v>0</v>
      </c>
      <c r="R822" s="15">
        <f t="shared" ca="1" si="149"/>
        <v>0.24775643838750114</v>
      </c>
      <c r="S822" s="15">
        <f t="shared" ca="1" si="158"/>
        <v>1.0187913212456281</v>
      </c>
      <c r="T822" s="15">
        <f t="shared" ca="1" si="150"/>
        <v>4.3783372132726065E-3</v>
      </c>
      <c r="U822" s="15">
        <f t="shared" ca="1" si="151"/>
        <v>1.0231696584589007</v>
      </c>
      <c r="V822" s="15">
        <f t="shared" ca="1" si="152"/>
        <v>1.023169653728411</v>
      </c>
      <c r="X822" s="15">
        <f t="shared" si="153"/>
        <v>1.05</v>
      </c>
      <c r="Y822" s="15">
        <f t="shared" si="154"/>
        <v>0.95</v>
      </c>
      <c r="Z822" s="15">
        <f t="shared" ca="1" si="155"/>
        <v>1</v>
      </c>
    </row>
    <row r="823" spans="12:26" x14ac:dyDescent="0.3">
      <c r="L823" s="15">
        <v>821</v>
      </c>
      <c r="M823" s="15">
        <f t="shared" si="147"/>
        <v>1</v>
      </c>
      <c r="N823" s="15">
        <f t="shared" ca="1" si="148"/>
        <v>-2.1741517126034227E-2</v>
      </c>
      <c r="O823" s="15">
        <f t="shared" ca="1" si="157"/>
        <v>0.24775644424806112</v>
      </c>
      <c r="P823" s="15">
        <f t="shared" ca="1" si="156"/>
        <v>0.24775643838750114</v>
      </c>
      <c r="Q823" s="15">
        <v>0</v>
      </c>
      <c r="R823" s="15">
        <f t="shared" ca="1" si="149"/>
        <v>0.24775643838750114</v>
      </c>
      <c r="S823" s="15">
        <f t="shared" ca="1" si="158"/>
        <v>1.019224159405967</v>
      </c>
      <c r="T823" s="15">
        <f t="shared" ca="1" si="150"/>
        <v>2.5173583484821393E-3</v>
      </c>
      <c r="U823" s="15">
        <f t="shared" ca="1" si="151"/>
        <v>1.0217415177544491</v>
      </c>
      <c r="V823" s="15">
        <f t="shared" ca="1" si="152"/>
        <v>1.0217415171260342</v>
      </c>
      <c r="X823" s="15">
        <f t="shared" si="153"/>
        <v>1.05</v>
      </c>
      <c r="Y823" s="15">
        <f t="shared" si="154"/>
        <v>0.95</v>
      </c>
      <c r="Z823" s="15">
        <f t="shared" ca="1" si="155"/>
        <v>1</v>
      </c>
    </row>
    <row r="824" spans="12:26" x14ac:dyDescent="0.3">
      <c r="L824" s="15">
        <v>822</v>
      </c>
      <c r="M824" s="15">
        <f t="shared" si="147"/>
        <v>1</v>
      </c>
      <c r="N824" s="15">
        <f t="shared" ca="1" si="148"/>
        <v>-2.6565023005605815E-2</v>
      </c>
      <c r="O824" s="15">
        <f t="shared" ca="1" si="157"/>
        <v>0.25132750327285391</v>
      </c>
      <c r="P824" s="15">
        <f t="shared" ca="1" si="156"/>
        <v>0.2513275016684382</v>
      </c>
      <c r="Q824" s="15">
        <v>0</v>
      </c>
      <c r="R824" s="15">
        <f t="shared" ca="1" si="149"/>
        <v>0.2513275016684382</v>
      </c>
      <c r="S824" s="15">
        <f t="shared" ca="1" si="158"/>
        <v>1.01964066157635</v>
      </c>
      <c r="T824" s="15">
        <f t="shared" ca="1" si="150"/>
        <v>6.9243681807507019E-3</v>
      </c>
      <c r="U824" s="15">
        <f t="shared" ca="1" si="151"/>
        <v>1.0265650297571007</v>
      </c>
      <c r="V824" s="15">
        <f t="shared" ca="1" si="152"/>
        <v>1.0265650230056058</v>
      </c>
      <c r="X824" s="15">
        <f t="shared" si="153"/>
        <v>1.05</v>
      </c>
      <c r="Y824" s="15">
        <f t="shared" si="154"/>
        <v>0.95</v>
      </c>
      <c r="Z824" s="15">
        <f t="shared" ca="1" si="155"/>
        <v>1</v>
      </c>
    </row>
    <row r="825" spans="12:26" x14ac:dyDescent="0.3">
      <c r="L825" s="15">
        <v>823</v>
      </c>
      <c r="M825" s="15">
        <f t="shared" si="147"/>
        <v>1</v>
      </c>
      <c r="N825" s="15">
        <f t="shared" ca="1" si="148"/>
        <v>-2.8781151638548108E-2</v>
      </c>
      <c r="O825" s="15">
        <f t="shared" ca="1" si="157"/>
        <v>0.25132750327285391</v>
      </c>
      <c r="P825" s="15">
        <f t="shared" ca="1" si="156"/>
        <v>0.2513275016684382</v>
      </c>
      <c r="Q825" s="15">
        <v>0</v>
      </c>
      <c r="R825" s="15">
        <f t="shared" ca="1" si="149"/>
        <v>0.2513275016684382</v>
      </c>
      <c r="S825" s="15">
        <f t="shared" ca="1" si="158"/>
        <v>1.0199883961282425</v>
      </c>
      <c r="T825" s="15">
        <f t="shared" ca="1" si="150"/>
        <v>8.792766725623416E-3</v>
      </c>
      <c r="U825" s="15">
        <f t="shared" ca="1" si="151"/>
        <v>1.0287811628538659</v>
      </c>
      <c r="V825" s="15">
        <f t="shared" ca="1" si="152"/>
        <v>1.0287811516385481</v>
      </c>
      <c r="X825" s="15">
        <f t="shared" si="153"/>
        <v>1.05</v>
      </c>
      <c r="Y825" s="15">
        <f t="shared" si="154"/>
        <v>0.95</v>
      </c>
      <c r="Z825" s="15">
        <f t="shared" ca="1" si="155"/>
        <v>1</v>
      </c>
    </row>
    <row r="826" spans="12:26" x14ac:dyDescent="0.3">
      <c r="L826" s="15">
        <v>824</v>
      </c>
      <c r="M826" s="15">
        <f t="shared" si="147"/>
        <v>1</v>
      </c>
      <c r="N826" s="15">
        <f t="shared" ca="1" si="148"/>
        <v>-2.1465333416467836E-2</v>
      </c>
      <c r="O826" s="15">
        <f t="shared" ca="1" si="157"/>
        <v>0.25132750327285391</v>
      </c>
      <c r="P826" s="15">
        <f t="shared" ca="1" si="156"/>
        <v>0.2513275016684382</v>
      </c>
      <c r="Q826" s="15">
        <v>0</v>
      </c>
      <c r="R826" s="15">
        <f t="shared" ca="1" si="149"/>
        <v>0.2513275016684382</v>
      </c>
      <c r="S826" s="15">
        <f t="shared" ca="1" si="158"/>
        <v>1.020274621377709</v>
      </c>
      <c r="T826" s="15">
        <f t="shared" ca="1" si="150"/>
        <v>1.1907175133899573E-3</v>
      </c>
      <c r="U826" s="15">
        <f t="shared" ca="1" si="151"/>
        <v>1.021465338891099</v>
      </c>
      <c r="V826" s="15">
        <f t="shared" ca="1" si="152"/>
        <v>1.0214653334164678</v>
      </c>
      <c r="X826" s="15">
        <f t="shared" si="153"/>
        <v>1.05</v>
      </c>
      <c r="Y826" s="15">
        <f t="shared" si="154"/>
        <v>0.95</v>
      </c>
      <c r="Z826" s="15">
        <f t="shared" ca="1" si="155"/>
        <v>1</v>
      </c>
    </row>
    <row r="827" spans="12:26" x14ac:dyDescent="0.3">
      <c r="L827" s="15">
        <v>825</v>
      </c>
      <c r="M827" s="15">
        <f t="shared" si="147"/>
        <v>1</v>
      </c>
      <c r="N827" s="15">
        <f t="shared" ca="1" si="148"/>
        <v>-2.2312860242629684E-2</v>
      </c>
      <c r="O827" s="15">
        <f t="shared" ca="1" si="157"/>
        <v>0.25425542354069069</v>
      </c>
      <c r="P827" s="15">
        <f t="shared" ca="1" si="156"/>
        <v>0.25425541686226039</v>
      </c>
      <c r="Q827" s="15">
        <v>0</v>
      </c>
      <c r="R827" s="15">
        <f t="shared" ca="1" si="149"/>
        <v>0.25425541686226039</v>
      </c>
      <c r="S827" s="15">
        <f t="shared" ca="1" si="158"/>
        <v>1.0205035118756294</v>
      </c>
      <c r="T827" s="15">
        <f t="shared" ca="1" si="150"/>
        <v>1.8093662745284568E-3</v>
      </c>
      <c r="U827" s="15">
        <f t="shared" ca="1" si="151"/>
        <v>1.0223128781501578</v>
      </c>
      <c r="V827" s="15">
        <f t="shared" ca="1" si="152"/>
        <v>1.0223128602426297</v>
      </c>
      <c r="X827" s="15">
        <f t="shared" si="153"/>
        <v>1.05</v>
      </c>
      <c r="Y827" s="15">
        <f t="shared" si="154"/>
        <v>0.95</v>
      </c>
      <c r="Z827" s="15">
        <f t="shared" ca="1" si="155"/>
        <v>1</v>
      </c>
    </row>
    <row r="828" spans="12:26" x14ac:dyDescent="0.3">
      <c r="L828" s="15">
        <v>826</v>
      </c>
      <c r="M828" s="15">
        <f t="shared" si="147"/>
        <v>1</v>
      </c>
      <c r="N828" s="15">
        <f t="shared" ca="1" si="148"/>
        <v>-2.4337182991285067E-2</v>
      </c>
      <c r="O828" s="15">
        <f t="shared" ca="1" si="157"/>
        <v>0.25425542354069069</v>
      </c>
      <c r="P828" s="15">
        <f t="shared" ca="1" si="156"/>
        <v>0.25425541686226039</v>
      </c>
      <c r="Q828" s="15">
        <v>0</v>
      </c>
      <c r="R828" s="15">
        <f t="shared" ca="1" si="149"/>
        <v>0.25425541686226039</v>
      </c>
      <c r="S828" s="15">
        <f t="shared" ca="1" si="158"/>
        <v>1.0206790619526307</v>
      </c>
      <c r="T828" s="15">
        <f t="shared" ca="1" si="150"/>
        <v>3.6581279000532743E-3</v>
      </c>
      <c r="U828" s="15">
        <f t="shared" ca="1" si="151"/>
        <v>1.0243371898526841</v>
      </c>
      <c r="V828" s="15">
        <f t="shared" ca="1" si="152"/>
        <v>1.0243371829912851</v>
      </c>
      <c r="X828" s="15">
        <f t="shared" si="153"/>
        <v>1.05</v>
      </c>
      <c r="Y828" s="15">
        <f t="shared" si="154"/>
        <v>0.95</v>
      </c>
      <c r="Z828" s="15">
        <f t="shared" ca="1" si="155"/>
        <v>1</v>
      </c>
    </row>
    <row r="829" spans="12:26" x14ac:dyDescent="0.3">
      <c r="L829" s="15">
        <v>827</v>
      </c>
      <c r="M829" s="15">
        <f t="shared" si="147"/>
        <v>1</v>
      </c>
      <c r="N829" s="15">
        <f t="shared" ca="1" si="148"/>
        <v>-2.2175816125743042E-2</v>
      </c>
      <c r="O829" s="15">
        <f t="shared" ca="1" si="157"/>
        <v>0.25425542354069069</v>
      </c>
      <c r="P829" s="15">
        <f t="shared" ca="1" si="156"/>
        <v>0.25425541686226039</v>
      </c>
      <c r="Q829" s="15">
        <v>0</v>
      </c>
      <c r="R829" s="15">
        <f t="shared" ca="1" si="149"/>
        <v>0.25425541686226039</v>
      </c>
      <c r="S829" s="15">
        <f t="shared" ca="1" si="158"/>
        <v>1.020807299928771</v>
      </c>
      <c r="T829" s="15">
        <f t="shared" ca="1" si="150"/>
        <v>1.3685198939379938E-3</v>
      </c>
      <c r="U829" s="15">
        <f t="shared" ca="1" si="151"/>
        <v>1.0221758198227089</v>
      </c>
      <c r="V829" s="15">
        <f t="shared" ca="1" si="152"/>
        <v>1.022175816125743</v>
      </c>
      <c r="X829" s="15">
        <f t="shared" si="153"/>
        <v>1.05</v>
      </c>
      <c r="Y829" s="15">
        <f t="shared" si="154"/>
        <v>0.95</v>
      </c>
      <c r="Z829" s="15">
        <f t="shared" ca="1" si="155"/>
        <v>1</v>
      </c>
    </row>
    <row r="830" spans="12:26" x14ac:dyDescent="0.3">
      <c r="L830" s="15">
        <v>828</v>
      </c>
      <c r="M830" s="15">
        <f t="shared" si="147"/>
        <v>1</v>
      </c>
      <c r="N830" s="15">
        <f t="shared" ca="1" si="148"/>
        <v>-2.2348064235958143E-2</v>
      </c>
      <c r="O830" s="15">
        <f t="shared" ca="1" si="157"/>
        <v>0.25123817769140994</v>
      </c>
      <c r="P830" s="15">
        <f t="shared" ca="1" si="156"/>
        <v>0.25123816455044745</v>
      </c>
      <c r="Q830" s="15">
        <v>0</v>
      </c>
      <c r="R830" s="15">
        <f t="shared" ca="1" si="149"/>
        <v>0.25123816455044745</v>
      </c>
      <c r="S830" s="15">
        <f t="shared" ca="1" si="158"/>
        <v>1.0208832923412716</v>
      </c>
      <c r="T830" s="15">
        <f t="shared" ca="1" si="150"/>
        <v>1.4647837056712089E-3</v>
      </c>
      <c r="U830" s="15">
        <f t="shared" ca="1" si="151"/>
        <v>1.0223480760469428</v>
      </c>
      <c r="V830" s="15">
        <f t="shared" ca="1" si="152"/>
        <v>1.0223480642359581</v>
      </c>
      <c r="X830" s="15">
        <f t="shared" si="153"/>
        <v>1.05</v>
      </c>
      <c r="Y830" s="15">
        <f t="shared" si="154"/>
        <v>0.95</v>
      </c>
      <c r="Z830" s="15">
        <f t="shared" ca="1" si="155"/>
        <v>1</v>
      </c>
    </row>
    <row r="831" spans="12:26" x14ac:dyDescent="0.3">
      <c r="L831" s="15">
        <v>829</v>
      </c>
      <c r="M831" s="15">
        <f t="shared" si="147"/>
        <v>1</v>
      </c>
      <c r="N831" s="15">
        <f t="shared" ca="1" si="148"/>
        <v>-2.2678823448409879E-2</v>
      </c>
      <c r="O831" s="15">
        <f t="shared" ca="1" si="157"/>
        <v>0.25123817769140994</v>
      </c>
      <c r="P831" s="15">
        <f t="shared" ca="1" si="156"/>
        <v>0.25123816455044745</v>
      </c>
      <c r="Q831" s="15">
        <v>0</v>
      </c>
      <c r="R831" s="15">
        <f t="shared" ca="1" si="149"/>
        <v>0.25123816455044745</v>
      </c>
      <c r="S831" s="15">
        <f t="shared" ca="1" si="158"/>
        <v>1.0209034129005243</v>
      </c>
      <c r="T831" s="15">
        <f t="shared" ca="1" si="150"/>
        <v>1.7754326757983075E-3</v>
      </c>
      <c r="U831" s="15">
        <f t="shared" ca="1" si="151"/>
        <v>1.0226788455763227</v>
      </c>
      <c r="V831" s="15">
        <f t="shared" ca="1" si="152"/>
        <v>1.0226788234484099</v>
      </c>
      <c r="X831" s="15">
        <f t="shared" si="153"/>
        <v>1.05</v>
      </c>
      <c r="Y831" s="15">
        <f t="shared" si="154"/>
        <v>0.95</v>
      </c>
      <c r="Z831" s="15">
        <f t="shared" ca="1" si="155"/>
        <v>1</v>
      </c>
    </row>
    <row r="832" spans="12:26" x14ac:dyDescent="0.3">
      <c r="L832" s="15">
        <v>830</v>
      </c>
      <c r="M832" s="15">
        <f t="shared" si="147"/>
        <v>1</v>
      </c>
      <c r="N832" s="15">
        <f t="shared" ca="1" si="148"/>
        <v>-2.2591977618307002E-2</v>
      </c>
      <c r="O832" s="15">
        <f t="shared" ca="1" si="157"/>
        <v>0.25123817769140994</v>
      </c>
      <c r="P832" s="15">
        <f t="shared" ca="1" si="156"/>
        <v>0.25123816455044745</v>
      </c>
      <c r="Q832" s="15">
        <v>0</v>
      </c>
      <c r="R832" s="15">
        <f t="shared" ca="1" si="149"/>
        <v>0.25123816455044745</v>
      </c>
      <c r="S832" s="15">
        <f t="shared" ca="1" si="158"/>
        <v>1.0208746686632715</v>
      </c>
      <c r="T832" s="15">
        <f t="shared" ca="1" si="150"/>
        <v>1.7173273749149054E-3</v>
      </c>
      <c r="U832" s="15">
        <f t="shared" ca="1" si="151"/>
        <v>1.0225919960381864</v>
      </c>
      <c r="V832" s="15">
        <f t="shared" ca="1" si="152"/>
        <v>1.022591977618307</v>
      </c>
      <c r="X832" s="15">
        <f t="shared" si="153"/>
        <v>1.05</v>
      </c>
      <c r="Y832" s="15">
        <f t="shared" si="154"/>
        <v>0.95</v>
      </c>
      <c r="Z832" s="15">
        <f t="shared" ca="1" si="155"/>
        <v>1</v>
      </c>
    </row>
    <row r="833" spans="12:26" x14ac:dyDescent="0.3">
      <c r="L833" s="15">
        <v>831</v>
      </c>
      <c r="M833" s="15">
        <f t="shared" si="147"/>
        <v>1</v>
      </c>
      <c r="N833" s="15">
        <f t="shared" ca="1" si="148"/>
        <v>-2.7358533122427309E-2</v>
      </c>
      <c r="O833" s="15">
        <f t="shared" ca="1" si="157"/>
        <v>0.24686310594553323</v>
      </c>
      <c r="P833" s="15">
        <f t="shared" ca="1" si="156"/>
        <v>0.24686309049065763</v>
      </c>
      <c r="Q833" s="15">
        <v>0</v>
      </c>
      <c r="R833" s="15">
        <f t="shared" ca="1" si="149"/>
        <v>0.24686309049065763</v>
      </c>
      <c r="S833" s="15">
        <f t="shared" ca="1" si="158"/>
        <v>1.0207976317928991</v>
      </c>
      <c r="T833" s="15">
        <f t="shared" ca="1" si="150"/>
        <v>6.5609046259388808E-3</v>
      </c>
      <c r="U833" s="15">
        <f t="shared" ca="1" si="151"/>
        <v>1.027358536418838</v>
      </c>
      <c r="V833" s="15">
        <f t="shared" ca="1" si="152"/>
        <v>1.0273585331224273</v>
      </c>
      <c r="X833" s="15">
        <f t="shared" si="153"/>
        <v>1.05</v>
      </c>
      <c r="Y833" s="15">
        <f t="shared" si="154"/>
        <v>0.95</v>
      </c>
      <c r="Z833" s="15">
        <f t="shared" ca="1" si="155"/>
        <v>1</v>
      </c>
    </row>
    <row r="834" spans="12:26" x14ac:dyDescent="0.3">
      <c r="L834" s="15">
        <v>832</v>
      </c>
      <c r="M834" s="15">
        <f t="shared" si="147"/>
        <v>1</v>
      </c>
      <c r="N834" s="15">
        <f t="shared" ca="1" si="148"/>
        <v>-2.3405534453551757E-2</v>
      </c>
      <c r="O834" s="15">
        <f t="shared" ca="1" si="157"/>
        <v>0.24686310594553323</v>
      </c>
      <c r="P834" s="15">
        <f t="shared" ca="1" si="156"/>
        <v>0.24686309049065763</v>
      </c>
      <c r="Q834" s="15">
        <v>0</v>
      </c>
      <c r="R834" s="15">
        <f t="shared" ca="1" si="149"/>
        <v>0.24686309049065763</v>
      </c>
      <c r="S834" s="15">
        <f t="shared" ca="1" si="158"/>
        <v>1.0206732605634563</v>
      </c>
      <c r="T834" s="15">
        <f t="shared" ca="1" si="150"/>
        <v>2.732280897013818E-3</v>
      </c>
      <c r="U834" s="15">
        <f t="shared" ca="1" si="151"/>
        <v>1.0234055414604701</v>
      </c>
      <c r="V834" s="15">
        <f t="shared" ca="1" si="152"/>
        <v>1.0234055344535518</v>
      </c>
      <c r="X834" s="15">
        <f t="shared" si="153"/>
        <v>1.05</v>
      </c>
      <c r="Y834" s="15">
        <f t="shared" si="154"/>
        <v>0.95</v>
      </c>
      <c r="Z834" s="15">
        <f t="shared" ca="1" si="155"/>
        <v>1</v>
      </c>
    </row>
    <row r="835" spans="12:26" x14ac:dyDescent="0.3">
      <c r="L835" s="15">
        <v>833</v>
      </c>
      <c r="M835" s="15">
        <f t="shared" ref="M835:M898" si="159">IF(L835&lt;$D$16,$D$13,IF(L835&lt;$E$16,$E$13,$F$13))</f>
        <v>1</v>
      </c>
      <c r="N835" s="15">
        <f t="shared" ref="N835:N898" ca="1" si="160">M835-V835</f>
        <v>-2.495283377937807E-2</v>
      </c>
      <c r="O835" s="15">
        <f t="shared" ca="1" si="157"/>
        <v>0.24686310594553323</v>
      </c>
      <c r="P835" s="15">
        <f t="shared" ca="1" si="156"/>
        <v>0.24686309049065763</v>
      </c>
      <c r="Q835" s="15">
        <v>0</v>
      </c>
      <c r="R835" s="15">
        <f t="shared" ref="R835:R898" ca="1" si="161">P835+Q835</f>
        <v>0.24686309049065763</v>
      </c>
      <c r="S835" s="15">
        <f t="shared" ca="1" si="158"/>
        <v>1.0205080894589327</v>
      </c>
      <c r="T835" s="15">
        <f t="shared" ref="T835:T898" ca="1" si="162">RAND()*$G$12</f>
        <v>4.4447561729057117E-3</v>
      </c>
      <c r="U835" s="15">
        <f t="shared" ref="U835:U898" ca="1" si="163">S835+T835</f>
        <v>1.0249528456318384</v>
      </c>
      <c r="V835" s="15">
        <f t="shared" ref="V835:V898" ca="1" si="164">INT((2^$J$12-1)*U835/100)/(2^$J$12-1)*100</f>
        <v>1.0249528337793781</v>
      </c>
      <c r="X835" s="15">
        <f t="shared" ref="X835:X898" si="165">M835 * 1.05</f>
        <v>1.05</v>
      </c>
      <c r="Y835" s="15">
        <f t="shared" ref="Y835:Y898" si="166">M835 * 0.95</f>
        <v>0.95</v>
      </c>
      <c r="Z835" s="15">
        <f t="shared" ref="Z835:Z898" ca="1" si="167">IF(AND(V835 &lt;= X835, V835 &gt;= Y835), 1, 0)</f>
        <v>1</v>
      </c>
    </row>
    <row r="836" spans="12:26" x14ac:dyDescent="0.3">
      <c r="L836" s="15">
        <v>834</v>
      </c>
      <c r="M836" s="15">
        <f t="shared" si="159"/>
        <v>1</v>
      </c>
      <c r="N836" s="15">
        <f t="shared" ca="1" si="160"/>
        <v>-2.1904521859694492E-2</v>
      </c>
      <c r="O836" s="15">
        <f t="shared" ca="1" si="157"/>
        <v>0.25363984243161281</v>
      </c>
      <c r="P836" s="15">
        <f t="shared" ca="1" si="156"/>
        <v>0.25363983592336065</v>
      </c>
      <c r="Q836" s="15">
        <v>0</v>
      </c>
      <c r="R836" s="15">
        <f t="shared" ca="1" si="161"/>
        <v>0.25363983592336065</v>
      </c>
      <c r="S836" s="15">
        <f t="shared" ca="1" si="158"/>
        <v>1.0203267867952133</v>
      </c>
      <c r="T836" s="15">
        <f t="shared" ca="1" si="162"/>
        <v>1.5777513016466515E-3</v>
      </c>
      <c r="U836" s="15">
        <f t="shared" ca="1" si="163"/>
        <v>1.0219045380968599</v>
      </c>
      <c r="V836" s="15">
        <f t="shared" ca="1" si="164"/>
        <v>1.0219045218596945</v>
      </c>
      <c r="X836" s="15">
        <f t="shared" si="165"/>
        <v>1.05</v>
      </c>
      <c r="Y836" s="15">
        <f t="shared" si="166"/>
        <v>0.95</v>
      </c>
      <c r="Z836" s="15">
        <f t="shared" ca="1" si="167"/>
        <v>1</v>
      </c>
    </row>
    <row r="837" spans="12:26" x14ac:dyDescent="0.3">
      <c r="L837" s="15">
        <v>835</v>
      </c>
      <c r="M837" s="15">
        <f t="shared" si="159"/>
        <v>1</v>
      </c>
      <c r="N837" s="15">
        <f t="shared" ca="1" si="160"/>
        <v>-2.5523501687106487E-2</v>
      </c>
      <c r="O837" s="15">
        <f t="shared" ca="1" si="157"/>
        <v>0.25363984243161281</v>
      </c>
      <c r="P837" s="15">
        <f t="shared" ca="1" si="156"/>
        <v>0.25363983592336065</v>
      </c>
      <c r="Q837" s="15">
        <v>0</v>
      </c>
      <c r="R837" s="15">
        <f t="shared" ca="1" si="161"/>
        <v>0.25363983592336065</v>
      </c>
      <c r="S837" s="15">
        <f t="shared" ca="1" si="158"/>
        <v>1.020150126495911</v>
      </c>
      <c r="T837" s="15">
        <f t="shared" ca="1" si="162"/>
        <v>5.3733933906630407E-3</v>
      </c>
      <c r="U837" s="15">
        <f t="shared" ca="1" si="163"/>
        <v>1.025523519886574</v>
      </c>
      <c r="V837" s="15">
        <f t="shared" ca="1" si="164"/>
        <v>1.0255235016871065</v>
      </c>
      <c r="X837" s="15">
        <f t="shared" si="165"/>
        <v>1.05</v>
      </c>
      <c r="Y837" s="15">
        <f t="shared" si="166"/>
        <v>0.95</v>
      </c>
      <c r="Z837" s="15">
        <f t="shared" ca="1" si="167"/>
        <v>1</v>
      </c>
    </row>
    <row r="838" spans="12:26" x14ac:dyDescent="0.3">
      <c r="L838" s="15">
        <v>836</v>
      </c>
      <c r="M838" s="15">
        <f t="shared" si="159"/>
        <v>1</v>
      </c>
      <c r="N838" s="15">
        <f t="shared" ca="1" si="160"/>
        <v>-2.6023295946890235E-2</v>
      </c>
      <c r="O838" s="15">
        <f t="shared" ca="1" si="157"/>
        <v>0.25363984243161281</v>
      </c>
      <c r="P838" s="15">
        <f t="shared" ca="1" si="156"/>
        <v>0.25363983592336065</v>
      </c>
      <c r="Q838" s="15">
        <v>0</v>
      </c>
      <c r="R838" s="15">
        <f t="shared" ca="1" si="161"/>
        <v>0.25363983592336065</v>
      </c>
      <c r="S838" s="15">
        <f t="shared" ca="1" si="158"/>
        <v>1.0199782664813939</v>
      </c>
      <c r="T838" s="15">
        <f t="shared" ca="1" si="162"/>
        <v>6.0450315937267745E-3</v>
      </c>
      <c r="U838" s="15">
        <f t="shared" ca="1" si="163"/>
        <v>1.0260232980751207</v>
      </c>
      <c r="V838" s="15">
        <f t="shared" ca="1" si="164"/>
        <v>1.0260232959468902</v>
      </c>
      <c r="X838" s="15">
        <f t="shared" si="165"/>
        <v>1.05</v>
      </c>
      <c r="Y838" s="15">
        <f t="shared" si="166"/>
        <v>0.95</v>
      </c>
      <c r="Z838" s="15">
        <f t="shared" ca="1" si="167"/>
        <v>1</v>
      </c>
    </row>
    <row r="839" spans="12:26" x14ac:dyDescent="0.3">
      <c r="L839" s="15">
        <v>837</v>
      </c>
      <c r="M839" s="15">
        <f t="shared" si="159"/>
        <v>1</v>
      </c>
      <c r="N839" s="15">
        <f t="shared" ca="1" si="160"/>
        <v>-2.2340706787617126E-2</v>
      </c>
      <c r="O839" s="15">
        <f t="shared" ca="1" si="157"/>
        <v>0.2495928037307471</v>
      </c>
      <c r="P839" s="15">
        <f t="shared" ca="1" si="156"/>
        <v>0.24959279695749115</v>
      </c>
      <c r="Q839" s="15">
        <v>0</v>
      </c>
      <c r="R839" s="15">
        <f t="shared" ca="1" si="161"/>
        <v>0.24959279695749115</v>
      </c>
      <c r="S839" s="15">
        <f t="shared" ca="1" si="158"/>
        <v>1.0198067081627062</v>
      </c>
      <c r="T839" s="15">
        <f t="shared" ca="1" si="162"/>
        <v>2.5340038095893257E-3</v>
      </c>
      <c r="U839" s="15">
        <f t="shared" ca="1" si="163"/>
        <v>1.0223407119722956</v>
      </c>
      <c r="V839" s="15">
        <f t="shared" ca="1" si="164"/>
        <v>1.0223407067876171</v>
      </c>
      <c r="X839" s="15">
        <f t="shared" si="165"/>
        <v>1.05</v>
      </c>
      <c r="Y839" s="15">
        <f t="shared" si="166"/>
        <v>0.95</v>
      </c>
      <c r="Z839" s="15">
        <f t="shared" ca="1" si="167"/>
        <v>1</v>
      </c>
    </row>
    <row r="840" spans="12:26" x14ac:dyDescent="0.3">
      <c r="L840" s="15">
        <v>838</v>
      </c>
      <c r="M840" s="15">
        <f t="shared" si="159"/>
        <v>1</v>
      </c>
      <c r="N840" s="15">
        <f t="shared" ca="1" si="160"/>
        <v>-2.4980214663078204E-2</v>
      </c>
      <c r="O840" s="15">
        <f t="shared" ca="1" si="157"/>
        <v>0.2495928037307471</v>
      </c>
      <c r="P840" s="15">
        <f t="shared" ca="1" si="156"/>
        <v>0.24959279695749115</v>
      </c>
      <c r="Q840" s="15">
        <v>0</v>
      </c>
      <c r="R840" s="15">
        <f t="shared" ca="1" si="161"/>
        <v>0.24959279695749115</v>
      </c>
      <c r="S840" s="15">
        <f t="shared" ca="1" si="158"/>
        <v>1.0196317269321373</v>
      </c>
      <c r="T840" s="15">
        <f t="shared" ca="1" si="162"/>
        <v>5.3485081198415864E-3</v>
      </c>
      <c r="U840" s="15">
        <f t="shared" ca="1" si="163"/>
        <v>1.024980235051979</v>
      </c>
      <c r="V840" s="15">
        <f t="shared" ca="1" si="164"/>
        <v>1.0249802146630782</v>
      </c>
      <c r="X840" s="15">
        <f t="shared" si="165"/>
        <v>1.05</v>
      </c>
      <c r="Y840" s="15">
        <f t="shared" si="166"/>
        <v>0.95</v>
      </c>
      <c r="Z840" s="15">
        <f t="shared" ca="1" si="167"/>
        <v>1</v>
      </c>
    </row>
    <row r="841" spans="12:26" x14ac:dyDescent="0.3">
      <c r="L841" s="15">
        <v>839</v>
      </c>
      <c r="M841" s="15">
        <f t="shared" si="159"/>
        <v>1</v>
      </c>
      <c r="N841" s="15">
        <f t="shared" ca="1" si="160"/>
        <v>-2.0945934816483769E-2</v>
      </c>
      <c r="O841" s="15">
        <f t="shared" ca="1" si="157"/>
        <v>0.2495928037307471</v>
      </c>
      <c r="P841" s="15">
        <f t="shared" ca="1" si="156"/>
        <v>0.24959279695749115</v>
      </c>
      <c r="Q841" s="15">
        <v>0</v>
      </c>
      <c r="R841" s="15">
        <f t="shared" ca="1" si="161"/>
        <v>0.24959279695749115</v>
      </c>
      <c r="S841" s="15">
        <f t="shared" ca="1" si="158"/>
        <v>1.0194544973835047</v>
      </c>
      <c r="T841" s="15">
        <f t="shared" ca="1" si="162"/>
        <v>1.4914387244403793E-3</v>
      </c>
      <c r="U841" s="15">
        <f t="shared" ca="1" si="163"/>
        <v>1.0209459361079452</v>
      </c>
      <c r="V841" s="15">
        <f t="shared" ca="1" si="164"/>
        <v>1.0209459348164838</v>
      </c>
      <c r="X841" s="15">
        <f t="shared" si="165"/>
        <v>1.05</v>
      </c>
      <c r="Y841" s="15">
        <f t="shared" si="166"/>
        <v>0.95</v>
      </c>
      <c r="Z841" s="15">
        <f t="shared" ca="1" si="167"/>
        <v>1</v>
      </c>
    </row>
    <row r="842" spans="12:26" x14ac:dyDescent="0.3">
      <c r="L842" s="15">
        <v>840</v>
      </c>
      <c r="M842" s="15">
        <f t="shared" si="159"/>
        <v>1</v>
      </c>
      <c r="N842" s="15">
        <f t="shared" ca="1" si="160"/>
        <v>-2.5010459363695947E-2</v>
      </c>
      <c r="O842" s="15">
        <f t="shared" ca="1" si="157"/>
        <v>0.2473072053195827</v>
      </c>
      <c r="P842" s="15">
        <f t="shared" ca="1" si="156"/>
        <v>0.24730719166046639</v>
      </c>
      <c r="Q842" s="15">
        <v>0</v>
      </c>
      <c r="R842" s="15">
        <f t="shared" ca="1" si="161"/>
        <v>0.24730719166046639</v>
      </c>
      <c r="S842" s="15">
        <f t="shared" ca="1" si="158"/>
        <v>1.0192266965124479</v>
      </c>
      <c r="T842" s="15">
        <f t="shared" ca="1" si="162"/>
        <v>5.7837753693710907E-3</v>
      </c>
      <c r="U842" s="15">
        <f t="shared" ca="1" si="163"/>
        <v>1.0250104718818189</v>
      </c>
      <c r="V842" s="15">
        <f t="shared" ca="1" si="164"/>
        <v>1.0250104593636959</v>
      </c>
      <c r="X842" s="15">
        <f t="shared" si="165"/>
        <v>1.05</v>
      </c>
      <c r="Y842" s="15">
        <f t="shared" si="166"/>
        <v>0.95</v>
      </c>
      <c r="Z842" s="15">
        <f t="shared" ca="1" si="167"/>
        <v>1</v>
      </c>
    </row>
    <row r="843" spans="12:26" x14ac:dyDescent="0.3">
      <c r="L843" s="15">
        <v>841</v>
      </c>
      <c r="M843" s="15">
        <f t="shared" si="159"/>
        <v>1</v>
      </c>
      <c r="N843" s="15">
        <f t="shared" ca="1" si="160"/>
        <v>-2.8895774164445776E-2</v>
      </c>
      <c r="O843" s="15">
        <f t="shared" ca="1" si="157"/>
        <v>0.2473072053195827</v>
      </c>
      <c r="P843" s="15">
        <f t="shared" ca="1" si="156"/>
        <v>0.24730719166046639</v>
      </c>
      <c r="Q843" s="15">
        <v>0</v>
      </c>
      <c r="R843" s="15">
        <f t="shared" ca="1" si="161"/>
        <v>0.24730719166046639</v>
      </c>
      <c r="S843" s="15">
        <f t="shared" ca="1" si="158"/>
        <v>1.0189085327975391</v>
      </c>
      <c r="T843" s="15">
        <f t="shared" ca="1" si="162"/>
        <v>9.9872507659977804E-3</v>
      </c>
      <c r="U843" s="15">
        <f t="shared" ca="1" si="163"/>
        <v>1.0288957835635368</v>
      </c>
      <c r="V843" s="15">
        <f t="shared" ca="1" si="164"/>
        <v>1.0288957741644458</v>
      </c>
      <c r="X843" s="15">
        <f t="shared" si="165"/>
        <v>1.05</v>
      </c>
      <c r="Y843" s="15">
        <f t="shared" si="166"/>
        <v>0.95</v>
      </c>
      <c r="Z843" s="15">
        <f t="shared" ca="1" si="167"/>
        <v>1</v>
      </c>
    </row>
    <row r="844" spans="12:26" x14ac:dyDescent="0.3">
      <c r="L844" s="15">
        <v>842</v>
      </c>
      <c r="M844" s="15">
        <f t="shared" si="159"/>
        <v>1</v>
      </c>
      <c r="N844" s="15">
        <f t="shared" ca="1" si="160"/>
        <v>-2.3595640674139329E-2</v>
      </c>
      <c r="O844" s="15">
        <f t="shared" ca="1" si="157"/>
        <v>0.2473072053195827</v>
      </c>
      <c r="P844" s="15">
        <f t="shared" ca="1" si="156"/>
        <v>0.24730719166046639</v>
      </c>
      <c r="Q844" s="15">
        <v>0</v>
      </c>
      <c r="R844" s="15">
        <f t="shared" ca="1" si="161"/>
        <v>0.24730719166046639</v>
      </c>
      <c r="S844" s="15">
        <f t="shared" ca="1" si="158"/>
        <v>1.018512822260476</v>
      </c>
      <c r="T844" s="15">
        <f t="shared" ca="1" si="162"/>
        <v>5.0828240179060782E-3</v>
      </c>
      <c r="U844" s="15">
        <f t="shared" ca="1" si="163"/>
        <v>1.0235956462783822</v>
      </c>
      <c r="V844" s="15">
        <f t="shared" ca="1" si="164"/>
        <v>1.0235956406741393</v>
      </c>
      <c r="X844" s="15">
        <f t="shared" si="165"/>
        <v>1.05</v>
      </c>
      <c r="Y844" s="15">
        <f t="shared" si="166"/>
        <v>0.95</v>
      </c>
      <c r="Z844" s="15">
        <f t="shared" ca="1" si="167"/>
        <v>1</v>
      </c>
    </row>
    <row r="845" spans="12:26" x14ac:dyDescent="0.3">
      <c r="L845" s="15">
        <v>843</v>
      </c>
      <c r="M845" s="15">
        <f t="shared" si="159"/>
        <v>1</v>
      </c>
      <c r="N845" s="15">
        <f t="shared" ca="1" si="160"/>
        <v>-2.0741090416149577E-2</v>
      </c>
      <c r="O845" s="15">
        <f t="shared" ca="1" si="157"/>
        <v>0.25178996761011407</v>
      </c>
      <c r="P845" s="15">
        <f t="shared" ref="P845:P908" ca="1" si="168">INT((2^$J$12-1)*O845/100)/(2^$J$12-1)*100</f>
        <v>0.25178994989297121</v>
      </c>
      <c r="Q845" s="15">
        <v>0</v>
      </c>
      <c r="R845" s="15">
        <f t="shared" ca="1" si="161"/>
        <v>0.25178994989297121</v>
      </c>
      <c r="S845" s="15">
        <f t="shared" ca="1" si="158"/>
        <v>1.0180819738563982</v>
      </c>
      <c r="T845" s="15">
        <f t="shared" ca="1" si="162"/>
        <v>2.659132250068451E-3</v>
      </c>
      <c r="U845" s="15">
        <f t="shared" ca="1" si="163"/>
        <v>1.0207411061064666</v>
      </c>
      <c r="V845" s="15">
        <f t="shared" ca="1" si="164"/>
        <v>1.0207410904161496</v>
      </c>
      <c r="X845" s="15">
        <f t="shared" si="165"/>
        <v>1.05</v>
      </c>
      <c r="Y845" s="15">
        <f t="shared" si="166"/>
        <v>0.95</v>
      </c>
      <c r="Z845" s="15">
        <f t="shared" ca="1" si="167"/>
        <v>1</v>
      </c>
    </row>
    <row r="846" spans="12:26" x14ac:dyDescent="0.3">
      <c r="L846" s="15">
        <v>844</v>
      </c>
      <c r="M846" s="15">
        <f t="shared" si="159"/>
        <v>1</v>
      </c>
      <c r="N846" s="15">
        <f t="shared" ca="1" si="160"/>
        <v>-2.6063855045024287E-2</v>
      </c>
      <c r="O846" s="15">
        <f t="shared" ca="1" si="157"/>
        <v>0.25178996761011407</v>
      </c>
      <c r="P846" s="15">
        <f t="shared" ca="1" si="168"/>
        <v>0.25178994989297121</v>
      </c>
      <c r="Q846" s="15">
        <v>0</v>
      </c>
      <c r="R846" s="15">
        <f t="shared" ca="1" si="161"/>
        <v>0.25178994989297121</v>
      </c>
      <c r="S846" s="15">
        <f t="shared" ca="1" si="158"/>
        <v>1.0176517952467048</v>
      </c>
      <c r="T846" s="15">
        <f t="shared" ca="1" si="162"/>
        <v>8.4120619140729772E-3</v>
      </c>
      <c r="U846" s="15">
        <f t="shared" ca="1" si="163"/>
        <v>1.0260638571607779</v>
      </c>
      <c r="V846" s="15">
        <f t="shared" ca="1" si="164"/>
        <v>1.0260638550450243</v>
      </c>
      <c r="X846" s="15">
        <f t="shared" si="165"/>
        <v>1.05</v>
      </c>
      <c r="Y846" s="15">
        <f t="shared" si="166"/>
        <v>0.95</v>
      </c>
      <c r="Z846" s="15">
        <f t="shared" ca="1" si="167"/>
        <v>1</v>
      </c>
    </row>
    <row r="847" spans="12:26" x14ac:dyDescent="0.3">
      <c r="L847" s="15">
        <v>845</v>
      </c>
      <c r="M847" s="15">
        <f t="shared" si="159"/>
        <v>1</v>
      </c>
      <c r="N847" s="15">
        <f t="shared" ca="1" si="160"/>
        <v>-1.7389795979808387E-2</v>
      </c>
      <c r="O847" s="15">
        <f t="shared" ca="1" si="157"/>
        <v>0.25178996761011407</v>
      </c>
      <c r="P847" s="15">
        <f t="shared" ca="1" si="168"/>
        <v>0.25178994989297121</v>
      </c>
      <c r="Q847" s="15">
        <v>0</v>
      </c>
      <c r="R847" s="15">
        <f t="shared" ca="1" si="161"/>
        <v>0.25178994989297121</v>
      </c>
      <c r="S847" s="15">
        <f t="shared" ca="1" si="158"/>
        <v>1.0172240208983618</v>
      </c>
      <c r="T847" s="15">
        <f t="shared" ca="1" si="162"/>
        <v>1.6578687718071694E-4</v>
      </c>
      <c r="U847" s="15">
        <f t="shared" ca="1" si="163"/>
        <v>1.0173898077755426</v>
      </c>
      <c r="V847" s="15">
        <f t="shared" ca="1" si="164"/>
        <v>1.0173897959798084</v>
      </c>
      <c r="X847" s="15">
        <f t="shared" si="165"/>
        <v>1.05</v>
      </c>
      <c r="Y847" s="15">
        <f t="shared" si="166"/>
        <v>0.95</v>
      </c>
      <c r="Z847" s="15">
        <f t="shared" ca="1" si="167"/>
        <v>1</v>
      </c>
    </row>
    <row r="848" spans="12:26" x14ac:dyDescent="0.3">
      <c r="L848" s="15">
        <v>846</v>
      </c>
      <c r="M848" s="15">
        <f t="shared" si="159"/>
        <v>1</v>
      </c>
      <c r="N848" s="15">
        <f t="shared" ca="1" si="160"/>
        <v>-1.7087744785726056E-2</v>
      </c>
      <c r="O848" s="15">
        <f t="shared" ca="1" si="157"/>
        <v>0.25170654545133458</v>
      </c>
      <c r="P848" s="15">
        <f t="shared" ca="1" si="168"/>
        <v>0.2517065266733306</v>
      </c>
      <c r="Q848" s="15">
        <v>0</v>
      </c>
      <c r="R848" s="15">
        <f t="shared" ca="1" si="161"/>
        <v>0.2517065266733306</v>
      </c>
      <c r="S848" s="15">
        <f t="shared" ca="1" si="158"/>
        <v>1.016825483097956</v>
      </c>
      <c r="T848" s="15">
        <f t="shared" ca="1" si="162"/>
        <v>2.6227910373232023E-4</v>
      </c>
      <c r="U848" s="15">
        <f t="shared" ca="1" si="163"/>
        <v>1.0170877622016883</v>
      </c>
      <c r="V848" s="15">
        <f t="shared" ca="1" si="164"/>
        <v>1.0170877447857261</v>
      </c>
      <c r="X848" s="15">
        <f t="shared" si="165"/>
        <v>1.05</v>
      </c>
      <c r="Y848" s="15">
        <f t="shared" si="166"/>
        <v>0.95</v>
      </c>
      <c r="Z848" s="15">
        <f t="shared" ca="1" si="167"/>
        <v>1</v>
      </c>
    </row>
    <row r="849" spans="12:26" x14ac:dyDescent="0.3">
      <c r="L849" s="15">
        <v>847</v>
      </c>
      <c r="M849" s="15">
        <f t="shared" si="159"/>
        <v>1</v>
      </c>
      <c r="N849" s="15">
        <f t="shared" ca="1" si="160"/>
        <v>-1.8496230481773734E-2</v>
      </c>
      <c r="O849" s="15">
        <f t="shared" ca="1" si="157"/>
        <v>0.25170654545133458</v>
      </c>
      <c r="P849" s="15">
        <f t="shared" ca="1" si="168"/>
        <v>0.2517065266733306</v>
      </c>
      <c r="Q849" s="15">
        <v>0</v>
      </c>
      <c r="R849" s="15">
        <f t="shared" ca="1" si="161"/>
        <v>0.2517065266733306</v>
      </c>
      <c r="S849" s="15">
        <f t="shared" ca="1" si="158"/>
        <v>1.0164783639416679</v>
      </c>
      <c r="T849" s="15">
        <f t="shared" ca="1" si="162"/>
        <v>2.0178773806219107E-3</v>
      </c>
      <c r="U849" s="15">
        <f t="shared" ca="1" si="163"/>
        <v>1.0184962413222898</v>
      </c>
      <c r="V849" s="15">
        <f t="shared" ca="1" si="164"/>
        <v>1.0184962304817737</v>
      </c>
      <c r="X849" s="15">
        <f t="shared" si="165"/>
        <v>1.05</v>
      </c>
      <c r="Y849" s="15">
        <f t="shared" si="166"/>
        <v>0.95</v>
      </c>
      <c r="Z849" s="15">
        <f t="shared" ca="1" si="167"/>
        <v>1</v>
      </c>
    </row>
    <row r="850" spans="12:26" x14ac:dyDescent="0.3">
      <c r="L850" s="15">
        <v>848</v>
      </c>
      <c r="M850" s="15">
        <f t="shared" si="159"/>
        <v>1</v>
      </c>
      <c r="N850" s="15">
        <f t="shared" ca="1" si="160"/>
        <v>-2.0889100856354759E-2</v>
      </c>
      <c r="O850" s="15">
        <f t="shared" ca="1" si="157"/>
        <v>0.25170654545133458</v>
      </c>
      <c r="P850" s="15">
        <f t="shared" ca="1" si="168"/>
        <v>0.2517065266733306</v>
      </c>
      <c r="Q850" s="15">
        <v>0</v>
      </c>
      <c r="R850" s="15">
        <f t="shared" ca="1" si="161"/>
        <v>0.2517065266733306</v>
      </c>
      <c r="S850" s="15">
        <f t="shared" ca="1" si="158"/>
        <v>1.0161776047228523</v>
      </c>
      <c r="T850" s="15">
        <f t="shared" ca="1" si="162"/>
        <v>4.7115007951301566E-3</v>
      </c>
      <c r="U850" s="15">
        <f t="shared" ca="1" si="163"/>
        <v>1.0208891055179825</v>
      </c>
      <c r="V850" s="15">
        <f t="shared" ca="1" si="164"/>
        <v>1.0208891008563548</v>
      </c>
      <c r="X850" s="15">
        <f t="shared" si="165"/>
        <v>1.05</v>
      </c>
      <c r="Y850" s="15">
        <f t="shared" si="166"/>
        <v>0.95</v>
      </c>
      <c r="Z850" s="15">
        <f t="shared" ca="1" si="167"/>
        <v>1</v>
      </c>
    </row>
    <row r="851" spans="12:26" x14ac:dyDescent="0.3">
      <c r="L851" s="15">
        <v>849</v>
      </c>
      <c r="M851" s="15">
        <f t="shared" si="159"/>
        <v>1</v>
      </c>
      <c r="N851" s="15">
        <f t="shared" ca="1" si="160"/>
        <v>-2.0541112176268639E-2</v>
      </c>
      <c r="O851" s="15">
        <f t="shared" ca="1" si="157"/>
        <v>0.24645146454919406</v>
      </c>
      <c r="P851" s="15">
        <f t="shared" ca="1" si="168"/>
        <v>0.24645144591258172</v>
      </c>
      <c r="Q851" s="15">
        <v>0</v>
      </c>
      <c r="R851" s="15">
        <f t="shared" ca="1" si="161"/>
        <v>0.24645144591258172</v>
      </c>
      <c r="S851" s="15">
        <f t="shared" ca="1" si="158"/>
        <v>1.0158924918103007</v>
      </c>
      <c r="T851" s="15">
        <f t="shared" ca="1" si="162"/>
        <v>4.6486348010630384E-3</v>
      </c>
      <c r="U851" s="15">
        <f t="shared" ca="1" si="163"/>
        <v>1.0205411266113638</v>
      </c>
      <c r="V851" s="15">
        <f t="shared" ca="1" si="164"/>
        <v>1.0205411121762686</v>
      </c>
      <c r="X851" s="15">
        <f t="shared" si="165"/>
        <v>1.05</v>
      </c>
      <c r="Y851" s="15">
        <f t="shared" si="166"/>
        <v>0.95</v>
      </c>
      <c r="Z851" s="15">
        <f t="shared" ca="1" si="167"/>
        <v>1</v>
      </c>
    </row>
    <row r="852" spans="12:26" x14ac:dyDescent="0.3">
      <c r="L852" s="15">
        <v>850</v>
      </c>
      <c r="M852" s="15">
        <f t="shared" si="159"/>
        <v>1</v>
      </c>
      <c r="N852" s="15">
        <f t="shared" ca="1" si="160"/>
        <v>-2.3426605626807318E-2</v>
      </c>
      <c r="O852" s="15">
        <f t="shared" ca="1" si="157"/>
        <v>0.24645146454919406</v>
      </c>
      <c r="P852" s="15">
        <f t="shared" ca="1" si="168"/>
        <v>0.24645144591258172</v>
      </c>
      <c r="Q852" s="15">
        <v>0</v>
      </c>
      <c r="R852" s="15">
        <f t="shared" ca="1" si="161"/>
        <v>0.24645144591258172</v>
      </c>
      <c r="S852" s="15">
        <f t="shared" ca="1" si="158"/>
        <v>1.0155972987994577</v>
      </c>
      <c r="T852" s="15">
        <f t="shared" ca="1" si="162"/>
        <v>7.8293130793946463E-3</v>
      </c>
      <c r="U852" s="15">
        <f t="shared" ca="1" si="163"/>
        <v>1.0234266118788524</v>
      </c>
      <c r="V852" s="15">
        <f t="shared" ca="1" si="164"/>
        <v>1.0234266056268073</v>
      </c>
      <c r="X852" s="15">
        <f t="shared" si="165"/>
        <v>1.05</v>
      </c>
      <c r="Y852" s="15">
        <f t="shared" si="166"/>
        <v>0.95</v>
      </c>
      <c r="Z852" s="15">
        <f t="shared" ca="1" si="167"/>
        <v>1</v>
      </c>
    </row>
    <row r="853" spans="12:26" x14ac:dyDescent="0.3">
      <c r="L853" s="15">
        <v>851</v>
      </c>
      <c r="M853" s="15">
        <f t="shared" si="159"/>
        <v>1</v>
      </c>
      <c r="N853" s="15">
        <f t="shared" ca="1" si="160"/>
        <v>-2.4063956230893746E-2</v>
      </c>
      <c r="O853" s="15">
        <f t="shared" ca="1" si="157"/>
        <v>0.24645146454919406</v>
      </c>
      <c r="P853" s="15">
        <f t="shared" ca="1" si="168"/>
        <v>0.24645144591258172</v>
      </c>
      <c r="Q853" s="15">
        <v>0</v>
      </c>
      <c r="R853" s="15">
        <f t="shared" ca="1" si="161"/>
        <v>0.24645144591258172</v>
      </c>
      <c r="S853" s="15">
        <f t="shared" ca="1" si="158"/>
        <v>1.0152945537709099</v>
      </c>
      <c r="T853" s="15">
        <f t="shared" ca="1" si="162"/>
        <v>8.76941767740105E-3</v>
      </c>
      <c r="U853" s="15">
        <f t="shared" ca="1" si="163"/>
        <v>1.0240639714483111</v>
      </c>
      <c r="V853" s="15">
        <f t="shared" ca="1" si="164"/>
        <v>1.0240639562308937</v>
      </c>
      <c r="X853" s="15">
        <f t="shared" si="165"/>
        <v>1.05</v>
      </c>
      <c r="Y853" s="15">
        <f t="shared" si="166"/>
        <v>0.95</v>
      </c>
      <c r="Z853" s="15">
        <f t="shared" ca="1" si="167"/>
        <v>1</v>
      </c>
    </row>
    <row r="854" spans="12:26" x14ac:dyDescent="0.3">
      <c r="L854" s="15">
        <v>852</v>
      </c>
      <c r="M854" s="15">
        <f t="shared" si="159"/>
        <v>1</v>
      </c>
      <c r="N854" s="15">
        <f t="shared" ca="1" si="160"/>
        <v>-1.6003079948947452E-2</v>
      </c>
      <c r="O854" s="15">
        <f t="shared" ca="1" si="157"/>
        <v>0.25170435259814622</v>
      </c>
      <c r="P854" s="15">
        <f t="shared" ca="1" si="168"/>
        <v>0.2517043380652797</v>
      </c>
      <c r="Q854" s="15">
        <v>0</v>
      </c>
      <c r="R854" s="15">
        <f t="shared" ca="1" si="161"/>
        <v>0.2517043380652797</v>
      </c>
      <c r="S854" s="15">
        <f t="shared" ca="1" si="158"/>
        <v>1.0149486489282455</v>
      </c>
      <c r="T854" s="15">
        <f t="shared" ca="1" si="162"/>
        <v>1.0544447505941102E-3</v>
      </c>
      <c r="U854" s="15">
        <f t="shared" ca="1" si="163"/>
        <v>1.0160030936788396</v>
      </c>
      <c r="V854" s="15">
        <f t="shared" ca="1" si="164"/>
        <v>1.0160030799489475</v>
      </c>
      <c r="X854" s="15">
        <f t="shared" si="165"/>
        <v>1.05</v>
      </c>
      <c r="Y854" s="15">
        <f t="shared" si="166"/>
        <v>0.95</v>
      </c>
      <c r="Z854" s="15">
        <f t="shared" ca="1" si="167"/>
        <v>1</v>
      </c>
    </row>
    <row r="855" spans="12:26" x14ac:dyDescent="0.3">
      <c r="L855" s="15">
        <v>853</v>
      </c>
      <c r="M855" s="15">
        <f t="shared" si="159"/>
        <v>1</v>
      </c>
      <c r="N855" s="15">
        <f t="shared" ca="1" si="160"/>
        <v>-1.7245883358932401E-2</v>
      </c>
      <c r="O855" s="15">
        <f t="shared" ref="O855:O918" ca="1" si="169">IF(MOD(L855,$B$11)=0,OFFSET(O855,-$B$11,0)+ $E$2*N855+$E$3*OFFSET(N855,-$B$11,0)+ $E$4*OFFSET(N855,-2* $B$11,0), O854)</f>
        <v>0.25170435259814622</v>
      </c>
      <c r="P855" s="15">
        <f t="shared" ca="1" si="168"/>
        <v>0.2517043380652797</v>
      </c>
      <c r="Q855" s="15">
        <v>0</v>
      </c>
      <c r="R855" s="15">
        <f t="shared" ca="1" si="161"/>
        <v>0.2517043380652797</v>
      </c>
      <c r="S855" s="15">
        <f t="shared" ca="1" si="158"/>
        <v>1.0145303533277774</v>
      </c>
      <c r="T855" s="15">
        <f t="shared" ca="1" si="162"/>
        <v>2.715531835483368E-3</v>
      </c>
      <c r="U855" s="15">
        <f t="shared" ca="1" si="163"/>
        <v>1.0172458851632609</v>
      </c>
      <c r="V855" s="15">
        <f t="shared" ca="1" si="164"/>
        <v>1.0172458833589324</v>
      </c>
      <c r="X855" s="15">
        <f t="shared" si="165"/>
        <v>1.05</v>
      </c>
      <c r="Y855" s="15">
        <f t="shared" si="166"/>
        <v>0.95</v>
      </c>
      <c r="Z855" s="15">
        <f t="shared" ca="1" si="167"/>
        <v>1</v>
      </c>
    </row>
    <row r="856" spans="12:26" x14ac:dyDescent="0.3">
      <c r="L856" s="15">
        <v>854</v>
      </c>
      <c r="M856" s="15">
        <f t="shared" si="159"/>
        <v>1</v>
      </c>
      <c r="N856" s="15">
        <f t="shared" ca="1" si="160"/>
        <v>-1.8275250917830332E-2</v>
      </c>
      <c r="O856" s="15">
        <f t="shared" ca="1" si="169"/>
        <v>0.25170435259814622</v>
      </c>
      <c r="P856" s="15">
        <f t="shared" ca="1" si="168"/>
        <v>0.2517043380652797</v>
      </c>
      <c r="Q856" s="15">
        <v>0</v>
      </c>
      <c r="R856" s="15">
        <f t="shared" ca="1" si="161"/>
        <v>0.2517043380652797</v>
      </c>
      <c r="S856" s="15">
        <f t="shared" ca="1" si="158"/>
        <v>1.0140506252023984</v>
      </c>
      <c r="T856" s="15">
        <f t="shared" ca="1" si="162"/>
        <v>4.2246397414513574E-3</v>
      </c>
      <c r="U856" s="15">
        <f t="shared" ca="1" si="163"/>
        <v>1.0182752649438498</v>
      </c>
      <c r="V856" s="15">
        <f t="shared" ca="1" si="164"/>
        <v>1.0182752509178303</v>
      </c>
      <c r="X856" s="15">
        <f t="shared" si="165"/>
        <v>1.05</v>
      </c>
      <c r="Y856" s="15">
        <f t="shared" si="166"/>
        <v>0.95</v>
      </c>
      <c r="Z856" s="15">
        <f t="shared" ca="1" si="167"/>
        <v>1</v>
      </c>
    </row>
    <row r="857" spans="12:26" x14ac:dyDescent="0.3">
      <c r="L857" s="15">
        <v>855</v>
      </c>
      <c r="M857" s="15">
        <f t="shared" si="159"/>
        <v>1</v>
      </c>
      <c r="N857" s="15">
        <f t="shared" ca="1" si="160"/>
        <v>-2.3375638998899717E-2</v>
      </c>
      <c r="O857" s="15">
        <f t="shared" ca="1" si="169"/>
        <v>0.2428443097803937</v>
      </c>
      <c r="P857" s="15">
        <f t="shared" ca="1" si="168"/>
        <v>0.24284429388186993</v>
      </c>
      <c r="Q857" s="15">
        <v>0</v>
      </c>
      <c r="R857" s="15">
        <f t="shared" ca="1" si="161"/>
        <v>0.24284429388186993</v>
      </c>
      <c r="S857" s="15">
        <f t="shared" ref="S857:S920" ca="1" si="170">$I$1*S856-$I$2*S855+$I$3*R836+$I$4*R835</f>
        <v>1.0135779143815322</v>
      </c>
      <c r="T857" s="15">
        <f t="shared" ca="1" si="162"/>
        <v>9.7977395441020097E-3</v>
      </c>
      <c r="U857" s="15">
        <f t="shared" ca="1" si="163"/>
        <v>1.0233756539256342</v>
      </c>
      <c r="V857" s="15">
        <f t="shared" ca="1" si="164"/>
        <v>1.0233756389988997</v>
      </c>
      <c r="X857" s="15">
        <f t="shared" si="165"/>
        <v>1.05</v>
      </c>
      <c r="Y857" s="15">
        <f t="shared" si="166"/>
        <v>0.95</v>
      </c>
      <c r="Z857" s="15">
        <f t="shared" ca="1" si="167"/>
        <v>1</v>
      </c>
    </row>
    <row r="858" spans="12:26" x14ac:dyDescent="0.3">
      <c r="L858" s="15">
        <v>856</v>
      </c>
      <c r="M858" s="15">
        <f t="shared" si="159"/>
        <v>1</v>
      </c>
      <c r="N858" s="15">
        <f t="shared" ca="1" si="160"/>
        <v>-2.1702098898054523E-2</v>
      </c>
      <c r="O858" s="15">
        <f t="shared" ca="1" si="169"/>
        <v>0.2428443097803937</v>
      </c>
      <c r="P858" s="15">
        <f t="shared" ca="1" si="168"/>
        <v>0.24284429388186993</v>
      </c>
      <c r="Q858" s="15">
        <v>0</v>
      </c>
      <c r="R858" s="15">
        <f t="shared" ca="1" si="161"/>
        <v>0.24284429388186993</v>
      </c>
      <c r="S858" s="15">
        <f t="shared" ca="1" si="170"/>
        <v>1.0131693587242472</v>
      </c>
      <c r="T858" s="15">
        <f t="shared" ca="1" si="162"/>
        <v>8.5327598216717246E-3</v>
      </c>
      <c r="U858" s="15">
        <f t="shared" ca="1" si="163"/>
        <v>1.021702118545919</v>
      </c>
      <c r="V858" s="15">
        <f t="shared" ca="1" si="164"/>
        <v>1.0217020988980545</v>
      </c>
      <c r="X858" s="15">
        <f t="shared" si="165"/>
        <v>1.05</v>
      </c>
      <c r="Y858" s="15">
        <f t="shared" si="166"/>
        <v>0.95</v>
      </c>
      <c r="Z858" s="15">
        <f t="shared" ca="1" si="167"/>
        <v>1</v>
      </c>
    </row>
    <row r="859" spans="12:26" x14ac:dyDescent="0.3">
      <c r="L859" s="15">
        <v>857</v>
      </c>
      <c r="M859" s="15">
        <f t="shared" si="159"/>
        <v>1</v>
      </c>
      <c r="N859" s="15">
        <f t="shared" ca="1" si="160"/>
        <v>-1.3182127152844725E-2</v>
      </c>
      <c r="O859" s="15">
        <f t="shared" ca="1" si="169"/>
        <v>0.2428443097803937</v>
      </c>
      <c r="P859" s="15">
        <f t="shared" ca="1" si="168"/>
        <v>0.24284429388186993</v>
      </c>
      <c r="Q859" s="15">
        <v>0</v>
      </c>
      <c r="R859" s="15">
        <f t="shared" ca="1" si="161"/>
        <v>0.24284429388186993</v>
      </c>
      <c r="S859" s="15">
        <f t="shared" ca="1" si="170"/>
        <v>1.0128185426514291</v>
      </c>
      <c r="T859" s="15">
        <f t="shared" ca="1" si="162"/>
        <v>3.6358992019811523E-4</v>
      </c>
      <c r="U859" s="15">
        <f t="shared" ca="1" si="163"/>
        <v>1.0131821325716273</v>
      </c>
      <c r="V859" s="15">
        <f t="shared" ca="1" si="164"/>
        <v>1.0131821271528447</v>
      </c>
      <c r="X859" s="15">
        <f t="shared" si="165"/>
        <v>1.05</v>
      </c>
      <c r="Y859" s="15">
        <f t="shared" si="166"/>
        <v>0.95</v>
      </c>
      <c r="Z859" s="15">
        <f t="shared" ca="1" si="167"/>
        <v>1</v>
      </c>
    </row>
    <row r="860" spans="12:26" x14ac:dyDescent="0.3">
      <c r="L860" s="15">
        <v>858</v>
      </c>
      <c r="M860" s="15">
        <f t="shared" si="159"/>
        <v>1</v>
      </c>
      <c r="N860" s="15">
        <f t="shared" ca="1" si="160"/>
        <v>-1.2989902173399459E-2</v>
      </c>
      <c r="O860" s="15">
        <f t="shared" ca="1" si="169"/>
        <v>0.25501167643910905</v>
      </c>
      <c r="P860" s="15">
        <f t="shared" ca="1" si="168"/>
        <v>0.25501167407608866</v>
      </c>
      <c r="Q860" s="15">
        <v>0</v>
      </c>
      <c r="R860" s="15">
        <f t="shared" ca="1" si="161"/>
        <v>0.25501167407608866</v>
      </c>
      <c r="S860" s="15">
        <f t="shared" ca="1" si="170"/>
        <v>1.0124846115155568</v>
      </c>
      <c r="T860" s="15">
        <f t="shared" ca="1" si="162"/>
        <v>5.052925686635923E-4</v>
      </c>
      <c r="U860" s="15">
        <f t="shared" ca="1" si="163"/>
        <v>1.0129899040842203</v>
      </c>
      <c r="V860" s="15">
        <f t="shared" ca="1" si="164"/>
        <v>1.0129899021733995</v>
      </c>
      <c r="X860" s="15">
        <f t="shared" si="165"/>
        <v>1.05</v>
      </c>
      <c r="Y860" s="15">
        <f t="shared" si="166"/>
        <v>0.95</v>
      </c>
      <c r="Z860" s="15">
        <f t="shared" ca="1" si="167"/>
        <v>1</v>
      </c>
    </row>
    <row r="861" spans="12:26" x14ac:dyDescent="0.3">
      <c r="L861" s="15">
        <v>859</v>
      </c>
      <c r="M861" s="15">
        <f t="shared" si="159"/>
        <v>1</v>
      </c>
      <c r="N861" s="15">
        <f t="shared" ca="1" si="160"/>
        <v>-1.512302668185983E-2</v>
      </c>
      <c r="O861" s="15">
        <f t="shared" ca="1" si="169"/>
        <v>0.25501167643910905</v>
      </c>
      <c r="P861" s="15">
        <f t="shared" ca="1" si="168"/>
        <v>0.25501167407608866</v>
      </c>
      <c r="Q861" s="15">
        <v>0</v>
      </c>
      <c r="R861" s="15">
        <f t="shared" ca="1" si="161"/>
        <v>0.25501167407608866</v>
      </c>
      <c r="S861" s="15">
        <f t="shared" ca="1" si="170"/>
        <v>1.0121333740286313</v>
      </c>
      <c r="T861" s="15">
        <f t="shared" ca="1" si="162"/>
        <v>2.9896548086746633E-3</v>
      </c>
      <c r="U861" s="15">
        <f t="shared" ca="1" si="163"/>
        <v>1.0151230288373061</v>
      </c>
      <c r="V861" s="15">
        <f t="shared" ca="1" si="164"/>
        <v>1.0151230266818598</v>
      </c>
      <c r="X861" s="15">
        <f t="shared" si="165"/>
        <v>1.05</v>
      </c>
      <c r="Y861" s="15">
        <f t="shared" si="166"/>
        <v>0.95</v>
      </c>
      <c r="Z861" s="15">
        <f t="shared" ca="1" si="167"/>
        <v>1</v>
      </c>
    </row>
    <row r="862" spans="12:26" x14ac:dyDescent="0.3">
      <c r="L862" s="15">
        <v>860</v>
      </c>
      <c r="M862" s="15">
        <f t="shared" si="159"/>
        <v>1</v>
      </c>
      <c r="N862" s="15">
        <f t="shared" ca="1" si="160"/>
        <v>-1.4856086348848496E-2</v>
      </c>
      <c r="O862" s="15">
        <f t="shared" ca="1" si="169"/>
        <v>0.25501167643910905</v>
      </c>
      <c r="P862" s="15">
        <f t="shared" ca="1" si="168"/>
        <v>0.25501167407608866</v>
      </c>
      <c r="Q862" s="15">
        <v>0</v>
      </c>
      <c r="R862" s="15">
        <f t="shared" ca="1" si="161"/>
        <v>0.25501167407608866</v>
      </c>
      <c r="S862" s="15">
        <f t="shared" ca="1" si="170"/>
        <v>1.0117685125903861</v>
      </c>
      <c r="T862" s="15">
        <f t="shared" ca="1" si="162"/>
        <v>3.0875738422550124E-3</v>
      </c>
      <c r="U862" s="15">
        <f t="shared" ca="1" si="163"/>
        <v>1.0148560864326412</v>
      </c>
      <c r="V862" s="15">
        <f t="shared" ca="1" si="164"/>
        <v>1.0148560863488485</v>
      </c>
      <c r="X862" s="15">
        <f t="shared" si="165"/>
        <v>1.05</v>
      </c>
      <c r="Y862" s="15">
        <f t="shared" si="166"/>
        <v>0.95</v>
      </c>
      <c r="Z862" s="15">
        <f t="shared" ca="1" si="167"/>
        <v>1</v>
      </c>
    </row>
    <row r="863" spans="12:26" x14ac:dyDescent="0.3">
      <c r="L863" s="15">
        <v>861</v>
      </c>
      <c r="M863" s="15">
        <f t="shared" si="159"/>
        <v>1</v>
      </c>
      <c r="N863" s="15">
        <f t="shared" ca="1" si="160"/>
        <v>-1.9252953356889257E-2</v>
      </c>
      <c r="O863" s="15">
        <f t="shared" ca="1" si="169"/>
        <v>0.24357848820275307</v>
      </c>
      <c r="P863" s="15">
        <f t="shared" ca="1" si="168"/>
        <v>0.24357847875067462</v>
      </c>
      <c r="Q863" s="15">
        <v>0</v>
      </c>
      <c r="R863" s="15">
        <f t="shared" ca="1" si="161"/>
        <v>0.24357847875067462</v>
      </c>
      <c r="S863" s="15">
        <f t="shared" ca="1" si="170"/>
        <v>1.0113735279906642</v>
      </c>
      <c r="T863" s="15">
        <f t="shared" ca="1" si="162"/>
        <v>7.8794274490768083E-3</v>
      </c>
      <c r="U863" s="15">
        <f t="shared" ca="1" si="163"/>
        <v>1.0192529554397409</v>
      </c>
      <c r="V863" s="15">
        <f t="shared" ca="1" si="164"/>
        <v>1.0192529533568893</v>
      </c>
      <c r="X863" s="15">
        <f t="shared" si="165"/>
        <v>1.05</v>
      </c>
      <c r="Y863" s="15">
        <f t="shared" si="166"/>
        <v>0.95</v>
      </c>
      <c r="Z863" s="15">
        <f t="shared" ca="1" si="167"/>
        <v>1</v>
      </c>
    </row>
    <row r="864" spans="12:26" x14ac:dyDescent="0.3">
      <c r="L864" s="15">
        <v>862</v>
      </c>
      <c r="M864" s="15">
        <f t="shared" si="159"/>
        <v>1</v>
      </c>
      <c r="N864" s="15">
        <f t="shared" ca="1" si="160"/>
        <v>-1.8587523377171511E-2</v>
      </c>
      <c r="O864" s="15">
        <f t="shared" ca="1" si="169"/>
        <v>0.24357848820275307</v>
      </c>
      <c r="P864" s="15">
        <f t="shared" ca="1" si="168"/>
        <v>0.24357847875067462</v>
      </c>
      <c r="Q864" s="15">
        <v>0</v>
      </c>
      <c r="R864" s="15">
        <f t="shared" ca="1" si="161"/>
        <v>0.24357847875067462</v>
      </c>
      <c r="S864" s="15">
        <f t="shared" ca="1" si="170"/>
        <v>1.0109350174999576</v>
      </c>
      <c r="T864" s="15">
        <f t="shared" ca="1" si="162"/>
        <v>7.6525193729908335E-3</v>
      </c>
      <c r="U864" s="15">
        <f t="shared" ca="1" si="163"/>
        <v>1.0185875368729485</v>
      </c>
      <c r="V864" s="15">
        <f t="shared" ca="1" si="164"/>
        <v>1.0185875233771715</v>
      </c>
      <c r="X864" s="15">
        <f t="shared" si="165"/>
        <v>1.05</v>
      </c>
      <c r="Y864" s="15">
        <f t="shared" si="166"/>
        <v>0.95</v>
      </c>
      <c r="Z864" s="15">
        <f t="shared" ca="1" si="167"/>
        <v>1</v>
      </c>
    </row>
    <row r="865" spans="12:26" x14ac:dyDescent="0.3">
      <c r="L865" s="15">
        <v>863</v>
      </c>
      <c r="M865" s="15">
        <f t="shared" si="159"/>
        <v>1</v>
      </c>
      <c r="N865" s="15">
        <f t="shared" ca="1" si="160"/>
        <v>-1.485897344883047E-2</v>
      </c>
      <c r="O865" s="15">
        <f t="shared" ca="1" si="169"/>
        <v>0.24357848820275307</v>
      </c>
      <c r="P865" s="15">
        <f t="shared" ca="1" si="168"/>
        <v>0.24357847875067462</v>
      </c>
      <c r="Q865" s="15">
        <v>0</v>
      </c>
      <c r="R865" s="15">
        <f t="shared" ca="1" si="161"/>
        <v>0.24357847875067462</v>
      </c>
      <c r="S865" s="15">
        <f t="shared" ca="1" si="170"/>
        <v>1.0104603608567315</v>
      </c>
      <c r="T865" s="15">
        <f t="shared" ca="1" si="162"/>
        <v>4.3986329602740031E-3</v>
      </c>
      <c r="U865" s="15">
        <f t="shared" ca="1" si="163"/>
        <v>1.0148589938170056</v>
      </c>
      <c r="V865" s="15">
        <f t="shared" ca="1" si="164"/>
        <v>1.0148589734488305</v>
      </c>
      <c r="X865" s="15">
        <f t="shared" si="165"/>
        <v>1.05</v>
      </c>
      <c r="Y865" s="15">
        <f t="shared" si="166"/>
        <v>0.95</v>
      </c>
      <c r="Z865" s="15">
        <f t="shared" ca="1" si="167"/>
        <v>1</v>
      </c>
    </row>
    <row r="866" spans="12:26" x14ac:dyDescent="0.3">
      <c r="L866" s="15">
        <v>864</v>
      </c>
      <c r="M866" s="15">
        <f t="shared" si="159"/>
        <v>1</v>
      </c>
      <c r="N866" s="15">
        <f t="shared" ca="1" si="160"/>
        <v>-1.5212130969206816E-2</v>
      </c>
      <c r="O866" s="15">
        <f t="shared" ca="1" si="169"/>
        <v>0.25014977591094673</v>
      </c>
      <c r="P866" s="15">
        <f t="shared" ca="1" si="168"/>
        <v>0.25014977442336961</v>
      </c>
      <c r="Q866" s="15">
        <v>0</v>
      </c>
      <c r="R866" s="15">
        <f t="shared" ca="1" si="161"/>
        <v>0.25014977442336961</v>
      </c>
      <c r="S866" s="15">
        <f t="shared" ca="1" si="170"/>
        <v>1.0099949323723401</v>
      </c>
      <c r="T866" s="15">
        <f t="shared" ca="1" si="162"/>
        <v>5.217202892664286E-3</v>
      </c>
      <c r="U866" s="15">
        <f t="shared" ca="1" si="163"/>
        <v>1.0152121352650043</v>
      </c>
      <c r="V866" s="15">
        <f t="shared" ca="1" si="164"/>
        <v>1.0152121309692068</v>
      </c>
      <c r="X866" s="15">
        <f t="shared" si="165"/>
        <v>1.05</v>
      </c>
      <c r="Y866" s="15">
        <f t="shared" si="166"/>
        <v>0.95</v>
      </c>
      <c r="Z866" s="15">
        <f t="shared" ca="1" si="167"/>
        <v>1</v>
      </c>
    </row>
    <row r="867" spans="12:26" x14ac:dyDescent="0.3">
      <c r="L867" s="15">
        <v>865</v>
      </c>
      <c r="M867" s="15">
        <f t="shared" si="159"/>
        <v>1</v>
      </c>
      <c r="N867" s="15">
        <f t="shared" ca="1" si="160"/>
        <v>-1.2852369112160922E-2</v>
      </c>
      <c r="O867" s="15">
        <f t="shared" ca="1" si="169"/>
        <v>0.25014977591094673</v>
      </c>
      <c r="P867" s="15">
        <f t="shared" ca="1" si="168"/>
        <v>0.25014977442336961</v>
      </c>
      <c r="Q867" s="15">
        <v>0</v>
      </c>
      <c r="R867" s="15">
        <f t="shared" ca="1" si="161"/>
        <v>0.25014977442336961</v>
      </c>
      <c r="S867" s="15">
        <f t="shared" ca="1" si="170"/>
        <v>1.0095765920872874</v>
      </c>
      <c r="T867" s="15">
        <f t="shared" ca="1" si="162"/>
        <v>3.2757955077573819E-3</v>
      </c>
      <c r="U867" s="15">
        <f t="shared" ca="1" si="163"/>
        <v>1.0128523875950448</v>
      </c>
      <c r="V867" s="15">
        <f t="shared" ca="1" si="164"/>
        <v>1.0128523691121609</v>
      </c>
      <c r="X867" s="15">
        <f t="shared" si="165"/>
        <v>1.05</v>
      </c>
      <c r="Y867" s="15">
        <f t="shared" si="166"/>
        <v>0.95</v>
      </c>
      <c r="Z867" s="15">
        <f t="shared" ca="1" si="167"/>
        <v>1</v>
      </c>
    </row>
    <row r="868" spans="12:26" x14ac:dyDescent="0.3">
      <c r="L868" s="15">
        <v>866</v>
      </c>
      <c r="M868" s="15">
        <f t="shared" si="159"/>
        <v>1</v>
      </c>
      <c r="N868" s="15">
        <f t="shared" ca="1" si="160"/>
        <v>-1.3638312233062111E-2</v>
      </c>
      <c r="O868" s="15">
        <f t="shared" ca="1" si="169"/>
        <v>0.25014977591094673</v>
      </c>
      <c r="P868" s="15">
        <f t="shared" ca="1" si="168"/>
        <v>0.25014977442336961</v>
      </c>
      <c r="Q868" s="15">
        <v>0</v>
      </c>
      <c r="R868" s="15">
        <f t="shared" ca="1" si="161"/>
        <v>0.25014977442336961</v>
      </c>
      <c r="S868" s="15">
        <f t="shared" ca="1" si="170"/>
        <v>1.0092011322226446</v>
      </c>
      <c r="T868" s="15">
        <f t="shared" ca="1" si="162"/>
        <v>4.4371922743267752E-3</v>
      </c>
      <c r="U868" s="15">
        <f t="shared" ca="1" si="163"/>
        <v>1.0136383244969713</v>
      </c>
      <c r="V868" s="15">
        <f t="shared" ca="1" si="164"/>
        <v>1.0136383122330621</v>
      </c>
      <c r="X868" s="15">
        <f t="shared" si="165"/>
        <v>1.05</v>
      </c>
      <c r="Y868" s="15">
        <f t="shared" si="166"/>
        <v>0.95</v>
      </c>
      <c r="Z868" s="15">
        <f t="shared" ca="1" si="167"/>
        <v>1</v>
      </c>
    </row>
    <row r="869" spans="12:26" x14ac:dyDescent="0.3">
      <c r="L869" s="15">
        <v>867</v>
      </c>
      <c r="M869" s="15">
        <f t="shared" si="159"/>
        <v>1</v>
      </c>
      <c r="N869" s="15">
        <f t="shared" ca="1" si="160"/>
        <v>-1.8723123944067277E-2</v>
      </c>
      <c r="O869" s="15">
        <f t="shared" ca="1" si="169"/>
        <v>0.24465352545516122</v>
      </c>
      <c r="P869" s="15">
        <f t="shared" ca="1" si="168"/>
        <v>0.2446535043988036</v>
      </c>
      <c r="Q869" s="15">
        <v>0</v>
      </c>
      <c r="R869" s="15">
        <f t="shared" ca="1" si="161"/>
        <v>0.2446535043988036</v>
      </c>
      <c r="S869" s="15">
        <f t="shared" ca="1" si="170"/>
        <v>1.0088639760923512</v>
      </c>
      <c r="T869" s="15">
        <f t="shared" ca="1" si="162"/>
        <v>9.8591513958521081E-3</v>
      </c>
      <c r="U869" s="15">
        <f t="shared" ca="1" si="163"/>
        <v>1.0187231274882034</v>
      </c>
      <c r="V869" s="15">
        <f t="shared" ca="1" si="164"/>
        <v>1.0187231239440673</v>
      </c>
      <c r="X869" s="15">
        <f t="shared" si="165"/>
        <v>1.05</v>
      </c>
      <c r="Y869" s="15">
        <f t="shared" si="166"/>
        <v>0.95</v>
      </c>
      <c r="Z869" s="15">
        <f t="shared" ca="1" si="167"/>
        <v>1</v>
      </c>
    </row>
    <row r="870" spans="12:26" x14ac:dyDescent="0.3">
      <c r="L870" s="15">
        <v>868</v>
      </c>
      <c r="M870" s="15">
        <f t="shared" si="159"/>
        <v>1</v>
      </c>
      <c r="N870" s="15">
        <f t="shared" ca="1" si="160"/>
        <v>-1.7971500060048662E-2</v>
      </c>
      <c r="O870" s="15">
        <f t="shared" ca="1" si="169"/>
        <v>0.24465352545516122</v>
      </c>
      <c r="P870" s="15">
        <f t="shared" ca="1" si="168"/>
        <v>0.2446535043988036</v>
      </c>
      <c r="Q870" s="15">
        <v>0</v>
      </c>
      <c r="R870" s="15">
        <f t="shared" ca="1" si="161"/>
        <v>0.2446535043988036</v>
      </c>
      <c r="S870" s="15">
        <f t="shared" ca="1" si="170"/>
        <v>1.0085609978743755</v>
      </c>
      <c r="T870" s="15">
        <f t="shared" ca="1" si="162"/>
        <v>9.4105157500857066E-3</v>
      </c>
      <c r="U870" s="15">
        <f t="shared" ca="1" si="163"/>
        <v>1.0179715136244611</v>
      </c>
      <c r="V870" s="15">
        <f t="shared" ca="1" si="164"/>
        <v>1.0179715000600487</v>
      </c>
      <c r="X870" s="15">
        <f t="shared" si="165"/>
        <v>1.05</v>
      </c>
      <c r="Y870" s="15">
        <f t="shared" si="166"/>
        <v>0.95</v>
      </c>
      <c r="Z870" s="15">
        <f t="shared" ca="1" si="167"/>
        <v>1</v>
      </c>
    </row>
    <row r="871" spans="12:26" x14ac:dyDescent="0.3">
      <c r="L871" s="15">
        <v>869</v>
      </c>
      <c r="M871" s="15">
        <f t="shared" si="159"/>
        <v>1</v>
      </c>
      <c r="N871" s="15">
        <f t="shared" ca="1" si="160"/>
        <v>-9.4168598319908092E-3</v>
      </c>
      <c r="O871" s="15">
        <f t="shared" ca="1" si="169"/>
        <v>0.24465352545516122</v>
      </c>
      <c r="P871" s="15">
        <f t="shared" ca="1" si="168"/>
        <v>0.2446535043988036</v>
      </c>
      <c r="Q871" s="15">
        <v>0</v>
      </c>
      <c r="R871" s="15">
        <f t="shared" ca="1" si="161"/>
        <v>0.2446535043988036</v>
      </c>
      <c r="S871" s="15">
        <f t="shared" ca="1" si="170"/>
        <v>1.0082891406354881</v>
      </c>
      <c r="T871" s="15">
        <f t="shared" ca="1" si="162"/>
        <v>1.1277280840858261E-3</v>
      </c>
      <c r="U871" s="15">
        <f t="shared" ca="1" si="163"/>
        <v>1.0094168687195739</v>
      </c>
      <c r="V871" s="15">
        <f t="shared" ca="1" si="164"/>
        <v>1.0094168598319908</v>
      </c>
      <c r="X871" s="15">
        <f t="shared" si="165"/>
        <v>1.05</v>
      </c>
      <c r="Y871" s="15">
        <f t="shared" si="166"/>
        <v>0.95</v>
      </c>
      <c r="Z871" s="15">
        <f t="shared" ca="1" si="167"/>
        <v>1</v>
      </c>
    </row>
    <row r="872" spans="12:26" x14ac:dyDescent="0.3">
      <c r="L872" s="15">
        <v>870</v>
      </c>
      <c r="M872" s="15">
        <f t="shared" si="159"/>
        <v>1</v>
      </c>
      <c r="N872" s="15">
        <f t="shared" ca="1" si="160"/>
        <v>-1.2578769822739755E-2</v>
      </c>
      <c r="O872" s="15">
        <f t="shared" ca="1" si="169"/>
        <v>0.25124538977045707</v>
      </c>
      <c r="P872" s="15">
        <f t="shared" ca="1" si="168"/>
        <v>0.25124538230040233</v>
      </c>
      <c r="Q872" s="15">
        <v>0</v>
      </c>
      <c r="R872" s="15">
        <f t="shared" ca="1" si="161"/>
        <v>0.25124538230040233</v>
      </c>
      <c r="S872" s="15">
        <f t="shared" ca="1" si="170"/>
        <v>1.0080001443684148</v>
      </c>
      <c r="T872" s="15">
        <f t="shared" ca="1" si="162"/>
        <v>4.5786257271282936E-3</v>
      </c>
      <c r="U872" s="15">
        <f t="shared" ca="1" si="163"/>
        <v>1.0125787700955431</v>
      </c>
      <c r="V872" s="15">
        <f t="shared" ca="1" si="164"/>
        <v>1.0125787698227398</v>
      </c>
      <c r="X872" s="15">
        <f t="shared" si="165"/>
        <v>1.05</v>
      </c>
      <c r="Y872" s="15">
        <f t="shared" si="166"/>
        <v>0.95</v>
      </c>
      <c r="Z872" s="15">
        <f t="shared" ca="1" si="167"/>
        <v>1</v>
      </c>
    </row>
    <row r="873" spans="12:26" x14ac:dyDescent="0.3">
      <c r="L873" s="15">
        <v>871</v>
      </c>
      <c r="M873" s="15">
        <f t="shared" si="159"/>
        <v>1</v>
      </c>
      <c r="N873" s="15">
        <f t="shared" ca="1" si="160"/>
        <v>-1.3377029684692898E-2</v>
      </c>
      <c r="O873" s="15">
        <f t="shared" ca="1" si="169"/>
        <v>0.25124538977045707</v>
      </c>
      <c r="P873" s="15">
        <f t="shared" ca="1" si="168"/>
        <v>0.25124538230040233</v>
      </c>
      <c r="Q873" s="15">
        <v>0</v>
      </c>
      <c r="R873" s="15">
        <f t="shared" ca="1" si="161"/>
        <v>0.25124538230040233</v>
      </c>
      <c r="S873" s="15">
        <f t="shared" ca="1" si="170"/>
        <v>1.007653958671668</v>
      </c>
      <c r="T873" s="15">
        <f t="shared" ca="1" si="162"/>
        <v>5.7230895345656927E-3</v>
      </c>
      <c r="U873" s="15">
        <f t="shared" ca="1" si="163"/>
        <v>1.0133770482062336</v>
      </c>
      <c r="V873" s="15">
        <f t="shared" ca="1" si="164"/>
        <v>1.0133770296846929</v>
      </c>
      <c r="X873" s="15">
        <f t="shared" si="165"/>
        <v>1.05</v>
      </c>
      <c r="Y873" s="15">
        <f t="shared" si="166"/>
        <v>0.95</v>
      </c>
      <c r="Z873" s="15">
        <f t="shared" ca="1" si="167"/>
        <v>1</v>
      </c>
    </row>
    <row r="874" spans="12:26" x14ac:dyDescent="0.3">
      <c r="L874" s="15">
        <v>872</v>
      </c>
      <c r="M874" s="15">
        <f t="shared" si="159"/>
        <v>1</v>
      </c>
      <c r="N874" s="15">
        <f t="shared" ca="1" si="160"/>
        <v>-7.5489527097782894E-3</v>
      </c>
      <c r="O874" s="15">
        <f t="shared" ca="1" si="169"/>
        <v>0.25124538977045707</v>
      </c>
      <c r="P874" s="15">
        <f t="shared" ca="1" si="168"/>
        <v>0.25124538230040233</v>
      </c>
      <c r="Q874" s="15">
        <v>0</v>
      </c>
      <c r="R874" s="15">
        <f t="shared" ca="1" si="161"/>
        <v>0.25124538230040233</v>
      </c>
      <c r="S874" s="15">
        <f t="shared" ca="1" si="170"/>
        <v>1.0072593071829909</v>
      </c>
      <c r="T874" s="15">
        <f t="shared" ca="1" si="162"/>
        <v>2.8966341077185209E-4</v>
      </c>
      <c r="U874" s="15">
        <f t="shared" ca="1" si="163"/>
        <v>1.0075489705937628</v>
      </c>
      <c r="V874" s="15">
        <f t="shared" ca="1" si="164"/>
        <v>1.0075489527097783</v>
      </c>
      <c r="X874" s="15">
        <f t="shared" si="165"/>
        <v>1.05</v>
      </c>
      <c r="Y874" s="15">
        <f t="shared" si="166"/>
        <v>0.95</v>
      </c>
      <c r="Z874" s="15">
        <f t="shared" ca="1" si="167"/>
        <v>1</v>
      </c>
    </row>
    <row r="875" spans="12:26" x14ac:dyDescent="0.3">
      <c r="L875" s="15">
        <v>873</v>
      </c>
      <c r="M875" s="15">
        <f t="shared" si="159"/>
        <v>1</v>
      </c>
      <c r="N875" s="15">
        <f t="shared" ca="1" si="160"/>
        <v>-8.836226772711564E-3</v>
      </c>
      <c r="O875" s="15">
        <f t="shared" ca="1" si="169"/>
        <v>0.25026770454647268</v>
      </c>
      <c r="P875" s="15">
        <f t="shared" ca="1" si="168"/>
        <v>0.25026770314440777</v>
      </c>
      <c r="Q875" s="15">
        <v>0</v>
      </c>
      <c r="R875" s="15">
        <f t="shared" ca="1" si="161"/>
        <v>0.25026770314440777</v>
      </c>
      <c r="S875" s="15">
        <f t="shared" ca="1" si="170"/>
        <v>1.0068694517335091</v>
      </c>
      <c r="T875" s="15">
        <f t="shared" ca="1" si="162"/>
        <v>1.9667845503436301E-3</v>
      </c>
      <c r="U875" s="15">
        <f t="shared" ca="1" si="163"/>
        <v>1.0088362362838528</v>
      </c>
      <c r="V875" s="15">
        <f t="shared" ca="1" si="164"/>
        <v>1.0088362267727116</v>
      </c>
      <c r="X875" s="15">
        <f t="shared" si="165"/>
        <v>1.05</v>
      </c>
      <c r="Y875" s="15">
        <f t="shared" si="166"/>
        <v>0.95</v>
      </c>
      <c r="Z875" s="15">
        <f t="shared" ca="1" si="167"/>
        <v>1</v>
      </c>
    </row>
    <row r="876" spans="12:26" x14ac:dyDescent="0.3">
      <c r="L876" s="15">
        <v>874</v>
      </c>
      <c r="M876" s="15">
        <f t="shared" si="159"/>
        <v>1</v>
      </c>
      <c r="N876" s="15">
        <f t="shared" ca="1" si="160"/>
        <v>-1.0298333366005163E-2</v>
      </c>
      <c r="O876" s="15">
        <f t="shared" ca="1" si="169"/>
        <v>0.25026770454647268</v>
      </c>
      <c r="P876" s="15">
        <f t="shared" ca="1" si="168"/>
        <v>0.25026770314440777</v>
      </c>
      <c r="Q876" s="15">
        <v>0</v>
      </c>
      <c r="R876" s="15">
        <f t="shared" ca="1" si="161"/>
        <v>0.25026770314440777</v>
      </c>
      <c r="S876" s="15">
        <f t="shared" ca="1" si="170"/>
        <v>1.0065288626798572</v>
      </c>
      <c r="T876" s="15">
        <f t="shared" ca="1" si="162"/>
        <v>3.7694845707550986E-3</v>
      </c>
      <c r="U876" s="15">
        <f t="shared" ca="1" si="163"/>
        <v>1.0102983472506122</v>
      </c>
      <c r="V876" s="15">
        <f t="shared" ca="1" si="164"/>
        <v>1.0102983333660052</v>
      </c>
      <c r="X876" s="15">
        <f t="shared" si="165"/>
        <v>1.05</v>
      </c>
      <c r="Y876" s="15">
        <f t="shared" si="166"/>
        <v>0.95</v>
      </c>
      <c r="Z876" s="15">
        <f t="shared" ca="1" si="167"/>
        <v>1</v>
      </c>
    </row>
    <row r="877" spans="12:26" x14ac:dyDescent="0.3">
      <c r="L877" s="15">
        <v>875</v>
      </c>
      <c r="M877" s="15">
        <f t="shared" si="159"/>
        <v>1</v>
      </c>
      <c r="N877" s="15">
        <f t="shared" ca="1" si="160"/>
        <v>-1.2369338658724249E-2</v>
      </c>
      <c r="O877" s="15">
        <f t="shared" ca="1" si="169"/>
        <v>0.25026770454647268</v>
      </c>
      <c r="P877" s="15">
        <f t="shared" ca="1" si="168"/>
        <v>0.25026770314440777</v>
      </c>
      <c r="Q877" s="15">
        <v>0</v>
      </c>
      <c r="R877" s="15">
        <f t="shared" ca="1" si="161"/>
        <v>0.25026770314440777</v>
      </c>
      <c r="S877" s="15">
        <f t="shared" ca="1" si="170"/>
        <v>1.0062327268937448</v>
      </c>
      <c r="T877" s="15">
        <f t="shared" ca="1" si="162"/>
        <v>6.1366295276908036E-3</v>
      </c>
      <c r="U877" s="15">
        <f t="shared" ca="1" si="163"/>
        <v>1.0123693564214356</v>
      </c>
      <c r="V877" s="15">
        <f t="shared" ca="1" si="164"/>
        <v>1.0123693386587242</v>
      </c>
      <c r="X877" s="15">
        <f t="shared" si="165"/>
        <v>1.05</v>
      </c>
      <c r="Y877" s="15">
        <f t="shared" si="166"/>
        <v>0.95</v>
      </c>
      <c r="Z877" s="15">
        <f t="shared" ca="1" si="167"/>
        <v>1</v>
      </c>
    </row>
    <row r="878" spans="12:26" x14ac:dyDescent="0.3">
      <c r="L878" s="15">
        <v>876</v>
      </c>
      <c r="M878" s="15">
        <f t="shared" si="159"/>
        <v>1</v>
      </c>
      <c r="N878" s="15">
        <f t="shared" ca="1" si="160"/>
        <v>-1.1198689465224509E-2</v>
      </c>
      <c r="O878" s="15">
        <f t="shared" ca="1" si="169"/>
        <v>0.24598275136595954</v>
      </c>
      <c r="P878" s="15">
        <f t="shared" ca="1" si="168"/>
        <v>0.24598273454373301</v>
      </c>
      <c r="Q878" s="15">
        <v>0</v>
      </c>
      <c r="R878" s="15">
        <f t="shared" ca="1" si="161"/>
        <v>0.24598273454373301</v>
      </c>
      <c r="S878" s="15">
        <f t="shared" ca="1" si="170"/>
        <v>1.0059000096941029</v>
      </c>
      <c r="T878" s="15">
        <f t="shared" ca="1" si="162"/>
        <v>5.2986871521816655E-3</v>
      </c>
      <c r="U878" s="15">
        <f t="shared" ca="1" si="163"/>
        <v>1.0111986968462845</v>
      </c>
      <c r="V878" s="15">
        <f t="shared" ca="1" si="164"/>
        <v>1.0111986894652245</v>
      </c>
      <c r="X878" s="15">
        <f t="shared" si="165"/>
        <v>1.05</v>
      </c>
      <c r="Y878" s="15">
        <f t="shared" si="166"/>
        <v>0.95</v>
      </c>
      <c r="Z878" s="15">
        <f t="shared" ca="1" si="167"/>
        <v>1</v>
      </c>
    </row>
    <row r="879" spans="12:26" x14ac:dyDescent="0.3">
      <c r="L879" s="15">
        <v>877</v>
      </c>
      <c r="M879" s="15">
        <f t="shared" si="159"/>
        <v>1</v>
      </c>
      <c r="N879" s="15">
        <f t="shared" ca="1" si="160"/>
        <v>-8.2866998874320252E-3</v>
      </c>
      <c r="O879" s="15">
        <f t="shared" ca="1" si="169"/>
        <v>0.24598275136595954</v>
      </c>
      <c r="P879" s="15">
        <f t="shared" ca="1" si="168"/>
        <v>0.24598273454373301</v>
      </c>
      <c r="Q879" s="15">
        <v>0</v>
      </c>
      <c r="R879" s="15">
        <f t="shared" ca="1" si="161"/>
        <v>0.24598273454373301</v>
      </c>
      <c r="S879" s="15">
        <f t="shared" ca="1" si="170"/>
        <v>1.0054635081878094</v>
      </c>
      <c r="T879" s="15">
        <f t="shared" ca="1" si="162"/>
        <v>2.8232012793185535E-3</v>
      </c>
      <c r="U879" s="15">
        <f t="shared" ca="1" si="163"/>
        <v>1.008286709467128</v>
      </c>
      <c r="V879" s="15">
        <f t="shared" ca="1" si="164"/>
        <v>1.008286699887432</v>
      </c>
      <c r="X879" s="15">
        <f t="shared" si="165"/>
        <v>1.05</v>
      </c>
      <c r="Y879" s="15">
        <f t="shared" si="166"/>
        <v>0.95</v>
      </c>
      <c r="Z879" s="15">
        <f t="shared" ca="1" si="167"/>
        <v>1</v>
      </c>
    </row>
    <row r="880" spans="12:26" x14ac:dyDescent="0.3">
      <c r="L880" s="15">
        <v>878</v>
      </c>
      <c r="M880" s="15">
        <f t="shared" si="159"/>
        <v>1</v>
      </c>
      <c r="N880" s="15">
        <f t="shared" ca="1" si="160"/>
        <v>-9.2599086950673204E-3</v>
      </c>
      <c r="O880" s="15">
        <f t="shared" ca="1" si="169"/>
        <v>0.24598275136595954</v>
      </c>
      <c r="P880" s="15">
        <f t="shared" ca="1" si="168"/>
        <v>0.24598273454373301</v>
      </c>
      <c r="Q880" s="15">
        <v>0</v>
      </c>
      <c r="R880" s="15">
        <f t="shared" ca="1" si="161"/>
        <v>0.24598273454373301</v>
      </c>
      <c r="S880" s="15">
        <f t="shared" ca="1" si="170"/>
        <v>1.0049382425884028</v>
      </c>
      <c r="T880" s="15">
        <f t="shared" ca="1" si="162"/>
        <v>4.3216712069250778E-3</v>
      </c>
      <c r="U880" s="15">
        <f t="shared" ca="1" si="163"/>
        <v>1.009259913795328</v>
      </c>
      <c r="V880" s="15">
        <f t="shared" ca="1" si="164"/>
        <v>1.0092599086950673</v>
      </c>
      <c r="X880" s="15">
        <f t="shared" si="165"/>
        <v>1.05</v>
      </c>
      <c r="Y880" s="15">
        <f t="shared" si="166"/>
        <v>0.95</v>
      </c>
      <c r="Z880" s="15">
        <f t="shared" ca="1" si="167"/>
        <v>1</v>
      </c>
    </row>
    <row r="881" spans="12:26" x14ac:dyDescent="0.3">
      <c r="L881" s="15">
        <v>879</v>
      </c>
      <c r="M881" s="15">
        <f t="shared" si="159"/>
        <v>1</v>
      </c>
      <c r="N881" s="15">
        <f t="shared" ca="1" si="160"/>
        <v>-1.3302942973864917E-2</v>
      </c>
      <c r="O881" s="15">
        <f t="shared" ca="1" si="169"/>
        <v>0.24551834976259856</v>
      </c>
      <c r="P881" s="15">
        <f t="shared" ca="1" si="168"/>
        <v>0.2455183305417929</v>
      </c>
      <c r="Q881" s="15">
        <v>0</v>
      </c>
      <c r="R881" s="15">
        <f t="shared" ca="1" si="161"/>
        <v>0.2455183305417929</v>
      </c>
      <c r="S881" s="15">
        <f t="shared" ca="1" si="170"/>
        <v>1.0044429567956945</v>
      </c>
      <c r="T881" s="15">
        <f t="shared" ca="1" si="162"/>
        <v>8.8600055156087786E-3</v>
      </c>
      <c r="U881" s="15">
        <f t="shared" ca="1" si="163"/>
        <v>1.0133029623113032</v>
      </c>
      <c r="V881" s="15">
        <f t="shared" ca="1" si="164"/>
        <v>1.0133029429738649</v>
      </c>
      <c r="X881" s="15">
        <f t="shared" si="165"/>
        <v>1.05</v>
      </c>
      <c r="Y881" s="15">
        <f t="shared" si="166"/>
        <v>0.95</v>
      </c>
      <c r="Z881" s="15">
        <f t="shared" ca="1" si="167"/>
        <v>1</v>
      </c>
    </row>
    <row r="882" spans="12:26" x14ac:dyDescent="0.3">
      <c r="L882" s="15">
        <v>880</v>
      </c>
      <c r="M882" s="15">
        <f t="shared" si="159"/>
        <v>1</v>
      </c>
      <c r="N882" s="15">
        <f t="shared" ca="1" si="160"/>
        <v>-6.0490577030110071E-3</v>
      </c>
      <c r="O882" s="15">
        <f t="shared" ca="1" si="169"/>
        <v>0.24551834976259856</v>
      </c>
      <c r="P882" s="15">
        <f t="shared" ca="1" si="168"/>
        <v>0.2455183305417929</v>
      </c>
      <c r="Q882" s="15">
        <v>0</v>
      </c>
      <c r="R882" s="15">
        <f t="shared" ca="1" si="161"/>
        <v>0.2455183305417929</v>
      </c>
      <c r="S882" s="15">
        <f t="shared" ca="1" si="170"/>
        <v>1.0040765384282251</v>
      </c>
      <c r="T882" s="15">
        <f t="shared" ca="1" si="162"/>
        <v>1.9725284506935193E-3</v>
      </c>
      <c r="U882" s="15">
        <f t="shared" ca="1" si="163"/>
        <v>1.0060490668789186</v>
      </c>
      <c r="V882" s="15">
        <f t="shared" ca="1" si="164"/>
        <v>1.006049057703011</v>
      </c>
      <c r="X882" s="15">
        <f t="shared" si="165"/>
        <v>1.05</v>
      </c>
      <c r="Y882" s="15">
        <f t="shared" si="166"/>
        <v>0.95</v>
      </c>
      <c r="Z882" s="15">
        <f t="shared" ca="1" si="167"/>
        <v>1</v>
      </c>
    </row>
    <row r="883" spans="12:26" x14ac:dyDescent="0.3">
      <c r="L883" s="15">
        <v>881</v>
      </c>
      <c r="M883" s="15">
        <f t="shared" si="159"/>
        <v>1</v>
      </c>
      <c r="N883" s="15">
        <f t="shared" ca="1" si="160"/>
        <v>-1.009185915116495E-2</v>
      </c>
      <c r="O883" s="15">
        <f t="shared" ca="1" si="169"/>
        <v>0.24551834976259856</v>
      </c>
      <c r="P883" s="15">
        <f t="shared" ca="1" si="168"/>
        <v>0.2455183305417929</v>
      </c>
      <c r="Q883" s="15">
        <v>0</v>
      </c>
      <c r="R883" s="15">
        <f t="shared" ca="1" si="161"/>
        <v>0.2455183305417929</v>
      </c>
      <c r="S883" s="15">
        <f t="shared" ca="1" si="170"/>
        <v>1.0038241793561109</v>
      </c>
      <c r="T883" s="15">
        <f t="shared" ca="1" si="162"/>
        <v>6.2676839502414077E-3</v>
      </c>
      <c r="U883" s="15">
        <f t="shared" ca="1" si="163"/>
        <v>1.0100918633063523</v>
      </c>
      <c r="V883" s="15">
        <f t="shared" ca="1" si="164"/>
        <v>1.010091859151165</v>
      </c>
      <c r="X883" s="15">
        <f t="shared" si="165"/>
        <v>1.05</v>
      </c>
      <c r="Y883" s="15">
        <f t="shared" si="166"/>
        <v>0.95</v>
      </c>
      <c r="Z883" s="15">
        <f t="shared" ca="1" si="167"/>
        <v>1</v>
      </c>
    </row>
    <row r="884" spans="12:26" x14ac:dyDescent="0.3">
      <c r="L884" s="15">
        <v>882</v>
      </c>
      <c r="M884" s="15">
        <f t="shared" si="159"/>
        <v>1</v>
      </c>
      <c r="N884" s="15">
        <f t="shared" ca="1" si="160"/>
        <v>-1.2151874837500909E-2</v>
      </c>
      <c r="O884" s="15">
        <f t="shared" ca="1" si="169"/>
        <v>0.24742881498472608</v>
      </c>
      <c r="P884" s="15">
        <f t="shared" ca="1" si="168"/>
        <v>0.24742879910567514</v>
      </c>
      <c r="Q884" s="15">
        <v>0</v>
      </c>
      <c r="R884" s="15">
        <f t="shared" ca="1" si="161"/>
        <v>0.24742879910567514</v>
      </c>
      <c r="S884" s="15">
        <f t="shared" ca="1" si="170"/>
        <v>1.0035735649758544</v>
      </c>
      <c r="T884" s="15">
        <f t="shared" ca="1" si="162"/>
        <v>8.578322558480813E-3</v>
      </c>
      <c r="U884" s="15">
        <f t="shared" ca="1" si="163"/>
        <v>1.0121518875343352</v>
      </c>
      <c r="V884" s="15">
        <f t="shared" ca="1" si="164"/>
        <v>1.0121518748375009</v>
      </c>
      <c r="X884" s="15">
        <f t="shared" si="165"/>
        <v>1.05</v>
      </c>
      <c r="Y884" s="15">
        <f t="shared" si="166"/>
        <v>0.95</v>
      </c>
      <c r="Z884" s="15">
        <f t="shared" ca="1" si="167"/>
        <v>1</v>
      </c>
    </row>
    <row r="885" spans="12:26" x14ac:dyDescent="0.3">
      <c r="L885" s="15">
        <v>883</v>
      </c>
      <c r="M885" s="15">
        <f t="shared" si="159"/>
        <v>1</v>
      </c>
      <c r="N885" s="15">
        <f t="shared" ca="1" si="160"/>
        <v>-4.6902813493949758E-3</v>
      </c>
      <c r="O885" s="15">
        <f t="shared" ca="1" si="169"/>
        <v>0.24742881498472608</v>
      </c>
      <c r="P885" s="15">
        <f t="shared" ca="1" si="168"/>
        <v>0.24742879910567514</v>
      </c>
      <c r="Q885" s="15">
        <v>0</v>
      </c>
      <c r="R885" s="15">
        <f t="shared" ca="1" si="161"/>
        <v>0.24742879910567514</v>
      </c>
      <c r="S885" s="15">
        <f t="shared" ca="1" si="170"/>
        <v>1.0032310056925358</v>
      </c>
      <c r="T885" s="15">
        <f t="shared" ca="1" si="162"/>
        <v>1.4592835158677377E-3</v>
      </c>
      <c r="U885" s="15">
        <f t="shared" ca="1" si="163"/>
        <v>1.0046902892084035</v>
      </c>
      <c r="V885" s="15">
        <f t="shared" ca="1" si="164"/>
        <v>1.004690281349395</v>
      </c>
      <c r="X885" s="15">
        <f t="shared" si="165"/>
        <v>1.05</v>
      </c>
      <c r="Y885" s="15">
        <f t="shared" si="166"/>
        <v>0.95</v>
      </c>
      <c r="Z885" s="15">
        <f t="shared" ca="1" si="167"/>
        <v>1</v>
      </c>
    </row>
    <row r="886" spans="12:26" x14ac:dyDescent="0.3">
      <c r="L886" s="15">
        <v>884</v>
      </c>
      <c r="M886" s="15">
        <f t="shared" si="159"/>
        <v>1</v>
      </c>
      <c r="N886" s="15">
        <f t="shared" ca="1" si="160"/>
        <v>-1.0293956149903583E-2</v>
      </c>
      <c r="O886" s="15">
        <f t="shared" ca="1" si="169"/>
        <v>0.24742881498472608</v>
      </c>
      <c r="P886" s="15">
        <f t="shared" ca="1" si="168"/>
        <v>0.24742879910567514</v>
      </c>
      <c r="Q886" s="15">
        <v>0</v>
      </c>
      <c r="R886" s="15">
        <f t="shared" ca="1" si="161"/>
        <v>0.24742879910567514</v>
      </c>
      <c r="S886" s="15">
        <f t="shared" ca="1" si="170"/>
        <v>1.0028096215321443</v>
      </c>
      <c r="T886" s="15">
        <f t="shared" ca="1" si="162"/>
        <v>7.4843511525601505E-3</v>
      </c>
      <c r="U886" s="15">
        <f t="shared" ca="1" si="163"/>
        <v>1.0102939726847044</v>
      </c>
      <c r="V886" s="15">
        <f t="shared" ca="1" si="164"/>
        <v>1.0102939561499036</v>
      </c>
      <c r="X886" s="15">
        <f t="shared" si="165"/>
        <v>1.05</v>
      </c>
      <c r="Y886" s="15">
        <f t="shared" si="166"/>
        <v>0.95</v>
      </c>
      <c r="Z886" s="15">
        <f t="shared" ca="1" si="167"/>
        <v>1</v>
      </c>
    </row>
    <row r="887" spans="12:26" x14ac:dyDescent="0.3">
      <c r="L887" s="15">
        <v>885</v>
      </c>
      <c r="M887" s="15">
        <f t="shared" si="159"/>
        <v>1</v>
      </c>
      <c r="N887" s="15">
        <f t="shared" ca="1" si="160"/>
        <v>-3.6392372575679843E-3</v>
      </c>
      <c r="O887" s="15">
        <f t="shared" ca="1" si="169"/>
        <v>0.25322299140559468</v>
      </c>
      <c r="P887" s="15">
        <f t="shared" ca="1" si="168"/>
        <v>0.25322297593886572</v>
      </c>
      <c r="Q887" s="15">
        <v>0</v>
      </c>
      <c r="R887" s="15">
        <f t="shared" ca="1" si="161"/>
        <v>0.25322297593886572</v>
      </c>
      <c r="S887" s="15">
        <f t="shared" ca="1" si="170"/>
        <v>1.0023780460114209</v>
      </c>
      <c r="T887" s="15">
        <f t="shared" ca="1" si="162"/>
        <v>1.26120310000166E-3</v>
      </c>
      <c r="U887" s="15">
        <f t="shared" ca="1" si="163"/>
        <v>1.0036392491114225</v>
      </c>
      <c r="V887" s="15">
        <f t="shared" ca="1" si="164"/>
        <v>1.003639237257568</v>
      </c>
      <c r="X887" s="15">
        <f t="shared" si="165"/>
        <v>1.05</v>
      </c>
      <c r="Y887" s="15">
        <f t="shared" si="166"/>
        <v>0.95</v>
      </c>
      <c r="Z887" s="15">
        <f t="shared" ca="1" si="167"/>
        <v>1</v>
      </c>
    </row>
    <row r="888" spans="12:26" x14ac:dyDescent="0.3">
      <c r="L888" s="15">
        <v>886</v>
      </c>
      <c r="M888" s="15">
        <f t="shared" si="159"/>
        <v>1</v>
      </c>
      <c r="N888" s="15">
        <f t="shared" ca="1" si="160"/>
        <v>-2.9995350639799856E-3</v>
      </c>
      <c r="O888" s="15">
        <f t="shared" ca="1" si="169"/>
        <v>0.25322299140559468</v>
      </c>
      <c r="P888" s="15">
        <f t="shared" ca="1" si="168"/>
        <v>0.25322297593886572</v>
      </c>
      <c r="Q888" s="15">
        <v>0</v>
      </c>
      <c r="R888" s="15">
        <f t="shared" ca="1" si="161"/>
        <v>0.25322297593886572</v>
      </c>
      <c r="S888" s="15">
        <f t="shared" ca="1" si="170"/>
        <v>1.0019937287739014</v>
      </c>
      <c r="T888" s="15">
        <f t="shared" ca="1" si="162"/>
        <v>1.0058118506914748E-3</v>
      </c>
      <c r="U888" s="15">
        <f t="shared" ca="1" si="163"/>
        <v>1.0029995406245928</v>
      </c>
      <c r="V888" s="15">
        <f t="shared" ca="1" si="164"/>
        <v>1.00299953506398</v>
      </c>
      <c r="X888" s="15">
        <f t="shared" si="165"/>
        <v>1.05</v>
      </c>
      <c r="Y888" s="15">
        <f t="shared" si="166"/>
        <v>0.95</v>
      </c>
      <c r="Z888" s="15">
        <f t="shared" ca="1" si="167"/>
        <v>1</v>
      </c>
    </row>
    <row r="889" spans="12:26" x14ac:dyDescent="0.3">
      <c r="L889" s="15">
        <v>887</v>
      </c>
      <c r="M889" s="15">
        <f t="shared" si="159"/>
        <v>1</v>
      </c>
      <c r="N889" s="15">
        <f t="shared" ca="1" si="160"/>
        <v>-2.7687067638078044E-3</v>
      </c>
      <c r="O889" s="15">
        <f t="shared" ca="1" si="169"/>
        <v>0.25322299140559468</v>
      </c>
      <c r="P889" s="15">
        <f t="shared" ca="1" si="168"/>
        <v>0.25322297593886572</v>
      </c>
      <c r="Q889" s="15">
        <v>0</v>
      </c>
      <c r="R889" s="15">
        <f t="shared" ca="1" si="161"/>
        <v>0.25322297593886572</v>
      </c>
      <c r="S889" s="15">
        <f t="shared" ca="1" si="170"/>
        <v>1.0016522965466133</v>
      </c>
      <c r="T889" s="15">
        <f t="shared" ca="1" si="162"/>
        <v>1.1164283122381681E-3</v>
      </c>
      <c r="U889" s="15">
        <f t="shared" ca="1" si="163"/>
        <v>1.0027687248588515</v>
      </c>
      <c r="V889" s="15">
        <f t="shared" ca="1" si="164"/>
        <v>1.0027687067638078</v>
      </c>
      <c r="X889" s="15">
        <f t="shared" si="165"/>
        <v>1.05</v>
      </c>
      <c r="Y889" s="15">
        <f t="shared" si="166"/>
        <v>0.95</v>
      </c>
      <c r="Z889" s="15">
        <f t="shared" ca="1" si="167"/>
        <v>1</v>
      </c>
    </row>
    <row r="890" spans="12:26" x14ac:dyDescent="0.3">
      <c r="L890" s="15">
        <v>888</v>
      </c>
      <c r="M890" s="15">
        <f t="shared" si="159"/>
        <v>1</v>
      </c>
      <c r="N890" s="15">
        <f t="shared" ca="1" si="160"/>
        <v>-3.1065905939571259E-3</v>
      </c>
      <c r="O890" s="15">
        <f t="shared" ca="1" si="169"/>
        <v>0.24846464149089093</v>
      </c>
      <c r="P890" s="15">
        <f t="shared" ca="1" si="168"/>
        <v>0.24846463935646801</v>
      </c>
      <c r="Q890" s="15">
        <v>0</v>
      </c>
      <c r="R890" s="15">
        <f t="shared" ca="1" si="161"/>
        <v>0.24846463935646801</v>
      </c>
      <c r="S890" s="15">
        <f t="shared" ca="1" si="170"/>
        <v>1.0013022038901327</v>
      </c>
      <c r="T890" s="15">
        <f t="shared" ca="1" si="162"/>
        <v>1.8043941863014191E-3</v>
      </c>
      <c r="U890" s="15">
        <f t="shared" ca="1" si="163"/>
        <v>1.0031065980764342</v>
      </c>
      <c r="V890" s="15">
        <f t="shared" ca="1" si="164"/>
        <v>1.0031065905939571</v>
      </c>
      <c r="X890" s="15">
        <f t="shared" si="165"/>
        <v>1.05</v>
      </c>
      <c r="Y890" s="15">
        <f t="shared" si="166"/>
        <v>0.95</v>
      </c>
      <c r="Z890" s="15">
        <f t="shared" ca="1" si="167"/>
        <v>1</v>
      </c>
    </row>
    <row r="891" spans="12:26" x14ac:dyDescent="0.3">
      <c r="L891" s="15">
        <v>889</v>
      </c>
      <c r="M891" s="15">
        <f t="shared" si="159"/>
        <v>1</v>
      </c>
      <c r="N891" s="15">
        <f t="shared" ca="1" si="160"/>
        <v>-9.524427589383988E-3</v>
      </c>
      <c r="O891" s="15">
        <f t="shared" ca="1" si="169"/>
        <v>0.24846464149089093</v>
      </c>
      <c r="P891" s="15">
        <f t="shared" ca="1" si="168"/>
        <v>0.24846463935646801</v>
      </c>
      <c r="Q891" s="15">
        <v>0</v>
      </c>
      <c r="R891" s="15">
        <f t="shared" ca="1" si="161"/>
        <v>0.24846463935646801</v>
      </c>
      <c r="S891" s="15">
        <f t="shared" ca="1" si="170"/>
        <v>1.0009005884554512</v>
      </c>
      <c r="T891" s="15">
        <f t="shared" ca="1" si="162"/>
        <v>8.6238401708684988E-3</v>
      </c>
      <c r="U891" s="15">
        <f t="shared" ca="1" si="163"/>
        <v>1.0095244286263196</v>
      </c>
      <c r="V891" s="15">
        <f t="shared" ca="1" si="164"/>
        <v>1.009524427589384</v>
      </c>
      <c r="X891" s="15">
        <f t="shared" si="165"/>
        <v>1.05</v>
      </c>
      <c r="Y891" s="15">
        <f t="shared" si="166"/>
        <v>0.95</v>
      </c>
      <c r="Z891" s="15">
        <f t="shared" ca="1" si="167"/>
        <v>1</v>
      </c>
    </row>
    <row r="892" spans="12:26" x14ac:dyDescent="0.3">
      <c r="L892" s="15">
        <v>890</v>
      </c>
      <c r="M892" s="15">
        <f t="shared" si="159"/>
        <v>1</v>
      </c>
      <c r="N892" s="15">
        <f t="shared" ca="1" si="160"/>
        <v>-3.2996304806554022E-3</v>
      </c>
      <c r="O892" s="15">
        <f t="shared" ca="1" si="169"/>
        <v>0.24846464149089093</v>
      </c>
      <c r="P892" s="15">
        <f t="shared" ca="1" si="168"/>
        <v>0.24846463935646801</v>
      </c>
      <c r="Q892" s="15">
        <v>0</v>
      </c>
      <c r="R892" s="15">
        <f t="shared" ca="1" si="161"/>
        <v>0.24846463935646801</v>
      </c>
      <c r="S892" s="15">
        <f t="shared" ca="1" si="170"/>
        <v>1.0004556890235148</v>
      </c>
      <c r="T892" s="15">
        <f t="shared" ca="1" si="162"/>
        <v>2.8439568950552698E-3</v>
      </c>
      <c r="U892" s="15">
        <f t="shared" ca="1" si="163"/>
        <v>1.0032996459185701</v>
      </c>
      <c r="V892" s="15">
        <f t="shared" ca="1" si="164"/>
        <v>1.0032996304806554</v>
      </c>
      <c r="X892" s="15">
        <f t="shared" si="165"/>
        <v>1.05</v>
      </c>
      <c r="Y892" s="15">
        <f t="shared" si="166"/>
        <v>0.95</v>
      </c>
      <c r="Z892" s="15">
        <f t="shared" ca="1" si="167"/>
        <v>1</v>
      </c>
    </row>
    <row r="893" spans="12:26" x14ac:dyDescent="0.3">
      <c r="L893" s="15">
        <v>891</v>
      </c>
      <c r="M893" s="15">
        <f t="shared" si="159"/>
        <v>1</v>
      </c>
      <c r="N893" s="15">
        <f t="shared" ca="1" si="160"/>
        <v>-6.0184171902990524E-3</v>
      </c>
      <c r="O893" s="15">
        <f t="shared" ca="1" si="169"/>
        <v>0.24578423776205954</v>
      </c>
      <c r="P893" s="15">
        <f t="shared" ca="1" si="168"/>
        <v>0.24578422313690751</v>
      </c>
      <c r="Q893" s="15">
        <v>0</v>
      </c>
      <c r="R893" s="15">
        <f t="shared" ca="1" si="161"/>
        <v>0.24578422313690751</v>
      </c>
      <c r="S893" s="15">
        <f t="shared" ca="1" si="170"/>
        <v>1.000031905196618</v>
      </c>
      <c r="T893" s="15">
        <f t="shared" ca="1" si="162"/>
        <v>5.9865300890368199E-3</v>
      </c>
      <c r="U893" s="15">
        <f t="shared" ca="1" si="163"/>
        <v>1.0060184352856547</v>
      </c>
      <c r="V893" s="15">
        <f t="shared" ca="1" si="164"/>
        <v>1.0060184171902991</v>
      </c>
      <c r="X893" s="15">
        <f t="shared" si="165"/>
        <v>1.05</v>
      </c>
      <c r="Y893" s="15">
        <f t="shared" si="166"/>
        <v>0.95</v>
      </c>
      <c r="Z893" s="15">
        <f t="shared" ca="1" si="167"/>
        <v>1</v>
      </c>
    </row>
    <row r="894" spans="12:26" x14ac:dyDescent="0.3">
      <c r="L894" s="15">
        <v>892</v>
      </c>
      <c r="M894" s="15">
        <f t="shared" si="159"/>
        <v>1</v>
      </c>
      <c r="N894" s="15">
        <f t="shared" ca="1" si="160"/>
        <v>-3.0566717039459679E-3</v>
      </c>
      <c r="O894" s="15">
        <f t="shared" ca="1" si="169"/>
        <v>0.24578423776205954</v>
      </c>
      <c r="P894" s="15">
        <f t="shared" ca="1" si="168"/>
        <v>0.24578422313690751</v>
      </c>
      <c r="Q894" s="15">
        <v>0</v>
      </c>
      <c r="R894" s="15">
        <f t="shared" ca="1" si="161"/>
        <v>0.24578422313690751</v>
      </c>
      <c r="S894" s="15">
        <f t="shared" ca="1" si="170"/>
        <v>0.99968284984740841</v>
      </c>
      <c r="T894" s="15">
        <f t="shared" ca="1" si="162"/>
        <v>3.3738407238648504E-3</v>
      </c>
      <c r="U894" s="15">
        <f t="shared" ca="1" si="163"/>
        <v>1.0030566905712732</v>
      </c>
      <c r="V894" s="15">
        <f t="shared" ca="1" si="164"/>
        <v>1.003056671703946</v>
      </c>
      <c r="X894" s="15">
        <f t="shared" si="165"/>
        <v>1.05</v>
      </c>
      <c r="Y894" s="15">
        <f t="shared" si="166"/>
        <v>0.95</v>
      </c>
      <c r="Z894" s="15">
        <f t="shared" ca="1" si="167"/>
        <v>1</v>
      </c>
    </row>
    <row r="895" spans="12:26" x14ac:dyDescent="0.3">
      <c r="L895" s="15">
        <v>893</v>
      </c>
      <c r="M895" s="15">
        <f t="shared" si="159"/>
        <v>1</v>
      </c>
      <c r="N895" s="15">
        <f t="shared" ca="1" si="160"/>
        <v>-3.522273619547267E-4</v>
      </c>
      <c r="O895" s="15">
        <f t="shared" ca="1" si="169"/>
        <v>0.24578423776205954</v>
      </c>
      <c r="P895" s="15">
        <f t="shared" ca="1" si="168"/>
        <v>0.24578422313690751</v>
      </c>
      <c r="Q895" s="15">
        <v>0</v>
      </c>
      <c r="R895" s="15">
        <f t="shared" ca="1" si="161"/>
        <v>0.24578422313690751</v>
      </c>
      <c r="S895" s="15">
        <f t="shared" ca="1" si="170"/>
        <v>0.99940051359766369</v>
      </c>
      <c r="T895" s="15">
        <f t="shared" ca="1" si="162"/>
        <v>9.5171507544947079E-4</v>
      </c>
      <c r="U895" s="15">
        <f t="shared" ca="1" si="163"/>
        <v>1.0003522286731132</v>
      </c>
      <c r="V895" s="15">
        <f t="shared" ca="1" si="164"/>
        <v>1.0003522273619547</v>
      </c>
      <c r="X895" s="15">
        <f t="shared" si="165"/>
        <v>1.05</v>
      </c>
      <c r="Y895" s="15">
        <f t="shared" si="166"/>
        <v>0.95</v>
      </c>
      <c r="Z895" s="15">
        <f t="shared" ca="1" si="167"/>
        <v>1</v>
      </c>
    </row>
    <row r="896" spans="12:26" x14ac:dyDescent="0.3">
      <c r="L896" s="15">
        <v>894</v>
      </c>
      <c r="M896" s="15">
        <f t="shared" si="159"/>
        <v>1</v>
      </c>
      <c r="N896" s="15">
        <f t="shared" ca="1" si="160"/>
        <v>-1.1969602203920626E-3</v>
      </c>
      <c r="O896" s="15">
        <f t="shared" ca="1" si="169"/>
        <v>0.25122122826908716</v>
      </c>
      <c r="P896" s="15">
        <f t="shared" ca="1" si="168"/>
        <v>0.25122121447958545</v>
      </c>
      <c r="Q896" s="15">
        <v>0</v>
      </c>
      <c r="R896" s="15">
        <f t="shared" ca="1" si="161"/>
        <v>0.25122121447958545</v>
      </c>
      <c r="S896" s="15">
        <f t="shared" ca="1" si="170"/>
        <v>0.99916916406446488</v>
      </c>
      <c r="T896" s="15">
        <f t="shared" ca="1" si="162"/>
        <v>2.0278152960286487E-3</v>
      </c>
      <c r="U896" s="15">
        <f t="shared" ca="1" si="163"/>
        <v>1.0011969793604936</v>
      </c>
      <c r="V896" s="15">
        <f t="shared" ca="1" si="164"/>
        <v>1.0011969602203921</v>
      </c>
      <c r="X896" s="15">
        <f t="shared" si="165"/>
        <v>1.05</v>
      </c>
      <c r="Y896" s="15">
        <f t="shared" si="166"/>
        <v>0.95</v>
      </c>
      <c r="Z896" s="15">
        <f t="shared" ca="1" si="167"/>
        <v>1</v>
      </c>
    </row>
    <row r="897" spans="12:26" x14ac:dyDescent="0.3">
      <c r="L897" s="15">
        <v>895</v>
      </c>
      <c r="M897" s="15">
        <f t="shared" si="159"/>
        <v>1</v>
      </c>
      <c r="N897" s="15">
        <f t="shared" ca="1" si="160"/>
        <v>-4.2465294255518149E-3</v>
      </c>
      <c r="O897" s="15">
        <f t="shared" ca="1" si="169"/>
        <v>0.25122122826908716</v>
      </c>
      <c r="P897" s="15">
        <f t="shared" ca="1" si="168"/>
        <v>0.25122121447958545</v>
      </c>
      <c r="Q897" s="15">
        <v>0</v>
      </c>
      <c r="R897" s="15">
        <f t="shared" ca="1" si="161"/>
        <v>0.25122121447958545</v>
      </c>
      <c r="S897" s="15">
        <f t="shared" ca="1" si="170"/>
        <v>0.99897522438728348</v>
      </c>
      <c r="T897" s="15">
        <f t="shared" ca="1" si="162"/>
        <v>5.2713096510121071E-3</v>
      </c>
      <c r="U897" s="15">
        <f t="shared" ca="1" si="163"/>
        <v>1.0042465340382956</v>
      </c>
      <c r="V897" s="15">
        <f t="shared" ca="1" si="164"/>
        <v>1.0042465294255518</v>
      </c>
      <c r="X897" s="15">
        <f t="shared" si="165"/>
        <v>1.05</v>
      </c>
      <c r="Y897" s="15">
        <f t="shared" si="166"/>
        <v>0.95</v>
      </c>
      <c r="Z897" s="15">
        <f t="shared" ca="1" si="167"/>
        <v>1</v>
      </c>
    </row>
    <row r="898" spans="12:26" x14ac:dyDescent="0.3">
      <c r="L898" s="15">
        <v>896</v>
      </c>
      <c r="M898" s="15">
        <f t="shared" si="159"/>
        <v>1</v>
      </c>
      <c r="N898" s="15">
        <f t="shared" ca="1" si="160"/>
        <v>-6.4677803326556038E-3</v>
      </c>
      <c r="O898" s="15">
        <f t="shared" ca="1" si="169"/>
        <v>0.25122122826908716</v>
      </c>
      <c r="P898" s="15">
        <f t="shared" ca="1" si="168"/>
        <v>0.25122121447958545</v>
      </c>
      <c r="Q898" s="15">
        <v>0</v>
      </c>
      <c r="R898" s="15">
        <f t="shared" ca="1" si="161"/>
        <v>0.25122121447958545</v>
      </c>
      <c r="S898" s="15">
        <f t="shared" ca="1" si="170"/>
        <v>0.99881476619175502</v>
      </c>
      <c r="T898" s="15">
        <f t="shared" ca="1" si="162"/>
        <v>7.6530207578793556E-3</v>
      </c>
      <c r="U898" s="15">
        <f t="shared" ca="1" si="163"/>
        <v>1.0064677869496343</v>
      </c>
      <c r="V898" s="15">
        <f t="shared" ca="1" si="164"/>
        <v>1.0064677803326556</v>
      </c>
      <c r="X898" s="15">
        <f t="shared" si="165"/>
        <v>1.05</v>
      </c>
      <c r="Y898" s="15">
        <f t="shared" si="166"/>
        <v>0.95</v>
      </c>
      <c r="Z898" s="15">
        <f t="shared" ca="1" si="167"/>
        <v>1</v>
      </c>
    </row>
    <row r="899" spans="12:26" x14ac:dyDescent="0.3">
      <c r="L899" s="15">
        <v>897</v>
      </c>
      <c r="M899" s="15">
        <f t="shared" ref="M899:M962" si="171">IF(L899&lt;$D$16,$D$13,IF(L899&lt;$E$16,$E$13,$F$13))</f>
        <v>1</v>
      </c>
      <c r="N899" s="15">
        <f t="shared" ref="N899:N962" ca="1" si="172">M899-V899</f>
        <v>-2.6896374772045206E-3</v>
      </c>
      <c r="O899" s="15">
        <f t="shared" ca="1" si="169"/>
        <v>0.24712590650398011</v>
      </c>
      <c r="P899" s="15">
        <f t="shared" ca="1" si="168"/>
        <v>0.24712588643821093</v>
      </c>
      <c r="Q899" s="15">
        <v>0</v>
      </c>
      <c r="R899" s="15">
        <f t="shared" ref="R899:R962" ca="1" si="173">P899+Q899</f>
        <v>0.24712588643821093</v>
      </c>
      <c r="S899" s="15">
        <f t="shared" ca="1" si="170"/>
        <v>0.998647150692622</v>
      </c>
      <c r="T899" s="15">
        <f t="shared" ref="T899:T962" ca="1" si="174">RAND()*$G$12</f>
        <v>4.0424879986635295E-3</v>
      </c>
      <c r="U899" s="15">
        <f t="shared" ref="U899:U962" ca="1" si="175">S899+T899</f>
        <v>1.0026896386912856</v>
      </c>
      <c r="V899" s="15">
        <f t="shared" ref="V899:V962" ca="1" si="176">INT((2^$J$12-1)*U899/100)/(2^$J$12-1)*100</f>
        <v>1.0026896374772045</v>
      </c>
      <c r="X899" s="15">
        <f t="shared" ref="X899:X962" si="177">M899 * 1.05</f>
        <v>1.05</v>
      </c>
      <c r="Y899" s="15">
        <f t="shared" ref="Y899:Y962" si="178">M899 * 0.95</f>
        <v>0.95</v>
      </c>
      <c r="Z899" s="15">
        <f t="shared" ref="Z899:Z962" ca="1" si="179">IF(AND(V899 &lt;= X899, V899 &gt;= Y899), 1, 0)</f>
        <v>1</v>
      </c>
    </row>
    <row r="900" spans="12:26" x14ac:dyDescent="0.3">
      <c r="L900" s="15">
        <v>898</v>
      </c>
      <c r="M900" s="15">
        <f t="shared" si="171"/>
        <v>1</v>
      </c>
      <c r="N900" s="15">
        <f t="shared" ca="1" si="172"/>
        <v>-5.7754351305252527E-3</v>
      </c>
      <c r="O900" s="15">
        <f t="shared" ca="1" si="169"/>
        <v>0.24712590650398011</v>
      </c>
      <c r="P900" s="15">
        <f t="shared" ca="1" si="168"/>
        <v>0.24712588643821093</v>
      </c>
      <c r="Q900" s="15">
        <v>0</v>
      </c>
      <c r="R900" s="15">
        <f t="shared" ca="1" si="173"/>
        <v>0.24712588643821093</v>
      </c>
      <c r="S900" s="15">
        <f t="shared" ca="1" si="170"/>
        <v>0.99843856781088669</v>
      </c>
      <c r="T900" s="15">
        <f t="shared" ca="1" si="174"/>
        <v>7.3368751027771588E-3</v>
      </c>
      <c r="U900" s="15">
        <f t="shared" ca="1" si="175"/>
        <v>1.0057754429136638</v>
      </c>
      <c r="V900" s="15">
        <f t="shared" ca="1" si="176"/>
        <v>1.0057754351305253</v>
      </c>
      <c r="X900" s="15">
        <f t="shared" si="177"/>
        <v>1.05</v>
      </c>
      <c r="Y900" s="15">
        <f t="shared" si="178"/>
        <v>0.95</v>
      </c>
      <c r="Z900" s="15">
        <f t="shared" ca="1" si="179"/>
        <v>1</v>
      </c>
    </row>
    <row r="901" spans="12:26" x14ac:dyDescent="0.3">
      <c r="L901" s="15">
        <v>899</v>
      </c>
      <c r="M901" s="15">
        <f t="shared" si="171"/>
        <v>1</v>
      </c>
      <c r="N901" s="15">
        <f t="shared" ca="1" si="172"/>
        <v>-1.4374742753426872E-3</v>
      </c>
      <c r="O901" s="15">
        <f t="shared" ca="1" si="169"/>
        <v>0.24712590650398011</v>
      </c>
      <c r="P901" s="15">
        <f t="shared" ca="1" si="168"/>
        <v>0.24712588643821093</v>
      </c>
      <c r="Q901" s="15">
        <v>0</v>
      </c>
      <c r="R901" s="15">
        <f t="shared" ca="1" si="173"/>
        <v>0.24712588643821093</v>
      </c>
      <c r="S901" s="15">
        <f t="shared" ca="1" si="170"/>
        <v>0.99819510001346734</v>
      </c>
      <c r="T901" s="15">
        <f t="shared" ca="1" si="174"/>
        <v>3.2423778294905694E-3</v>
      </c>
      <c r="U901" s="15">
        <f t="shared" ca="1" si="175"/>
        <v>1.001437477842958</v>
      </c>
      <c r="V901" s="15">
        <f t="shared" ca="1" si="176"/>
        <v>1.0014374742753427</v>
      </c>
      <c r="X901" s="15">
        <f t="shared" si="177"/>
        <v>1.05</v>
      </c>
      <c r="Y901" s="15">
        <f t="shared" si="178"/>
        <v>0.95</v>
      </c>
      <c r="Z901" s="15">
        <f t="shared" ca="1" si="179"/>
        <v>1</v>
      </c>
    </row>
    <row r="902" spans="12:26" x14ac:dyDescent="0.3">
      <c r="L902" s="15">
        <v>900</v>
      </c>
      <c r="M902" s="15">
        <f t="shared" si="171"/>
        <v>1</v>
      </c>
      <c r="N902" s="15">
        <f t="shared" ca="1" si="172"/>
        <v>-4.3393357201337857E-3</v>
      </c>
      <c r="O902" s="15">
        <f t="shared" ca="1" si="169"/>
        <v>0.24666573649173618</v>
      </c>
      <c r="P902" s="15">
        <f t="shared" ca="1" si="168"/>
        <v>0.24666571995398631</v>
      </c>
      <c r="Q902" s="15">
        <v>0</v>
      </c>
      <c r="R902" s="15">
        <f t="shared" ca="1" si="173"/>
        <v>0.24666571995398631</v>
      </c>
      <c r="S902" s="15">
        <f t="shared" ca="1" si="170"/>
        <v>0.99791818786937092</v>
      </c>
      <c r="T902" s="15">
        <f t="shared" ca="1" si="174"/>
        <v>6.4211622841526773E-3</v>
      </c>
      <c r="U902" s="15">
        <f t="shared" ca="1" si="175"/>
        <v>1.0043393501535236</v>
      </c>
      <c r="V902" s="15">
        <f t="shared" ca="1" si="176"/>
        <v>1.0043393357201338</v>
      </c>
      <c r="X902" s="15">
        <f t="shared" si="177"/>
        <v>1.05</v>
      </c>
      <c r="Y902" s="15">
        <f t="shared" si="178"/>
        <v>0.95</v>
      </c>
      <c r="Z902" s="15">
        <f t="shared" ca="1" si="179"/>
        <v>1</v>
      </c>
    </row>
    <row r="903" spans="12:26" x14ac:dyDescent="0.3">
      <c r="L903" s="15">
        <v>901</v>
      </c>
      <c r="M903" s="15">
        <f t="shared" si="171"/>
        <v>1</v>
      </c>
      <c r="N903" s="15">
        <f t="shared" ca="1" si="172"/>
        <v>-5.6157365920059821E-3</v>
      </c>
      <c r="O903" s="15">
        <f t="shared" ca="1" si="169"/>
        <v>0.24666573649173618</v>
      </c>
      <c r="P903" s="15">
        <f t="shared" ca="1" si="168"/>
        <v>0.24666571995398631</v>
      </c>
      <c r="Q903" s="15">
        <v>0</v>
      </c>
      <c r="R903" s="15">
        <f t="shared" ca="1" si="173"/>
        <v>0.24666571995398631</v>
      </c>
      <c r="S903" s="15">
        <f t="shared" ca="1" si="170"/>
        <v>0.99760940827610667</v>
      </c>
      <c r="T903" s="15">
        <f t="shared" ca="1" si="174"/>
        <v>8.0063433490929412E-3</v>
      </c>
      <c r="U903" s="15">
        <f t="shared" ca="1" si="175"/>
        <v>1.0056157516251996</v>
      </c>
      <c r="V903" s="15">
        <f t="shared" ca="1" si="176"/>
        <v>1.005615736592006</v>
      </c>
      <c r="X903" s="15">
        <f t="shared" si="177"/>
        <v>1.05</v>
      </c>
      <c r="Y903" s="15">
        <f t="shared" si="178"/>
        <v>0.95</v>
      </c>
      <c r="Z903" s="15">
        <f t="shared" ca="1" si="179"/>
        <v>1</v>
      </c>
    </row>
    <row r="904" spans="12:26" x14ac:dyDescent="0.3">
      <c r="L904" s="15">
        <v>902</v>
      </c>
      <c r="M904" s="15">
        <f t="shared" si="171"/>
        <v>1</v>
      </c>
      <c r="N904" s="15">
        <f t="shared" ca="1" si="172"/>
        <v>-1.3818510345606771E-3</v>
      </c>
      <c r="O904" s="15">
        <f t="shared" ca="1" si="169"/>
        <v>0.24666573649173618</v>
      </c>
      <c r="P904" s="15">
        <f t="shared" ca="1" si="168"/>
        <v>0.24666571995398631</v>
      </c>
      <c r="Q904" s="15">
        <v>0</v>
      </c>
      <c r="R904" s="15">
        <f t="shared" ca="1" si="173"/>
        <v>0.24666571995398631</v>
      </c>
      <c r="S904" s="15">
        <f t="shared" ca="1" si="170"/>
        <v>0.99727411238301988</v>
      </c>
      <c r="T904" s="15">
        <f t="shared" ca="1" si="174"/>
        <v>4.1077463669072908E-3</v>
      </c>
      <c r="U904" s="15">
        <f t="shared" ca="1" si="175"/>
        <v>1.0013818587499272</v>
      </c>
      <c r="V904" s="15">
        <f t="shared" ca="1" si="176"/>
        <v>1.0013818510345607</v>
      </c>
      <c r="X904" s="15">
        <f t="shared" si="177"/>
        <v>1.05</v>
      </c>
      <c r="Y904" s="15">
        <f t="shared" si="178"/>
        <v>0.95</v>
      </c>
      <c r="Z904" s="15">
        <f t="shared" ca="1" si="179"/>
        <v>1</v>
      </c>
    </row>
    <row r="905" spans="12:26" x14ac:dyDescent="0.3">
      <c r="L905" s="15">
        <v>903</v>
      </c>
      <c r="M905" s="15">
        <f t="shared" si="171"/>
        <v>1</v>
      </c>
      <c r="N905" s="15">
        <f t="shared" ca="1" si="172"/>
        <v>-6.7946512733574327E-3</v>
      </c>
      <c r="O905" s="15">
        <f t="shared" ca="1" si="169"/>
        <v>0.2456310937973159</v>
      </c>
      <c r="P905" s="15">
        <f t="shared" ca="1" si="168"/>
        <v>0.24563109042254069</v>
      </c>
      <c r="Q905" s="15">
        <v>0</v>
      </c>
      <c r="R905" s="15">
        <f t="shared" ca="1" si="173"/>
        <v>0.24563109042254069</v>
      </c>
      <c r="S905" s="15">
        <f t="shared" ca="1" si="170"/>
        <v>0.99693361089376742</v>
      </c>
      <c r="T905" s="15">
        <f t="shared" ca="1" si="174"/>
        <v>9.8610566368647293E-3</v>
      </c>
      <c r="U905" s="15">
        <f t="shared" ca="1" si="175"/>
        <v>1.0067946675306321</v>
      </c>
      <c r="V905" s="15">
        <f t="shared" ca="1" si="176"/>
        <v>1.0067946512733574</v>
      </c>
      <c r="X905" s="15">
        <f t="shared" si="177"/>
        <v>1.05</v>
      </c>
      <c r="Y905" s="15">
        <f t="shared" si="178"/>
        <v>0.95</v>
      </c>
      <c r="Z905" s="15">
        <f t="shared" ca="1" si="179"/>
        <v>1</v>
      </c>
    </row>
    <row r="906" spans="12:26" x14ac:dyDescent="0.3">
      <c r="L906" s="15">
        <v>904</v>
      </c>
      <c r="M906" s="15">
        <f t="shared" si="171"/>
        <v>1</v>
      </c>
      <c r="N906" s="15">
        <f t="shared" ca="1" si="172"/>
        <v>1.7744943038034977E-3</v>
      </c>
      <c r="O906" s="15">
        <f t="shared" ca="1" si="169"/>
        <v>0.2456310937973159</v>
      </c>
      <c r="P906" s="15">
        <f t="shared" ca="1" si="168"/>
        <v>0.24563109042254069</v>
      </c>
      <c r="Q906" s="15">
        <v>0</v>
      </c>
      <c r="R906" s="15">
        <f t="shared" ca="1" si="173"/>
        <v>0.24563109042254069</v>
      </c>
      <c r="S906" s="15">
        <f t="shared" ca="1" si="170"/>
        <v>0.99660580027443901</v>
      </c>
      <c r="T906" s="15">
        <f t="shared" ca="1" si="174"/>
        <v>1.6197138054157001E-3</v>
      </c>
      <c r="U906" s="15">
        <f t="shared" ca="1" si="175"/>
        <v>0.99822551407985471</v>
      </c>
      <c r="V906" s="15">
        <f t="shared" ca="1" si="176"/>
        <v>0.9982255056961965</v>
      </c>
      <c r="X906" s="15">
        <f t="shared" si="177"/>
        <v>1.05</v>
      </c>
      <c r="Y906" s="15">
        <f t="shared" si="178"/>
        <v>0.95</v>
      </c>
      <c r="Z906" s="15">
        <f t="shared" ca="1" si="179"/>
        <v>1</v>
      </c>
    </row>
    <row r="907" spans="12:26" x14ac:dyDescent="0.3">
      <c r="L907" s="15">
        <v>905</v>
      </c>
      <c r="M907" s="15">
        <f t="shared" si="171"/>
        <v>1</v>
      </c>
      <c r="N907" s="15">
        <f t="shared" ca="1" si="172"/>
        <v>-2.7701503137986805E-3</v>
      </c>
      <c r="O907" s="15">
        <f t="shared" ca="1" si="169"/>
        <v>0.2456310937973159</v>
      </c>
      <c r="P907" s="15">
        <f t="shared" ca="1" si="168"/>
        <v>0.24563109042254069</v>
      </c>
      <c r="Q907" s="15">
        <v>0</v>
      </c>
      <c r="R907" s="15">
        <f t="shared" ca="1" si="173"/>
        <v>0.24563109042254069</v>
      </c>
      <c r="S907" s="15">
        <f t="shared" ca="1" si="170"/>
        <v>0.99629045610599365</v>
      </c>
      <c r="T907" s="15">
        <f t="shared" ca="1" si="174"/>
        <v>6.4797053807987004E-3</v>
      </c>
      <c r="U907" s="15">
        <f t="shared" ca="1" si="175"/>
        <v>1.0027701614867923</v>
      </c>
      <c r="V907" s="15">
        <f t="shared" ca="1" si="176"/>
        <v>1.0027701503137987</v>
      </c>
      <c r="X907" s="15">
        <f t="shared" si="177"/>
        <v>1.05</v>
      </c>
      <c r="Y907" s="15">
        <f t="shared" si="178"/>
        <v>0.95</v>
      </c>
      <c r="Z907" s="15">
        <f t="shared" ca="1" si="179"/>
        <v>1</v>
      </c>
    </row>
    <row r="908" spans="12:26" x14ac:dyDescent="0.3">
      <c r="L908" s="15">
        <v>906</v>
      </c>
      <c r="M908" s="15">
        <f t="shared" si="171"/>
        <v>1</v>
      </c>
      <c r="N908" s="15">
        <f t="shared" ca="1" si="172"/>
        <v>-3.3496192198594343E-3</v>
      </c>
      <c r="O908" s="15">
        <f t="shared" ca="1" si="169"/>
        <v>0.2496918098388633</v>
      </c>
      <c r="P908" s="15">
        <f t="shared" ca="1" si="168"/>
        <v>0.24969179654719584</v>
      </c>
      <c r="Q908" s="15">
        <v>0</v>
      </c>
      <c r="R908" s="15">
        <f t="shared" ca="1" si="173"/>
        <v>0.24969179654719584</v>
      </c>
      <c r="S908" s="15">
        <f t="shared" ca="1" si="170"/>
        <v>0.99603745269983568</v>
      </c>
      <c r="T908" s="15">
        <f t="shared" ca="1" si="174"/>
        <v>7.3121832701173338E-3</v>
      </c>
      <c r="U908" s="15">
        <f t="shared" ca="1" si="175"/>
        <v>1.003349635969953</v>
      </c>
      <c r="V908" s="15">
        <f t="shared" ca="1" si="176"/>
        <v>1.0033496192198594</v>
      </c>
      <c r="X908" s="15">
        <f t="shared" si="177"/>
        <v>1.05</v>
      </c>
      <c r="Y908" s="15">
        <f t="shared" si="178"/>
        <v>0.95</v>
      </c>
      <c r="Z908" s="15">
        <f t="shared" ca="1" si="179"/>
        <v>1</v>
      </c>
    </row>
    <row r="909" spans="12:26" x14ac:dyDescent="0.3">
      <c r="L909" s="15">
        <v>907</v>
      </c>
      <c r="M909" s="15">
        <f t="shared" si="171"/>
        <v>1</v>
      </c>
      <c r="N909" s="15">
        <f t="shared" ca="1" si="172"/>
        <v>-3.2014457982036948E-3</v>
      </c>
      <c r="O909" s="15">
        <f t="shared" ca="1" si="169"/>
        <v>0.2496918098388633</v>
      </c>
      <c r="P909" s="15">
        <f t="shared" ref="P909:P972" ca="1" si="180">INT((2^$J$12-1)*O909/100)/(2^$J$12-1)*100</f>
        <v>0.24969179654719584</v>
      </c>
      <c r="Q909" s="15">
        <v>0</v>
      </c>
      <c r="R909" s="15">
        <f t="shared" ca="1" si="173"/>
        <v>0.24969179654719584</v>
      </c>
      <c r="S909" s="15">
        <f t="shared" ca="1" si="170"/>
        <v>0.9958878523445891</v>
      </c>
      <c r="T909" s="15">
        <f t="shared" ca="1" si="174"/>
        <v>7.3136094152343499E-3</v>
      </c>
      <c r="U909" s="15">
        <f t="shared" ca="1" si="175"/>
        <v>1.0032014617598235</v>
      </c>
      <c r="V909" s="15">
        <f t="shared" ca="1" si="176"/>
        <v>1.0032014457982037</v>
      </c>
      <c r="X909" s="15">
        <f t="shared" si="177"/>
        <v>1.05</v>
      </c>
      <c r="Y909" s="15">
        <f t="shared" si="178"/>
        <v>0.95</v>
      </c>
      <c r="Z909" s="15">
        <f t="shared" ca="1" si="179"/>
        <v>1</v>
      </c>
    </row>
    <row r="910" spans="12:26" x14ac:dyDescent="0.3">
      <c r="L910" s="15">
        <v>908</v>
      </c>
      <c r="M910" s="15">
        <f t="shared" si="171"/>
        <v>1</v>
      </c>
      <c r="N910" s="15">
        <f t="shared" ca="1" si="172"/>
        <v>3.8278510337294014E-3</v>
      </c>
      <c r="O910" s="15">
        <f t="shared" ca="1" si="169"/>
        <v>0.2496918098388633</v>
      </c>
      <c r="P910" s="15">
        <f t="shared" ca="1" si="180"/>
        <v>0.24969179654719584</v>
      </c>
      <c r="Q910" s="15">
        <v>0</v>
      </c>
      <c r="R910" s="15">
        <f t="shared" ca="1" si="173"/>
        <v>0.24969179654719584</v>
      </c>
      <c r="S910" s="15">
        <f t="shared" ca="1" si="170"/>
        <v>0.99582916220462647</v>
      </c>
      <c r="T910" s="15">
        <f t="shared" ca="1" si="174"/>
        <v>3.4300879845413967E-4</v>
      </c>
      <c r="U910" s="15">
        <f t="shared" ca="1" si="175"/>
        <v>0.99617217100308064</v>
      </c>
      <c r="V910" s="15">
        <f t="shared" ca="1" si="176"/>
        <v>0.9961721489662706</v>
      </c>
      <c r="X910" s="15">
        <f t="shared" si="177"/>
        <v>1.05</v>
      </c>
      <c r="Y910" s="15">
        <f t="shared" si="178"/>
        <v>0.95</v>
      </c>
      <c r="Z910" s="15">
        <f t="shared" ca="1" si="179"/>
        <v>1</v>
      </c>
    </row>
    <row r="911" spans="12:26" x14ac:dyDescent="0.3">
      <c r="L911" s="15">
        <v>909</v>
      </c>
      <c r="M911" s="15">
        <f t="shared" si="171"/>
        <v>1</v>
      </c>
      <c r="N911" s="15">
        <f t="shared" ca="1" si="172"/>
        <v>2.1568720699653987E-3</v>
      </c>
      <c r="O911" s="15">
        <f t="shared" ca="1" si="169"/>
        <v>0.2519081432044471</v>
      </c>
      <c r="P911" s="15">
        <f t="shared" ca="1" si="180"/>
        <v>0.25190813472771745</v>
      </c>
      <c r="Q911" s="15">
        <v>0</v>
      </c>
      <c r="R911" s="15">
        <f t="shared" ca="1" si="173"/>
        <v>0.25190813472771745</v>
      </c>
      <c r="S911" s="15">
        <f t="shared" ca="1" si="170"/>
        <v>0.99580892836602874</v>
      </c>
      <c r="T911" s="15">
        <f t="shared" ca="1" si="174"/>
        <v>2.0342171547064625E-3</v>
      </c>
      <c r="U911" s="15">
        <f t="shared" ca="1" si="175"/>
        <v>0.99784314552073516</v>
      </c>
      <c r="V911" s="15">
        <f t="shared" ca="1" si="176"/>
        <v>0.9978431279300346</v>
      </c>
      <c r="X911" s="15">
        <f t="shared" si="177"/>
        <v>1.05</v>
      </c>
      <c r="Y911" s="15">
        <f t="shared" si="178"/>
        <v>0.95</v>
      </c>
      <c r="Z911" s="15">
        <f t="shared" ca="1" si="179"/>
        <v>1</v>
      </c>
    </row>
    <row r="912" spans="12:26" x14ac:dyDescent="0.3">
      <c r="L912" s="15">
        <v>910</v>
      </c>
      <c r="M912" s="15">
        <f t="shared" si="171"/>
        <v>1</v>
      </c>
      <c r="N912" s="15">
        <f t="shared" ca="1" si="172"/>
        <v>-2.3095181682868393E-3</v>
      </c>
      <c r="O912" s="15">
        <f t="shared" ca="1" si="169"/>
        <v>0.2519081432044471</v>
      </c>
      <c r="P912" s="15">
        <f t="shared" ca="1" si="180"/>
        <v>0.25190813472771745</v>
      </c>
      <c r="Q912" s="15">
        <v>0</v>
      </c>
      <c r="R912" s="15">
        <f t="shared" ca="1" si="173"/>
        <v>0.25190813472771745</v>
      </c>
      <c r="S912" s="15">
        <f t="shared" ca="1" si="170"/>
        <v>0.99578301362332866</v>
      </c>
      <c r="T912" s="15">
        <f t="shared" ca="1" si="174"/>
        <v>6.5265053146524119E-3</v>
      </c>
      <c r="U912" s="15">
        <f t="shared" ca="1" si="175"/>
        <v>1.0023095189379811</v>
      </c>
      <c r="V912" s="15">
        <f t="shared" ca="1" si="176"/>
        <v>1.0023095181682868</v>
      </c>
      <c r="X912" s="15">
        <f t="shared" si="177"/>
        <v>1.05</v>
      </c>
      <c r="Y912" s="15">
        <f t="shared" si="178"/>
        <v>0.95</v>
      </c>
      <c r="Z912" s="15">
        <f t="shared" ca="1" si="179"/>
        <v>1</v>
      </c>
    </row>
    <row r="913" spans="12:26" x14ac:dyDescent="0.3">
      <c r="L913" s="15">
        <v>911</v>
      </c>
      <c r="M913" s="15">
        <f t="shared" si="171"/>
        <v>1</v>
      </c>
      <c r="N913" s="15">
        <f t="shared" ca="1" si="172"/>
        <v>3.630247666414399E-3</v>
      </c>
      <c r="O913" s="15">
        <f t="shared" ca="1" si="169"/>
        <v>0.2519081432044471</v>
      </c>
      <c r="P913" s="15">
        <f t="shared" ca="1" si="180"/>
        <v>0.25190813472771745</v>
      </c>
      <c r="Q913" s="15">
        <v>0</v>
      </c>
      <c r="R913" s="15">
        <f t="shared" ca="1" si="173"/>
        <v>0.25190813472771745</v>
      </c>
      <c r="S913" s="15">
        <f t="shared" ca="1" si="170"/>
        <v>0.99575224869799228</v>
      </c>
      <c r="T913" s="15">
        <f t="shared" ca="1" si="174"/>
        <v>6.1750505268926448E-4</v>
      </c>
      <c r="U913" s="15">
        <f t="shared" ca="1" si="175"/>
        <v>0.9963697537506816</v>
      </c>
      <c r="V913" s="15">
        <f t="shared" ca="1" si="176"/>
        <v>0.9963697523335856</v>
      </c>
      <c r="X913" s="15">
        <f t="shared" si="177"/>
        <v>1.05</v>
      </c>
      <c r="Y913" s="15">
        <f t="shared" si="178"/>
        <v>0.95</v>
      </c>
      <c r="Z913" s="15">
        <f t="shared" ca="1" si="179"/>
        <v>1</v>
      </c>
    </row>
    <row r="914" spans="12:26" x14ac:dyDescent="0.3">
      <c r="L914" s="15">
        <v>912</v>
      </c>
      <c r="M914" s="15">
        <f t="shared" si="171"/>
        <v>1</v>
      </c>
      <c r="N914" s="15">
        <f t="shared" ca="1" si="172"/>
        <v>-2.6964361320007679E-3</v>
      </c>
      <c r="O914" s="15">
        <f t="shared" ca="1" si="169"/>
        <v>0.24481337049495497</v>
      </c>
      <c r="P914" s="15">
        <f t="shared" ca="1" si="180"/>
        <v>0.24481336591877356</v>
      </c>
      <c r="Q914" s="15">
        <v>0</v>
      </c>
      <c r="R914" s="15">
        <f t="shared" ca="1" si="173"/>
        <v>0.24481336591877356</v>
      </c>
      <c r="S914" s="15">
        <f t="shared" ca="1" si="170"/>
        <v>0.99569419223086253</v>
      </c>
      <c r="T914" s="15">
        <f t="shared" ca="1" si="174"/>
        <v>7.0022599618441549E-3</v>
      </c>
      <c r="U914" s="15">
        <f t="shared" ca="1" si="175"/>
        <v>1.0026964521927066</v>
      </c>
      <c r="V914" s="15">
        <f t="shared" ca="1" si="176"/>
        <v>1.0026964361320008</v>
      </c>
      <c r="X914" s="15">
        <f t="shared" si="177"/>
        <v>1.05</v>
      </c>
      <c r="Y914" s="15">
        <f t="shared" si="178"/>
        <v>0.95</v>
      </c>
      <c r="Z914" s="15">
        <f t="shared" ca="1" si="179"/>
        <v>1</v>
      </c>
    </row>
    <row r="915" spans="12:26" x14ac:dyDescent="0.3">
      <c r="L915" s="15">
        <v>913</v>
      </c>
      <c r="M915" s="15">
        <f t="shared" si="171"/>
        <v>1</v>
      </c>
      <c r="N915" s="15">
        <f t="shared" ca="1" si="172"/>
        <v>-4.9781531572756776E-3</v>
      </c>
      <c r="O915" s="15">
        <f t="shared" ca="1" si="169"/>
        <v>0.24481337049495497</v>
      </c>
      <c r="P915" s="15">
        <f t="shared" ca="1" si="180"/>
        <v>0.24481336591877356</v>
      </c>
      <c r="Q915" s="15">
        <v>0</v>
      </c>
      <c r="R915" s="15">
        <f t="shared" ca="1" si="173"/>
        <v>0.24481336591877356</v>
      </c>
      <c r="S915" s="15">
        <f t="shared" ca="1" si="170"/>
        <v>0.99559039273864292</v>
      </c>
      <c r="T915" s="15">
        <f t="shared" ca="1" si="174"/>
        <v>9.3877738140336394E-3</v>
      </c>
      <c r="U915" s="15">
        <f t="shared" ca="1" si="175"/>
        <v>1.0049781665526765</v>
      </c>
      <c r="V915" s="15">
        <f t="shared" ca="1" si="176"/>
        <v>1.0049781531572757</v>
      </c>
      <c r="X915" s="15">
        <f t="shared" si="177"/>
        <v>1.05</v>
      </c>
      <c r="Y915" s="15">
        <f t="shared" si="178"/>
        <v>0.95</v>
      </c>
      <c r="Z915" s="15">
        <f t="shared" ca="1" si="179"/>
        <v>1</v>
      </c>
    </row>
    <row r="916" spans="12:26" x14ac:dyDescent="0.3">
      <c r="L916" s="15">
        <v>914</v>
      </c>
      <c r="M916" s="15">
        <f t="shared" si="171"/>
        <v>1</v>
      </c>
      <c r="N916" s="15">
        <f t="shared" ca="1" si="172"/>
        <v>1.6158435031807805E-3</v>
      </c>
      <c r="O916" s="15">
        <f t="shared" ca="1" si="169"/>
        <v>0.24481337049495497</v>
      </c>
      <c r="P916" s="15">
        <f t="shared" ca="1" si="180"/>
        <v>0.24481336591877356</v>
      </c>
      <c r="Q916" s="15">
        <v>0</v>
      </c>
      <c r="R916" s="15">
        <f t="shared" ca="1" si="173"/>
        <v>0.24481336591877356</v>
      </c>
      <c r="S916" s="15">
        <f t="shared" ca="1" si="170"/>
        <v>0.99544709569704537</v>
      </c>
      <c r="T916" s="15">
        <f t="shared" ca="1" si="174"/>
        <v>2.9370616542651719E-3</v>
      </c>
      <c r="U916" s="15">
        <f t="shared" ca="1" si="175"/>
        <v>0.99838415735131059</v>
      </c>
      <c r="V916" s="15">
        <f t="shared" ca="1" si="176"/>
        <v>0.99838415649681922</v>
      </c>
      <c r="X916" s="15">
        <f t="shared" si="177"/>
        <v>1.05</v>
      </c>
      <c r="Y916" s="15">
        <f t="shared" si="178"/>
        <v>0.95</v>
      </c>
      <c r="Z916" s="15">
        <f t="shared" ca="1" si="179"/>
        <v>1</v>
      </c>
    </row>
    <row r="917" spans="12:26" x14ac:dyDescent="0.3">
      <c r="L917" s="15">
        <v>915</v>
      </c>
      <c r="M917" s="15">
        <f t="shared" si="171"/>
        <v>1</v>
      </c>
      <c r="N917" s="15">
        <f t="shared" ca="1" si="172"/>
        <v>1.5707442074945899E-3</v>
      </c>
      <c r="O917" s="15">
        <f t="shared" ca="1" si="169"/>
        <v>0.25104270383295496</v>
      </c>
      <c r="P917" s="15">
        <f t="shared" ca="1" si="180"/>
        <v>0.25104270322505445</v>
      </c>
      <c r="Q917" s="15">
        <v>0</v>
      </c>
      <c r="R917" s="15">
        <f t="shared" ca="1" si="173"/>
        <v>0.25104270322505445</v>
      </c>
      <c r="S917" s="15">
        <f t="shared" ca="1" si="170"/>
        <v>0.9953169539755623</v>
      </c>
      <c r="T917" s="15">
        <f t="shared" ca="1" si="174"/>
        <v>3.1123170973650495E-3</v>
      </c>
      <c r="U917" s="15">
        <f t="shared" ca="1" si="175"/>
        <v>0.99842927107292734</v>
      </c>
      <c r="V917" s="15">
        <f t="shared" ca="1" si="176"/>
        <v>0.99842925579250541</v>
      </c>
      <c r="X917" s="15">
        <f t="shared" si="177"/>
        <v>1.05</v>
      </c>
      <c r="Y917" s="15">
        <f t="shared" si="178"/>
        <v>0.95</v>
      </c>
      <c r="Z917" s="15">
        <f t="shared" ca="1" si="179"/>
        <v>1</v>
      </c>
    </row>
    <row r="918" spans="12:26" x14ac:dyDescent="0.3">
      <c r="L918" s="15">
        <v>916</v>
      </c>
      <c r="M918" s="15">
        <f t="shared" si="171"/>
        <v>1</v>
      </c>
      <c r="N918" s="15">
        <f t="shared" ca="1" si="172"/>
        <v>4.1931634778613613E-5</v>
      </c>
      <c r="O918" s="15">
        <f t="shared" ca="1" si="169"/>
        <v>0.25104270383295496</v>
      </c>
      <c r="P918" s="15">
        <f t="shared" ca="1" si="180"/>
        <v>0.25104270322505445</v>
      </c>
      <c r="Q918" s="15">
        <v>0</v>
      </c>
      <c r="R918" s="15">
        <f t="shared" ca="1" si="173"/>
        <v>0.25104270322505445</v>
      </c>
      <c r="S918" s="15">
        <f t="shared" ca="1" si="170"/>
        <v>0.99524380045527172</v>
      </c>
      <c r="T918" s="15">
        <f t="shared" ca="1" si="174"/>
        <v>4.7142818801857054E-3</v>
      </c>
      <c r="U918" s="15">
        <f t="shared" ca="1" si="175"/>
        <v>0.99995808233545747</v>
      </c>
      <c r="V918" s="15">
        <f t="shared" ca="1" si="176"/>
        <v>0.99995806836522139</v>
      </c>
      <c r="X918" s="15">
        <f t="shared" si="177"/>
        <v>1.05</v>
      </c>
      <c r="Y918" s="15">
        <f t="shared" si="178"/>
        <v>0.95</v>
      </c>
      <c r="Z918" s="15">
        <f t="shared" ca="1" si="179"/>
        <v>1</v>
      </c>
    </row>
    <row r="919" spans="12:26" x14ac:dyDescent="0.3">
      <c r="L919" s="15">
        <v>917</v>
      </c>
      <c r="M919" s="15">
        <f t="shared" si="171"/>
        <v>1</v>
      </c>
      <c r="N919" s="15">
        <f t="shared" ca="1" si="172"/>
        <v>-2.7474260429729558E-3</v>
      </c>
      <c r="O919" s="15">
        <f t="shared" ref="O919:O982" ca="1" si="181">IF(MOD(L919,$B$11)=0,OFFSET(O919,-$B$11,0)+ $E$2*N919+$E$3*OFFSET(N919,-$B$11,0)+ $E$4*OFFSET(N919,-2* $B$11,0), O918)</f>
        <v>0.25104270383295496</v>
      </c>
      <c r="P919" s="15">
        <f t="shared" ca="1" si="180"/>
        <v>0.25104270322505445</v>
      </c>
      <c r="Q919" s="15">
        <v>0</v>
      </c>
      <c r="R919" s="15">
        <f t="shared" ca="1" si="173"/>
        <v>0.25104270322505445</v>
      </c>
      <c r="S919" s="15">
        <f t="shared" ca="1" si="170"/>
        <v>0.99522071068328788</v>
      </c>
      <c r="T919" s="15">
        <f t="shared" ca="1" si="174"/>
        <v>7.5267278861541201E-3</v>
      </c>
      <c r="U919" s="15">
        <f t="shared" ca="1" si="175"/>
        <v>1.0027474385694419</v>
      </c>
      <c r="V919" s="15">
        <f t="shared" ca="1" si="176"/>
        <v>1.002747426042973</v>
      </c>
      <c r="X919" s="15">
        <f t="shared" si="177"/>
        <v>1.05</v>
      </c>
      <c r="Y919" s="15">
        <f t="shared" si="178"/>
        <v>0.95</v>
      </c>
      <c r="Z919" s="15">
        <f t="shared" ca="1" si="179"/>
        <v>1</v>
      </c>
    </row>
    <row r="920" spans="12:26" x14ac:dyDescent="0.3">
      <c r="L920" s="15">
        <v>918</v>
      </c>
      <c r="M920" s="15">
        <f t="shared" si="171"/>
        <v>1</v>
      </c>
      <c r="N920" s="15">
        <f t="shared" ca="1" si="172"/>
        <v>4.107666901337792E-3</v>
      </c>
      <c r="O920" s="15">
        <f t="shared" ca="1" si="181"/>
        <v>0.2505169470031603</v>
      </c>
      <c r="P920" s="15">
        <f t="shared" ca="1" si="180"/>
        <v>0.25051692506543294</v>
      </c>
      <c r="Q920" s="15">
        <v>0</v>
      </c>
      <c r="R920" s="15">
        <f t="shared" ca="1" si="173"/>
        <v>0.25051692506543294</v>
      </c>
      <c r="S920" s="15">
        <f t="shared" ca="1" si="170"/>
        <v>0.99520600047024599</v>
      </c>
      <c r="T920" s="15">
        <f t="shared" ca="1" si="174"/>
        <v>6.863544980714553E-4</v>
      </c>
      <c r="U920" s="15">
        <f t="shared" ca="1" si="175"/>
        <v>0.99589235496831741</v>
      </c>
      <c r="V920" s="15">
        <f t="shared" ca="1" si="176"/>
        <v>0.99589233309866221</v>
      </c>
      <c r="X920" s="15">
        <f t="shared" si="177"/>
        <v>1.05</v>
      </c>
      <c r="Y920" s="15">
        <f t="shared" si="178"/>
        <v>0.95</v>
      </c>
      <c r="Z920" s="15">
        <f t="shared" ca="1" si="179"/>
        <v>1</v>
      </c>
    </row>
    <row r="921" spans="12:26" x14ac:dyDescent="0.3">
      <c r="L921" s="15">
        <v>919</v>
      </c>
      <c r="M921" s="15">
        <f t="shared" si="171"/>
        <v>1</v>
      </c>
      <c r="N921" s="15">
        <f t="shared" ca="1" si="172"/>
        <v>-3.3118308063855295E-3</v>
      </c>
      <c r="O921" s="15">
        <f t="shared" ca="1" si="181"/>
        <v>0.2505169470031603</v>
      </c>
      <c r="P921" s="15">
        <f t="shared" ca="1" si="180"/>
        <v>0.25051692506543294</v>
      </c>
      <c r="Q921" s="15">
        <v>0</v>
      </c>
      <c r="R921" s="15">
        <f t="shared" ca="1" si="173"/>
        <v>0.25051692506543294</v>
      </c>
      <c r="S921" s="15">
        <f t="shared" ref="S921:S984" ca="1" si="182">$I$1*S920-$I$2*S919+$I$3*R900+$I$4*R899</f>
        <v>0.99516480874033542</v>
      </c>
      <c r="T921" s="15">
        <f t="shared" ca="1" si="174"/>
        <v>8.1470272443909079E-3</v>
      </c>
      <c r="U921" s="15">
        <f t="shared" ca="1" si="175"/>
        <v>1.0033118359847264</v>
      </c>
      <c r="V921" s="15">
        <f t="shared" ca="1" si="176"/>
        <v>1.0033118308063855</v>
      </c>
      <c r="X921" s="15">
        <f t="shared" si="177"/>
        <v>1.05</v>
      </c>
      <c r="Y921" s="15">
        <f t="shared" si="178"/>
        <v>0.95</v>
      </c>
      <c r="Z921" s="15">
        <f t="shared" ca="1" si="179"/>
        <v>1</v>
      </c>
    </row>
    <row r="922" spans="12:26" x14ac:dyDescent="0.3">
      <c r="L922" s="15">
        <v>920</v>
      </c>
      <c r="M922" s="15">
        <f t="shared" si="171"/>
        <v>1</v>
      </c>
      <c r="N922" s="15">
        <f t="shared" ca="1" si="172"/>
        <v>3.5001314253302329E-4</v>
      </c>
      <c r="O922" s="15">
        <f t="shared" ca="1" si="181"/>
        <v>0.2505169470031603</v>
      </c>
      <c r="P922" s="15">
        <f t="shared" ca="1" si="180"/>
        <v>0.25051692506543294</v>
      </c>
      <c r="Q922" s="15">
        <v>0</v>
      </c>
      <c r="R922" s="15">
        <f t="shared" ca="1" si="173"/>
        <v>0.25051692506543294</v>
      </c>
      <c r="S922" s="15">
        <f t="shared" ca="1" si="182"/>
        <v>0.99510067118078183</v>
      </c>
      <c r="T922" s="15">
        <f t="shared" ca="1" si="174"/>
        <v>4.5493235720641349E-3</v>
      </c>
      <c r="U922" s="15">
        <f t="shared" ca="1" si="175"/>
        <v>0.99964999475284599</v>
      </c>
      <c r="V922" s="15">
        <f t="shared" ca="1" si="176"/>
        <v>0.99964998685746698</v>
      </c>
      <c r="X922" s="15">
        <f t="shared" si="177"/>
        <v>1.05</v>
      </c>
      <c r="Y922" s="15">
        <f t="shared" si="178"/>
        <v>0.95</v>
      </c>
      <c r="Z922" s="15">
        <f t="shared" ca="1" si="179"/>
        <v>1</v>
      </c>
    </row>
    <row r="923" spans="12:26" x14ac:dyDescent="0.3">
      <c r="L923" s="15">
        <v>921</v>
      </c>
      <c r="M923" s="15">
        <f t="shared" si="171"/>
        <v>1</v>
      </c>
      <c r="N923" s="15">
        <f t="shared" ca="1" si="172"/>
        <v>3.1021644834200446E-3</v>
      </c>
      <c r="O923" s="15">
        <f t="shared" ca="1" si="181"/>
        <v>0.24828128893629253</v>
      </c>
      <c r="P923" s="15">
        <f t="shared" ca="1" si="180"/>
        <v>0.2482812852245479</v>
      </c>
      <c r="Q923" s="15">
        <v>0</v>
      </c>
      <c r="R923" s="15">
        <f t="shared" ca="1" si="173"/>
        <v>0.2482812852245479</v>
      </c>
      <c r="S923" s="15">
        <f t="shared" ca="1" si="182"/>
        <v>0.99501279101863627</v>
      </c>
      <c r="T923" s="15">
        <f t="shared" ca="1" si="174"/>
        <v>1.8850592579377535E-3</v>
      </c>
      <c r="U923" s="15">
        <f t="shared" ca="1" si="175"/>
        <v>0.99689785027657407</v>
      </c>
      <c r="V923" s="15">
        <f t="shared" ca="1" si="176"/>
        <v>0.99689783551657996</v>
      </c>
      <c r="X923" s="15">
        <f t="shared" si="177"/>
        <v>1.05</v>
      </c>
      <c r="Y923" s="15">
        <f t="shared" si="178"/>
        <v>0.95</v>
      </c>
      <c r="Z923" s="15">
        <f t="shared" ca="1" si="179"/>
        <v>1</v>
      </c>
    </row>
    <row r="924" spans="12:26" x14ac:dyDescent="0.3">
      <c r="L924" s="15">
        <v>922</v>
      </c>
      <c r="M924" s="15">
        <f t="shared" si="171"/>
        <v>1</v>
      </c>
      <c r="N924" s="15">
        <f t="shared" ca="1" si="172"/>
        <v>-3.5154179212439907E-3</v>
      </c>
      <c r="O924" s="15">
        <f t="shared" ca="1" si="181"/>
        <v>0.24828128893629253</v>
      </c>
      <c r="P924" s="15">
        <f t="shared" ca="1" si="180"/>
        <v>0.2482812852245479</v>
      </c>
      <c r="Q924" s="15">
        <v>0</v>
      </c>
      <c r="R924" s="15">
        <f t="shared" ca="1" si="173"/>
        <v>0.2482812852245479</v>
      </c>
      <c r="S924" s="15">
        <f t="shared" ca="1" si="182"/>
        <v>0.99490074915271998</v>
      </c>
      <c r="T924" s="15">
        <f t="shared" ca="1" si="174"/>
        <v>8.6146908659528003E-3</v>
      </c>
      <c r="U924" s="15">
        <f t="shared" ca="1" si="175"/>
        <v>1.0035154400186728</v>
      </c>
      <c r="V924" s="15">
        <f t="shared" ca="1" si="176"/>
        <v>1.003515417921244</v>
      </c>
      <c r="X924" s="15">
        <f t="shared" si="177"/>
        <v>1.05</v>
      </c>
      <c r="Y924" s="15">
        <f t="shared" si="178"/>
        <v>0.95</v>
      </c>
      <c r="Z924" s="15">
        <f t="shared" ca="1" si="179"/>
        <v>1</v>
      </c>
    </row>
    <row r="925" spans="12:26" x14ac:dyDescent="0.3">
      <c r="L925" s="15">
        <v>923</v>
      </c>
      <c r="M925" s="15">
        <f t="shared" si="171"/>
        <v>1</v>
      </c>
      <c r="N925" s="15">
        <f t="shared" ca="1" si="172"/>
        <v>-4.6502577617415497E-3</v>
      </c>
      <c r="O925" s="15">
        <f t="shared" ca="1" si="181"/>
        <v>0.24828128893629253</v>
      </c>
      <c r="P925" s="15">
        <f t="shared" ca="1" si="180"/>
        <v>0.2482812852245479</v>
      </c>
      <c r="Q925" s="15">
        <v>0</v>
      </c>
      <c r="R925" s="15">
        <f t="shared" ca="1" si="173"/>
        <v>0.2482812852245479</v>
      </c>
      <c r="S925" s="15">
        <f t="shared" ca="1" si="182"/>
        <v>0.99476808647057746</v>
      </c>
      <c r="T925" s="15">
        <f t="shared" ca="1" si="174"/>
        <v>9.8821942657323792E-3</v>
      </c>
      <c r="U925" s="15">
        <f t="shared" ca="1" si="175"/>
        <v>1.0046502807363098</v>
      </c>
      <c r="V925" s="15">
        <f t="shared" ca="1" si="176"/>
        <v>1.0046502577617415</v>
      </c>
      <c r="X925" s="15">
        <f t="shared" si="177"/>
        <v>1.05</v>
      </c>
      <c r="Y925" s="15">
        <f t="shared" si="178"/>
        <v>0.95</v>
      </c>
      <c r="Z925" s="15">
        <f t="shared" ca="1" si="179"/>
        <v>1</v>
      </c>
    </row>
    <row r="926" spans="12:26" x14ac:dyDescent="0.3">
      <c r="L926" s="15">
        <v>924</v>
      </c>
      <c r="M926" s="15">
        <f t="shared" si="171"/>
        <v>1</v>
      </c>
      <c r="N926" s="15">
        <f t="shared" ca="1" si="172"/>
        <v>-4.1432690350671209E-3</v>
      </c>
      <c r="O926" s="15">
        <f t="shared" ca="1" si="181"/>
        <v>0.24322293048884341</v>
      </c>
      <c r="P926" s="15">
        <f t="shared" ca="1" si="180"/>
        <v>0.24322292307466803</v>
      </c>
      <c r="Q926" s="15">
        <v>0</v>
      </c>
      <c r="R926" s="15">
        <f t="shared" ca="1" si="173"/>
        <v>0.24322292307466803</v>
      </c>
      <c r="S926" s="15">
        <f t="shared" ca="1" si="182"/>
        <v>0.99460903146885005</v>
      </c>
      <c r="T926" s="15">
        <f t="shared" ca="1" si="174"/>
        <v>9.5342499284907026E-3</v>
      </c>
      <c r="U926" s="15">
        <f t="shared" ca="1" si="175"/>
        <v>1.0041432813973408</v>
      </c>
      <c r="V926" s="15">
        <f t="shared" ca="1" si="176"/>
        <v>1.0041432690350671</v>
      </c>
      <c r="X926" s="15">
        <f t="shared" si="177"/>
        <v>1.05</v>
      </c>
      <c r="Y926" s="15">
        <f t="shared" si="178"/>
        <v>0.95</v>
      </c>
      <c r="Z926" s="15">
        <f t="shared" ca="1" si="179"/>
        <v>1</v>
      </c>
    </row>
    <row r="927" spans="12:26" x14ac:dyDescent="0.3">
      <c r="L927" s="15">
        <v>925</v>
      </c>
      <c r="M927" s="15">
        <f t="shared" si="171"/>
        <v>1</v>
      </c>
      <c r="N927" s="15">
        <f t="shared" ca="1" si="172"/>
        <v>-1.2239452919977634E-3</v>
      </c>
      <c r="O927" s="15">
        <f t="shared" ca="1" si="181"/>
        <v>0.24322293048884341</v>
      </c>
      <c r="P927" s="15">
        <f t="shared" ca="1" si="180"/>
        <v>0.24322292307466803</v>
      </c>
      <c r="Q927" s="15">
        <v>0</v>
      </c>
      <c r="R927" s="15">
        <f t="shared" ca="1" si="173"/>
        <v>0.24322292307466803</v>
      </c>
      <c r="S927" s="15">
        <f t="shared" ca="1" si="182"/>
        <v>0.99441905284940924</v>
      </c>
      <c r="T927" s="15">
        <f t="shared" ca="1" si="174"/>
        <v>6.8048972128283373E-3</v>
      </c>
      <c r="U927" s="15">
        <f t="shared" ca="1" si="175"/>
        <v>1.0012239500622375</v>
      </c>
      <c r="V927" s="15">
        <f t="shared" ca="1" si="176"/>
        <v>1.0012239452919978</v>
      </c>
      <c r="X927" s="15">
        <f t="shared" si="177"/>
        <v>1.05</v>
      </c>
      <c r="Y927" s="15">
        <f t="shared" si="178"/>
        <v>0.95</v>
      </c>
      <c r="Z927" s="15">
        <f t="shared" ca="1" si="179"/>
        <v>1</v>
      </c>
    </row>
    <row r="928" spans="12:26" x14ac:dyDescent="0.3">
      <c r="L928" s="15">
        <v>926</v>
      </c>
      <c r="M928" s="15">
        <f t="shared" si="171"/>
        <v>1</v>
      </c>
      <c r="N928" s="15">
        <f t="shared" ca="1" si="172"/>
        <v>3.7045567305071803E-4</v>
      </c>
      <c r="O928" s="15">
        <f t="shared" ca="1" si="181"/>
        <v>0.24322293048884341</v>
      </c>
      <c r="P928" s="15">
        <f t="shared" ca="1" si="180"/>
        <v>0.24322292307466803</v>
      </c>
      <c r="Q928" s="15">
        <v>0</v>
      </c>
      <c r="R928" s="15">
        <f t="shared" ca="1" si="173"/>
        <v>0.24322292307466803</v>
      </c>
      <c r="S928" s="15">
        <f t="shared" ca="1" si="182"/>
        <v>0.99420287947337027</v>
      </c>
      <c r="T928" s="15">
        <f t="shared" ca="1" si="174"/>
        <v>5.426665553407305E-3</v>
      </c>
      <c r="U928" s="15">
        <f t="shared" ca="1" si="175"/>
        <v>0.99962954502677759</v>
      </c>
      <c r="V928" s="15">
        <f t="shared" ca="1" si="176"/>
        <v>0.99962954432694928</v>
      </c>
      <c r="X928" s="15">
        <f t="shared" si="177"/>
        <v>1.05</v>
      </c>
      <c r="Y928" s="15">
        <f t="shared" si="178"/>
        <v>0.95</v>
      </c>
      <c r="Z928" s="15">
        <f t="shared" ca="1" si="179"/>
        <v>1</v>
      </c>
    </row>
    <row r="929" spans="12:26" x14ac:dyDescent="0.3">
      <c r="L929" s="15">
        <v>927</v>
      </c>
      <c r="M929" s="15">
        <f t="shared" si="171"/>
        <v>1</v>
      </c>
      <c r="N929" s="15">
        <f t="shared" ca="1" si="172"/>
        <v>-2.8111983562844056E-3</v>
      </c>
      <c r="O929" s="15">
        <f t="shared" ca="1" si="181"/>
        <v>0.24854092550408932</v>
      </c>
      <c r="P929" s="15">
        <f t="shared" ca="1" si="180"/>
        <v>0.24854091467534678</v>
      </c>
      <c r="Q929" s="15">
        <v>0</v>
      </c>
      <c r="R929" s="15">
        <f t="shared" ca="1" si="173"/>
        <v>0.24854091467534678</v>
      </c>
      <c r="S929" s="15">
        <f t="shared" ca="1" si="182"/>
        <v>0.9939998781822349</v>
      </c>
      <c r="T929" s="15">
        <f t="shared" ca="1" si="174"/>
        <v>8.8113303519889007E-3</v>
      </c>
      <c r="U929" s="15">
        <f t="shared" ca="1" si="175"/>
        <v>1.0028112085342238</v>
      </c>
      <c r="V929" s="15">
        <f t="shared" ca="1" si="176"/>
        <v>1.0028111983562844</v>
      </c>
      <c r="X929" s="15">
        <f t="shared" si="177"/>
        <v>1.05</v>
      </c>
      <c r="Y929" s="15">
        <f t="shared" si="178"/>
        <v>0.95</v>
      </c>
      <c r="Z929" s="15">
        <f t="shared" ca="1" si="179"/>
        <v>1</v>
      </c>
    </row>
    <row r="930" spans="12:26" x14ac:dyDescent="0.3">
      <c r="L930" s="15">
        <v>928</v>
      </c>
      <c r="M930" s="15">
        <f t="shared" si="171"/>
        <v>1</v>
      </c>
      <c r="N930" s="15">
        <f t="shared" ca="1" si="172"/>
        <v>6.0857727672173345E-3</v>
      </c>
      <c r="O930" s="15">
        <f t="shared" ca="1" si="181"/>
        <v>0.24854092550408932</v>
      </c>
      <c r="P930" s="15">
        <f t="shared" ca="1" si="180"/>
        <v>0.24854091467534678</v>
      </c>
      <c r="Q930" s="15">
        <v>0</v>
      </c>
      <c r="R930" s="15">
        <f t="shared" ca="1" si="173"/>
        <v>0.24854091467534678</v>
      </c>
      <c r="S930" s="15">
        <f t="shared" ca="1" si="182"/>
        <v>0.99384280895430666</v>
      </c>
      <c r="T930" s="15">
        <f t="shared" ca="1" si="174"/>
        <v>7.1438462500289521E-5</v>
      </c>
      <c r="U930" s="15">
        <f t="shared" ca="1" si="175"/>
        <v>0.9939142474168069</v>
      </c>
      <c r="V930" s="15">
        <f t="shared" ca="1" si="176"/>
        <v>0.99391422723278267</v>
      </c>
      <c r="X930" s="15">
        <f t="shared" si="177"/>
        <v>1.05</v>
      </c>
      <c r="Y930" s="15">
        <f t="shared" si="178"/>
        <v>0.95</v>
      </c>
      <c r="Z930" s="15">
        <f t="shared" ca="1" si="179"/>
        <v>1</v>
      </c>
    </row>
    <row r="931" spans="12:26" x14ac:dyDescent="0.3">
      <c r="L931" s="15">
        <v>929</v>
      </c>
      <c r="M931" s="15">
        <f t="shared" si="171"/>
        <v>1</v>
      </c>
      <c r="N931" s="15">
        <f t="shared" ca="1" si="172"/>
        <v>3.9101333832158858E-3</v>
      </c>
      <c r="O931" s="15">
        <f t="shared" ca="1" si="181"/>
        <v>0.24854092550408932</v>
      </c>
      <c r="P931" s="15">
        <f t="shared" ca="1" si="180"/>
        <v>0.24854091467534678</v>
      </c>
      <c r="Q931" s="15">
        <v>0</v>
      </c>
      <c r="R931" s="15">
        <f t="shared" ca="1" si="173"/>
        <v>0.24854091467534678</v>
      </c>
      <c r="S931" s="15">
        <f t="shared" ca="1" si="182"/>
        <v>0.99372650569125798</v>
      </c>
      <c r="T931" s="15">
        <f t="shared" ca="1" si="174"/>
        <v>2.3633751341308185E-3</v>
      </c>
      <c r="U931" s="15">
        <f t="shared" ca="1" si="175"/>
        <v>0.99608988082538885</v>
      </c>
      <c r="V931" s="15">
        <f t="shared" ca="1" si="176"/>
        <v>0.99608986661678411</v>
      </c>
      <c r="X931" s="15">
        <f t="shared" si="177"/>
        <v>1.05</v>
      </c>
      <c r="Y931" s="15">
        <f t="shared" si="178"/>
        <v>0.95</v>
      </c>
      <c r="Z931" s="15">
        <f t="shared" ca="1" si="179"/>
        <v>1</v>
      </c>
    </row>
    <row r="932" spans="12:26" x14ac:dyDescent="0.3">
      <c r="L932" s="15">
        <v>930</v>
      </c>
      <c r="M932" s="15">
        <f t="shared" si="171"/>
        <v>1</v>
      </c>
      <c r="N932" s="15">
        <f t="shared" ca="1" si="172"/>
        <v>-3.6452908543043172E-3</v>
      </c>
      <c r="O932" s="15">
        <f t="shared" ca="1" si="181"/>
        <v>0.24702769996338747</v>
      </c>
      <c r="P932" s="15">
        <f t="shared" ca="1" si="180"/>
        <v>0.24702767847269488</v>
      </c>
      <c r="Q932" s="15">
        <v>0</v>
      </c>
      <c r="R932" s="15">
        <f t="shared" ca="1" si="173"/>
        <v>0.24702767847269488</v>
      </c>
      <c r="S932" s="15">
        <f t="shared" ca="1" si="182"/>
        <v>0.99366545823899777</v>
      </c>
      <c r="T932" s="15">
        <f t="shared" ca="1" si="174"/>
        <v>9.9798484931740445E-3</v>
      </c>
      <c r="U932" s="15">
        <f t="shared" ca="1" si="175"/>
        <v>1.0036453067321718</v>
      </c>
      <c r="V932" s="15">
        <f t="shared" ca="1" si="176"/>
        <v>1.0036452908543043</v>
      </c>
      <c r="X932" s="15">
        <f t="shared" si="177"/>
        <v>1.05</v>
      </c>
      <c r="Y932" s="15">
        <f t="shared" si="178"/>
        <v>0.95</v>
      </c>
      <c r="Z932" s="15">
        <f t="shared" ca="1" si="179"/>
        <v>1</v>
      </c>
    </row>
    <row r="933" spans="12:26" x14ac:dyDescent="0.3">
      <c r="L933" s="15">
        <v>931</v>
      </c>
      <c r="M933" s="15">
        <f t="shared" si="171"/>
        <v>1</v>
      </c>
      <c r="N933" s="15">
        <f t="shared" ca="1" si="172"/>
        <v>-2.091099741424296E-3</v>
      </c>
      <c r="O933" s="15">
        <f t="shared" ca="1" si="181"/>
        <v>0.24702769996338747</v>
      </c>
      <c r="P933" s="15">
        <f t="shared" ca="1" si="180"/>
        <v>0.24702767847269488</v>
      </c>
      <c r="Q933" s="15">
        <v>0</v>
      </c>
      <c r="R933" s="15">
        <f t="shared" ca="1" si="173"/>
        <v>0.24702767847269488</v>
      </c>
      <c r="S933" s="15">
        <f t="shared" ca="1" si="182"/>
        <v>0.9936712352317012</v>
      </c>
      <c r="T933" s="15">
        <f t="shared" ca="1" si="174"/>
        <v>8.4198870610428782E-3</v>
      </c>
      <c r="U933" s="15">
        <f t="shared" ca="1" si="175"/>
        <v>1.002091122292744</v>
      </c>
      <c r="V933" s="15">
        <f t="shared" ca="1" si="176"/>
        <v>1.0020910997414243</v>
      </c>
      <c r="X933" s="15">
        <f t="shared" si="177"/>
        <v>1.05</v>
      </c>
      <c r="Y933" s="15">
        <f t="shared" si="178"/>
        <v>0.95</v>
      </c>
      <c r="Z933" s="15">
        <f t="shared" ca="1" si="179"/>
        <v>1</v>
      </c>
    </row>
    <row r="934" spans="12:26" x14ac:dyDescent="0.3">
      <c r="L934" s="15">
        <v>932</v>
      </c>
      <c r="M934" s="15">
        <f t="shared" si="171"/>
        <v>1</v>
      </c>
      <c r="N934" s="15">
        <f t="shared" ca="1" si="172"/>
        <v>3.0869140762572744E-3</v>
      </c>
      <c r="O934" s="15">
        <f t="shared" ca="1" si="181"/>
        <v>0.24702769996338747</v>
      </c>
      <c r="P934" s="15">
        <f t="shared" ca="1" si="180"/>
        <v>0.24702767847269488</v>
      </c>
      <c r="Q934" s="15">
        <v>0</v>
      </c>
      <c r="R934" s="15">
        <f t="shared" ca="1" si="173"/>
        <v>0.24702767847269488</v>
      </c>
      <c r="S934" s="15">
        <f t="shared" ca="1" si="182"/>
        <v>0.99373532979605217</v>
      </c>
      <c r="T934" s="15">
        <f t="shared" ca="1" si="174"/>
        <v>3.177757448681864E-3</v>
      </c>
      <c r="U934" s="15">
        <f t="shared" ca="1" si="175"/>
        <v>0.99691308724473404</v>
      </c>
      <c r="V934" s="15">
        <f t="shared" ca="1" si="176"/>
        <v>0.99691308592374273</v>
      </c>
      <c r="X934" s="15">
        <f t="shared" si="177"/>
        <v>1.05</v>
      </c>
      <c r="Y934" s="15">
        <f t="shared" si="178"/>
        <v>0.95</v>
      </c>
      <c r="Z934" s="15">
        <f t="shared" ca="1" si="179"/>
        <v>1</v>
      </c>
    </row>
    <row r="935" spans="12:26" x14ac:dyDescent="0.3">
      <c r="L935" s="15">
        <v>933</v>
      </c>
      <c r="M935" s="15">
        <f t="shared" si="171"/>
        <v>1</v>
      </c>
      <c r="N935" s="15">
        <f t="shared" ca="1" si="172"/>
        <v>4.9425277404817614E-3</v>
      </c>
      <c r="O935" s="15">
        <f t="shared" ca="1" si="181"/>
        <v>0.25423939047374228</v>
      </c>
      <c r="P935" s="15">
        <f t="shared" ca="1" si="180"/>
        <v>0.25423937483090892</v>
      </c>
      <c r="Q935" s="15">
        <v>0</v>
      </c>
      <c r="R935" s="15">
        <f t="shared" ca="1" si="173"/>
        <v>0.25423937483090892</v>
      </c>
      <c r="S935" s="15">
        <f t="shared" ca="1" si="182"/>
        <v>0.9937886943854104</v>
      </c>
      <c r="T935" s="15">
        <f t="shared" ca="1" si="174"/>
        <v>1.2687955574585664E-3</v>
      </c>
      <c r="U935" s="15">
        <f t="shared" ca="1" si="175"/>
        <v>0.99505748994286891</v>
      </c>
      <c r="V935" s="15">
        <f t="shared" ca="1" si="176"/>
        <v>0.99505747225951824</v>
      </c>
      <c r="X935" s="15">
        <f t="shared" si="177"/>
        <v>1.05</v>
      </c>
      <c r="Y935" s="15">
        <f t="shared" si="178"/>
        <v>0.95</v>
      </c>
      <c r="Z935" s="15">
        <f t="shared" ca="1" si="179"/>
        <v>1</v>
      </c>
    </row>
    <row r="936" spans="12:26" x14ac:dyDescent="0.3">
      <c r="L936" s="15">
        <v>934</v>
      </c>
      <c r="M936" s="15">
        <f t="shared" si="171"/>
        <v>1</v>
      </c>
      <c r="N936" s="15">
        <f t="shared" ca="1" si="172"/>
        <v>4.5897427491353726E-3</v>
      </c>
      <c r="O936" s="15">
        <f t="shared" ca="1" si="181"/>
        <v>0.25423939047374228</v>
      </c>
      <c r="P936" s="15">
        <f t="shared" ca="1" si="180"/>
        <v>0.25423937483090892</v>
      </c>
      <c r="Q936" s="15">
        <v>0</v>
      </c>
      <c r="R936" s="15">
        <f t="shared" ca="1" si="173"/>
        <v>0.25423937483090892</v>
      </c>
      <c r="S936" s="15">
        <f t="shared" ca="1" si="182"/>
        <v>0.99377380670942639</v>
      </c>
      <c r="T936" s="15">
        <f t="shared" ca="1" si="174"/>
        <v>1.6364520043715847E-3</v>
      </c>
      <c r="U936" s="15">
        <f t="shared" ca="1" si="175"/>
        <v>0.99541025871379796</v>
      </c>
      <c r="V936" s="15">
        <f t="shared" ca="1" si="176"/>
        <v>0.99541025725086463</v>
      </c>
      <c r="X936" s="15">
        <f t="shared" si="177"/>
        <v>1.05</v>
      </c>
      <c r="Y936" s="15">
        <f t="shared" si="178"/>
        <v>0.95</v>
      </c>
      <c r="Z936" s="15">
        <f t="shared" ca="1" si="179"/>
        <v>1</v>
      </c>
    </row>
    <row r="937" spans="12:26" x14ac:dyDescent="0.3">
      <c r="L937" s="15">
        <v>935</v>
      </c>
      <c r="M937" s="15">
        <f t="shared" si="171"/>
        <v>1</v>
      </c>
      <c r="N937" s="15">
        <f t="shared" ca="1" si="172"/>
        <v>1.720151631562028E-3</v>
      </c>
      <c r="O937" s="15">
        <f t="shared" ca="1" si="181"/>
        <v>0.25423939047374228</v>
      </c>
      <c r="P937" s="15">
        <f t="shared" ca="1" si="180"/>
        <v>0.25423937483090892</v>
      </c>
      <c r="Q937" s="15">
        <v>0</v>
      </c>
      <c r="R937" s="15">
        <f t="shared" ca="1" si="173"/>
        <v>0.25423937483090892</v>
      </c>
      <c r="S937" s="15">
        <f t="shared" ca="1" si="182"/>
        <v>0.9936993934181062</v>
      </c>
      <c r="T937" s="15">
        <f t="shared" ca="1" si="174"/>
        <v>4.5804578375590408E-3</v>
      </c>
      <c r="U937" s="15">
        <f t="shared" ca="1" si="175"/>
        <v>0.99827985125566521</v>
      </c>
      <c r="V937" s="15">
        <f t="shared" ca="1" si="176"/>
        <v>0.99827984836843797</v>
      </c>
      <c r="X937" s="15">
        <f t="shared" si="177"/>
        <v>1.05</v>
      </c>
      <c r="Y937" s="15">
        <f t="shared" si="178"/>
        <v>0.95</v>
      </c>
      <c r="Z937" s="15">
        <f t="shared" ca="1" si="179"/>
        <v>1</v>
      </c>
    </row>
    <row r="938" spans="12:26" x14ac:dyDescent="0.3">
      <c r="L938" s="15">
        <v>936</v>
      </c>
      <c r="M938" s="15">
        <f t="shared" si="171"/>
        <v>1</v>
      </c>
      <c r="N938" s="15">
        <f t="shared" ca="1" si="172"/>
        <v>2.3782241629386469E-3</v>
      </c>
      <c r="O938" s="15">
        <f t="shared" ca="1" si="181"/>
        <v>0.24715841899962057</v>
      </c>
      <c r="P938" s="15">
        <f t="shared" ca="1" si="180"/>
        <v>0.24715841287913698</v>
      </c>
      <c r="Q938" s="15">
        <v>0</v>
      </c>
      <c r="R938" s="15">
        <f t="shared" ca="1" si="173"/>
        <v>0.24715841287913698</v>
      </c>
      <c r="S938" s="15">
        <f t="shared" ca="1" si="182"/>
        <v>0.99362721256503028</v>
      </c>
      <c r="T938" s="15">
        <f t="shared" ca="1" si="174"/>
        <v>3.9945638799440053E-3</v>
      </c>
      <c r="U938" s="15">
        <f t="shared" ca="1" si="175"/>
        <v>0.9976217764449743</v>
      </c>
      <c r="V938" s="15">
        <f t="shared" ca="1" si="176"/>
        <v>0.99762177583706135</v>
      </c>
      <c r="X938" s="15">
        <f t="shared" si="177"/>
        <v>1.05</v>
      </c>
      <c r="Y938" s="15">
        <f t="shared" si="178"/>
        <v>0.95</v>
      </c>
      <c r="Z938" s="15">
        <f t="shared" ca="1" si="179"/>
        <v>1</v>
      </c>
    </row>
    <row r="939" spans="12:26" x14ac:dyDescent="0.3">
      <c r="L939" s="15">
        <v>937</v>
      </c>
      <c r="M939" s="15">
        <f t="shared" si="171"/>
        <v>1</v>
      </c>
      <c r="N939" s="15">
        <f t="shared" ca="1" si="172"/>
        <v>-1.6651127956959222E-3</v>
      </c>
      <c r="O939" s="15">
        <f t="shared" ca="1" si="181"/>
        <v>0.24715841899962057</v>
      </c>
      <c r="P939" s="15">
        <f t="shared" ca="1" si="180"/>
        <v>0.24715841287913698</v>
      </c>
      <c r="Q939" s="15">
        <v>0</v>
      </c>
      <c r="R939" s="15">
        <f t="shared" ca="1" si="173"/>
        <v>0.24715841287913698</v>
      </c>
      <c r="S939" s="15">
        <f t="shared" ca="1" si="182"/>
        <v>0.99360878939870123</v>
      </c>
      <c r="T939" s="15">
        <f t="shared" ca="1" si="174"/>
        <v>8.0563338565619487E-3</v>
      </c>
      <c r="U939" s="15">
        <f t="shared" ca="1" si="175"/>
        <v>1.0016651232552631</v>
      </c>
      <c r="V939" s="15">
        <f t="shared" ca="1" si="176"/>
        <v>1.0016651127956959</v>
      </c>
      <c r="X939" s="15">
        <f t="shared" si="177"/>
        <v>1.05</v>
      </c>
      <c r="Y939" s="15">
        <f t="shared" si="178"/>
        <v>0.95</v>
      </c>
      <c r="Z939" s="15">
        <f t="shared" ca="1" si="179"/>
        <v>1</v>
      </c>
    </row>
    <row r="940" spans="12:26" x14ac:dyDescent="0.3">
      <c r="L940" s="15">
        <v>938</v>
      </c>
      <c r="M940" s="15">
        <f t="shared" si="171"/>
        <v>1</v>
      </c>
      <c r="N940" s="15">
        <f t="shared" ca="1" si="172"/>
        <v>1.1275976433249291E-3</v>
      </c>
      <c r="O940" s="15">
        <f t="shared" ca="1" si="181"/>
        <v>0.24715841899962057</v>
      </c>
      <c r="P940" s="15">
        <f t="shared" ca="1" si="180"/>
        <v>0.24715841287913698</v>
      </c>
      <c r="Q940" s="15">
        <v>0</v>
      </c>
      <c r="R940" s="15">
        <f t="shared" ca="1" si="173"/>
        <v>0.24715841287913698</v>
      </c>
      <c r="S940" s="15">
        <f t="shared" ca="1" si="182"/>
        <v>0.99363737804725649</v>
      </c>
      <c r="T940" s="15">
        <f t="shared" ca="1" si="174"/>
        <v>5.2350446855457386E-3</v>
      </c>
      <c r="U940" s="15">
        <f t="shared" ca="1" si="175"/>
        <v>0.99887242273280219</v>
      </c>
      <c r="V940" s="15">
        <f t="shared" ca="1" si="176"/>
        <v>0.99887240235667507</v>
      </c>
      <c r="X940" s="15">
        <f t="shared" si="177"/>
        <v>1.05</v>
      </c>
      <c r="Y940" s="15">
        <f t="shared" si="178"/>
        <v>0.95</v>
      </c>
      <c r="Z940" s="15">
        <f t="shared" ca="1" si="179"/>
        <v>1</v>
      </c>
    </row>
    <row r="941" spans="12:26" x14ac:dyDescent="0.3">
      <c r="L941" s="15">
        <v>939</v>
      </c>
      <c r="M941" s="15">
        <f t="shared" si="171"/>
        <v>1</v>
      </c>
      <c r="N941" s="15">
        <f t="shared" ca="1" si="172"/>
        <v>4.2010319894647541E-3</v>
      </c>
      <c r="O941" s="15">
        <f t="shared" ca="1" si="181"/>
        <v>0.25018338758396952</v>
      </c>
      <c r="P941" s="15">
        <f t="shared" ca="1" si="180"/>
        <v>0.25018337188525669</v>
      </c>
      <c r="Q941" s="15">
        <v>0</v>
      </c>
      <c r="R941" s="15">
        <f t="shared" ca="1" si="173"/>
        <v>0.25018337188525669</v>
      </c>
      <c r="S941" s="15">
        <f t="shared" ca="1" si="182"/>
        <v>0.99370234180791006</v>
      </c>
      <c r="T941" s="15">
        <f t="shared" ca="1" si="174"/>
        <v>2.0966473315970004E-3</v>
      </c>
      <c r="U941" s="15">
        <f t="shared" ca="1" si="175"/>
        <v>0.99579898913950704</v>
      </c>
      <c r="V941" s="15">
        <f t="shared" ca="1" si="176"/>
        <v>0.99579896801053525</v>
      </c>
      <c r="X941" s="15">
        <f t="shared" si="177"/>
        <v>1.05</v>
      </c>
      <c r="Y941" s="15">
        <f t="shared" si="178"/>
        <v>0.95</v>
      </c>
      <c r="Z941" s="15">
        <f t="shared" ca="1" si="179"/>
        <v>1</v>
      </c>
    </row>
    <row r="942" spans="12:26" x14ac:dyDescent="0.3">
      <c r="L942" s="15">
        <v>940</v>
      </c>
      <c r="M942" s="15">
        <f t="shared" si="171"/>
        <v>1</v>
      </c>
      <c r="N942" s="15">
        <f t="shared" ca="1" si="172"/>
        <v>5.3445564129726009E-3</v>
      </c>
      <c r="O942" s="15">
        <f t="shared" ca="1" si="181"/>
        <v>0.25018338758396952</v>
      </c>
      <c r="P942" s="15">
        <f t="shared" ca="1" si="180"/>
        <v>0.25018337188525669</v>
      </c>
      <c r="Q942" s="15">
        <v>0</v>
      </c>
      <c r="R942" s="15">
        <f t="shared" ca="1" si="173"/>
        <v>0.25018337188525669</v>
      </c>
      <c r="S942" s="15">
        <f t="shared" ca="1" si="182"/>
        <v>0.99379444152835406</v>
      </c>
      <c r="T942" s="15">
        <f t="shared" ca="1" si="174"/>
        <v>8.6101078525162799E-4</v>
      </c>
      <c r="U942" s="15">
        <f t="shared" ca="1" si="175"/>
        <v>0.99465545231360564</v>
      </c>
      <c r="V942" s="15">
        <f t="shared" ca="1" si="176"/>
        <v>0.9946554435870274</v>
      </c>
      <c r="X942" s="15">
        <f t="shared" si="177"/>
        <v>1.05</v>
      </c>
      <c r="Y942" s="15">
        <f t="shared" si="178"/>
        <v>0.95</v>
      </c>
      <c r="Z942" s="15">
        <f t="shared" ca="1" si="179"/>
        <v>1</v>
      </c>
    </row>
    <row r="943" spans="12:26" x14ac:dyDescent="0.3">
      <c r="L943" s="15">
        <v>941</v>
      </c>
      <c r="M943" s="15">
        <f t="shared" si="171"/>
        <v>1</v>
      </c>
      <c r="N943" s="15">
        <f t="shared" ca="1" si="172"/>
        <v>-3.4814246472627541E-3</v>
      </c>
      <c r="O943" s="15">
        <f t="shared" ca="1" si="181"/>
        <v>0.25018338758396952</v>
      </c>
      <c r="P943" s="15">
        <f t="shared" ca="1" si="180"/>
        <v>0.25018337188525669</v>
      </c>
      <c r="Q943" s="15">
        <v>0</v>
      </c>
      <c r="R943" s="15">
        <f t="shared" ca="1" si="173"/>
        <v>0.25018337188525669</v>
      </c>
      <c r="S943" s="15">
        <f t="shared" ca="1" si="182"/>
        <v>0.99390984312789998</v>
      </c>
      <c r="T943" s="15">
        <f t="shared" ca="1" si="174"/>
        <v>9.5716013016872072E-3</v>
      </c>
      <c r="U943" s="15">
        <f t="shared" ca="1" si="175"/>
        <v>1.0034814444295872</v>
      </c>
      <c r="V943" s="15">
        <f t="shared" ca="1" si="176"/>
        <v>1.0034814246472628</v>
      </c>
      <c r="X943" s="15">
        <f t="shared" si="177"/>
        <v>1.05</v>
      </c>
      <c r="Y943" s="15">
        <f t="shared" si="178"/>
        <v>0.95</v>
      </c>
      <c r="Z943" s="15">
        <f t="shared" ca="1" si="179"/>
        <v>1</v>
      </c>
    </row>
    <row r="944" spans="12:26" x14ac:dyDescent="0.3">
      <c r="L944" s="15">
        <v>942</v>
      </c>
      <c r="M944" s="15">
        <f t="shared" si="171"/>
        <v>1</v>
      </c>
      <c r="N944" s="15">
        <f t="shared" ca="1" si="172"/>
        <v>4.5138166762221932E-3</v>
      </c>
      <c r="O944" s="15">
        <f t="shared" ca="1" si="181"/>
        <v>0.24941923891244233</v>
      </c>
      <c r="P944" s="15">
        <f t="shared" ca="1" si="180"/>
        <v>0.24941922171260678</v>
      </c>
      <c r="Q944" s="15">
        <v>0</v>
      </c>
      <c r="R944" s="15">
        <f t="shared" ca="1" si="173"/>
        <v>0.24941922171260678</v>
      </c>
      <c r="S944" s="15">
        <f t="shared" ca="1" si="182"/>
        <v>0.99402576107730567</v>
      </c>
      <c r="T944" s="15">
        <f t="shared" ca="1" si="174"/>
        <v>1.460438090411732E-3</v>
      </c>
      <c r="U944" s="15">
        <f t="shared" ca="1" si="175"/>
        <v>0.99548619916771741</v>
      </c>
      <c r="V944" s="15">
        <f t="shared" ca="1" si="176"/>
        <v>0.99548618332377781</v>
      </c>
      <c r="X944" s="15">
        <f t="shared" si="177"/>
        <v>1.05</v>
      </c>
      <c r="Y944" s="15">
        <f t="shared" si="178"/>
        <v>0.95</v>
      </c>
      <c r="Z944" s="15">
        <f t="shared" ca="1" si="179"/>
        <v>1</v>
      </c>
    </row>
    <row r="945" spans="12:26" x14ac:dyDescent="0.3">
      <c r="L945" s="15">
        <v>943</v>
      </c>
      <c r="M945" s="15">
        <f t="shared" si="171"/>
        <v>1</v>
      </c>
      <c r="N945" s="15">
        <f t="shared" ca="1" si="172"/>
        <v>-2.3774115839920729E-3</v>
      </c>
      <c r="O945" s="15">
        <f t="shared" ca="1" si="181"/>
        <v>0.24941923891244233</v>
      </c>
      <c r="P945" s="15">
        <f t="shared" ca="1" si="180"/>
        <v>0.24941922171260678</v>
      </c>
      <c r="Q945" s="15">
        <v>0</v>
      </c>
      <c r="R945" s="15">
        <f t="shared" ca="1" si="173"/>
        <v>0.24941922171260678</v>
      </c>
      <c r="S945" s="15">
        <f t="shared" ca="1" si="182"/>
        <v>0.99412315557371778</v>
      </c>
      <c r="T945" s="15">
        <f t="shared" ca="1" si="174"/>
        <v>8.2542752555407085E-3</v>
      </c>
      <c r="U945" s="15">
        <f t="shared" ca="1" si="175"/>
        <v>1.0023774308292586</v>
      </c>
      <c r="V945" s="15">
        <f t="shared" ca="1" si="176"/>
        <v>1.0023774115839921</v>
      </c>
      <c r="X945" s="15">
        <f t="shared" si="177"/>
        <v>1.05</v>
      </c>
      <c r="Y945" s="15">
        <f t="shared" si="178"/>
        <v>0.95</v>
      </c>
      <c r="Z945" s="15">
        <f t="shared" ca="1" si="179"/>
        <v>1</v>
      </c>
    </row>
    <row r="946" spans="12:26" x14ac:dyDescent="0.3">
      <c r="L946" s="15">
        <v>944</v>
      </c>
      <c r="M946" s="15">
        <f t="shared" si="171"/>
        <v>1</v>
      </c>
      <c r="N946" s="15">
        <f t="shared" ca="1" si="172"/>
        <v>5.5229046860529873E-3</v>
      </c>
      <c r="O946" s="15">
        <f t="shared" ca="1" si="181"/>
        <v>0.24941923891244233</v>
      </c>
      <c r="P946" s="15">
        <f t="shared" ca="1" si="180"/>
        <v>0.24941922171260678</v>
      </c>
      <c r="Q946" s="15">
        <v>0</v>
      </c>
      <c r="R946" s="15">
        <f t="shared" ca="1" si="173"/>
        <v>0.24941922171260678</v>
      </c>
      <c r="S946" s="15">
        <f t="shared" ca="1" si="182"/>
        <v>0.99420396597243832</v>
      </c>
      <c r="T946" s="15">
        <f t="shared" ca="1" si="174"/>
        <v>2.7314384685336092E-4</v>
      </c>
      <c r="U946" s="15">
        <f t="shared" ca="1" si="175"/>
        <v>0.99447710981929172</v>
      </c>
      <c r="V946" s="15">
        <f t="shared" ca="1" si="176"/>
        <v>0.99447709531394701</v>
      </c>
      <c r="X946" s="15">
        <f t="shared" si="177"/>
        <v>1.05</v>
      </c>
      <c r="Y946" s="15">
        <f t="shared" si="178"/>
        <v>0.95</v>
      </c>
      <c r="Z946" s="15">
        <f t="shared" ca="1" si="179"/>
        <v>1</v>
      </c>
    </row>
    <row r="947" spans="12:26" x14ac:dyDescent="0.3">
      <c r="L947" s="15">
        <v>945</v>
      </c>
      <c r="M947" s="15">
        <f t="shared" si="171"/>
        <v>1</v>
      </c>
      <c r="N947" s="15">
        <f t="shared" ca="1" si="172"/>
        <v>3.6956265111676156E-3</v>
      </c>
      <c r="O947" s="15">
        <f t="shared" ca="1" si="181"/>
        <v>0.24867398157748513</v>
      </c>
      <c r="P947" s="15">
        <f t="shared" ca="1" si="180"/>
        <v>0.24867397738822594</v>
      </c>
      <c r="Q947" s="15">
        <v>0</v>
      </c>
      <c r="R947" s="15">
        <f t="shared" ca="1" si="173"/>
        <v>0.24867397738822594</v>
      </c>
      <c r="S947" s="15">
        <f t="shared" ca="1" si="182"/>
        <v>0.99422619784837352</v>
      </c>
      <c r="T947" s="15">
        <f t="shared" ca="1" si="174"/>
        <v>2.0781854183598006E-3</v>
      </c>
      <c r="U947" s="15">
        <f t="shared" ca="1" si="175"/>
        <v>0.99630438326673332</v>
      </c>
      <c r="V947" s="15">
        <f t="shared" ca="1" si="176"/>
        <v>0.99630437348883238</v>
      </c>
      <c r="X947" s="15">
        <f t="shared" si="177"/>
        <v>1.05</v>
      </c>
      <c r="Y947" s="15">
        <f t="shared" si="178"/>
        <v>0.95</v>
      </c>
      <c r="Z947" s="15">
        <f t="shared" ca="1" si="179"/>
        <v>1</v>
      </c>
    </row>
    <row r="948" spans="12:26" x14ac:dyDescent="0.3">
      <c r="L948" s="15">
        <v>946</v>
      </c>
      <c r="M948" s="15">
        <f t="shared" si="171"/>
        <v>1</v>
      </c>
      <c r="N948" s="15">
        <f t="shared" ca="1" si="172"/>
        <v>-2.7690327267091419E-3</v>
      </c>
      <c r="O948" s="15">
        <f t="shared" ca="1" si="181"/>
        <v>0.24867398157748513</v>
      </c>
      <c r="P948" s="15">
        <f t="shared" ca="1" si="180"/>
        <v>0.24867397738822594</v>
      </c>
      <c r="Q948" s="15">
        <v>0</v>
      </c>
      <c r="R948" s="15">
        <f t="shared" ca="1" si="173"/>
        <v>0.24867397738822594</v>
      </c>
      <c r="S948" s="15">
        <f t="shared" ca="1" si="182"/>
        <v>0.99415537103990959</v>
      </c>
      <c r="T948" s="15">
        <f t="shared" ca="1" si="174"/>
        <v>8.6136715164342095E-3</v>
      </c>
      <c r="U948" s="15">
        <f t="shared" ca="1" si="175"/>
        <v>1.0027690425563438</v>
      </c>
      <c r="V948" s="15">
        <f t="shared" ca="1" si="176"/>
        <v>1.0027690327267091</v>
      </c>
      <c r="X948" s="15">
        <f t="shared" si="177"/>
        <v>1.05</v>
      </c>
      <c r="Y948" s="15">
        <f t="shared" si="178"/>
        <v>0.95</v>
      </c>
      <c r="Z948" s="15">
        <f t="shared" ca="1" si="179"/>
        <v>1</v>
      </c>
    </row>
    <row r="949" spans="12:26" x14ac:dyDescent="0.3">
      <c r="L949" s="15">
        <v>947</v>
      </c>
      <c r="M949" s="15">
        <f t="shared" si="171"/>
        <v>1</v>
      </c>
      <c r="N949" s="15">
        <f t="shared" ca="1" si="172"/>
        <v>-1.4103029392218414E-3</v>
      </c>
      <c r="O949" s="15">
        <f t="shared" ca="1" si="181"/>
        <v>0.24867398157748513</v>
      </c>
      <c r="P949" s="15">
        <f t="shared" ca="1" si="180"/>
        <v>0.24867397738822594</v>
      </c>
      <c r="Q949" s="15">
        <v>0</v>
      </c>
      <c r="R949" s="15">
        <f t="shared" ca="1" si="173"/>
        <v>0.24867397738822594</v>
      </c>
      <c r="S949" s="15">
        <f t="shared" ca="1" si="182"/>
        <v>0.99400359762955626</v>
      </c>
      <c r="T949" s="15">
        <f t="shared" ca="1" si="174"/>
        <v>7.4067054150111214E-3</v>
      </c>
      <c r="U949" s="15">
        <f t="shared" ca="1" si="175"/>
        <v>1.0014103030445674</v>
      </c>
      <c r="V949" s="15">
        <f t="shared" ca="1" si="176"/>
        <v>1.0014103029392218</v>
      </c>
      <c r="X949" s="15">
        <f t="shared" si="177"/>
        <v>1.05</v>
      </c>
      <c r="Y949" s="15">
        <f t="shared" si="178"/>
        <v>0.95</v>
      </c>
      <c r="Z949" s="15">
        <f t="shared" ca="1" si="179"/>
        <v>1</v>
      </c>
    </row>
    <row r="950" spans="12:26" x14ac:dyDescent="0.3">
      <c r="L950" s="15">
        <v>948</v>
      </c>
      <c r="M950" s="15">
        <f t="shared" si="171"/>
        <v>1</v>
      </c>
      <c r="N950" s="15">
        <f t="shared" ca="1" si="172"/>
        <v>1.1140236167967998E-3</v>
      </c>
      <c r="O950" s="15">
        <f t="shared" ca="1" si="181"/>
        <v>0.24719846743834684</v>
      </c>
      <c r="P950" s="15">
        <f t="shared" ca="1" si="180"/>
        <v>0.24719845974985477</v>
      </c>
      <c r="Q950" s="15">
        <v>0</v>
      </c>
      <c r="R950" s="15">
        <f t="shared" ca="1" si="173"/>
        <v>0.24719845974985477</v>
      </c>
      <c r="S950" s="15">
        <f t="shared" ca="1" si="182"/>
        <v>0.99382779830597656</v>
      </c>
      <c r="T950" s="15">
        <f t="shared" ca="1" si="174"/>
        <v>5.0581958393132662E-3</v>
      </c>
      <c r="U950" s="15">
        <f t="shared" ca="1" si="175"/>
        <v>0.99888599414528978</v>
      </c>
      <c r="V950" s="15">
        <f t="shared" ca="1" si="176"/>
        <v>0.9988859763832032</v>
      </c>
      <c r="X950" s="15">
        <f t="shared" si="177"/>
        <v>1.05</v>
      </c>
      <c r="Y950" s="15">
        <f t="shared" si="178"/>
        <v>0.95</v>
      </c>
      <c r="Z950" s="15">
        <f t="shared" ca="1" si="179"/>
        <v>1</v>
      </c>
    </row>
    <row r="951" spans="12:26" x14ac:dyDescent="0.3">
      <c r="L951" s="15">
        <v>949</v>
      </c>
      <c r="M951" s="15">
        <f t="shared" si="171"/>
        <v>1</v>
      </c>
      <c r="N951" s="15">
        <f t="shared" ca="1" si="172"/>
        <v>-3.0793726917075492E-3</v>
      </c>
      <c r="O951" s="15">
        <f t="shared" ca="1" si="181"/>
        <v>0.24719846743834684</v>
      </c>
      <c r="P951" s="15">
        <f t="shared" ca="1" si="180"/>
        <v>0.24719845974985477</v>
      </c>
      <c r="Q951" s="15">
        <v>0</v>
      </c>
      <c r="R951" s="15">
        <f t="shared" ca="1" si="173"/>
        <v>0.24719845974985477</v>
      </c>
      <c r="S951" s="15">
        <f t="shared" ca="1" si="182"/>
        <v>0.99367573483339788</v>
      </c>
      <c r="T951" s="15">
        <f t="shared" ca="1" si="174"/>
        <v>9.4036448374879445E-3</v>
      </c>
      <c r="U951" s="15">
        <f t="shared" ca="1" si="175"/>
        <v>1.0030793796708859</v>
      </c>
      <c r="V951" s="15">
        <f t="shared" ca="1" si="176"/>
        <v>1.0030793726917075</v>
      </c>
      <c r="X951" s="15">
        <f t="shared" si="177"/>
        <v>1.05</v>
      </c>
      <c r="Y951" s="15">
        <f t="shared" si="178"/>
        <v>0.95</v>
      </c>
      <c r="Z951" s="15">
        <f t="shared" ca="1" si="179"/>
        <v>1</v>
      </c>
    </row>
    <row r="952" spans="12:26" x14ac:dyDescent="0.3">
      <c r="L952" s="15">
        <v>950</v>
      </c>
      <c r="M952" s="15">
        <f t="shared" si="171"/>
        <v>1</v>
      </c>
      <c r="N952" s="15">
        <f t="shared" ca="1" si="172"/>
        <v>-2.5048165122290023E-3</v>
      </c>
      <c r="O952" s="15">
        <f t="shared" ca="1" si="181"/>
        <v>0.24719846743834684</v>
      </c>
      <c r="P952" s="15">
        <f t="shared" ca="1" si="180"/>
        <v>0.24719845974985477</v>
      </c>
      <c r="Q952" s="15">
        <v>0</v>
      </c>
      <c r="R952" s="15">
        <f t="shared" ca="1" si="173"/>
        <v>0.24719845974985477</v>
      </c>
      <c r="S952" s="15">
        <f t="shared" ca="1" si="182"/>
        <v>0.99354503744318834</v>
      </c>
      <c r="T952" s="15">
        <f t="shared" ca="1" si="174"/>
        <v>8.9598003388637309E-3</v>
      </c>
      <c r="U952" s="15">
        <f t="shared" ca="1" si="175"/>
        <v>1.002504837782052</v>
      </c>
      <c r="V952" s="15">
        <f t="shared" ca="1" si="176"/>
        <v>1.002504816512229</v>
      </c>
      <c r="X952" s="15">
        <f t="shared" si="177"/>
        <v>1.05</v>
      </c>
      <c r="Y952" s="15">
        <f t="shared" si="178"/>
        <v>0.95</v>
      </c>
      <c r="Z952" s="15">
        <f t="shared" ca="1" si="179"/>
        <v>1</v>
      </c>
    </row>
    <row r="953" spans="12:26" x14ac:dyDescent="0.3">
      <c r="L953" s="15">
        <v>951</v>
      </c>
      <c r="M953" s="15">
        <f t="shared" si="171"/>
        <v>1</v>
      </c>
      <c r="N953" s="15">
        <f t="shared" ca="1" si="172"/>
        <v>-1.4522357381534512E-3</v>
      </c>
      <c r="O953" s="15">
        <f t="shared" ca="1" si="181"/>
        <v>0.24674242625000753</v>
      </c>
      <c r="P953" s="15">
        <f t="shared" ca="1" si="180"/>
        <v>0.24674241436802372</v>
      </c>
      <c r="Q953" s="15">
        <v>0</v>
      </c>
      <c r="R953" s="15">
        <f t="shared" ca="1" si="173"/>
        <v>0.24674241436802372</v>
      </c>
      <c r="S953" s="15">
        <f t="shared" ca="1" si="182"/>
        <v>0.99342045643983556</v>
      </c>
      <c r="T953" s="15">
        <f t="shared" ca="1" si="174"/>
        <v>8.0317840469840956E-3</v>
      </c>
      <c r="U953" s="15">
        <f t="shared" ca="1" si="175"/>
        <v>1.0014522404868196</v>
      </c>
      <c r="V953" s="15">
        <f t="shared" ca="1" si="176"/>
        <v>1.0014522357381535</v>
      </c>
      <c r="X953" s="15">
        <f t="shared" si="177"/>
        <v>1.05</v>
      </c>
      <c r="Y953" s="15">
        <f t="shared" si="178"/>
        <v>0.95</v>
      </c>
      <c r="Z953" s="15">
        <f t="shared" ca="1" si="179"/>
        <v>1</v>
      </c>
    </row>
    <row r="954" spans="12:26" x14ac:dyDescent="0.3">
      <c r="L954" s="15">
        <v>952</v>
      </c>
      <c r="M954" s="15">
        <f t="shared" si="171"/>
        <v>1</v>
      </c>
      <c r="N954" s="15">
        <f t="shared" ca="1" si="172"/>
        <v>1.7461134124818756E-5</v>
      </c>
      <c r="O954" s="15">
        <f t="shared" ca="1" si="181"/>
        <v>0.24674242625000753</v>
      </c>
      <c r="P954" s="15">
        <f t="shared" ca="1" si="180"/>
        <v>0.24674241436802372</v>
      </c>
      <c r="Q954" s="15">
        <v>0</v>
      </c>
      <c r="R954" s="15">
        <f t="shared" ca="1" si="173"/>
        <v>0.24674241436802372</v>
      </c>
      <c r="S954" s="15">
        <f t="shared" ca="1" si="182"/>
        <v>0.9932892311270094</v>
      </c>
      <c r="T954" s="15">
        <f t="shared" ca="1" si="174"/>
        <v>6.6933084060579566E-3</v>
      </c>
      <c r="U954" s="15">
        <f t="shared" ca="1" si="175"/>
        <v>0.99998253953306737</v>
      </c>
      <c r="V954" s="15">
        <f t="shared" ca="1" si="176"/>
        <v>0.99998253886587518</v>
      </c>
      <c r="X954" s="15">
        <f t="shared" si="177"/>
        <v>1.05</v>
      </c>
      <c r="Y954" s="15">
        <f t="shared" si="178"/>
        <v>0.95</v>
      </c>
      <c r="Z954" s="15">
        <f t="shared" ca="1" si="179"/>
        <v>1</v>
      </c>
    </row>
    <row r="955" spans="12:26" x14ac:dyDescent="0.3">
      <c r="L955" s="15">
        <v>953</v>
      </c>
      <c r="M955" s="15">
        <f t="shared" si="171"/>
        <v>1</v>
      </c>
      <c r="N955" s="15">
        <f t="shared" ca="1" si="172"/>
        <v>6.4268230941210147E-3</v>
      </c>
      <c r="O955" s="15">
        <f t="shared" ca="1" si="181"/>
        <v>0.24674242625000753</v>
      </c>
      <c r="P955" s="15">
        <f t="shared" ca="1" si="180"/>
        <v>0.24674241436802372</v>
      </c>
      <c r="Q955" s="15">
        <v>0</v>
      </c>
      <c r="R955" s="15">
        <f t="shared" ca="1" si="173"/>
        <v>0.24674241436802372</v>
      </c>
      <c r="S955" s="15">
        <f t="shared" ca="1" si="182"/>
        <v>0.99315275993988639</v>
      </c>
      <c r="T955" s="15">
        <f t="shared" ca="1" si="174"/>
        <v>4.2043142189220008E-4</v>
      </c>
      <c r="U955" s="15">
        <f t="shared" ca="1" si="175"/>
        <v>0.99357319136177857</v>
      </c>
      <c r="V955" s="15">
        <f t="shared" ca="1" si="176"/>
        <v>0.99357317690587899</v>
      </c>
      <c r="X955" s="15">
        <f t="shared" si="177"/>
        <v>1.05</v>
      </c>
      <c r="Y955" s="15">
        <f t="shared" si="178"/>
        <v>0.95</v>
      </c>
      <c r="Z955" s="15">
        <f t="shared" ca="1" si="179"/>
        <v>1</v>
      </c>
    </row>
    <row r="956" spans="12:26" x14ac:dyDescent="0.3">
      <c r="L956" s="15">
        <v>954</v>
      </c>
      <c r="M956" s="15">
        <f t="shared" si="171"/>
        <v>1</v>
      </c>
      <c r="N956" s="15">
        <f t="shared" ca="1" si="172"/>
        <v>5.005624844926726E-3</v>
      </c>
      <c r="O956" s="15">
        <f t="shared" ca="1" si="181"/>
        <v>0.25335420093810124</v>
      </c>
      <c r="P956" s="15">
        <f t="shared" ca="1" si="180"/>
        <v>0.25335419928965958</v>
      </c>
      <c r="Q956" s="15">
        <v>0</v>
      </c>
      <c r="R956" s="15">
        <f t="shared" ca="1" si="173"/>
        <v>0.25335419928965958</v>
      </c>
      <c r="S956" s="15">
        <f t="shared" ca="1" si="182"/>
        <v>0.99307467132297811</v>
      </c>
      <c r="T956" s="15">
        <f t="shared" ca="1" si="174"/>
        <v>1.9197209247179537E-3</v>
      </c>
      <c r="U956" s="15">
        <f t="shared" ca="1" si="175"/>
        <v>0.99499439224769604</v>
      </c>
      <c r="V956" s="15">
        <f t="shared" ca="1" si="176"/>
        <v>0.99499437515507327</v>
      </c>
      <c r="X956" s="15">
        <f t="shared" si="177"/>
        <v>1.05</v>
      </c>
      <c r="Y956" s="15">
        <f t="shared" si="178"/>
        <v>0.95</v>
      </c>
      <c r="Z956" s="15">
        <f t="shared" ca="1" si="179"/>
        <v>1</v>
      </c>
    </row>
    <row r="957" spans="12:26" x14ac:dyDescent="0.3">
      <c r="L957" s="15">
        <v>955</v>
      </c>
      <c r="M957" s="15">
        <f t="shared" si="171"/>
        <v>1</v>
      </c>
      <c r="N957" s="15">
        <f t="shared" ca="1" si="172"/>
        <v>1.4516280501735146E-3</v>
      </c>
      <c r="O957" s="15">
        <f t="shared" ca="1" si="181"/>
        <v>0.25335420093810124</v>
      </c>
      <c r="P957" s="15">
        <f t="shared" ca="1" si="180"/>
        <v>0.25335419928965958</v>
      </c>
      <c r="Q957" s="15">
        <v>0</v>
      </c>
      <c r="R957" s="15">
        <f t="shared" ca="1" si="173"/>
        <v>0.25335419928965958</v>
      </c>
      <c r="S957" s="15">
        <f t="shared" ca="1" si="182"/>
        <v>0.99310751004323627</v>
      </c>
      <c r="T957" s="15">
        <f t="shared" ca="1" si="174"/>
        <v>5.4408775591760182E-3</v>
      </c>
      <c r="U957" s="15">
        <f t="shared" ca="1" si="175"/>
        <v>0.99854838760241227</v>
      </c>
      <c r="V957" s="15">
        <f t="shared" ca="1" si="176"/>
        <v>0.99854837194982649</v>
      </c>
      <c r="X957" s="15">
        <f t="shared" si="177"/>
        <v>1.05</v>
      </c>
      <c r="Y957" s="15">
        <f t="shared" si="178"/>
        <v>0.95</v>
      </c>
      <c r="Z957" s="15">
        <f t="shared" ca="1" si="179"/>
        <v>1</v>
      </c>
    </row>
    <row r="958" spans="12:26" x14ac:dyDescent="0.3">
      <c r="L958" s="15">
        <v>956</v>
      </c>
      <c r="M958" s="15">
        <f t="shared" si="171"/>
        <v>1</v>
      </c>
      <c r="N958" s="15">
        <f t="shared" ca="1" si="172"/>
        <v>1.8040637955544225E-3</v>
      </c>
      <c r="O958" s="15">
        <f t="shared" ca="1" si="181"/>
        <v>0.25335420093810124</v>
      </c>
      <c r="P958" s="15">
        <f t="shared" ca="1" si="180"/>
        <v>0.25335419928965958</v>
      </c>
      <c r="Q958" s="15">
        <v>0</v>
      </c>
      <c r="R958" s="15">
        <f t="shared" ca="1" si="173"/>
        <v>0.25335419928965958</v>
      </c>
      <c r="S958" s="15">
        <f t="shared" ca="1" si="182"/>
        <v>0.99323705651469318</v>
      </c>
      <c r="T958" s="15">
        <f t="shared" ca="1" si="174"/>
        <v>4.9588975718737969E-3</v>
      </c>
      <c r="U958" s="15">
        <f t="shared" ca="1" si="175"/>
        <v>0.99819595408656703</v>
      </c>
      <c r="V958" s="15">
        <f t="shared" ca="1" si="176"/>
        <v>0.99819593620444558</v>
      </c>
      <c r="X958" s="15">
        <f t="shared" si="177"/>
        <v>1.05</v>
      </c>
      <c r="Y958" s="15">
        <f t="shared" si="178"/>
        <v>0.95</v>
      </c>
      <c r="Z958" s="15">
        <f t="shared" ca="1" si="179"/>
        <v>1</v>
      </c>
    </row>
    <row r="959" spans="12:26" x14ac:dyDescent="0.3">
      <c r="L959" s="15">
        <v>957</v>
      </c>
      <c r="M959" s="15">
        <f t="shared" si="171"/>
        <v>1</v>
      </c>
      <c r="N959" s="15">
        <f t="shared" ca="1" si="172"/>
        <v>3.610689892342922E-3</v>
      </c>
      <c r="O959" s="15">
        <f t="shared" ca="1" si="181"/>
        <v>0.24847603186993095</v>
      </c>
      <c r="P959" s="15">
        <f t="shared" ca="1" si="180"/>
        <v>0.24847602477494538</v>
      </c>
      <c r="Q959" s="15">
        <v>0</v>
      </c>
      <c r="R959" s="15">
        <f t="shared" ca="1" si="173"/>
        <v>0.24847602477494538</v>
      </c>
      <c r="S959" s="15">
        <f t="shared" ca="1" si="182"/>
        <v>0.9933892326896625</v>
      </c>
      <c r="T959" s="15">
        <f t="shared" ca="1" si="174"/>
        <v>3.0000979429087304E-3</v>
      </c>
      <c r="U959" s="15">
        <f t="shared" ca="1" si="175"/>
        <v>0.99638933063257129</v>
      </c>
      <c r="V959" s="15">
        <f t="shared" ca="1" si="176"/>
        <v>0.99638931010765708</v>
      </c>
      <c r="X959" s="15">
        <f t="shared" si="177"/>
        <v>1.05</v>
      </c>
      <c r="Y959" s="15">
        <f t="shared" si="178"/>
        <v>0.95</v>
      </c>
      <c r="Z959" s="15">
        <f t="shared" ca="1" si="179"/>
        <v>1</v>
      </c>
    </row>
    <row r="960" spans="12:26" x14ac:dyDescent="0.3">
      <c r="L960" s="15">
        <v>958</v>
      </c>
      <c r="M960" s="15">
        <f t="shared" si="171"/>
        <v>1</v>
      </c>
      <c r="N960" s="15">
        <f t="shared" ca="1" si="172"/>
        <v>1.6570440497376548E-4</v>
      </c>
      <c r="O960" s="15">
        <f t="shared" ca="1" si="181"/>
        <v>0.24847603186993095</v>
      </c>
      <c r="P960" s="15">
        <f t="shared" ca="1" si="180"/>
        <v>0.24847602477494538</v>
      </c>
      <c r="Q960" s="15">
        <v>0</v>
      </c>
      <c r="R960" s="15">
        <f t="shared" ca="1" si="173"/>
        <v>0.24847602477494538</v>
      </c>
      <c r="S960" s="15">
        <f t="shared" ca="1" si="182"/>
        <v>0.99350197794678341</v>
      </c>
      <c r="T960" s="15">
        <f t="shared" ca="1" si="174"/>
        <v>6.332322570913318E-3</v>
      </c>
      <c r="U960" s="15">
        <f t="shared" ca="1" si="175"/>
        <v>0.99983430051769673</v>
      </c>
      <c r="V960" s="15">
        <f t="shared" ca="1" si="176"/>
        <v>0.99983429559502623</v>
      </c>
      <c r="X960" s="15">
        <f t="shared" si="177"/>
        <v>1.05</v>
      </c>
      <c r="Y960" s="15">
        <f t="shared" si="178"/>
        <v>0.95</v>
      </c>
      <c r="Z960" s="15">
        <f t="shared" ca="1" si="179"/>
        <v>1</v>
      </c>
    </row>
    <row r="961" spans="12:26" x14ac:dyDescent="0.3">
      <c r="L961" s="15">
        <v>959</v>
      </c>
      <c r="M961" s="15">
        <f t="shared" si="171"/>
        <v>1</v>
      </c>
      <c r="N961" s="15">
        <f t="shared" ca="1" si="172"/>
        <v>-2.8819555889074699E-3</v>
      </c>
      <c r="O961" s="15">
        <f t="shared" ca="1" si="181"/>
        <v>0.24847603186993095</v>
      </c>
      <c r="P961" s="15">
        <f t="shared" ca="1" si="180"/>
        <v>0.24847602477494538</v>
      </c>
      <c r="Q961" s="15">
        <v>0</v>
      </c>
      <c r="R961" s="15">
        <f t="shared" ca="1" si="173"/>
        <v>0.24847602477494538</v>
      </c>
      <c r="S961" s="15">
        <f t="shared" ca="1" si="182"/>
        <v>0.99357982062705852</v>
      </c>
      <c r="T961" s="15">
        <f t="shared" ca="1" si="174"/>
        <v>9.3021563007959461E-3</v>
      </c>
      <c r="U961" s="15">
        <f t="shared" ca="1" si="175"/>
        <v>1.0028819769278545</v>
      </c>
      <c r="V961" s="15">
        <f t="shared" ca="1" si="176"/>
        <v>1.0028819555889075</v>
      </c>
      <c r="X961" s="15">
        <f t="shared" si="177"/>
        <v>1.05</v>
      </c>
      <c r="Y961" s="15">
        <f t="shared" si="178"/>
        <v>0.95</v>
      </c>
      <c r="Z961" s="15">
        <f t="shared" ca="1" si="179"/>
        <v>1</v>
      </c>
    </row>
    <row r="962" spans="12:26" x14ac:dyDescent="0.3">
      <c r="L962" s="15">
        <v>960</v>
      </c>
      <c r="M962" s="15">
        <f t="shared" si="171"/>
        <v>1</v>
      </c>
      <c r="N962" s="15">
        <f t="shared" ca="1" si="172"/>
        <v>-2.1281896629670172E-3</v>
      </c>
      <c r="O962" s="15">
        <f t="shared" ca="1" si="181"/>
        <v>0.244851222245137</v>
      </c>
      <c r="P962" s="15">
        <f t="shared" ca="1" si="180"/>
        <v>0.24485120089837611</v>
      </c>
      <c r="Q962" s="15">
        <v>0</v>
      </c>
      <c r="R962" s="15">
        <f t="shared" ca="1" si="173"/>
        <v>0.24485120089837611</v>
      </c>
      <c r="S962" s="15">
        <f t="shared" ca="1" si="182"/>
        <v>0.99365302952580981</v>
      </c>
      <c r="T962" s="15">
        <f t="shared" ca="1" si="174"/>
        <v>8.4751771190574154E-3</v>
      </c>
      <c r="U962" s="15">
        <f t="shared" ca="1" si="175"/>
        <v>1.0021282066448671</v>
      </c>
      <c r="V962" s="15">
        <f t="shared" ca="1" si="176"/>
        <v>1.002128189662967</v>
      </c>
      <c r="X962" s="15">
        <f t="shared" si="177"/>
        <v>1.05</v>
      </c>
      <c r="Y962" s="15">
        <f t="shared" si="178"/>
        <v>0.95</v>
      </c>
      <c r="Z962" s="15">
        <f t="shared" ca="1" si="179"/>
        <v>1</v>
      </c>
    </row>
    <row r="963" spans="12:26" x14ac:dyDescent="0.3">
      <c r="L963" s="15">
        <v>961</v>
      </c>
      <c r="M963" s="15">
        <f t="shared" ref="M963:M1002" si="183">IF(L963&lt;$D$16,$D$13,IF(L963&lt;$E$16,$E$13,$F$13))</f>
        <v>1</v>
      </c>
      <c r="N963" s="15">
        <f t="shared" ref="N963:N1002" ca="1" si="184">M963-V963</f>
        <v>3.6005384762771708E-3</v>
      </c>
      <c r="O963" s="15">
        <f t="shared" ca="1" si="181"/>
        <v>0.244851222245137</v>
      </c>
      <c r="P963" s="15">
        <f t="shared" ca="1" si="180"/>
        <v>0.24485120089837611</v>
      </c>
      <c r="Q963" s="15">
        <v>0</v>
      </c>
      <c r="R963" s="15">
        <f t="shared" ref="R963:R1002" ca="1" si="185">P963+Q963</f>
        <v>0.24485120089837611</v>
      </c>
      <c r="S963" s="15">
        <f t="shared" ca="1" si="182"/>
        <v>0.99374689314934317</v>
      </c>
      <c r="T963" s="15">
        <f t="shared" ref="T963:T1002" ca="1" si="186">RAND()*$G$12</f>
        <v>2.6525806443230492E-3</v>
      </c>
      <c r="U963" s="15">
        <f t="shared" ref="U963:U1002" ca="1" si="187">S963+T963</f>
        <v>0.99639947379366622</v>
      </c>
      <c r="V963" s="15">
        <f t="shared" ref="V963:V1002" ca="1" si="188">INT((2^$J$12-1)*U963/100)/(2^$J$12-1)*100</f>
        <v>0.99639946152372283</v>
      </c>
      <c r="X963" s="15">
        <f t="shared" ref="X963:X1002" si="189">M963 * 1.05</f>
        <v>1.05</v>
      </c>
      <c r="Y963" s="15">
        <f t="shared" ref="Y963:Y1002" si="190">M963 * 0.95</f>
        <v>0.95</v>
      </c>
      <c r="Z963" s="15">
        <f t="shared" ref="Z963:Z1002" ca="1" si="191">IF(AND(V963 &lt;= X963, V963 &gt;= Y963), 1, 0)</f>
        <v>1</v>
      </c>
    </row>
    <row r="964" spans="12:26" x14ac:dyDescent="0.3">
      <c r="L964" s="15">
        <v>962</v>
      </c>
      <c r="M964" s="15">
        <f t="shared" si="183"/>
        <v>1</v>
      </c>
      <c r="N964" s="15">
        <f t="shared" ca="1" si="184"/>
        <v>4.8033881478020124E-3</v>
      </c>
      <c r="O964" s="15">
        <f t="shared" ca="1" si="181"/>
        <v>0.244851222245137</v>
      </c>
      <c r="P964" s="15">
        <f t="shared" ca="1" si="180"/>
        <v>0.24485120089837611</v>
      </c>
      <c r="Q964" s="15">
        <v>0</v>
      </c>
      <c r="R964" s="15">
        <f t="shared" ca="1" si="185"/>
        <v>0.24485120089837611</v>
      </c>
      <c r="S964" s="15">
        <f t="shared" ca="1" si="182"/>
        <v>0.99385839265947395</v>
      </c>
      <c r="T964" s="15">
        <f t="shared" ca="1" si="186"/>
        <v>1.3382390031941227E-3</v>
      </c>
      <c r="U964" s="15">
        <f t="shared" ca="1" si="187"/>
        <v>0.99519663166266803</v>
      </c>
      <c r="V964" s="15">
        <f t="shared" ca="1" si="188"/>
        <v>0.99519661185219799</v>
      </c>
      <c r="X964" s="15">
        <f t="shared" si="189"/>
        <v>1.05</v>
      </c>
      <c r="Y964" s="15">
        <f t="shared" si="190"/>
        <v>0.95</v>
      </c>
      <c r="Z964" s="15">
        <f t="shared" ca="1" si="191"/>
        <v>1</v>
      </c>
    </row>
    <row r="965" spans="12:26" x14ac:dyDescent="0.3">
      <c r="L965" s="15">
        <v>963</v>
      </c>
      <c r="M965" s="15">
        <f t="shared" si="183"/>
        <v>1</v>
      </c>
      <c r="N965" s="15">
        <f t="shared" ca="1" si="184"/>
        <v>5.3257204138966729E-3</v>
      </c>
      <c r="O965" s="15">
        <f t="shared" ca="1" si="181"/>
        <v>0.25413999377655849</v>
      </c>
      <c r="P965" s="15">
        <f t="shared" ca="1" si="180"/>
        <v>0.25413997942910999</v>
      </c>
      <c r="Q965" s="15">
        <v>0</v>
      </c>
      <c r="R965" s="15">
        <f t="shared" ca="1" si="185"/>
        <v>0.25413997942910999</v>
      </c>
      <c r="S965" s="15">
        <f t="shared" ca="1" si="182"/>
        <v>0.9939782074850595</v>
      </c>
      <c r="T965" s="15">
        <f t="shared" ca="1" si="186"/>
        <v>6.9607320357931385E-4</v>
      </c>
      <c r="U965" s="15">
        <f t="shared" ca="1" si="187"/>
        <v>0.99467428068863883</v>
      </c>
      <c r="V965" s="15">
        <f t="shared" ca="1" si="188"/>
        <v>0.99467427958610333</v>
      </c>
      <c r="X965" s="15">
        <f t="shared" si="189"/>
        <v>1.05</v>
      </c>
      <c r="Y965" s="15">
        <f t="shared" si="190"/>
        <v>0.95</v>
      </c>
      <c r="Z965" s="15">
        <f t="shared" ca="1" si="191"/>
        <v>1</v>
      </c>
    </row>
    <row r="966" spans="12:26" x14ac:dyDescent="0.3">
      <c r="L966" s="15">
        <v>964</v>
      </c>
      <c r="M966" s="15">
        <f t="shared" si="183"/>
        <v>1</v>
      </c>
      <c r="N966" s="15">
        <f t="shared" ca="1" si="184"/>
        <v>1.7794768795789118E-3</v>
      </c>
      <c r="O966" s="15">
        <f t="shared" ca="1" si="181"/>
        <v>0.25413999377655849</v>
      </c>
      <c r="P966" s="15">
        <f t="shared" ca="1" si="180"/>
        <v>0.25413997942910999</v>
      </c>
      <c r="Q966" s="15">
        <v>0</v>
      </c>
      <c r="R966" s="15">
        <f t="shared" ca="1" si="185"/>
        <v>0.25413997942910999</v>
      </c>
      <c r="S966" s="15">
        <f t="shared" ca="1" si="182"/>
        <v>0.99409845745019676</v>
      </c>
      <c r="T966" s="15">
        <f t="shared" ca="1" si="186"/>
        <v>4.1220701205939439E-3</v>
      </c>
      <c r="U966" s="15">
        <f t="shared" ca="1" si="187"/>
        <v>0.99822052757079072</v>
      </c>
      <c r="V966" s="15">
        <f t="shared" ca="1" si="188"/>
        <v>0.99822052312042109</v>
      </c>
      <c r="X966" s="15">
        <f t="shared" si="189"/>
        <v>1.05</v>
      </c>
      <c r="Y966" s="15">
        <f t="shared" si="190"/>
        <v>0.95</v>
      </c>
      <c r="Z966" s="15">
        <f t="shared" ca="1" si="191"/>
        <v>1</v>
      </c>
    </row>
    <row r="967" spans="12:26" x14ac:dyDescent="0.3">
      <c r="L967" s="15">
        <v>965</v>
      </c>
      <c r="M967" s="15">
        <f t="shared" si="183"/>
        <v>1</v>
      </c>
      <c r="N967" s="15">
        <f t="shared" ca="1" si="184"/>
        <v>-4.7590699989252805E-4</v>
      </c>
      <c r="O967" s="15">
        <f t="shared" ca="1" si="181"/>
        <v>0.25413999377655849</v>
      </c>
      <c r="P967" s="15">
        <f t="shared" ca="1" si="180"/>
        <v>0.25413997942910999</v>
      </c>
      <c r="Q967" s="15">
        <v>0</v>
      </c>
      <c r="R967" s="15">
        <f t="shared" ca="1" si="185"/>
        <v>0.25413997942910999</v>
      </c>
      <c r="S967" s="15">
        <f t="shared" ca="1" si="182"/>
        <v>0.99421857870938668</v>
      </c>
      <c r="T967" s="15">
        <f t="shared" ca="1" si="186"/>
        <v>6.2573407756598863E-3</v>
      </c>
      <c r="U967" s="15">
        <f t="shared" ca="1" si="187"/>
        <v>1.0004759194850465</v>
      </c>
      <c r="V967" s="15">
        <f t="shared" ca="1" si="188"/>
        <v>1.0004759069998925</v>
      </c>
      <c r="X967" s="15">
        <f t="shared" si="189"/>
        <v>1.05</v>
      </c>
      <c r="Y967" s="15">
        <f t="shared" si="190"/>
        <v>0.95</v>
      </c>
      <c r="Z967" s="15">
        <f t="shared" ca="1" si="191"/>
        <v>1</v>
      </c>
    </row>
    <row r="968" spans="12:26" x14ac:dyDescent="0.3">
      <c r="L968" s="15">
        <v>966</v>
      </c>
      <c r="M968" s="15">
        <f t="shared" si="183"/>
        <v>1</v>
      </c>
      <c r="N968" s="15">
        <f t="shared" ca="1" si="184"/>
        <v>-1.5422818254551274E-4</v>
      </c>
      <c r="O968" s="15">
        <f t="shared" ca="1" si="181"/>
        <v>0.24544406247621409</v>
      </c>
      <c r="P968" s="15">
        <f t="shared" ca="1" si="180"/>
        <v>0.24544405756644999</v>
      </c>
      <c r="Q968" s="15">
        <v>0</v>
      </c>
      <c r="R968" s="15">
        <f t="shared" ca="1" si="185"/>
        <v>0.24544405756644999</v>
      </c>
      <c r="S968" s="15">
        <f t="shared" ca="1" si="182"/>
        <v>0.99433163274061687</v>
      </c>
      <c r="T968" s="15">
        <f t="shared" ca="1" si="186"/>
        <v>5.8226075356467349E-3</v>
      </c>
      <c r="U968" s="15">
        <f t="shared" ca="1" si="187"/>
        <v>1.0001542402762635</v>
      </c>
      <c r="V968" s="15">
        <f t="shared" ca="1" si="188"/>
        <v>1.0001542281825455</v>
      </c>
      <c r="X968" s="15">
        <f t="shared" si="189"/>
        <v>1.05</v>
      </c>
      <c r="Y968" s="15">
        <f t="shared" si="190"/>
        <v>0.95</v>
      </c>
      <c r="Z968" s="15">
        <f t="shared" ca="1" si="191"/>
        <v>1</v>
      </c>
    </row>
    <row r="969" spans="12:26" x14ac:dyDescent="0.3">
      <c r="L969" s="15">
        <v>967</v>
      </c>
      <c r="M969" s="15">
        <f t="shared" si="183"/>
        <v>1</v>
      </c>
      <c r="N969" s="15">
        <f t="shared" ca="1" si="184"/>
        <v>-3.9374234629649951E-3</v>
      </c>
      <c r="O969" s="15">
        <f t="shared" ca="1" si="181"/>
        <v>0.24544406247621409</v>
      </c>
      <c r="P969" s="15">
        <f t="shared" ca="1" si="180"/>
        <v>0.24544405756644999</v>
      </c>
      <c r="Q969" s="15">
        <v>0</v>
      </c>
      <c r="R969" s="15">
        <f t="shared" ca="1" si="185"/>
        <v>0.24544405756644999</v>
      </c>
      <c r="S969" s="15">
        <f t="shared" ca="1" si="182"/>
        <v>0.99443187687563617</v>
      </c>
      <c r="T969" s="15">
        <f t="shared" ca="1" si="186"/>
        <v>9.5055616181713293E-3</v>
      </c>
      <c r="U969" s="15">
        <f t="shared" ca="1" si="187"/>
        <v>1.0039374384938076</v>
      </c>
      <c r="V969" s="15">
        <f t="shared" ca="1" si="188"/>
        <v>1.003937423462965</v>
      </c>
      <c r="X969" s="15">
        <f t="shared" si="189"/>
        <v>1.05</v>
      </c>
      <c r="Y969" s="15">
        <f t="shared" si="190"/>
        <v>0.95</v>
      </c>
      <c r="Z969" s="15">
        <f t="shared" ca="1" si="191"/>
        <v>1</v>
      </c>
    </row>
    <row r="970" spans="12:26" x14ac:dyDescent="0.3">
      <c r="L970" s="15">
        <v>968</v>
      </c>
      <c r="M970" s="15">
        <f t="shared" si="183"/>
        <v>1</v>
      </c>
      <c r="N970" s="15">
        <f t="shared" ca="1" si="184"/>
        <v>-1.1389853901087044E-3</v>
      </c>
      <c r="O970" s="15">
        <f t="shared" ca="1" si="181"/>
        <v>0.24544406247621409</v>
      </c>
      <c r="P970" s="15">
        <f t="shared" ca="1" si="180"/>
        <v>0.24544405756644999</v>
      </c>
      <c r="Q970" s="15">
        <v>0</v>
      </c>
      <c r="R970" s="15">
        <f t="shared" ca="1" si="185"/>
        <v>0.24544405756644999</v>
      </c>
      <c r="S970" s="15">
        <f t="shared" ca="1" si="182"/>
        <v>0.9945205131598881</v>
      </c>
      <c r="T970" s="15">
        <f t="shared" ca="1" si="186"/>
        <v>6.6184931543025087E-3</v>
      </c>
      <c r="U970" s="15">
        <f t="shared" ca="1" si="187"/>
        <v>1.0011390063141905</v>
      </c>
      <c r="V970" s="15">
        <f t="shared" ca="1" si="188"/>
        <v>1.0011389853901087</v>
      </c>
      <c r="X970" s="15">
        <f t="shared" si="189"/>
        <v>1.05</v>
      </c>
      <c r="Y970" s="15">
        <f t="shared" si="190"/>
        <v>0.95</v>
      </c>
      <c r="Z970" s="15">
        <f t="shared" ca="1" si="191"/>
        <v>1</v>
      </c>
    </row>
    <row r="971" spans="12:26" x14ac:dyDescent="0.3">
      <c r="L971" s="15">
        <v>969</v>
      </c>
      <c r="M971" s="15">
        <f t="shared" si="183"/>
        <v>1</v>
      </c>
      <c r="N971" s="15">
        <f t="shared" ca="1" si="184"/>
        <v>-2.9667059432172405E-3</v>
      </c>
      <c r="O971" s="15">
        <f t="shared" ca="1" si="181"/>
        <v>0.24650765708206615</v>
      </c>
      <c r="P971" s="15">
        <f t="shared" ca="1" si="180"/>
        <v>0.24650765122997287</v>
      </c>
      <c r="Q971" s="15">
        <v>0</v>
      </c>
      <c r="R971" s="15">
        <f t="shared" ca="1" si="185"/>
        <v>0.24650765122997287</v>
      </c>
      <c r="S971" s="15">
        <f t="shared" ca="1" si="182"/>
        <v>0.99458587607379079</v>
      </c>
      <c r="T971" s="15">
        <f t="shared" ca="1" si="186"/>
        <v>8.3808381923856923E-3</v>
      </c>
      <c r="U971" s="15">
        <f t="shared" ca="1" si="187"/>
        <v>1.0029667142661765</v>
      </c>
      <c r="V971" s="15">
        <f t="shared" ca="1" si="188"/>
        <v>1.0029667059432172</v>
      </c>
      <c r="X971" s="15">
        <f t="shared" si="189"/>
        <v>1.05</v>
      </c>
      <c r="Y971" s="15">
        <f t="shared" si="190"/>
        <v>0.95</v>
      </c>
      <c r="Z971" s="15">
        <f t="shared" ca="1" si="191"/>
        <v>1</v>
      </c>
    </row>
    <row r="972" spans="12:26" x14ac:dyDescent="0.3">
      <c r="L972" s="15">
        <v>970</v>
      </c>
      <c r="M972" s="15">
        <f t="shared" si="183"/>
        <v>1</v>
      </c>
      <c r="N972" s="15">
        <f t="shared" ca="1" si="184"/>
        <v>-2.7437007526736057E-3</v>
      </c>
      <c r="O972" s="15">
        <f t="shared" ca="1" si="181"/>
        <v>0.24650765708206615</v>
      </c>
      <c r="P972" s="15">
        <f t="shared" ca="1" si="180"/>
        <v>0.24650765122997287</v>
      </c>
      <c r="Q972" s="15">
        <v>0</v>
      </c>
      <c r="R972" s="15">
        <f t="shared" ca="1" si="185"/>
        <v>0.24650765122997287</v>
      </c>
      <c r="S972" s="15">
        <f t="shared" ca="1" si="182"/>
        <v>0.99461844400733934</v>
      </c>
      <c r="T972" s="15">
        <f t="shared" ca="1" si="186"/>
        <v>8.1252710460049879E-3</v>
      </c>
      <c r="U972" s="15">
        <f t="shared" ca="1" si="187"/>
        <v>1.0027437150533443</v>
      </c>
      <c r="V972" s="15">
        <f t="shared" ca="1" si="188"/>
        <v>1.0027437007526736</v>
      </c>
      <c r="X972" s="15">
        <f t="shared" si="189"/>
        <v>1.05</v>
      </c>
      <c r="Y972" s="15">
        <f t="shared" si="190"/>
        <v>0.95</v>
      </c>
      <c r="Z972" s="15">
        <f t="shared" ca="1" si="191"/>
        <v>1</v>
      </c>
    </row>
    <row r="973" spans="12:26" x14ac:dyDescent="0.3">
      <c r="L973" s="15">
        <v>971</v>
      </c>
      <c r="M973" s="15">
        <f t="shared" si="183"/>
        <v>1</v>
      </c>
      <c r="N973" s="15">
        <f t="shared" ca="1" si="184"/>
        <v>5.2409700595869024E-3</v>
      </c>
      <c r="O973" s="15">
        <f t="shared" ca="1" si="181"/>
        <v>0.24650765708206615</v>
      </c>
      <c r="P973" s="15">
        <f t="shared" ref="P973:P1002" ca="1" si="192">INT((2^$J$12-1)*O973/100)/(2^$J$12-1)*100</f>
        <v>0.24650765122997287</v>
      </c>
      <c r="Q973" s="15">
        <v>0</v>
      </c>
      <c r="R973" s="15">
        <f t="shared" ca="1" si="185"/>
        <v>0.24650765122997287</v>
      </c>
      <c r="S973" s="15">
        <f t="shared" ca="1" si="182"/>
        <v>0.99462224207994288</v>
      </c>
      <c r="T973" s="15">
        <f t="shared" ca="1" si="186"/>
        <v>1.3681000901074602E-4</v>
      </c>
      <c r="U973" s="15">
        <f t="shared" ca="1" si="187"/>
        <v>0.99475905208895365</v>
      </c>
      <c r="V973" s="15">
        <f t="shared" ca="1" si="188"/>
        <v>0.9947590299404131</v>
      </c>
      <c r="X973" s="15">
        <f t="shared" si="189"/>
        <v>1.05</v>
      </c>
      <c r="Y973" s="15">
        <f t="shared" si="190"/>
        <v>0.95</v>
      </c>
      <c r="Z973" s="15">
        <f t="shared" ca="1" si="191"/>
        <v>1</v>
      </c>
    </row>
    <row r="974" spans="12:26" x14ac:dyDescent="0.3">
      <c r="L974" s="15">
        <v>972</v>
      </c>
      <c r="M974" s="15">
        <f t="shared" si="183"/>
        <v>1</v>
      </c>
      <c r="N974" s="15">
        <f t="shared" ca="1" si="184"/>
        <v>1.1724175422387351E-3</v>
      </c>
      <c r="O974" s="15">
        <f t="shared" ca="1" si="181"/>
        <v>0.25140604340736977</v>
      </c>
      <c r="P974" s="15">
        <f t="shared" ca="1" si="192"/>
        <v>0.25140603544456092</v>
      </c>
      <c r="Q974" s="15">
        <v>0</v>
      </c>
      <c r="R974" s="15">
        <f t="shared" ca="1" si="185"/>
        <v>0.25140603544456092</v>
      </c>
      <c r="S974" s="15">
        <f t="shared" ca="1" si="182"/>
        <v>0.99459696110748963</v>
      </c>
      <c r="T974" s="15">
        <f t="shared" ca="1" si="186"/>
        <v>4.2306306645847344E-3</v>
      </c>
      <c r="U974" s="15">
        <f t="shared" ca="1" si="187"/>
        <v>0.99882759177207436</v>
      </c>
      <c r="V974" s="15">
        <f t="shared" ca="1" si="188"/>
        <v>0.99882758245776126</v>
      </c>
      <c r="X974" s="15">
        <f t="shared" si="189"/>
        <v>1.05</v>
      </c>
      <c r="Y974" s="15">
        <f t="shared" si="190"/>
        <v>0.95</v>
      </c>
      <c r="Z974" s="15">
        <f t="shared" ca="1" si="191"/>
        <v>1</v>
      </c>
    </row>
    <row r="975" spans="12:26" x14ac:dyDescent="0.3">
      <c r="L975" s="15">
        <v>973</v>
      </c>
      <c r="M975" s="15">
        <f t="shared" si="183"/>
        <v>1</v>
      </c>
      <c r="N975" s="15">
        <f t="shared" ca="1" si="184"/>
        <v>4.9882789619705159E-3</v>
      </c>
      <c r="O975" s="15">
        <f t="shared" ca="1" si="181"/>
        <v>0.25140604340736977</v>
      </c>
      <c r="P975" s="15">
        <f t="shared" ca="1" si="192"/>
        <v>0.25140603544456092</v>
      </c>
      <c r="Q975" s="15">
        <v>0</v>
      </c>
      <c r="R975" s="15">
        <f t="shared" ca="1" si="185"/>
        <v>0.25140603544456092</v>
      </c>
      <c r="S975" s="15">
        <f t="shared" ca="1" si="182"/>
        <v>0.99454262867886556</v>
      </c>
      <c r="T975" s="15">
        <f t="shared" ca="1" si="186"/>
        <v>4.6909951332620658E-4</v>
      </c>
      <c r="U975" s="15">
        <f t="shared" ca="1" si="187"/>
        <v>0.99501172819219175</v>
      </c>
      <c r="V975" s="15">
        <f t="shared" ca="1" si="188"/>
        <v>0.99501172103802948</v>
      </c>
      <c r="X975" s="15">
        <f t="shared" si="189"/>
        <v>1.05</v>
      </c>
      <c r="Y975" s="15">
        <f t="shared" si="190"/>
        <v>0.95</v>
      </c>
      <c r="Z975" s="15">
        <f t="shared" ca="1" si="191"/>
        <v>1</v>
      </c>
    </row>
    <row r="976" spans="12:26" x14ac:dyDescent="0.3">
      <c r="L976" s="15">
        <v>974</v>
      </c>
      <c r="M976" s="15">
        <f t="shared" si="183"/>
        <v>1</v>
      </c>
      <c r="N976" s="15">
        <f t="shared" ca="1" si="184"/>
        <v>-1.6317947305812819E-3</v>
      </c>
      <c r="O976" s="15">
        <f t="shared" ca="1" si="181"/>
        <v>0.25140604340736977</v>
      </c>
      <c r="P976" s="15">
        <f t="shared" ca="1" si="192"/>
        <v>0.25140603544456092</v>
      </c>
      <c r="Q976" s="15">
        <v>0</v>
      </c>
      <c r="R976" s="15">
        <f t="shared" ca="1" si="185"/>
        <v>0.25140603544456092</v>
      </c>
      <c r="S976" s="15">
        <f t="shared" ca="1" si="182"/>
        <v>0.99446316227958131</v>
      </c>
      <c r="T976" s="15">
        <f t="shared" ca="1" si="186"/>
        <v>7.1686464111874668E-3</v>
      </c>
      <c r="U976" s="15">
        <f t="shared" ca="1" si="187"/>
        <v>1.0016318086907687</v>
      </c>
      <c r="V976" s="15">
        <f t="shared" ca="1" si="188"/>
        <v>1.0016317947305813</v>
      </c>
      <c r="X976" s="15">
        <f t="shared" si="189"/>
        <v>1.05</v>
      </c>
      <c r="Y976" s="15">
        <f t="shared" si="190"/>
        <v>0.95</v>
      </c>
      <c r="Z976" s="15">
        <f t="shared" ca="1" si="191"/>
        <v>1</v>
      </c>
    </row>
    <row r="977" spans="12:26" x14ac:dyDescent="0.3">
      <c r="L977" s="15">
        <v>975</v>
      </c>
      <c r="M977" s="15">
        <f t="shared" si="183"/>
        <v>1</v>
      </c>
      <c r="N977" s="15">
        <f t="shared" ca="1" si="184"/>
        <v>2.2367562638215821E-3</v>
      </c>
      <c r="O977" s="15">
        <f t="shared" ca="1" si="181"/>
        <v>0.24978622540720849</v>
      </c>
      <c r="P977" s="15">
        <f t="shared" ca="1" si="192"/>
        <v>0.24978620937321946</v>
      </c>
      <c r="Q977" s="15">
        <v>0</v>
      </c>
      <c r="R977" s="15">
        <f t="shared" ca="1" si="185"/>
        <v>0.24978620937321946</v>
      </c>
      <c r="S977" s="15">
        <f t="shared" ca="1" si="182"/>
        <v>0.99441928418483139</v>
      </c>
      <c r="T977" s="15">
        <f t="shared" ca="1" si="186"/>
        <v>3.3439659003691993E-3</v>
      </c>
      <c r="U977" s="15">
        <f t="shared" ca="1" si="187"/>
        <v>0.99776325008520061</v>
      </c>
      <c r="V977" s="15">
        <f t="shared" ca="1" si="188"/>
        <v>0.99776324373617842</v>
      </c>
      <c r="X977" s="15">
        <f t="shared" si="189"/>
        <v>1.05</v>
      </c>
      <c r="Y977" s="15">
        <f t="shared" si="190"/>
        <v>0.95</v>
      </c>
      <c r="Z977" s="15">
        <f t="shared" ca="1" si="191"/>
        <v>1</v>
      </c>
    </row>
    <row r="978" spans="12:26" x14ac:dyDescent="0.3">
      <c r="L978" s="15">
        <v>976</v>
      </c>
      <c r="M978" s="15">
        <f t="shared" si="183"/>
        <v>1</v>
      </c>
      <c r="N978" s="15">
        <f t="shared" ca="1" si="184"/>
        <v>-2.2998091304442525E-3</v>
      </c>
      <c r="O978" s="15">
        <f t="shared" ca="1" si="181"/>
        <v>0.24978622540720849</v>
      </c>
      <c r="P978" s="15">
        <f t="shared" ca="1" si="192"/>
        <v>0.24978620937321946</v>
      </c>
      <c r="Q978" s="15">
        <v>0</v>
      </c>
      <c r="R978" s="15">
        <f t="shared" ca="1" si="185"/>
        <v>0.24978620937321946</v>
      </c>
      <c r="S978" s="15">
        <f t="shared" ca="1" si="182"/>
        <v>0.99446132789345876</v>
      </c>
      <c r="T978" s="15">
        <f t="shared" ca="1" si="186"/>
        <v>7.8384945121532205E-3</v>
      </c>
      <c r="U978" s="15">
        <f t="shared" ca="1" si="187"/>
        <v>1.0022998224056119</v>
      </c>
      <c r="V978" s="15">
        <f t="shared" ca="1" si="188"/>
        <v>1.0022998091304443</v>
      </c>
      <c r="X978" s="15">
        <f t="shared" si="189"/>
        <v>1.05</v>
      </c>
      <c r="Y978" s="15">
        <f t="shared" si="190"/>
        <v>0.95</v>
      </c>
      <c r="Z978" s="15">
        <f t="shared" ca="1" si="191"/>
        <v>1</v>
      </c>
    </row>
    <row r="979" spans="12:26" x14ac:dyDescent="0.3">
      <c r="L979" s="15">
        <v>977</v>
      </c>
      <c r="M979" s="15">
        <f t="shared" si="183"/>
        <v>1</v>
      </c>
      <c r="N979" s="15">
        <f t="shared" ca="1" si="184"/>
        <v>-4.1469943253664709E-3</v>
      </c>
      <c r="O979" s="15">
        <f t="shared" ca="1" si="181"/>
        <v>0.24978622540720849</v>
      </c>
      <c r="P979" s="15">
        <f t="shared" ca="1" si="192"/>
        <v>0.24978620937321946</v>
      </c>
      <c r="Q979" s="15">
        <v>0</v>
      </c>
      <c r="R979" s="15">
        <f t="shared" ca="1" si="185"/>
        <v>0.24978620937321946</v>
      </c>
      <c r="S979" s="15">
        <f t="shared" ca="1" si="182"/>
        <v>0.99457820899258287</v>
      </c>
      <c r="T979" s="15">
        <f t="shared" ca="1" si="186"/>
        <v>9.5687932838932916E-3</v>
      </c>
      <c r="U979" s="15">
        <f t="shared" ca="1" si="187"/>
        <v>1.0041470022764762</v>
      </c>
      <c r="V979" s="15">
        <f t="shared" ca="1" si="188"/>
        <v>1.0041469943253665</v>
      </c>
      <c r="X979" s="15">
        <f t="shared" si="189"/>
        <v>1.05</v>
      </c>
      <c r="Y979" s="15">
        <f t="shared" si="190"/>
        <v>0.95</v>
      </c>
      <c r="Z979" s="15">
        <f t="shared" ca="1" si="191"/>
        <v>1</v>
      </c>
    </row>
    <row r="980" spans="12:26" x14ac:dyDescent="0.3">
      <c r="L980" s="15">
        <v>978</v>
      </c>
      <c r="M980" s="15">
        <f t="shared" si="183"/>
        <v>1</v>
      </c>
      <c r="N980" s="15">
        <f t="shared" ca="1" si="184"/>
        <v>-2.9110128532421342E-3</v>
      </c>
      <c r="O980" s="15">
        <f t="shared" ca="1" si="181"/>
        <v>0.24512574228916204</v>
      </c>
      <c r="P980" s="15">
        <f t="shared" ca="1" si="192"/>
        <v>0.24512573151037231</v>
      </c>
      <c r="Q980" s="15">
        <v>0</v>
      </c>
      <c r="R980" s="15">
        <f t="shared" ca="1" si="185"/>
        <v>0.24512573151037231</v>
      </c>
      <c r="S980" s="15">
        <f t="shared" ca="1" si="182"/>
        <v>0.99471773452580114</v>
      </c>
      <c r="T980" s="15">
        <f t="shared" ca="1" si="186"/>
        <v>8.1932992180477875E-3</v>
      </c>
      <c r="U980" s="15">
        <f t="shared" ca="1" si="187"/>
        <v>1.0029110337438489</v>
      </c>
      <c r="V980" s="15">
        <f t="shared" ca="1" si="188"/>
        <v>1.0029110128532421</v>
      </c>
      <c r="X980" s="15">
        <f t="shared" si="189"/>
        <v>1.05</v>
      </c>
      <c r="Y980" s="15">
        <f t="shared" si="190"/>
        <v>0.95</v>
      </c>
      <c r="Z980" s="15">
        <f t="shared" ca="1" si="191"/>
        <v>1</v>
      </c>
    </row>
    <row r="981" spans="12:26" x14ac:dyDescent="0.3">
      <c r="L981" s="15">
        <v>979</v>
      </c>
      <c r="M981" s="15">
        <f t="shared" si="183"/>
        <v>1</v>
      </c>
      <c r="N981" s="15">
        <f t="shared" ca="1" si="184"/>
        <v>3.9416819354383126E-3</v>
      </c>
      <c r="O981" s="15">
        <f t="shared" ca="1" si="181"/>
        <v>0.24512574228916204</v>
      </c>
      <c r="P981" s="15">
        <f t="shared" ca="1" si="192"/>
        <v>0.24512573151037231</v>
      </c>
      <c r="Q981" s="15">
        <v>0</v>
      </c>
      <c r="R981" s="15">
        <f t="shared" ca="1" si="185"/>
        <v>0.24512573151037231</v>
      </c>
      <c r="S981" s="15">
        <f t="shared" ca="1" si="182"/>
        <v>0.99483610786148358</v>
      </c>
      <c r="T981" s="15">
        <f t="shared" ca="1" si="186"/>
        <v>1.2222273638015436E-3</v>
      </c>
      <c r="U981" s="15">
        <f t="shared" ca="1" si="187"/>
        <v>0.99605833522528509</v>
      </c>
      <c r="V981" s="15">
        <f t="shared" ca="1" si="188"/>
        <v>0.99605831806456169</v>
      </c>
      <c r="X981" s="15">
        <f t="shared" si="189"/>
        <v>1.05</v>
      </c>
      <c r="Y981" s="15">
        <f t="shared" si="190"/>
        <v>0.95</v>
      </c>
      <c r="Z981" s="15">
        <f t="shared" ca="1" si="191"/>
        <v>1</v>
      </c>
    </row>
    <row r="982" spans="12:26" x14ac:dyDescent="0.3">
      <c r="L982" s="15">
        <v>980</v>
      </c>
      <c r="M982" s="15">
        <f t="shared" si="183"/>
        <v>1</v>
      </c>
      <c r="N982" s="15">
        <f t="shared" ca="1" si="184"/>
        <v>-4.4934230401398878E-3</v>
      </c>
      <c r="O982" s="15">
        <f t="shared" ca="1" si="181"/>
        <v>0.24512574228916204</v>
      </c>
      <c r="P982" s="15">
        <f t="shared" ca="1" si="192"/>
        <v>0.24512573151037231</v>
      </c>
      <c r="Q982" s="15">
        <v>0</v>
      </c>
      <c r="R982" s="15">
        <f t="shared" ca="1" si="185"/>
        <v>0.24512573151037231</v>
      </c>
      <c r="S982" s="15">
        <f t="shared" ca="1" si="182"/>
        <v>0.99493551330536245</v>
      </c>
      <c r="T982" s="15">
        <f t="shared" ca="1" si="186"/>
        <v>9.5579268261458822E-3</v>
      </c>
      <c r="U982" s="15">
        <f t="shared" ca="1" si="187"/>
        <v>1.0044934401315084</v>
      </c>
      <c r="V982" s="15">
        <f t="shared" ca="1" si="188"/>
        <v>1.0044934230401399</v>
      </c>
      <c r="X982" s="15">
        <f t="shared" si="189"/>
        <v>1.05</v>
      </c>
      <c r="Y982" s="15">
        <f t="shared" si="190"/>
        <v>0.95</v>
      </c>
      <c r="Z982" s="15">
        <f t="shared" ca="1" si="191"/>
        <v>1</v>
      </c>
    </row>
    <row r="983" spans="12:26" x14ac:dyDescent="0.3">
      <c r="L983" s="15">
        <v>981</v>
      </c>
      <c r="M983" s="15">
        <f t="shared" si="183"/>
        <v>1</v>
      </c>
      <c r="N983" s="15">
        <f t="shared" ca="1" si="184"/>
        <v>-1.2586370579104056E-3</v>
      </c>
      <c r="O983" s="15">
        <f t="shared" ref="O983:O1002" ca="1" si="193">IF(MOD(L983,$B$11)=0,OFFSET(O983,-$B$11,0)+ $E$2*N983+$E$3*OFFSET(N983,-$B$11,0)+ $E$4*OFFSET(N983,-2* $B$11,0), O982)</f>
        <v>0.24946231849881315</v>
      </c>
      <c r="P983" s="15">
        <f t="shared" ca="1" si="192"/>
        <v>0.24946229538169279</v>
      </c>
      <c r="Q983" s="15">
        <v>0</v>
      </c>
      <c r="R983" s="15">
        <f t="shared" ca="1" si="185"/>
        <v>0.24946229538169279</v>
      </c>
      <c r="S983" s="15">
        <f t="shared" ca="1" si="182"/>
        <v>0.99498658130518025</v>
      </c>
      <c r="T983" s="15">
        <f t="shared" ca="1" si="186"/>
        <v>6.2720601604526862E-3</v>
      </c>
      <c r="U983" s="15">
        <f t="shared" ca="1" si="187"/>
        <v>1.001258641465633</v>
      </c>
      <c r="V983" s="15">
        <f t="shared" ca="1" si="188"/>
        <v>1.0012586370579104</v>
      </c>
      <c r="X983" s="15">
        <f t="shared" si="189"/>
        <v>1.05</v>
      </c>
      <c r="Y983" s="15">
        <f t="shared" si="190"/>
        <v>0.95</v>
      </c>
      <c r="Z983" s="15">
        <f t="shared" ca="1" si="191"/>
        <v>1</v>
      </c>
    </row>
    <row r="984" spans="12:26" x14ac:dyDescent="0.3">
      <c r="L984" s="15">
        <v>982</v>
      </c>
      <c r="M984" s="15">
        <f t="shared" si="183"/>
        <v>1</v>
      </c>
      <c r="N984" s="15">
        <f t="shared" ca="1" si="184"/>
        <v>3.6897126128174751E-3</v>
      </c>
      <c r="O984" s="15">
        <f t="shared" ca="1" si="193"/>
        <v>0.24946231849881315</v>
      </c>
      <c r="P984" s="15">
        <f t="shared" ca="1" si="192"/>
        <v>0.24946229538169279</v>
      </c>
      <c r="Q984" s="15">
        <v>0</v>
      </c>
      <c r="R984" s="15">
        <f t="shared" ca="1" si="185"/>
        <v>0.24946229538169279</v>
      </c>
      <c r="S984" s="15">
        <f t="shared" ca="1" si="182"/>
        <v>0.99496526207341907</v>
      </c>
      <c r="T984" s="15">
        <f t="shared" ca="1" si="186"/>
        <v>1.3450446296607666E-3</v>
      </c>
      <c r="U984" s="15">
        <f t="shared" ca="1" si="187"/>
        <v>0.99631030670307985</v>
      </c>
      <c r="V984" s="15">
        <f t="shared" ca="1" si="188"/>
        <v>0.99631028738718252</v>
      </c>
      <c r="X984" s="15">
        <f t="shared" si="189"/>
        <v>1.05</v>
      </c>
      <c r="Y984" s="15">
        <f t="shared" si="190"/>
        <v>0.95</v>
      </c>
      <c r="Z984" s="15">
        <f t="shared" ca="1" si="191"/>
        <v>1</v>
      </c>
    </row>
    <row r="985" spans="12:26" x14ac:dyDescent="0.3">
      <c r="L985" s="15">
        <v>983</v>
      </c>
      <c r="M985" s="15">
        <f t="shared" si="183"/>
        <v>1</v>
      </c>
      <c r="N985" s="15">
        <f t="shared" ca="1" si="184"/>
        <v>2.7711491572602887E-3</v>
      </c>
      <c r="O985" s="15">
        <f t="shared" ca="1" si="193"/>
        <v>0.24946231849881315</v>
      </c>
      <c r="P985" s="15">
        <f t="shared" ca="1" si="192"/>
        <v>0.24946229538169279</v>
      </c>
      <c r="Q985" s="15">
        <v>0</v>
      </c>
      <c r="R985" s="15">
        <f t="shared" ca="1" si="185"/>
        <v>0.24946229538169279</v>
      </c>
      <c r="S985" s="15">
        <f t="shared" ref="S985:S1002" ca="1" si="194">$I$1*S984-$I$2*S983+$I$3*R964+$I$4*R963</f>
        <v>0.99488083433982633</v>
      </c>
      <c r="T985" s="15">
        <f t="shared" ca="1" si="186"/>
        <v>2.3480255560135964E-3</v>
      </c>
      <c r="U985" s="15">
        <f t="shared" ca="1" si="187"/>
        <v>0.99722885989583987</v>
      </c>
      <c r="V985" s="15">
        <f t="shared" ca="1" si="188"/>
        <v>0.99722885084273971</v>
      </c>
      <c r="X985" s="15">
        <f t="shared" si="189"/>
        <v>1.05</v>
      </c>
      <c r="Y985" s="15">
        <f t="shared" si="190"/>
        <v>0.95</v>
      </c>
      <c r="Z985" s="15">
        <f t="shared" ca="1" si="191"/>
        <v>1</v>
      </c>
    </row>
    <row r="986" spans="12:26" x14ac:dyDescent="0.3">
      <c r="L986" s="15">
        <v>984</v>
      </c>
      <c r="M986" s="15">
        <f t="shared" si="183"/>
        <v>1</v>
      </c>
      <c r="N986" s="15">
        <f t="shared" ca="1" si="184"/>
        <v>2.8821860912446873E-3</v>
      </c>
      <c r="O986" s="15">
        <f t="shared" ca="1" si="193"/>
        <v>0.25171667537755504</v>
      </c>
      <c r="P986" s="15">
        <f t="shared" ca="1" si="192"/>
        <v>0.25171665480633193</v>
      </c>
      <c r="Q986" s="15">
        <v>0</v>
      </c>
      <c r="R986" s="15">
        <f t="shared" ca="1" si="185"/>
        <v>0.25171665480633193</v>
      </c>
      <c r="S986" s="15">
        <f t="shared" ca="1" si="194"/>
        <v>0.99482201924438307</v>
      </c>
      <c r="T986" s="15">
        <f t="shared" ca="1" si="186"/>
        <v>2.2957984976792411E-3</v>
      </c>
      <c r="U986" s="15">
        <f t="shared" ca="1" si="187"/>
        <v>0.99711781774206232</v>
      </c>
      <c r="V986" s="15">
        <f t="shared" ca="1" si="188"/>
        <v>0.99711781390875531</v>
      </c>
      <c r="X986" s="15">
        <f t="shared" si="189"/>
        <v>1.05</v>
      </c>
      <c r="Y986" s="15">
        <f t="shared" si="190"/>
        <v>0.95</v>
      </c>
      <c r="Z986" s="15">
        <f t="shared" ca="1" si="191"/>
        <v>1</v>
      </c>
    </row>
    <row r="987" spans="12:26" x14ac:dyDescent="0.3">
      <c r="L987" s="15">
        <v>985</v>
      </c>
      <c r="M987" s="15">
        <f t="shared" si="183"/>
        <v>1</v>
      </c>
      <c r="N987" s="15">
        <f t="shared" ca="1" si="184"/>
        <v>-1.8172909044233965E-3</v>
      </c>
      <c r="O987" s="15">
        <f t="shared" ca="1" si="193"/>
        <v>0.25171667537755504</v>
      </c>
      <c r="P987" s="15">
        <f t="shared" ca="1" si="192"/>
        <v>0.25171665480633193</v>
      </c>
      <c r="Q987" s="15">
        <v>0</v>
      </c>
      <c r="R987" s="15">
        <f t="shared" ca="1" si="185"/>
        <v>0.25171665480633193</v>
      </c>
      <c r="S987" s="15">
        <f t="shared" ca="1" si="194"/>
        <v>0.9948626127620529</v>
      </c>
      <c r="T987" s="15">
        <f t="shared" ca="1" si="186"/>
        <v>6.954686412637379E-3</v>
      </c>
      <c r="U987" s="15">
        <f t="shared" ca="1" si="187"/>
        <v>1.0018172991746903</v>
      </c>
      <c r="V987" s="15">
        <f t="shared" ca="1" si="188"/>
        <v>1.0018172909044234</v>
      </c>
      <c r="X987" s="15">
        <f t="shared" si="189"/>
        <v>1.05</v>
      </c>
      <c r="Y987" s="15">
        <f t="shared" si="190"/>
        <v>0.95</v>
      </c>
      <c r="Z987" s="15">
        <f t="shared" ca="1" si="191"/>
        <v>1</v>
      </c>
    </row>
    <row r="988" spans="12:26" x14ac:dyDescent="0.3">
      <c r="L988" s="15">
        <v>986</v>
      </c>
      <c r="M988" s="15">
        <f t="shared" si="183"/>
        <v>1</v>
      </c>
      <c r="N988" s="15">
        <f t="shared" ca="1" si="184"/>
        <v>4.2237329772263354E-3</v>
      </c>
      <c r="O988" s="15">
        <f t="shared" ca="1" si="193"/>
        <v>0.25171667537755504</v>
      </c>
      <c r="P988" s="15">
        <f t="shared" ca="1" si="192"/>
        <v>0.25171665480633193</v>
      </c>
      <c r="Q988" s="15">
        <v>0</v>
      </c>
      <c r="R988" s="15">
        <f t="shared" ca="1" si="185"/>
        <v>0.25171665480633193</v>
      </c>
      <c r="S988" s="15">
        <f t="shared" ca="1" si="194"/>
        <v>0.99498982464976971</v>
      </c>
      <c r="T988" s="15">
        <f t="shared" ca="1" si="186"/>
        <v>7.8645313402096132E-4</v>
      </c>
      <c r="U988" s="15">
        <f t="shared" ca="1" si="187"/>
        <v>0.99577627778379063</v>
      </c>
      <c r="V988" s="15">
        <f t="shared" ca="1" si="188"/>
        <v>0.99577626702277366</v>
      </c>
      <c r="X988" s="15">
        <f t="shared" si="189"/>
        <v>1.05</v>
      </c>
      <c r="Y988" s="15">
        <f t="shared" si="190"/>
        <v>0.95</v>
      </c>
      <c r="Z988" s="15">
        <f t="shared" ca="1" si="191"/>
        <v>1</v>
      </c>
    </row>
    <row r="989" spans="12:26" x14ac:dyDescent="0.3">
      <c r="L989" s="15">
        <v>987</v>
      </c>
      <c r="M989" s="15">
        <f t="shared" si="183"/>
        <v>1</v>
      </c>
      <c r="N989" s="15">
        <f t="shared" ca="1" si="184"/>
        <v>7.6128519157903085E-4</v>
      </c>
      <c r="O989" s="15">
        <f t="shared" ca="1" si="193"/>
        <v>0.24761365104982686</v>
      </c>
      <c r="P989" s="15">
        <f t="shared" ca="1" si="192"/>
        <v>0.247613643353715</v>
      </c>
      <c r="Q989" s="15">
        <v>0</v>
      </c>
      <c r="R989" s="15">
        <f t="shared" ca="1" si="185"/>
        <v>0.247613643353715</v>
      </c>
      <c r="S989" s="15">
        <f t="shared" ca="1" si="194"/>
        <v>0.9951168971068296</v>
      </c>
      <c r="T989" s="15">
        <f t="shared" ca="1" si="186"/>
        <v>4.1218188899003584E-3</v>
      </c>
      <c r="U989" s="15">
        <f t="shared" ca="1" si="187"/>
        <v>0.99923871599672998</v>
      </c>
      <c r="V989" s="15">
        <f t="shared" ca="1" si="188"/>
        <v>0.99923871480842097</v>
      </c>
      <c r="X989" s="15">
        <f t="shared" si="189"/>
        <v>1.05</v>
      </c>
      <c r="Y989" s="15">
        <f t="shared" si="190"/>
        <v>0.95</v>
      </c>
      <c r="Z989" s="15">
        <f t="shared" ca="1" si="191"/>
        <v>1</v>
      </c>
    </row>
    <row r="990" spans="12:26" x14ac:dyDescent="0.3">
      <c r="L990" s="15">
        <v>988</v>
      </c>
      <c r="M990" s="15">
        <f t="shared" si="183"/>
        <v>1</v>
      </c>
      <c r="N990" s="15">
        <f t="shared" ca="1" si="184"/>
        <v>-5.0679093704251166E-3</v>
      </c>
      <c r="O990" s="15">
        <f t="shared" ca="1" si="193"/>
        <v>0.24761365104982686</v>
      </c>
      <c r="P990" s="15">
        <f t="shared" ca="1" si="192"/>
        <v>0.247613643353715</v>
      </c>
      <c r="Q990" s="15">
        <v>0</v>
      </c>
      <c r="R990" s="15">
        <f t="shared" ca="1" si="185"/>
        <v>0.247613643353715</v>
      </c>
      <c r="S990" s="15">
        <f t="shared" ca="1" si="194"/>
        <v>0.99517141364462047</v>
      </c>
      <c r="T990" s="15">
        <f t="shared" ca="1" si="186"/>
        <v>9.8965008514633433E-3</v>
      </c>
      <c r="U990" s="15">
        <f t="shared" ca="1" si="187"/>
        <v>1.0050679144960839</v>
      </c>
      <c r="V990" s="15">
        <f t="shared" ca="1" si="188"/>
        <v>1.0050679093704251</v>
      </c>
      <c r="X990" s="15">
        <f t="shared" si="189"/>
        <v>1.05</v>
      </c>
      <c r="Y990" s="15">
        <f t="shared" si="190"/>
        <v>0.95</v>
      </c>
      <c r="Z990" s="15">
        <f t="shared" ca="1" si="191"/>
        <v>1</v>
      </c>
    </row>
    <row r="991" spans="12:26" x14ac:dyDescent="0.3">
      <c r="L991" s="15">
        <v>989</v>
      </c>
      <c r="M991" s="15">
        <f t="shared" si="183"/>
        <v>1</v>
      </c>
      <c r="N991" s="15">
        <f t="shared" ca="1" si="184"/>
        <v>2.3230433003798012E-3</v>
      </c>
      <c r="O991" s="15">
        <f t="shared" ca="1" si="193"/>
        <v>0.24761365104982686</v>
      </c>
      <c r="P991" s="15">
        <f t="shared" ca="1" si="192"/>
        <v>0.247613643353715</v>
      </c>
      <c r="Q991" s="15">
        <v>0</v>
      </c>
      <c r="R991" s="15">
        <f t="shared" ca="1" si="185"/>
        <v>0.247613643353715</v>
      </c>
      <c r="S991" s="15">
        <f t="shared" ca="1" si="194"/>
        <v>0.99516235364966754</v>
      </c>
      <c r="T991" s="15">
        <f t="shared" ca="1" si="186"/>
        <v>2.5146156136307564E-3</v>
      </c>
      <c r="U991" s="15">
        <f t="shared" ca="1" si="187"/>
        <v>0.9976769692632983</v>
      </c>
      <c r="V991" s="15">
        <f t="shared" ca="1" si="188"/>
        <v>0.9976769566996202</v>
      </c>
      <c r="X991" s="15">
        <f t="shared" si="189"/>
        <v>1.05</v>
      </c>
      <c r="Y991" s="15">
        <f t="shared" si="190"/>
        <v>0.95</v>
      </c>
      <c r="Z991" s="15">
        <f t="shared" ca="1" si="191"/>
        <v>1</v>
      </c>
    </row>
    <row r="992" spans="12:26" x14ac:dyDescent="0.3">
      <c r="L992" s="15">
        <v>990</v>
      </c>
      <c r="M992" s="15">
        <f t="shared" si="183"/>
        <v>1</v>
      </c>
      <c r="N992" s="15">
        <f t="shared" ca="1" si="184"/>
        <v>3.4954154406430238E-3</v>
      </c>
      <c r="O992" s="15">
        <f t="shared" ca="1" si="193"/>
        <v>0.25106060624464893</v>
      </c>
      <c r="P992" s="15">
        <f t="shared" ca="1" si="192"/>
        <v>0.25106058461849123</v>
      </c>
      <c r="Q992" s="15">
        <v>0</v>
      </c>
      <c r="R992" s="15">
        <f t="shared" ca="1" si="185"/>
        <v>0.25106058461849123</v>
      </c>
      <c r="S992" s="15">
        <f t="shared" ca="1" si="194"/>
        <v>0.99510702630227021</v>
      </c>
      <c r="T992" s="15">
        <f t="shared" ca="1" si="186"/>
        <v>1.3975681765344228E-3</v>
      </c>
      <c r="U992" s="15">
        <f t="shared" ca="1" si="187"/>
        <v>0.99650459447880468</v>
      </c>
      <c r="V992" s="15">
        <f t="shared" ca="1" si="188"/>
        <v>0.99650458455935698</v>
      </c>
      <c r="X992" s="15">
        <f t="shared" si="189"/>
        <v>1.05</v>
      </c>
      <c r="Y992" s="15">
        <f t="shared" si="190"/>
        <v>0.95</v>
      </c>
      <c r="Z992" s="15">
        <f t="shared" ca="1" si="191"/>
        <v>1</v>
      </c>
    </row>
    <row r="993" spans="12:26" x14ac:dyDescent="0.3">
      <c r="L993" s="15">
        <v>991</v>
      </c>
      <c r="M993" s="15">
        <f t="shared" si="183"/>
        <v>1</v>
      </c>
      <c r="N993" s="15">
        <f t="shared" ca="1" si="184"/>
        <v>4.341847962779366E-3</v>
      </c>
      <c r="O993" s="15">
        <f t="shared" ca="1" si="193"/>
        <v>0.25106060624464893</v>
      </c>
      <c r="P993" s="15">
        <f t="shared" ca="1" si="192"/>
        <v>0.25106058461849123</v>
      </c>
      <c r="Q993" s="15">
        <v>0</v>
      </c>
      <c r="R993" s="15">
        <f t="shared" ca="1" si="185"/>
        <v>0.25106058461849123</v>
      </c>
      <c r="S993" s="15">
        <f t="shared" ca="1" si="194"/>
        <v>0.99502033226627351</v>
      </c>
      <c r="T993" s="15">
        <f t="shared" ca="1" si="186"/>
        <v>6.3783165118032282E-4</v>
      </c>
      <c r="U993" s="15">
        <f t="shared" ca="1" si="187"/>
        <v>0.99565816391745388</v>
      </c>
      <c r="V993" s="15">
        <f t="shared" ca="1" si="188"/>
        <v>0.99565815203722063</v>
      </c>
      <c r="X993" s="15">
        <f t="shared" si="189"/>
        <v>1.05</v>
      </c>
      <c r="Y993" s="15">
        <f t="shared" si="190"/>
        <v>0.95</v>
      </c>
      <c r="Z993" s="15">
        <f t="shared" ca="1" si="191"/>
        <v>1</v>
      </c>
    </row>
    <row r="994" spans="12:26" x14ac:dyDescent="0.3">
      <c r="L994" s="15">
        <v>992</v>
      </c>
      <c r="M994" s="15">
        <f t="shared" si="183"/>
        <v>1</v>
      </c>
      <c r="N994" s="15">
        <f t="shared" ca="1" si="184"/>
        <v>2.4374562786978471E-3</v>
      </c>
      <c r="O994" s="15">
        <f t="shared" ca="1" si="193"/>
        <v>0.25106060624464893</v>
      </c>
      <c r="P994" s="15">
        <f t="shared" ca="1" si="192"/>
        <v>0.25106058461849123</v>
      </c>
      <c r="Q994" s="15">
        <v>0</v>
      </c>
      <c r="R994" s="15">
        <f t="shared" ca="1" si="185"/>
        <v>0.25106058461849123</v>
      </c>
      <c r="S994" s="15">
        <f t="shared" ca="1" si="194"/>
        <v>0.99490661979092188</v>
      </c>
      <c r="T994" s="15">
        <f t="shared" ca="1" si="186"/>
        <v>2.6559337306027333E-3</v>
      </c>
      <c r="U994" s="15">
        <f t="shared" ca="1" si="187"/>
        <v>0.99756255352152456</v>
      </c>
      <c r="V994" s="15">
        <f t="shared" ca="1" si="188"/>
        <v>0.99756254372130215</v>
      </c>
      <c r="X994" s="15">
        <f t="shared" si="189"/>
        <v>1.05</v>
      </c>
      <c r="Y994" s="15">
        <f t="shared" si="190"/>
        <v>0.95</v>
      </c>
      <c r="Z994" s="15">
        <f t="shared" ca="1" si="191"/>
        <v>1</v>
      </c>
    </row>
    <row r="995" spans="12:26" x14ac:dyDescent="0.3">
      <c r="L995" s="15">
        <v>993</v>
      </c>
      <c r="M995" s="15">
        <f t="shared" si="183"/>
        <v>1</v>
      </c>
      <c r="N995" s="15">
        <f t="shared" ca="1" si="184"/>
        <v>1.6779988076720542E-4</v>
      </c>
      <c r="O995" s="15">
        <f t="shared" ca="1" si="193"/>
        <v>0.24686055407257212</v>
      </c>
      <c r="P995" s="15">
        <f t="shared" ca="1" si="192"/>
        <v>0.24686055263664122</v>
      </c>
      <c r="Q995" s="15">
        <v>0</v>
      </c>
      <c r="R995" s="15">
        <f t="shared" ca="1" si="185"/>
        <v>0.24686055263664122</v>
      </c>
      <c r="S995" s="15">
        <f t="shared" ca="1" si="194"/>
        <v>0.99481217330178073</v>
      </c>
      <c r="T995" s="15">
        <f t="shared" ca="1" si="186"/>
        <v>5.0200387530622741E-3</v>
      </c>
      <c r="U995" s="15">
        <f t="shared" ca="1" si="187"/>
        <v>0.99983221205484296</v>
      </c>
      <c r="V995" s="15">
        <f t="shared" ca="1" si="188"/>
        <v>0.99983220011923279</v>
      </c>
      <c r="X995" s="15">
        <f t="shared" si="189"/>
        <v>1.05</v>
      </c>
      <c r="Y995" s="15">
        <f t="shared" si="190"/>
        <v>0.95</v>
      </c>
      <c r="Z995" s="15">
        <f t="shared" ca="1" si="191"/>
        <v>1</v>
      </c>
    </row>
    <row r="996" spans="12:26" x14ac:dyDescent="0.3">
      <c r="L996" s="15">
        <v>994</v>
      </c>
      <c r="M996" s="15">
        <f t="shared" si="183"/>
        <v>1</v>
      </c>
      <c r="N996" s="15">
        <f t="shared" ca="1" si="184"/>
        <v>4.2900431445543896E-3</v>
      </c>
      <c r="O996" s="15">
        <f t="shared" ca="1" si="193"/>
        <v>0.24686055407257212</v>
      </c>
      <c r="P996" s="15">
        <f t="shared" ca="1" si="192"/>
        <v>0.24686055263664122</v>
      </c>
      <c r="Q996" s="15">
        <v>0</v>
      </c>
      <c r="R996" s="15">
        <f t="shared" ca="1" si="185"/>
        <v>0.24686055263664122</v>
      </c>
      <c r="S996" s="15">
        <f t="shared" ca="1" si="194"/>
        <v>0.99477544590666889</v>
      </c>
      <c r="T996" s="15">
        <f t="shared" ca="1" si="186"/>
        <v>9.345232106324797E-4</v>
      </c>
      <c r="U996" s="15">
        <f t="shared" ca="1" si="187"/>
        <v>0.99570996911730136</v>
      </c>
      <c r="V996" s="15">
        <f t="shared" ca="1" si="188"/>
        <v>0.99570995685544561</v>
      </c>
      <c r="X996" s="15">
        <f t="shared" si="189"/>
        <v>1.05</v>
      </c>
      <c r="Y996" s="15">
        <f t="shared" si="190"/>
        <v>0.95</v>
      </c>
      <c r="Z996" s="15">
        <f t="shared" ca="1" si="191"/>
        <v>1</v>
      </c>
    </row>
    <row r="997" spans="12:26" x14ac:dyDescent="0.3">
      <c r="L997" s="15">
        <v>995</v>
      </c>
      <c r="M997" s="15">
        <f t="shared" si="183"/>
        <v>1</v>
      </c>
      <c r="N997" s="15">
        <f t="shared" ca="1" si="184"/>
        <v>-1.643795986110419E-4</v>
      </c>
      <c r="O997" s="15">
        <f t="shared" ca="1" si="193"/>
        <v>0.24686055407257212</v>
      </c>
      <c r="P997" s="15">
        <f t="shared" ca="1" si="192"/>
        <v>0.24686055263664122</v>
      </c>
      <c r="Q997" s="15">
        <v>0</v>
      </c>
      <c r="R997" s="15">
        <f t="shared" ca="1" si="185"/>
        <v>0.24686055263664122</v>
      </c>
      <c r="S997" s="15">
        <f t="shared" ca="1" si="194"/>
        <v>0.99478926630763265</v>
      </c>
      <c r="T997" s="15">
        <f t="shared" ca="1" si="186"/>
        <v>5.3751273198329721E-3</v>
      </c>
      <c r="U997" s="15">
        <f t="shared" ca="1" si="187"/>
        <v>1.0001643936274656</v>
      </c>
      <c r="V997" s="15">
        <f t="shared" ca="1" si="188"/>
        <v>1.000164379598611</v>
      </c>
      <c r="X997" s="15">
        <f t="shared" si="189"/>
        <v>1.05</v>
      </c>
      <c r="Y997" s="15">
        <f t="shared" si="190"/>
        <v>0.95</v>
      </c>
      <c r="Z997" s="15">
        <f t="shared" ca="1" si="191"/>
        <v>1</v>
      </c>
    </row>
    <row r="998" spans="12:26" x14ac:dyDescent="0.3">
      <c r="L998" s="15">
        <v>996</v>
      </c>
      <c r="M998" s="15">
        <f t="shared" si="183"/>
        <v>1</v>
      </c>
      <c r="N998" s="15">
        <f t="shared" ca="1" si="184"/>
        <v>-1.72972329932497E-3</v>
      </c>
      <c r="O998" s="15">
        <f t="shared" ca="1" si="193"/>
        <v>0.24736172007991625</v>
      </c>
      <c r="P998" s="15">
        <f t="shared" ca="1" si="192"/>
        <v>0.24736169731415847</v>
      </c>
      <c r="Q998" s="15">
        <v>0</v>
      </c>
      <c r="R998" s="15">
        <f t="shared" ca="1" si="185"/>
        <v>0.24736169731415847</v>
      </c>
      <c r="S998" s="15">
        <f t="shared" ca="1" si="194"/>
        <v>0.99483314727642524</v>
      </c>
      <c r="T998" s="15">
        <f t="shared" ca="1" si="186"/>
        <v>6.8965861631284731E-3</v>
      </c>
      <c r="U998" s="15">
        <f t="shared" ca="1" si="187"/>
        <v>1.0017297334395536</v>
      </c>
      <c r="V998" s="15">
        <f t="shared" ca="1" si="188"/>
        <v>1.001729723299325</v>
      </c>
      <c r="X998" s="15">
        <f t="shared" si="189"/>
        <v>1.05</v>
      </c>
      <c r="Y998" s="15">
        <f t="shared" si="190"/>
        <v>0.95</v>
      </c>
      <c r="Z998" s="15">
        <f t="shared" ca="1" si="191"/>
        <v>1</v>
      </c>
    </row>
    <row r="999" spans="12:26" x14ac:dyDescent="0.3">
      <c r="L999" s="15">
        <v>997</v>
      </c>
      <c r="M999" s="15">
        <f t="shared" si="183"/>
        <v>1</v>
      </c>
      <c r="N999" s="15">
        <f t="shared" ca="1" si="184"/>
        <v>-1.1270644611509617E-3</v>
      </c>
      <c r="O999" s="15">
        <f t="shared" ca="1" si="193"/>
        <v>0.24736172007991625</v>
      </c>
      <c r="P999" s="15">
        <f t="shared" ca="1" si="192"/>
        <v>0.24736169731415847</v>
      </c>
      <c r="Q999" s="15">
        <v>0</v>
      </c>
      <c r="R999" s="15">
        <f t="shared" ca="1" si="185"/>
        <v>0.24736169731415847</v>
      </c>
      <c r="S999" s="15">
        <f t="shared" ca="1" si="194"/>
        <v>0.99488969493479518</v>
      </c>
      <c r="T999" s="15">
        <f t="shared" ca="1" si="186"/>
        <v>6.2373854360752521E-3</v>
      </c>
      <c r="U999" s="15">
        <f t="shared" ca="1" si="187"/>
        <v>1.0011270803708705</v>
      </c>
      <c r="V999" s="15">
        <f t="shared" ca="1" si="188"/>
        <v>1.001127064461151</v>
      </c>
      <c r="X999" s="15">
        <f t="shared" si="189"/>
        <v>1.05</v>
      </c>
      <c r="Y999" s="15">
        <f t="shared" si="190"/>
        <v>0.95</v>
      </c>
      <c r="Z999" s="15">
        <f t="shared" ca="1" si="191"/>
        <v>1</v>
      </c>
    </row>
    <row r="1000" spans="12:26" x14ac:dyDescent="0.3">
      <c r="L1000" s="15">
        <v>998</v>
      </c>
      <c r="M1000" s="15">
        <f t="shared" si="183"/>
        <v>1</v>
      </c>
      <c r="N1000" s="15">
        <f t="shared" ca="1" si="184"/>
        <v>1.1638726576147507E-3</v>
      </c>
      <c r="O1000" s="15">
        <f t="shared" ca="1" si="193"/>
        <v>0.24736172007991625</v>
      </c>
      <c r="P1000" s="15">
        <f t="shared" ca="1" si="192"/>
        <v>0.24736169731415847</v>
      </c>
      <c r="Q1000" s="15">
        <v>0</v>
      </c>
      <c r="R1000" s="15">
        <f t="shared" ca="1" si="185"/>
        <v>0.24736169731415847</v>
      </c>
      <c r="S1000" s="15">
        <f t="shared" ca="1" si="194"/>
        <v>0.99495706224713565</v>
      </c>
      <c r="T1000" s="15">
        <f t="shared" ca="1" si="186"/>
        <v>3.879080153576592E-3</v>
      </c>
      <c r="U1000" s="15">
        <f t="shared" ca="1" si="187"/>
        <v>0.99883614240071228</v>
      </c>
      <c r="V1000" s="15">
        <f t="shared" ca="1" si="188"/>
        <v>0.99883612734238525</v>
      </c>
      <c r="X1000" s="15">
        <f t="shared" si="189"/>
        <v>1.05</v>
      </c>
      <c r="Y1000" s="15">
        <f t="shared" si="190"/>
        <v>0.95</v>
      </c>
      <c r="Z1000" s="15">
        <f t="shared" ca="1" si="191"/>
        <v>1</v>
      </c>
    </row>
    <row r="1001" spans="12:26" x14ac:dyDescent="0.3">
      <c r="L1001" s="15">
        <v>999</v>
      </c>
      <c r="M1001" s="15">
        <f t="shared" si="183"/>
        <v>1</v>
      </c>
      <c r="N1001" s="15">
        <f t="shared" ca="1" si="184"/>
        <v>-2.6220700244006245E-3</v>
      </c>
      <c r="O1001" s="15">
        <f t="shared" ca="1" si="193"/>
        <v>0.24776147684432506</v>
      </c>
      <c r="P1001" s="15">
        <f t="shared" ca="1" si="192"/>
        <v>0.24776146752940523</v>
      </c>
      <c r="Q1001" s="15">
        <v>0</v>
      </c>
      <c r="R1001" s="15">
        <f t="shared" ca="1" si="185"/>
        <v>0.24776146752940523</v>
      </c>
      <c r="S1001" s="15">
        <f t="shared" ca="1" si="194"/>
        <v>0.99499327504877655</v>
      </c>
      <c r="T1001" s="15">
        <f t="shared" ca="1" si="186"/>
        <v>7.6288034118090599E-3</v>
      </c>
      <c r="U1001" s="15">
        <f t="shared" ca="1" si="187"/>
        <v>1.0026220784605857</v>
      </c>
      <c r="V1001" s="15">
        <f t="shared" ca="1" si="188"/>
        <v>1.0026220700244006</v>
      </c>
      <c r="X1001" s="15">
        <f t="shared" si="189"/>
        <v>1.05</v>
      </c>
      <c r="Y1001" s="15">
        <f t="shared" si="190"/>
        <v>0.95</v>
      </c>
      <c r="Z1001" s="15">
        <f t="shared" ca="1" si="191"/>
        <v>1</v>
      </c>
    </row>
    <row r="1002" spans="12:26" x14ac:dyDescent="0.3">
      <c r="L1002" s="15">
        <v>1000</v>
      </c>
      <c r="M1002" s="15">
        <f t="shared" si="183"/>
        <v>1</v>
      </c>
      <c r="N1002" s="15">
        <f t="shared" ca="1" si="184"/>
        <v>-9.3029928415333529E-4</v>
      </c>
      <c r="O1002" s="15">
        <f t="shared" ca="1" si="193"/>
        <v>0.24776147684432506</v>
      </c>
      <c r="P1002" s="15">
        <f t="shared" ca="1" si="192"/>
        <v>0.24776146752940523</v>
      </c>
      <c r="Q1002" s="15">
        <v>0</v>
      </c>
      <c r="R1002" s="15">
        <f t="shared" ca="1" si="185"/>
        <v>0.24776146752940523</v>
      </c>
      <c r="S1002" s="15">
        <f t="shared" ca="1" si="194"/>
        <v>0.9949636025993962</v>
      </c>
      <c r="T1002" s="15">
        <f t="shared" ca="1" si="186"/>
        <v>5.9667046371040143E-3</v>
      </c>
      <c r="U1002" s="15">
        <f t="shared" ca="1" si="187"/>
        <v>1.0009303072365001</v>
      </c>
      <c r="V1002" s="15">
        <f t="shared" ca="1" si="188"/>
        <v>1.0009302992841533</v>
      </c>
      <c r="X1002" s="15">
        <f t="shared" si="189"/>
        <v>1.05</v>
      </c>
      <c r="Y1002" s="15">
        <f t="shared" si="190"/>
        <v>0.95</v>
      </c>
      <c r="Z1002" s="15">
        <f t="shared" ca="1" si="191"/>
        <v>1</v>
      </c>
    </row>
  </sheetData>
  <mergeCells count="2">
    <mergeCell ref="A1:B1"/>
    <mergeCell ref="A7:B7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1B4F-F94B-4A74-8494-EC223932A85A}">
  <dimension ref="A1:AH1002"/>
  <sheetViews>
    <sheetView zoomScale="70" zoomScaleNormal="70" workbookViewId="0">
      <selection activeCell="I17" sqref="I17"/>
    </sheetView>
  </sheetViews>
  <sheetFormatPr defaultColWidth="9.109375" defaultRowHeight="14.4" x14ac:dyDescent="0.3"/>
  <cols>
    <col min="1" max="1" width="12.33203125" style="15" customWidth="1"/>
    <col min="2" max="2" width="14.33203125" style="15" customWidth="1"/>
    <col min="3" max="4" width="9.109375" style="15"/>
    <col min="5" max="5" width="9.44140625" style="15" bestFit="1" customWidth="1"/>
    <col min="6" max="7" width="9.109375" style="15"/>
    <col min="8" max="8" width="10.44140625" style="15" bestFit="1" customWidth="1"/>
    <col min="9" max="22" width="9.109375" style="15"/>
    <col min="23" max="23" width="9.109375" style="29"/>
    <col min="24" max="24" width="13.44140625" style="15" customWidth="1"/>
    <col min="25" max="25" width="12.88671875" style="15" customWidth="1"/>
    <col min="26" max="26" width="10.33203125" style="15" bestFit="1" customWidth="1"/>
    <col min="27" max="27" width="21.77734375" style="15" customWidth="1"/>
    <col min="28" max="28" width="19.21875" style="15" bestFit="1" customWidth="1"/>
    <col min="29" max="29" width="9.109375" style="15"/>
    <col min="30" max="30" width="10.33203125" style="15" bestFit="1" customWidth="1"/>
    <col min="31" max="33" width="9.109375" style="15"/>
    <col min="34" max="34" width="10.44140625" style="15" bestFit="1" customWidth="1"/>
    <col min="35" max="35" width="10.33203125" style="15" bestFit="1" customWidth="1"/>
    <col min="36" max="16384" width="9.109375" style="15"/>
  </cols>
  <sheetData>
    <row r="1" spans="1:34" ht="15" thickBot="1" x14ac:dyDescent="0.35">
      <c r="A1" s="44" t="s">
        <v>37</v>
      </c>
      <c r="B1" s="45"/>
      <c r="D1" s="28" t="s">
        <v>38</v>
      </c>
      <c r="E1" s="16">
        <v>1</v>
      </c>
      <c r="H1" s="17" t="s">
        <v>0</v>
      </c>
      <c r="I1" s="18">
        <f>EXP(-B$6/$B$4)+EXP(-B$6/$B$5)</f>
        <v>1.868834222497191</v>
      </c>
      <c r="L1" s="15" t="s">
        <v>10</v>
      </c>
      <c r="M1" s="15" t="s">
        <v>39</v>
      </c>
      <c r="N1" s="15" t="s">
        <v>40</v>
      </c>
      <c r="O1" s="15" t="s">
        <v>41</v>
      </c>
      <c r="P1" s="15" t="s">
        <v>42</v>
      </c>
      <c r="Q1" s="15" t="s">
        <v>43</v>
      </c>
      <c r="R1" s="15" t="s">
        <v>11</v>
      </c>
      <c r="S1" s="15" t="s">
        <v>44</v>
      </c>
      <c r="T1" s="15" t="s">
        <v>45</v>
      </c>
      <c r="U1" s="15" t="s">
        <v>12</v>
      </c>
      <c r="V1" s="15" t="s">
        <v>46</v>
      </c>
      <c r="X1" s="15" t="s">
        <v>58</v>
      </c>
      <c r="Y1" s="15" t="s">
        <v>57</v>
      </c>
      <c r="Z1" s="15" t="s">
        <v>59</v>
      </c>
      <c r="AA1" s="15" t="s">
        <v>60</v>
      </c>
      <c r="AB1" s="15" t="s">
        <v>61</v>
      </c>
      <c r="AC1" s="15" t="s">
        <v>65</v>
      </c>
      <c r="AD1" s="15" t="s">
        <v>66</v>
      </c>
      <c r="AE1" s="15" t="s">
        <v>67</v>
      </c>
      <c r="AF1" s="15" t="s">
        <v>68</v>
      </c>
      <c r="AG1" s="15" t="s">
        <v>69</v>
      </c>
      <c r="AH1" s="15" t="s">
        <v>70</v>
      </c>
    </row>
    <row r="2" spans="1:34" x14ac:dyDescent="0.3">
      <c r="A2" s="19" t="s">
        <v>6</v>
      </c>
      <c r="B2" s="38">
        <v>4</v>
      </c>
      <c r="D2" s="21" t="s">
        <v>29</v>
      </c>
      <c r="E2" s="18">
        <f>$B$8*(1+B11/(2*$B$9)+B10/B11)</f>
        <v>1.0855265049988945</v>
      </c>
      <c r="H2" s="22" t="s">
        <v>1</v>
      </c>
      <c r="I2" s="20">
        <f>EXP(-B$6/$B$4)*EXP(-B$6/$B$5)</f>
        <v>0.87306383330673165</v>
      </c>
      <c r="L2" s="15">
        <v>0</v>
      </c>
      <c r="M2" s="15">
        <f>IF(L2&lt;$D$16,$D$12,IF(L2&lt;$E$16,$E$12,$F$13))</f>
        <v>0</v>
      </c>
      <c r="N2" s="15">
        <f>M2-V2</f>
        <v>0</v>
      </c>
      <c r="O2" s="15">
        <v>0</v>
      </c>
      <c r="P2" s="15">
        <f>INT((2^$J$12-1)*O2/100)/(2^$J$12-1)*100</f>
        <v>0</v>
      </c>
      <c r="Q2" s="15">
        <v>0</v>
      </c>
      <c r="R2" s="15">
        <f>P2+Q2</f>
        <v>0</v>
      </c>
      <c r="S2" s="15">
        <f>$D$12</f>
        <v>0</v>
      </c>
      <c r="T2" s="15">
        <v>0</v>
      </c>
      <c r="U2" s="15">
        <f>S2+T2</f>
        <v>0</v>
      </c>
      <c r="V2" s="15">
        <f>INT((2^$J$12-1)*U2/100)/(2^$J$12-1)*100</f>
        <v>0</v>
      </c>
      <c r="X2" s="15">
        <f>M2 * 1.05</f>
        <v>0</v>
      </c>
      <c r="Y2" s="15">
        <f>M2 * 0.95</f>
        <v>0</v>
      </c>
      <c r="Z2" s="15">
        <f>IF(AND(V2 &lt;= X2, V2 &gt;= Y2), 1, 0)</f>
        <v>1</v>
      </c>
      <c r="AA2" s="15">
        <f ca="1">INDEX(L42:L300, IFERROR(LOOKUP(2,1/(Z42:Z300=0),ROW(Z42:Z300))-40,1))</f>
        <v>149</v>
      </c>
      <c r="AB2" s="15">
        <f ca="1">MAX(V2:V322)</f>
        <v>1.0070954451819638</v>
      </c>
      <c r="AC2" s="15">
        <f>N2^2</f>
        <v>0</v>
      </c>
      <c r="AD2" s="15">
        <f>ABS(N2)</f>
        <v>0</v>
      </c>
      <c r="AE2" s="15">
        <f>IF(M2&gt;0, ABS(N2)*(L2-$D$16),0)</f>
        <v>0</v>
      </c>
      <c r="AF2" s="15">
        <f ca="1">SUM(AC2:AC1002)</f>
        <v>32.522656722492066</v>
      </c>
      <c r="AG2" s="15">
        <f ca="1">SUM(AD2:AD1002)</f>
        <v>41.789044022279114</v>
      </c>
      <c r="AH2" s="15">
        <f ca="1">SUM(AE2:AE1002)</f>
        <v>1360.8044556344255</v>
      </c>
    </row>
    <row r="3" spans="1:34" x14ac:dyDescent="0.3">
      <c r="A3" s="19" t="s">
        <v>47</v>
      </c>
      <c r="B3" s="39">
        <v>40</v>
      </c>
      <c r="D3" s="19" t="s">
        <v>30</v>
      </c>
      <c r="E3" s="20">
        <f>$B$8*(B11/(2*$B$9)-1-2*$B$10/B11)</f>
        <v>-1.9146642050011056</v>
      </c>
      <c r="H3" s="22" t="s">
        <v>2</v>
      </c>
      <c r="I3" s="20">
        <f>$B$2*(1+$B$4/($B$5-$B$4)*EXP(-B6/$B$4)-$B$5/($B$5-$B$4)*EXP(-B6/$B$5))</f>
        <v>8.6505768172333575E-3</v>
      </c>
      <c r="L3" s="15">
        <v>1</v>
      </c>
      <c r="M3" s="15">
        <f t="shared" ref="M3:M66" si="0">IF(L3&lt;$D$16,$D$12,IF(L3&lt;$E$16,$E$12,$F$13))</f>
        <v>0</v>
      </c>
      <c r="N3" s="15">
        <f t="shared" ref="N3:N66" si="1">M3-V3</f>
        <v>0</v>
      </c>
      <c r="O3" s="15">
        <v>0</v>
      </c>
      <c r="P3" s="15">
        <f t="shared" ref="P3:P11" si="2">INT((2^$J$12-1)*O3/100)/(2^$J$12-1)*100</f>
        <v>0</v>
      </c>
      <c r="Q3" s="15">
        <v>0</v>
      </c>
      <c r="R3" s="15">
        <f t="shared" ref="R3:R66" si="3">P3+Q3</f>
        <v>0</v>
      </c>
      <c r="S3" s="15">
        <f t="shared" ref="S3:S42" si="4">$D$12</f>
        <v>0</v>
      </c>
      <c r="T3" s="15">
        <v>0</v>
      </c>
      <c r="U3" s="15">
        <f t="shared" ref="U3:U66" si="5">S3+T3</f>
        <v>0</v>
      </c>
      <c r="V3" s="15">
        <f t="shared" ref="V3:V66" si="6">INT((2^$J$12-1)*U3/100)/(2^$J$12-1)*100</f>
        <v>0</v>
      </c>
      <c r="X3" s="15">
        <f t="shared" ref="X3:X66" si="7">M3 * 1.05</f>
        <v>0</v>
      </c>
      <c r="Y3" s="15">
        <f t="shared" ref="Y3:Y66" si="8">M3 * 0.95</f>
        <v>0</v>
      </c>
      <c r="Z3" s="15">
        <f t="shared" ref="Z3:Z66" si="9">IF(AND(V3 &lt;= X3, V3 &gt;= Y3), 1, 0)</f>
        <v>1</v>
      </c>
      <c r="AB3" s="15">
        <f ca="1">AB2-E12</f>
        <v>7.0954451819638109E-3</v>
      </c>
      <c r="AC3" s="15">
        <f t="shared" ref="AC3:AC66" si="10">N3^2</f>
        <v>0</v>
      </c>
      <c r="AD3" s="15">
        <f t="shared" ref="AD3:AD66" si="11">ABS(N3)</f>
        <v>0</v>
      </c>
      <c r="AE3" s="15">
        <f t="shared" ref="AE3:AE66" si="12">IF(M3&gt;0, ABS(N3)*(L3-$D$16),0)</f>
        <v>0</v>
      </c>
    </row>
    <row r="4" spans="1:34" ht="15" thickBot="1" x14ac:dyDescent="0.35">
      <c r="A4" s="19" t="s">
        <v>8</v>
      </c>
      <c r="B4" s="39">
        <v>17</v>
      </c>
      <c r="D4" s="23" t="s">
        <v>31</v>
      </c>
      <c r="E4" s="24">
        <f>$B$8*$B$10/B11</f>
        <v>0.84804357000000008</v>
      </c>
      <c r="H4" s="25" t="s">
        <v>3</v>
      </c>
      <c r="I4" s="24">
        <f>$B$2*(EXP(-B6/$B$4)*EXP(-B6/$B$5)+$B$4/($B$5-$B$4)*EXP(-B6/$B$5)-$B$5/($B$5-$B$4)*EXP(-B6/$B$4))</f>
        <v>8.2678664209279162E-3</v>
      </c>
      <c r="L4" s="15">
        <v>2</v>
      </c>
      <c r="M4" s="15">
        <f t="shared" si="0"/>
        <v>0</v>
      </c>
      <c r="N4" s="15">
        <f t="shared" si="1"/>
        <v>0</v>
      </c>
      <c r="O4" s="15">
        <v>0</v>
      </c>
      <c r="P4" s="15">
        <f t="shared" si="2"/>
        <v>0</v>
      </c>
      <c r="Q4" s="15">
        <v>0</v>
      </c>
      <c r="R4" s="15">
        <f t="shared" si="3"/>
        <v>0</v>
      </c>
      <c r="S4" s="15">
        <f t="shared" si="4"/>
        <v>0</v>
      </c>
      <c r="T4" s="15">
        <v>0</v>
      </c>
      <c r="U4" s="15">
        <f t="shared" si="5"/>
        <v>0</v>
      </c>
      <c r="V4" s="15">
        <f t="shared" si="6"/>
        <v>0</v>
      </c>
      <c r="X4" s="15">
        <f t="shared" si="7"/>
        <v>0</v>
      </c>
      <c r="Y4" s="15">
        <f t="shared" si="8"/>
        <v>0</v>
      </c>
      <c r="Z4" s="15">
        <f t="shared" si="9"/>
        <v>1</v>
      </c>
      <c r="AB4" s="15">
        <f ca="1">AB3/E13</f>
        <v>7.0954451819638109E-4</v>
      </c>
      <c r="AC4" s="15">
        <f t="shared" si="10"/>
        <v>0</v>
      </c>
      <c r="AD4" s="15">
        <f t="shared" si="11"/>
        <v>0</v>
      </c>
      <c r="AE4" s="15">
        <f t="shared" si="12"/>
        <v>0</v>
      </c>
    </row>
    <row r="5" spans="1:34" ht="15" thickBot="1" x14ac:dyDescent="0.35">
      <c r="A5" s="23" t="s">
        <v>9</v>
      </c>
      <c r="B5" s="40">
        <v>13</v>
      </c>
      <c r="L5" s="15">
        <v>3</v>
      </c>
      <c r="M5" s="15">
        <f t="shared" si="0"/>
        <v>0</v>
      </c>
      <c r="N5" s="15">
        <f t="shared" si="1"/>
        <v>0</v>
      </c>
      <c r="O5" s="15">
        <v>0</v>
      </c>
      <c r="P5" s="15">
        <f t="shared" si="2"/>
        <v>0</v>
      </c>
      <c r="Q5" s="15">
        <v>0</v>
      </c>
      <c r="R5" s="15">
        <f t="shared" si="3"/>
        <v>0</v>
      </c>
      <c r="S5" s="15">
        <f t="shared" si="4"/>
        <v>0</v>
      </c>
      <c r="T5" s="15">
        <v>0</v>
      </c>
      <c r="U5" s="15">
        <f t="shared" si="5"/>
        <v>0</v>
      </c>
      <c r="V5" s="15">
        <f t="shared" si="6"/>
        <v>0</v>
      </c>
      <c r="X5" s="15">
        <f t="shared" si="7"/>
        <v>0</v>
      </c>
      <c r="Y5" s="15">
        <f t="shared" si="8"/>
        <v>0</v>
      </c>
      <c r="Z5" s="15">
        <f t="shared" si="9"/>
        <v>1</v>
      </c>
      <c r="AB5" s="15">
        <f ca="1">AB4*100</f>
        <v>7.0954451819638109E-2</v>
      </c>
      <c r="AC5" s="15">
        <f t="shared" si="10"/>
        <v>0</v>
      </c>
      <c r="AD5" s="15">
        <f t="shared" si="11"/>
        <v>0</v>
      </c>
      <c r="AE5" s="15">
        <f t="shared" si="12"/>
        <v>0</v>
      </c>
    </row>
    <row r="6" spans="1:34" x14ac:dyDescent="0.3">
      <c r="A6" s="26" t="s">
        <v>48</v>
      </c>
      <c r="B6" s="26">
        <v>1</v>
      </c>
      <c r="L6" s="15">
        <v>4</v>
      </c>
      <c r="M6" s="15">
        <f t="shared" si="0"/>
        <v>0</v>
      </c>
      <c r="N6" s="15">
        <f t="shared" si="1"/>
        <v>0</v>
      </c>
      <c r="O6" s="15">
        <v>0</v>
      </c>
      <c r="P6" s="15">
        <f t="shared" si="2"/>
        <v>0</v>
      </c>
      <c r="Q6" s="15">
        <v>0</v>
      </c>
      <c r="R6" s="15">
        <f t="shared" si="3"/>
        <v>0</v>
      </c>
      <c r="S6" s="15">
        <f t="shared" si="4"/>
        <v>0</v>
      </c>
      <c r="T6" s="15">
        <v>0</v>
      </c>
      <c r="U6" s="15">
        <f t="shared" si="5"/>
        <v>0</v>
      </c>
      <c r="V6" s="15">
        <f t="shared" si="6"/>
        <v>0</v>
      </c>
      <c r="X6" s="15">
        <f t="shared" si="7"/>
        <v>0</v>
      </c>
      <c r="Y6" s="15">
        <f t="shared" si="8"/>
        <v>0</v>
      </c>
      <c r="Z6" s="15">
        <f t="shared" si="9"/>
        <v>1</v>
      </c>
      <c r="AC6" s="15">
        <f t="shared" si="10"/>
        <v>0</v>
      </c>
      <c r="AD6" s="15">
        <f t="shared" si="11"/>
        <v>0</v>
      </c>
      <c r="AE6" s="15">
        <f t="shared" si="12"/>
        <v>0</v>
      </c>
    </row>
    <row r="7" spans="1:34" x14ac:dyDescent="0.3">
      <c r="A7" s="46" t="s">
        <v>49</v>
      </c>
      <c r="B7" s="47"/>
      <c r="L7" s="15">
        <v>5</v>
      </c>
      <c r="M7" s="15">
        <f t="shared" si="0"/>
        <v>0</v>
      </c>
      <c r="N7" s="15">
        <f t="shared" si="1"/>
        <v>0</v>
      </c>
      <c r="O7" s="15">
        <v>0</v>
      </c>
      <c r="P7" s="15">
        <f t="shared" si="2"/>
        <v>0</v>
      </c>
      <c r="Q7" s="15">
        <v>0</v>
      </c>
      <c r="R7" s="15">
        <f t="shared" si="3"/>
        <v>0</v>
      </c>
      <c r="S7" s="15">
        <f t="shared" si="4"/>
        <v>0</v>
      </c>
      <c r="T7" s="15">
        <v>0</v>
      </c>
      <c r="U7" s="15">
        <f t="shared" si="5"/>
        <v>0</v>
      </c>
      <c r="V7" s="15">
        <f t="shared" si="6"/>
        <v>0</v>
      </c>
      <c r="X7" s="15">
        <f t="shared" si="7"/>
        <v>0</v>
      </c>
      <c r="Y7" s="15">
        <f t="shared" si="8"/>
        <v>0</v>
      </c>
      <c r="Z7" s="15">
        <f t="shared" si="9"/>
        <v>1</v>
      </c>
      <c r="AC7" s="15">
        <f t="shared" si="10"/>
        <v>0</v>
      </c>
      <c r="AD7" s="15">
        <f t="shared" si="11"/>
        <v>0</v>
      </c>
      <c r="AE7" s="15">
        <f t="shared" si="12"/>
        <v>0</v>
      </c>
    </row>
    <row r="8" spans="1:34" x14ac:dyDescent="0.3">
      <c r="A8" s="19" t="s">
        <v>50</v>
      </c>
      <c r="B8" s="20">
        <v>0.22803000000000001</v>
      </c>
      <c r="E8" s="20">
        <v>0.18</v>
      </c>
      <c r="G8" s="20">
        <v>0.22803000000000001</v>
      </c>
      <c r="L8" s="15">
        <v>6</v>
      </c>
      <c r="M8" s="15">
        <f t="shared" si="0"/>
        <v>0</v>
      </c>
      <c r="N8" s="15">
        <f t="shared" si="1"/>
        <v>0</v>
      </c>
      <c r="O8" s="15">
        <v>0</v>
      </c>
      <c r="P8" s="15">
        <f t="shared" si="2"/>
        <v>0</v>
      </c>
      <c r="Q8" s="15">
        <v>0</v>
      </c>
      <c r="R8" s="15">
        <f t="shared" si="3"/>
        <v>0</v>
      </c>
      <c r="S8" s="15">
        <f t="shared" si="4"/>
        <v>0</v>
      </c>
      <c r="T8" s="15">
        <v>0</v>
      </c>
      <c r="U8" s="15">
        <f t="shared" si="5"/>
        <v>0</v>
      </c>
      <c r="V8" s="15">
        <f t="shared" si="6"/>
        <v>0</v>
      </c>
      <c r="X8" s="15">
        <f t="shared" si="7"/>
        <v>0</v>
      </c>
      <c r="Y8" s="15">
        <f t="shared" si="8"/>
        <v>0</v>
      </c>
      <c r="Z8" s="15">
        <f t="shared" si="9"/>
        <v>1</v>
      </c>
      <c r="AC8" s="15">
        <f t="shared" si="10"/>
        <v>0</v>
      </c>
      <c r="AD8" s="15">
        <f t="shared" si="11"/>
        <v>0</v>
      </c>
      <c r="AE8" s="15">
        <f t="shared" si="12"/>
        <v>0</v>
      </c>
    </row>
    <row r="9" spans="1:34" x14ac:dyDescent="0.3">
      <c r="A9" s="19" t="s">
        <v>24</v>
      </c>
      <c r="B9" s="20">
        <v>36.183999999999997</v>
      </c>
      <c r="E9" s="20">
        <v>27.5</v>
      </c>
      <c r="G9" s="20">
        <v>36.183999999999997</v>
      </c>
      <c r="L9" s="15">
        <v>7</v>
      </c>
      <c r="M9" s="15">
        <f t="shared" si="0"/>
        <v>0</v>
      </c>
      <c r="N9" s="15">
        <f t="shared" si="1"/>
        <v>0</v>
      </c>
      <c r="O9" s="15">
        <v>0</v>
      </c>
      <c r="P9" s="15">
        <f t="shared" si="2"/>
        <v>0</v>
      </c>
      <c r="Q9" s="15">
        <v>0</v>
      </c>
      <c r="R9" s="15">
        <f t="shared" si="3"/>
        <v>0</v>
      </c>
      <c r="S9" s="15">
        <f t="shared" si="4"/>
        <v>0</v>
      </c>
      <c r="T9" s="15">
        <v>0</v>
      </c>
      <c r="U9" s="15">
        <f t="shared" si="5"/>
        <v>0</v>
      </c>
      <c r="V9" s="15">
        <f t="shared" si="6"/>
        <v>0</v>
      </c>
      <c r="X9" s="15">
        <f t="shared" si="7"/>
        <v>0</v>
      </c>
      <c r="Y9" s="15">
        <f t="shared" si="8"/>
        <v>0</v>
      </c>
      <c r="Z9" s="15">
        <f t="shared" si="9"/>
        <v>1</v>
      </c>
      <c r="AC9" s="15">
        <f t="shared" si="10"/>
        <v>0</v>
      </c>
      <c r="AD9" s="15">
        <f t="shared" si="11"/>
        <v>0</v>
      </c>
      <c r="AE9" s="15">
        <f t="shared" si="12"/>
        <v>0</v>
      </c>
    </row>
    <row r="10" spans="1:34" ht="15" thickBot="1" x14ac:dyDescent="0.35">
      <c r="A10" s="23" t="s">
        <v>25</v>
      </c>
      <c r="B10" s="24">
        <v>11.157</v>
      </c>
      <c r="E10" s="24">
        <v>10</v>
      </c>
      <c r="G10" s="24">
        <v>11.157</v>
      </c>
      <c r="L10" s="15">
        <v>8</v>
      </c>
      <c r="M10" s="15">
        <f t="shared" si="0"/>
        <v>0</v>
      </c>
      <c r="N10" s="15">
        <f t="shared" si="1"/>
        <v>0</v>
      </c>
      <c r="O10" s="15">
        <v>0</v>
      </c>
      <c r="P10" s="15">
        <f t="shared" si="2"/>
        <v>0</v>
      </c>
      <c r="Q10" s="15">
        <v>0</v>
      </c>
      <c r="R10" s="15">
        <f t="shared" si="3"/>
        <v>0</v>
      </c>
      <c r="S10" s="15">
        <f t="shared" si="4"/>
        <v>0</v>
      </c>
      <c r="T10" s="15">
        <v>0</v>
      </c>
      <c r="U10" s="15">
        <f t="shared" si="5"/>
        <v>0</v>
      </c>
      <c r="V10" s="15">
        <f t="shared" si="6"/>
        <v>0</v>
      </c>
      <c r="X10" s="15">
        <f t="shared" si="7"/>
        <v>0</v>
      </c>
      <c r="Y10" s="15">
        <f t="shared" si="8"/>
        <v>0</v>
      </c>
      <c r="Z10" s="15">
        <f t="shared" si="9"/>
        <v>1</v>
      </c>
      <c r="AC10" s="15">
        <f t="shared" si="10"/>
        <v>0</v>
      </c>
      <c r="AD10" s="15">
        <f t="shared" si="11"/>
        <v>0</v>
      </c>
      <c r="AE10" s="15">
        <f t="shared" si="12"/>
        <v>0</v>
      </c>
    </row>
    <row r="11" spans="1:34" x14ac:dyDescent="0.3">
      <c r="A11" s="15" t="s">
        <v>48</v>
      </c>
      <c r="B11" s="15">
        <v>3</v>
      </c>
      <c r="D11" s="15" t="s">
        <v>39</v>
      </c>
      <c r="E11" s="15" t="s">
        <v>51</v>
      </c>
      <c r="F11" s="15" t="s">
        <v>52</v>
      </c>
      <c r="G11" s="15" t="s">
        <v>53</v>
      </c>
      <c r="H11" s="15" t="s">
        <v>54</v>
      </c>
      <c r="I11" s="15" t="s">
        <v>48</v>
      </c>
      <c r="J11" s="15" t="s">
        <v>55</v>
      </c>
      <c r="L11" s="15">
        <v>9</v>
      </c>
      <c r="M11" s="15">
        <f t="shared" si="0"/>
        <v>0</v>
      </c>
      <c r="N11" s="15">
        <f t="shared" si="1"/>
        <v>0</v>
      </c>
      <c r="O11" s="15">
        <v>0</v>
      </c>
      <c r="P11" s="15">
        <f t="shared" si="2"/>
        <v>0</v>
      </c>
      <c r="Q11" s="15">
        <v>0</v>
      </c>
      <c r="R11" s="15">
        <f t="shared" si="3"/>
        <v>0</v>
      </c>
      <c r="S11" s="15">
        <f t="shared" si="4"/>
        <v>0</v>
      </c>
      <c r="T11" s="15">
        <v>0</v>
      </c>
      <c r="U11" s="15">
        <f t="shared" si="5"/>
        <v>0</v>
      </c>
      <c r="V11" s="15">
        <f t="shared" si="6"/>
        <v>0</v>
      </c>
      <c r="X11" s="15">
        <f t="shared" si="7"/>
        <v>0</v>
      </c>
      <c r="Y11" s="15">
        <f t="shared" si="8"/>
        <v>0</v>
      </c>
      <c r="Z11" s="15">
        <f t="shared" si="9"/>
        <v>1</v>
      </c>
      <c r="AC11" s="15">
        <f t="shared" si="10"/>
        <v>0</v>
      </c>
      <c r="AD11" s="15">
        <f t="shared" si="11"/>
        <v>0</v>
      </c>
      <c r="AE11" s="15">
        <f t="shared" si="12"/>
        <v>0</v>
      </c>
    </row>
    <row r="12" spans="1:34" x14ac:dyDescent="0.3">
      <c r="D12" s="15">
        <v>0</v>
      </c>
      <c r="E12" s="15">
        <v>1</v>
      </c>
      <c r="F12" s="15">
        <v>0</v>
      </c>
      <c r="G12" s="15">
        <v>0.01</v>
      </c>
      <c r="H12" s="15">
        <v>0.1</v>
      </c>
      <c r="I12" s="15">
        <f>B11</f>
        <v>3</v>
      </c>
      <c r="J12" s="15">
        <v>16</v>
      </c>
      <c r="L12" s="15">
        <v>10</v>
      </c>
      <c r="M12" s="15">
        <f t="shared" si="0"/>
        <v>0</v>
      </c>
      <c r="N12" s="15">
        <f t="shared" si="1"/>
        <v>0</v>
      </c>
      <c r="O12" s="15">
        <v>0</v>
      </c>
      <c r="P12" s="15">
        <f>INT((2^$J$12-1)*O12/100)/(2^$J$12-1)*100</f>
        <v>0</v>
      </c>
      <c r="Q12" s="15">
        <v>0</v>
      </c>
      <c r="R12" s="15">
        <f t="shared" si="3"/>
        <v>0</v>
      </c>
      <c r="S12" s="15">
        <f t="shared" si="4"/>
        <v>0</v>
      </c>
      <c r="T12" s="15">
        <v>0</v>
      </c>
      <c r="U12" s="15">
        <f t="shared" si="5"/>
        <v>0</v>
      </c>
      <c r="V12" s="15">
        <f t="shared" si="6"/>
        <v>0</v>
      </c>
      <c r="X12" s="15">
        <f t="shared" si="7"/>
        <v>0</v>
      </c>
      <c r="Y12" s="15">
        <f t="shared" si="8"/>
        <v>0</v>
      </c>
      <c r="Z12" s="15">
        <f t="shared" si="9"/>
        <v>1</v>
      </c>
      <c r="AC12" s="15">
        <f t="shared" si="10"/>
        <v>0</v>
      </c>
      <c r="AD12" s="15">
        <f t="shared" si="11"/>
        <v>0</v>
      </c>
      <c r="AE12" s="15">
        <f t="shared" si="12"/>
        <v>0</v>
      </c>
    </row>
    <row r="13" spans="1:34" x14ac:dyDescent="0.3">
      <c r="A13" s="15">
        <f>B3+E1</f>
        <v>41</v>
      </c>
      <c r="D13" s="15">
        <v>1</v>
      </c>
      <c r="E13" s="15">
        <v>10</v>
      </c>
      <c r="F13" s="15">
        <v>1</v>
      </c>
      <c r="H13" s="15" t="s">
        <v>56</v>
      </c>
      <c r="L13" s="15">
        <v>11</v>
      </c>
      <c r="M13" s="15">
        <f t="shared" si="0"/>
        <v>0</v>
      </c>
      <c r="N13" s="15">
        <f t="shared" si="1"/>
        <v>0</v>
      </c>
      <c r="O13" s="15">
        <v>0</v>
      </c>
      <c r="P13" s="15">
        <f t="shared" ref="P13:P76" si="13">INT((2^$J$12-1)*O13/100)/(2^$J$12-1)*100</f>
        <v>0</v>
      </c>
      <c r="Q13" s="15">
        <v>0</v>
      </c>
      <c r="R13" s="15">
        <f t="shared" si="3"/>
        <v>0</v>
      </c>
      <c r="S13" s="15">
        <f t="shared" si="4"/>
        <v>0</v>
      </c>
      <c r="T13" s="15">
        <v>0</v>
      </c>
      <c r="U13" s="15">
        <f t="shared" si="5"/>
        <v>0</v>
      </c>
      <c r="V13" s="15">
        <f t="shared" si="6"/>
        <v>0</v>
      </c>
      <c r="X13" s="15">
        <f t="shared" si="7"/>
        <v>0</v>
      </c>
      <c r="Y13" s="15">
        <f t="shared" si="8"/>
        <v>0</v>
      </c>
      <c r="Z13" s="15">
        <f t="shared" si="9"/>
        <v>1</v>
      </c>
      <c r="AC13" s="15">
        <f t="shared" si="10"/>
        <v>0</v>
      </c>
      <c r="AD13" s="15">
        <f t="shared" si="11"/>
        <v>0</v>
      </c>
      <c r="AE13" s="15">
        <f t="shared" si="12"/>
        <v>0</v>
      </c>
    </row>
    <row r="14" spans="1:34" x14ac:dyDescent="0.3">
      <c r="A14" s="15">
        <f>B3+2*E1</f>
        <v>42</v>
      </c>
      <c r="L14" s="15">
        <v>12</v>
      </c>
      <c r="M14" s="15">
        <f t="shared" si="0"/>
        <v>0</v>
      </c>
      <c r="N14" s="15">
        <f t="shared" si="1"/>
        <v>0</v>
      </c>
      <c r="O14" s="15">
        <v>0</v>
      </c>
      <c r="P14" s="15">
        <f t="shared" si="13"/>
        <v>0</v>
      </c>
      <c r="Q14" s="15">
        <v>0</v>
      </c>
      <c r="R14" s="15">
        <f t="shared" si="3"/>
        <v>0</v>
      </c>
      <c r="S14" s="15">
        <f t="shared" si="4"/>
        <v>0</v>
      </c>
      <c r="T14" s="15">
        <v>0</v>
      </c>
      <c r="U14" s="15">
        <f t="shared" si="5"/>
        <v>0</v>
      </c>
      <c r="V14" s="15">
        <f t="shared" si="6"/>
        <v>0</v>
      </c>
      <c r="X14" s="15">
        <f t="shared" si="7"/>
        <v>0</v>
      </c>
      <c r="Y14" s="15">
        <f t="shared" si="8"/>
        <v>0</v>
      </c>
      <c r="Z14" s="15">
        <f t="shared" si="9"/>
        <v>1</v>
      </c>
      <c r="AC14" s="15">
        <f t="shared" si="10"/>
        <v>0</v>
      </c>
      <c r="AD14" s="15">
        <f t="shared" si="11"/>
        <v>0</v>
      </c>
      <c r="AE14" s="15">
        <f t="shared" si="12"/>
        <v>0</v>
      </c>
    </row>
    <row r="15" spans="1:34" x14ac:dyDescent="0.3">
      <c r="L15" s="15">
        <v>13</v>
      </c>
      <c r="M15" s="15">
        <f t="shared" si="0"/>
        <v>0</v>
      </c>
      <c r="N15" s="15">
        <f t="shared" si="1"/>
        <v>0</v>
      </c>
      <c r="O15" s="15">
        <v>0</v>
      </c>
      <c r="P15" s="15">
        <f t="shared" si="13"/>
        <v>0</v>
      </c>
      <c r="Q15" s="15">
        <v>0</v>
      </c>
      <c r="R15" s="15">
        <f t="shared" si="3"/>
        <v>0</v>
      </c>
      <c r="S15" s="15">
        <f t="shared" si="4"/>
        <v>0</v>
      </c>
      <c r="T15" s="15">
        <v>0</v>
      </c>
      <c r="U15" s="15">
        <f t="shared" si="5"/>
        <v>0</v>
      </c>
      <c r="V15" s="15">
        <f t="shared" si="6"/>
        <v>0</v>
      </c>
      <c r="X15" s="15">
        <f t="shared" si="7"/>
        <v>0</v>
      </c>
      <c r="Y15" s="15">
        <f t="shared" si="8"/>
        <v>0</v>
      </c>
      <c r="Z15" s="15">
        <f t="shared" si="9"/>
        <v>1</v>
      </c>
      <c r="AC15" s="15">
        <f t="shared" si="10"/>
        <v>0</v>
      </c>
      <c r="AD15" s="15">
        <f t="shared" si="11"/>
        <v>0</v>
      </c>
      <c r="AE15" s="15">
        <f t="shared" si="12"/>
        <v>0</v>
      </c>
    </row>
    <row r="16" spans="1:34" x14ac:dyDescent="0.3">
      <c r="D16" s="15">
        <v>40</v>
      </c>
      <c r="E16" s="15">
        <v>600</v>
      </c>
      <c r="L16" s="15">
        <v>14</v>
      </c>
      <c r="M16" s="15">
        <f t="shared" si="0"/>
        <v>0</v>
      </c>
      <c r="N16" s="15">
        <f t="shared" si="1"/>
        <v>0</v>
      </c>
      <c r="O16" s="15">
        <v>0</v>
      </c>
      <c r="P16" s="15">
        <f t="shared" si="13"/>
        <v>0</v>
      </c>
      <c r="Q16" s="15">
        <v>0</v>
      </c>
      <c r="R16" s="15">
        <f t="shared" si="3"/>
        <v>0</v>
      </c>
      <c r="S16" s="15">
        <f t="shared" si="4"/>
        <v>0</v>
      </c>
      <c r="T16" s="15">
        <v>0</v>
      </c>
      <c r="U16" s="15">
        <f t="shared" si="5"/>
        <v>0</v>
      </c>
      <c r="V16" s="15">
        <f t="shared" si="6"/>
        <v>0</v>
      </c>
      <c r="X16" s="15">
        <f t="shared" si="7"/>
        <v>0</v>
      </c>
      <c r="Y16" s="15">
        <f t="shared" si="8"/>
        <v>0</v>
      </c>
      <c r="Z16" s="15">
        <f t="shared" si="9"/>
        <v>1</v>
      </c>
      <c r="AC16" s="15">
        <f t="shared" si="10"/>
        <v>0</v>
      </c>
      <c r="AD16" s="15">
        <f t="shared" si="11"/>
        <v>0</v>
      </c>
      <c r="AE16" s="15">
        <f t="shared" si="12"/>
        <v>0</v>
      </c>
    </row>
    <row r="17" spans="1:31" x14ac:dyDescent="0.3">
      <c r="L17" s="15">
        <v>15</v>
      </c>
      <c r="M17" s="15">
        <f t="shared" si="0"/>
        <v>0</v>
      </c>
      <c r="N17" s="15">
        <f t="shared" si="1"/>
        <v>0</v>
      </c>
      <c r="O17" s="15">
        <v>0</v>
      </c>
      <c r="P17" s="15">
        <f t="shared" si="13"/>
        <v>0</v>
      </c>
      <c r="Q17" s="15">
        <v>0</v>
      </c>
      <c r="R17" s="15">
        <f t="shared" si="3"/>
        <v>0</v>
      </c>
      <c r="S17" s="15">
        <f t="shared" si="4"/>
        <v>0</v>
      </c>
      <c r="T17" s="15">
        <v>0</v>
      </c>
      <c r="U17" s="15">
        <f t="shared" si="5"/>
        <v>0</v>
      </c>
      <c r="V17" s="15">
        <f t="shared" si="6"/>
        <v>0</v>
      </c>
      <c r="X17" s="15">
        <f t="shared" si="7"/>
        <v>0</v>
      </c>
      <c r="Y17" s="15">
        <f t="shared" si="8"/>
        <v>0</v>
      </c>
      <c r="Z17" s="15">
        <f t="shared" si="9"/>
        <v>1</v>
      </c>
      <c r="AC17" s="15">
        <f t="shared" si="10"/>
        <v>0</v>
      </c>
      <c r="AD17" s="15">
        <f t="shared" si="11"/>
        <v>0</v>
      </c>
      <c r="AE17" s="15">
        <f t="shared" si="12"/>
        <v>0</v>
      </c>
    </row>
    <row r="18" spans="1:31" x14ac:dyDescent="0.3">
      <c r="L18" s="15">
        <v>16</v>
      </c>
      <c r="M18" s="15">
        <f t="shared" si="0"/>
        <v>0</v>
      </c>
      <c r="N18" s="15">
        <f t="shared" si="1"/>
        <v>0</v>
      </c>
      <c r="O18" s="15">
        <v>0</v>
      </c>
      <c r="P18" s="15">
        <f t="shared" si="13"/>
        <v>0</v>
      </c>
      <c r="Q18" s="15">
        <v>0</v>
      </c>
      <c r="R18" s="15">
        <f t="shared" si="3"/>
        <v>0</v>
      </c>
      <c r="S18" s="15">
        <f t="shared" si="4"/>
        <v>0</v>
      </c>
      <c r="T18" s="15">
        <v>0</v>
      </c>
      <c r="U18" s="15">
        <f t="shared" si="5"/>
        <v>0</v>
      </c>
      <c r="V18" s="15">
        <f t="shared" si="6"/>
        <v>0</v>
      </c>
      <c r="X18" s="15">
        <f t="shared" si="7"/>
        <v>0</v>
      </c>
      <c r="Y18" s="15">
        <f t="shared" si="8"/>
        <v>0</v>
      </c>
      <c r="Z18" s="15">
        <f t="shared" si="9"/>
        <v>1</v>
      </c>
      <c r="AC18" s="15">
        <f t="shared" si="10"/>
        <v>0</v>
      </c>
      <c r="AD18" s="15">
        <f t="shared" si="11"/>
        <v>0</v>
      </c>
      <c r="AE18" s="15">
        <f t="shared" si="12"/>
        <v>0</v>
      </c>
    </row>
    <row r="19" spans="1:31" x14ac:dyDescent="0.3">
      <c r="L19" s="15">
        <v>17</v>
      </c>
      <c r="M19" s="15">
        <f t="shared" si="0"/>
        <v>0</v>
      </c>
      <c r="N19" s="15">
        <f t="shared" si="1"/>
        <v>0</v>
      </c>
      <c r="O19" s="15">
        <v>0</v>
      </c>
      <c r="P19" s="15">
        <f t="shared" si="13"/>
        <v>0</v>
      </c>
      <c r="Q19" s="15">
        <v>0</v>
      </c>
      <c r="R19" s="15">
        <f t="shared" si="3"/>
        <v>0</v>
      </c>
      <c r="S19" s="15">
        <f t="shared" si="4"/>
        <v>0</v>
      </c>
      <c r="T19" s="15">
        <v>0</v>
      </c>
      <c r="U19" s="15">
        <f t="shared" si="5"/>
        <v>0</v>
      </c>
      <c r="V19" s="15">
        <f t="shared" si="6"/>
        <v>0</v>
      </c>
      <c r="X19" s="15">
        <f t="shared" si="7"/>
        <v>0</v>
      </c>
      <c r="Y19" s="15">
        <f t="shared" si="8"/>
        <v>0</v>
      </c>
      <c r="Z19" s="15">
        <f t="shared" si="9"/>
        <v>1</v>
      </c>
      <c r="AC19" s="15">
        <f t="shared" si="10"/>
        <v>0</v>
      </c>
      <c r="AD19" s="15">
        <f t="shared" si="11"/>
        <v>0</v>
      </c>
      <c r="AE19" s="15">
        <f t="shared" si="12"/>
        <v>0</v>
      </c>
    </row>
    <row r="20" spans="1:31" x14ac:dyDescent="0.3">
      <c r="B20" s="15" t="s">
        <v>55</v>
      </c>
      <c r="C20" s="15" t="s">
        <v>62</v>
      </c>
      <c r="D20" s="15" t="s">
        <v>63</v>
      </c>
      <c r="E20" s="30" t="s">
        <v>64</v>
      </c>
      <c r="F20" s="31" t="str">
        <f>AF1</f>
        <v>сумма I2</v>
      </c>
      <c r="G20" s="31" t="str">
        <f>AG1</f>
        <v>сумма I3</v>
      </c>
      <c r="H20" s="31" t="str">
        <f>AH1</f>
        <v>сумма I4</v>
      </c>
      <c r="L20" s="15">
        <v>18</v>
      </c>
      <c r="M20" s="15">
        <f t="shared" si="0"/>
        <v>0</v>
      </c>
      <c r="N20" s="15">
        <f t="shared" si="1"/>
        <v>0</v>
      </c>
      <c r="O20" s="15">
        <v>0</v>
      </c>
      <c r="P20" s="15">
        <f t="shared" si="13"/>
        <v>0</v>
      </c>
      <c r="Q20" s="15">
        <v>0</v>
      </c>
      <c r="R20" s="15">
        <f t="shared" si="3"/>
        <v>0</v>
      </c>
      <c r="S20" s="15">
        <f t="shared" si="4"/>
        <v>0</v>
      </c>
      <c r="T20" s="15">
        <v>0</v>
      </c>
      <c r="U20" s="15">
        <f t="shared" si="5"/>
        <v>0</v>
      </c>
      <c r="V20" s="15">
        <f t="shared" si="6"/>
        <v>0</v>
      </c>
      <c r="X20" s="15">
        <f t="shared" si="7"/>
        <v>0</v>
      </c>
      <c r="Y20" s="15">
        <f t="shared" si="8"/>
        <v>0</v>
      </c>
      <c r="Z20" s="15">
        <f t="shared" si="9"/>
        <v>1</v>
      </c>
      <c r="AC20" s="15">
        <f t="shared" si="10"/>
        <v>0</v>
      </c>
      <c r="AD20" s="15">
        <f t="shared" si="11"/>
        <v>0</v>
      </c>
      <c r="AE20" s="15">
        <f t="shared" si="12"/>
        <v>0</v>
      </c>
    </row>
    <row r="21" spans="1:31" x14ac:dyDescent="0.3">
      <c r="B21" s="15">
        <v>8</v>
      </c>
      <c r="D21" s="15" t="s">
        <v>71</v>
      </c>
      <c r="E21" s="15">
        <v>5.6859999999999999</v>
      </c>
      <c r="F21" s="15">
        <v>195.87899999999999</v>
      </c>
      <c r="G21" s="15">
        <v>362.68599999999998</v>
      </c>
      <c r="H21" s="15" t="s">
        <v>71</v>
      </c>
      <c r="L21" s="15">
        <v>19</v>
      </c>
      <c r="M21" s="15">
        <f t="shared" si="0"/>
        <v>0</v>
      </c>
      <c r="N21" s="15">
        <f t="shared" si="1"/>
        <v>0</v>
      </c>
      <c r="O21" s="15">
        <v>0</v>
      </c>
      <c r="P21" s="15">
        <f t="shared" si="13"/>
        <v>0</v>
      </c>
      <c r="Q21" s="15">
        <v>0</v>
      </c>
      <c r="R21" s="15">
        <f t="shared" si="3"/>
        <v>0</v>
      </c>
      <c r="S21" s="15">
        <f t="shared" si="4"/>
        <v>0</v>
      </c>
      <c r="T21" s="15">
        <v>0</v>
      </c>
      <c r="U21" s="15">
        <f t="shared" si="5"/>
        <v>0</v>
      </c>
      <c r="V21" s="15">
        <f t="shared" si="6"/>
        <v>0</v>
      </c>
      <c r="X21" s="15">
        <f t="shared" si="7"/>
        <v>0</v>
      </c>
      <c r="Y21" s="15">
        <f t="shared" si="8"/>
        <v>0</v>
      </c>
      <c r="Z21" s="15">
        <f t="shared" si="9"/>
        <v>1</v>
      </c>
      <c r="AC21" s="15">
        <f t="shared" si="10"/>
        <v>0</v>
      </c>
      <c r="AD21" s="15">
        <f t="shared" si="11"/>
        <v>0</v>
      </c>
      <c r="AE21" s="15">
        <f t="shared" si="12"/>
        <v>0</v>
      </c>
    </row>
    <row r="22" spans="1:31" x14ac:dyDescent="0.3">
      <c r="B22" s="15">
        <v>12</v>
      </c>
      <c r="D22" s="15">
        <v>130</v>
      </c>
      <c r="E22" s="15">
        <v>0.745</v>
      </c>
      <c r="F22" s="15">
        <v>34.036000000000001</v>
      </c>
      <c r="G22" s="15">
        <v>57.073</v>
      </c>
      <c r="H22" s="15">
        <v>9530.2739999999994</v>
      </c>
      <c r="L22" s="15">
        <v>20</v>
      </c>
      <c r="M22" s="15">
        <f t="shared" si="0"/>
        <v>0</v>
      </c>
      <c r="N22" s="15">
        <f t="shared" si="1"/>
        <v>0</v>
      </c>
      <c r="O22" s="15">
        <v>0</v>
      </c>
      <c r="P22" s="15">
        <f t="shared" si="13"/>
        <v>0</v>
      </c>
      <c r="Q22" s="15">
        <v>0</v>
      </c>
      <c r="R22" s="15">
        <f t="shared" si="3"/>
        <v>0</v>
      </c>
      <c r="S22" s="15">
        <f t="shared" si="4"/>
        <v>0</v>
      </c>
      <c r="T22" s="15">
        <v>0</v>
      </c>
      <c r="U22" s="15">
        <f t="shared" si="5"/>
        <v>0</v>
      </c>
      <c r="V22" s="15">
        <f t="shared" si="6"/>
        <v>0</v>
      </c>
      <c r="X22" s="15">
        <f t="shared" si="7"/>
        <v>0</v>
      </c>
      <c r="Y22" s="15">
        <f t="shared" si="8"/>
        <v>0</v>
      </c>
      <c r="Z22" s="15">
        <f t="shared" si="9"/>
        <v>1</v>
      </c>
      <c r="AC22" s="15">
        <f t="shared" si="10"/>
        <v>0</v>
      </c>
      <c r="AD22" s="15">
        <f t="shared" si="11"/>
        <v>0</v>
      </c>
      <c r="AE22" s="15">
        <f t="shared" si="12"/>
        <v>0</v>
      </c>
    </row>
    <row r="23" spans="1:31" x14ac:dyDescent="0.3">
      <c r="B23" s="15">
        <v>16</v>
      </c>
      <c r="D23" s="15">
        <v>133</v>
      </c>
      <c r="E23" s="15">
        <v>1.1539999999999999</v>
      </c>
      <c r="F23" s="15">
        <v>33.226999999999997</v>
      </c>
      <c r="G23" s="15">
        <v>43.021999999999998</v>
      </c>
      <c r="H23" s="15">
        <v>1614.4369999999999</v>
      </c>
      <c r="L23" s="15">
        <v>21</v>
      </c>
      <c r="M23" s="15">
        <f t="shared" si="0"/>
        <v>0</v>
      </c>
      <c r="N23" s="15">
        <f t="shared" si="1"/>
        <v>0</v>
      </c>
      <c r="O23" s="15">
        <v>0</v>
      </c>
      <c r="P23" s="15">
        <f t="shared" si="13"/>
        <v>0</v>
      </c>
      <c r="Q23" s="15">
        <v>0</v>
      </c>
      <c r="R23" s="15">
        <f t="shared" si="3"/>
        <v>0</v>
      </c>
      <c r="S23" s="15">
        <f t="shared" si="4"/>
        <v>0</v>
      </c>
      <c r="T23" s="15">
        <v>0</v>
      </c>
      <c r="U23" s="15">
        <f t="shared" si="5"/>
        <v>0</v>
      </c>
      <c r="V23" s="15">
        <f t="shared" si="6"/>
        <v>0</v>
      </c>
      <c r="X23" s="15">
        <f t="shared" si="7"/>
        <v>0</v>
      </c>
      <c r="Y23" s="15">
        <f t="shared" si="8"/>
        <v>0</v>
      </c>
      <c r="Z23" s="15">
        <f t="shared" si="9"/>
        <v>1</v>
      </c>
      <c r="AC23" s="15">
        <f t="shared" si="10"/>
        <v>0</v>
      </c>
      <c r="AD23" s="15">
        <f t="shared" si="11"/>
        <v>0</v>
      </c>
      <c r="AE23" s="15">
        <f t="shared" si="12"/>
        <v>0</v>
      </c>
    </row>
    <row r="24" spans="1:31" x14ac:dyDescent="0.3">
      <c r="B24" s="15">
        <v>32</v>
      </c>
      <c r="D24" s="15">
        <v>133</v>
      </c>
      <c r="E24" s="15">
        <v>1.175</v>
      </c>
      <c r="F24" s="15">
        <v>33.204999999999998</v>
      </c>
      <c r="G24" s="15">
        <v>42.182000000000002</v>
      </c>
      <c r="H24" s="15">
        <v>1112.1659999999999</v>
      </c>
      <c r="L24" s="15">
        <v>22</v>
      </c>
      <c r="M24" s="15">
        <f t="shared" si="0"/>
        <v>0</v>
      </c>
      <c r="N24" s="15">
        <f t="shared" si="1"/>
        <v>0</v>
      </c>
      <c r="O24" s="15">
        <v>0</v>
      </c>
      <c r="P24" s="15">
        <f t="shared" si="13"/>
        <v>0</v>
      </c>
      <c r="Q24" s="15">
        <v>0</v>
      </c>
      <c r="R24" s="15">
        <f t="shared" si="3"/>
        <v>0</v>
      </c>
      <c r="S24" s="15">
        <f t="shared" si="4"/>
        <v>0</v>
      </c>
      <c r="T24" s="15">
        <v>0</v>
      </c>
      <c r="U24" s="15">
        <f t="shared" si="5"/>
        <v>0</v>
      </c>
      <c r="V24" s="15">
        <f t="shared" si="6"/>
        <v>0</v>
      </c>
      <c r="X24" s="15">
        <f t="shared" si="7"/>
        <v>0</v>
      </c>
      <c r="Y24" s="15">
        <f t="shared" si="8"/>
        <v>0</v>
      </c>
      <c r="Z24" s="15">
        <f t="shared" si="9"/>
        <v>1</v>
      </c>
      <c r="AC24" s="15">
        <f t="shared" si="10"/>
        <v>0</v>
      </c>
      <c r="AD24" s="15">
        <f t="shared" si="11"/>
        <v>0</v>
      </c>
      <c r="AE24" s="15">
        <f t="shared" si="12"/>
        <v>0</v>
      </c>
    </row>
    <row r="25" spans="1:31" x14ac:dyDescent="0.3">
      <c r="L25" s="15">
        <v>23</v>
      </c>
      <c r="M25" s="15">
        <f t="shared" si="0"/>
        <v>0</v>
      </c>
      <c r="N25" s="15">
        <f t="shared" si="1"/>
        <v>0</v>
      </c>
      <c r="O25" s="15">
        <v>0</v>
      </c>
      <c r="P25" s="15">
        <f t="shared" si="13"/>
        <v>0</v>
      </c>
      <c r="Q25" s="15">
        <v>0</v>
      </c>
      <c r="R25" s="15">
        <f t="shared" si="3"/>
        <v>0</v>
      </c>
      <c r="S25" s="15">
        <f t="shared" si="4"/>
        <v>0</v>
      </c>
      <c r="T25" s="15">
        <v>0</v>
      </c>
      <c r="U25" s="15">
        <f t="shared" si="5"/>
        <v>0</v>
      </c>
      <c r="V25" s="15">
        <f t="shared" si="6"/>
        <v>0</v>
      </c>
      <c r="X25" s="15">
        <f t="shared" si="7"/>
        <v>0</v>
      </c>
      <c r="Y25" s="15">
        <f t="shared" si="8"/>
        <v>0</v>
      </c>
      <c r="Z25" s="15">
        <f t="shared" si="9"/>
        <v>1</v>
      </c>
      <c r="AC25" s="15">
        <f t="shared" si="10"/>
        <v>0</v>
      </c>
      <c r="AD25" s="15">
        <f t="shared" si="11"/>
        <v>0</v>
      </c>
      <c r="AE25" s="15">
        <f t="shared" si="12"/>
        <v>0</v>
      </c>
    </row>
    <row r="26" spans="1:31" x14ac:dyDescent="0.3">
      <c r="L26" s="15">
        <v>24</v>
      </c>
      <c r="M26" s="15">
        <f t="shared" si="0"/>
        <v>0</v>
      </c>
      <c r="N26" s="15">
        <f t="shared" si="1"/>
        <v>0</v>
      </c>
      <c r="O26" s="15">
        <v>0</v>
      </c>
      <c r="P26" s="15">
        <f t="shared" si="13"/>
        <v>0</v>
      </c>
      <c r="Q26" s="15">
        <v>0</v>
      </c>
      <c r="R26" s="15">
        <f t="shared" si="3"/>
        <v>0</v>
      </c>
      <c r="S26" s="15">
        <f t="shared" si="4"/>
        <v>0</v>
      </c>
      <c r="T26" s="15">
        <v>0</v>
      </c>
      <c r="U26" s="15">
        <f t="shared" si="5"/>
        <v>0</v>
      </c>
      <c r="V26" s="15">
        <f t="shared" si="6"/>
        <v>0</v>
      </c>
      <c r="X26" s="15">
        <f t="shared" si="7"/>
        <v>0</v>
      </c>
      <c r="Y26" s="15">
        <f t="shared" si="8"/>
        <v>0</v>
      </c>
      <c r="Z26" s="15">
        <f t="shared" si="9"/>
        <v>1</v>
      </c>
      <c r="AC26" s="15">
        <f t="shared" si="10"/>
        <v>0</v>
      </c>
      <c r="AD26" s="15">
        <f t="shared" si="11"/>
        <v>0</v>
      </c>
      <c r="AE26" s="15">
        <f t="shared" si="12"/>
        <v>0</v>
      </c>
    </row>
    <row r="27" spans="1:31" ht="18" x14ac:dyDescent="0.3">
      <c r="A27" s="32" t="s">
        <v>72</v>
      </c>
      <c r="B27" s="33" t="s">
        <v>73</v>
      </c>
      <c r="C27" s="33" t="s">
        <v>74</v>
      </c>
      <c r="D27" s="33" t="s">
        <v>75</v>
      </c>
      <c r="E27" s="33" t="s">
        <v>76</v>
      </c>
      <c r="F27" s="33" t="s">
        <v>77</v>
      </c>
      <c r="G27" s="34" t="s">
        <v>78</v>
      </c>
      <c r="H27" s="34">
        <v>7</v>
      </c>
      <c r="I27" s="34">
        <v>8</v>
      </c>
      <c r="J27" s="34">
        <v>9</v>
      </c>
      <c r="K27" s="34">
        <v>10</v>
      </c>
      <c r="L27" s="15">
        <v>25</v>
      </c>
      <c r="M27" s="15">
        <f t="shared" si="0"/>
        <v>0</v>
      </c>
      <c r="N27" s="15">
        <f t="shared" si="1"/>
        <v>0</v>
      </c>
      <c r="O27" s="15">
        <v>0</v>
      </c>
      <c r="P27" s="15">
        <f t="shared" si="13"/>
        <v>0</v>
      </c>
      <c r="Q27" s="15">
        <v>0</v>
      </c>
      <c r="R27" s="15">
        <f t="shared" si="3"/>
        <v>0</v>
      </c>
      <c r="S27" s="15">
        <f t="shared" si="4"/>
        <v>0</v>
      </c>
      <c r="T27" s="15">
        <v>0</v>
      </c>
      <c r="U27" s="15">
        <f t="shared" si="5"/>
        <v>0</v>
      </c>
      <c r="V27" s="15">
        <f t="shared" si="6"/>
        <v>0</v>
      </c>
      <c r="X27" s="15">
        <f t="shared" si="7"/>
        <v>0</v>
      </c>
      <c r="Y27" s="15">
        <f t="shared" si="8"/>
        <v>0</v>
      </c>
      <c r="Z27" s="15">
        <f t="shared" si="9"/>
        <v>1</v>
      </c>
      <c r="AC27" s="15">
        <f t="shared" si="10"/>
        <v>0</v>
      </c>
      <c r="AD27" s="15">
        <f t="shared" si="11"/>
        <v>0</v>
      </c>
      <c r="AE27" s="15">
        <f t="shared" si="12"/>
        <v>0</v>
      </c>
    </row>
    <row r="28" spans="1:31" ht="18.600000000000001" thickBot="1" x14ac:dyDescent="0.35">
      <c r="A28" s="35" t="s">
        <v>79</v>
      </c>
      <c r="B28" s="15">
        <v>127</v>
      </c>
      <c r="C28" s="15">
        <v>129</v>
      </c>
      <c r="D28" s="15">
        <v>133</v>
      </c>
      <c r="E28" s="15">
        <v>132</v>
      </c>
      <c r="F28" s="15">
        <v>134</v>
      </c>
      <c r="G28" s="15">
        <v>137</v>
      </c>
      <c r="H28" s="15">
        <v>138</v>
      </c>
      <c r="I28" s="15">
        <v>168</v>
      </c>
      <c r="J28" s="15">
        <v>179</v>
      </c>
      <c r="K28" s="15">
        <v>178</v>
      </c>
      <c r="L28" s="15">
        <v>26</v>
      </c>
      <c r="M28" s="15">
        <f t="shared" si="0"/>
        <v>0</v>
      </c>
      <c r="N28" s="15">
        <f t="shared" si="1"/>
        <v>0</v>
      </c>
      <c r="O28" s="15">
        <v>0</v>
      </c>
      <c r="P28" s="15">
        <f t="shared" si="13"/>
        <v>0</v>
      </c>
      <c r="Q28" s="15">
        <v>0</v>
      </c>
      <c r="R28" s="15">
        <f t="shared" si="3"/>
        <v>0</v>
      </c>
      <c r="S28" s="15">
        <f t="shared" si="4"/>
        <v>0</v>
      </c>
      <c r="T28" s="15">
        <v>0</v>
      </c>
      <c r="U28" s="15">
        <f t="shared" si="5"/>
        <v>0</v>
      </c>
      <c r="V28" s="15">
        <f t="shared" si="6"/>
        <v>0</v>
      </c>
      <c r="X28" s="15">
        <f t="shared" si="7"/>
        <v>0</v>
      </c>
      <c r="Y28" s="15">
        <f t="shared" si="8"/>
        <v>0</v>
      </c>
      <c r="Z28" s="15">
        <f t="shared" si="9"/>
        <v>1</v>
      </c>
      <c r="AC28" s="15">
        <f t="shared" si="10"/>
        <v>0</v>
      </c>
      <c r="AD28" s="15">
        <f t="shared" si="11"/>
        <v>0</v>
      </c>
      <c r="AE28" s="15">
        <f t="shared" si="12"/>
        <v>0</v>
      </c>
    </row>
    <row r="29" spans="1:31" ht="18.600000000000001" thickBot="1" x14ac:dyDescent="0.35">
      <c r="A29" s="36" t="s">
        <v>80</v>
      </c>
      <c r="B29" s="15">
        <v>0.72699999999999998</v>
      </c>
      <c r="C29" s="15">
        <v>0.92500000000000004</v>
      </c>
      <c r="D29" s="15">
        <f>E23</f>
        <v>1.1539999999999999</v>
      </c>
      <c r="E29" s="15">
        <v>1.383</v>
      </c>
      <c r="F29" s="15">
        <v>1.627</v>
      </c>
      <c r="G29" s="15">
        <v>1.8560000000000001</v>
      </c>
      <c r="H29" s="15">
        <v>2.1160000000000001</v>
      </c>
      <c r="I29" s="15">
        <v>2.3450000000000002</v>
      </c>
      <c r="J29" s="15">
        <v>2.573</v>
      </c>
      <c r="K29" s="15">
        <v>2.8330000000000002</v>
      </c>
      <c r="L29" s="15">
        <v>27</v>
      </c>
      <c r="M29" s="15">
        <f t="shared" si="0"/>
        <v>0</v>
      </c>
      <c r="N29" s="15">
        <f t="shared" si="1"/>
        <v>0</v>
      </c>
      <c r="O29" s="15">
        <v>0</v>
      </c>
      <c r="P29" s="15">
        <f t="shared" si="13"/>
        <v>0</v>
      </c>
      <c r="Q29" s="15">
        <v>0</v>
      </c>
      <c r="R29" s="15">
        <f t="shared" si="3"/>
        <v>0</v>
      </c>
      <c r="S29" s="15">
        <f t="shared" si="4"/>
        <v>0</v>
      </c>
      <c r="T29" s="15">
        <v>0</v>
      </c>
      <c r="U29" s="15">
        <f t="shared" si="5"/>
        <v>0</v>
      </c>
      <c r="V29" s="15">
        <f t="shared" si="6"/>
        <v>0</v>
      </c>
      <c r="X29" s="15">
        <f t="shared" si="7"/>
        <v>0</v>
      </c>
      <c r="Y29" s="15">
        <f t="shared" si="8"/>
        <v>0</v>
      </c>
      <c r="Z29" s="15">
        <f t="shared" si="9"/>
        <v>1</v>
      </c>
      <c r="AC29" s="15">
        <f t="shared" si="10"/>
        <v>0</v>
      </c>
      <c r="AD29" s="15">
        <f t="shared" si="11"/>
        <v>0</v>
      </c>
      <c r="AE29" s="15">
        <f t="shared" si="12"/>
        <v>0</v>
      </c>
    </row>
    <row r="30" spans="1:31" ht="18" x14ac:dyDescent="0.3">
      <c r="A30" s="37" t="s">
        <v>82</v>
      </c>
      <c r="B30" s="15">
        <v>30.716999999999999</v>
      </c>
      <c r="C30" s="15">
        <v>30.952999999999999</v>
      </c>
      <c r="D30" s="15">
        <f>F23</f>
        <v>33.226999999999997</v>
      </c>
      <c r="E30" s="15">
        <v>31.542000000000002</v>
      </c>
      <c r="F30" s="15">
        <v>31.895</v>
      </c>
      <c r="G30" s="15">
        <v>34.302</v>
      </c>
      <c r="H30" s="15">
        <v>34.738</v>
      </c>
      <c r="I30" s="15">
        <v>33.238999999999997</v>
      </c>
      <c r="J30" s="15">
        <v>38.731999999999999</v>
      </c>
      <c r="K30" s="15">
        <v>34.326000000000001</v>
      </c>
      <c r="L30" s="15">
        <v>28</v>
      </c>
      <c r="M30" s="15">
        <f t="shared" si="0"/>
        <v>0</v>
      </c>
      <c r="N30" s="15">
        <f t="shared" si="1"/>
        <v>0</v>
      </c>
      <c r="O30" s="15">
        <v>0</v>
      </c>
      <c r="P30" s="15">
        <f t="shared" si="13"/>
        <v>0</v>
      </c>
      <c r="Q30" s="15">
        <v>0</v>
      </c>
      <c r="R30" s="15">
        <f t="shared" si="3"/>
        <v>0</v>
      </c>
      <c r="S30" s="15">
        <f t="shared" si="4"/>
        <v>0</v>
      </c>
      <c r="T30" s="15">
        <v>0</v>
      </c>
      <c r="U30" s="15">
        <f t="shared" si="5"/>
        <v>0</v>
      </c>
      <c r="V30" s="15">
        <f t="shared" si="6"/>
        <v>0</v>
      </c>
      <c r="X30" s="15">
        <f t="shared" si="7"/>
        <v>0</v>
      </c>
      <c r="Y30" s="15">
        <f t="shared" si="8"/>
        <v>0</v>
      </c>
      <c r="Z30" s="15">
        <f t="shared" si="9"/>
        <v>1</v>
      </c>
      <c r="AC30" s="15">
        <f t="shared" si="10"/>
        <v>0</v>
      </c>
      <c r="AD30" s="15">
        <f t="shared" si="11"/>
        <v>0</v>
      </c>
      <c r="AE30" s="15">
        <f t="shared" si="12"/>
        <v>0</v>
      </c>
    </row>
    <row r="31" spans="1:31" ht="18" x14ac:dyDescent="0.3">
      <c r="A31" s="37" t="s">
        <v>81</v>
      </c>
      <c r="B31" s="15">
        <v>39.960999999999999</v>
      </c>
      <c r="C31" s="15">
        <v>40.360999999999997</v>
      </c>
      <c r="D31" s="15">
        <f>G23</f>
        <v>43.021999999999998</v>
      </c>
      <c r="E31" s="15">
        <v>41.906999999999996</v>
      </c>
      <c r="F31" s="15">
        <v>43.186999999999998</v>
      </c>
      <c r="G31" s="15">
        <v>46.472000000000001</v>
      </c>
      <c r="H31" s="15">
        <v>47.893000000000001</v>
      </c>
      <c r="I31" s="15">
        <v>47.674999999999997</v>
      </c>
      <c r="J31" s="15">
        <v>54.423000000000002</v>
      </c>
      <c r="K31" s="15">
        <v>51.268999999999998</v>
      </c>
      <c r="L31" s="15">
        <v>29</v>
      </c>
      <c r="M31" s="15">
        <f t="shared" si="0"/>
        <v>0</v>
      </c>
      <c r="N31" s="15">
        <f t="shared" si="1"/>
        <v>0</v>
      </c>
      <c r="O31" s="15">
        <v>0</v>
      </c>
      <c r="P31" s="15">
        <f t="shared" si="13"/>
        <v>0</v>
      </c>
      <c r="Q31" s="15">
        <v>0</v>
      </c>
      <c r="R31" s="15">
        <f t="shared" si="3"/>
        <v>0</v>
      </c>
      <c r="S31" s="15">
        <f t="shared" si="4"/>
        <v>0</v>
      </c>
      <c r="T31" s="15">
        <v>0</v>
      </c>
      <c r="U31" s="15">
        <f t="shared" si="5"/>
        <v>0</v>
      </c>
      <c r="V31" s="15">
        <f t="shared" si="6"/>
        <v>0</v>
      </c>
      <c r="X31" s="15">
        <f t="shared" si="7"/>
        <v>0</v>
      </c>
      <c r="Y31" s="15">
        <f t="shared" si="8"/>
        <v>0</v>
      </c>
      <c r="Z31" s="15">
        <f t="shared" si="9"/>
        <v>1</v>
      </c>
      <c r="AC31" s="15">
        <f t="shared" si="10"/>
        <v>0</v>
      </c>
      <c r="AD31" s="15">
        <f t="shared" si="11"/>
        <v>0</v>
      </c>
      <c r="AE31" s="15">
        <f t="shared" si="12"/>
        <v>0</v>
      </c>
    </row>
    <row r="32" spans="1:31" ht="18" x14ac:dyDescent="0.3">
      <c r="A32" s="37" t="s">
        <v>67</v>
      </c>
      <c r="B32" s="15">
        <v>1442.3440000000001</v>
      </c>
      <c r="C32" s="15">
        <v>1463.6289999999999</v>
      </c>
      <c r="D32" s="15">
        <f>H23</f>
        <v>1614.4369999999999</v>
      </c>
      <c r="E32" s="15">
        <v>1597.1020000000001</v>
      </c>
      <c r="F32" s="15">
        <v>1743.9870000000001</v>
      </c>
      <c r="G32" s="15">
        <v>1931.309</v>
      </c>
      <c r="H32" s="15">
        <v>2047.454</v>
      </c>
      <c r="I32" s="15">
        <v>2174.085</v>
      </c>
      <c r="J32" s="15">
        <v>2662.4079999999999</v>
      </c>
      <c r="K32" s="15">
        <v>2586.5100000000002</v>
      </c>
      <c r="L32" s="15">
        <v>30</v>
      </c>
      <c r="M32" s="15">
        <f t="shared" si="0"/>
        <v>0</v>
      </c>
      <c r="N32" s="15">
        <f t="shared" si="1"/>
        <v>0</v>
      </c>
      <c r="O32" s="15">
        <v>0</v>
      </c>
      <c r="P32" s="15">
        <f t="shared" si="13"/>
        <v>0</v>
      </c>
      <c r="Q32" s="15">
        <v>0</v>
      </c>
      <c r="R32" s="15">
        <f t="shared" si="3"/>
        <v>0</v>
      </c>
      <c r="S32" s="15">
        <f t="shared" si="4"/>
        <v>0</v>
      </c>
      <c r="T32" s="15">
        <v>0</v>
      </c>
      <c r="U32" s="15">
        <f t="shared" si="5"/>
        <v>0</v>
      </c>
      <c r="V32" s="15">
        <f t="shared" si="6"/>
        <v>0</v>
      </c>
      <c r="X32" s="15">
        <f t="shared" si="7"/>
        <v>0</v>
      </c>
      <c r="Y32" s="15">
        <f t="shared" si="8"/>
        <v>0</v>
      </c>
      <c r="Z32" s="15">
        <f t="shared" si="9"/>
        <v>1</v>
      </c>
      <c r="AC32" s="15">
        <f t="shared" si="10"/>
        <v>0</v>
      </c>
      <c r="AD32" s="15">
        <f t="shared" si="11"/>
        <v>0</v>
      </c>
      <c r="AE32" s="15">
        <f t="shared" si="12"/>
        <v>0</v>
      </c>
    </row>
    <row r="33" spans="1:31" x14ac:dyDescent="0.3">
      <c r="L33" s="15">
        <v>31</v>
      </c>
      <c r="M33" s="15">
        <f t="shared" si="0"/>
        <v>0</v>
      </c>
      <c r="N33" s="15">
        <f t="shared" si="1"/>
        <v>0</v>
      </c>
      <c r="O33" s="15">
        <v>0</v>
      </c>
      <c r="P33" s="15">
        <f t="shared" si="13"/>
        <v>0</v>
      </c>
      <c r="Q33" s="15">
        <v>0</v>
      </c>
      <c r="R33" s="15">
        <f t="shared" si="3"/>
        <v>0</v>
      </c>
      <c r="S33" s="15">
        <f t="shared" si="4"/>
        <v>0</v>
      </c>
      <c r="T33" s="15">
        <v>0</v>
      </c>
      <c r="U33" s="15">
        <f t="shared" si="5"/>
        <v>0</v>
      </c>
      <c r="V33" s="15">
        <f t="shared" si="6"/>
        <v>0</v>
      </c>
      <c r="X33" s="15">
        <f t="shared" si="7"/>
        <v>0</v>
      </c>
      <c r="Y33" s="15">
        <f t="shared" si="8"/>
        <v>0</v>
      </c>
      <c r="Z33" s="15">
        <f t="shared" si="9"/>
        <v>1</v>
      </c>
      <c r="AC33" s="15">
        <f t="shared" si="10"/>
        <v>0</v>
      </c>
      <c r="AD33" s="15">
        <f t="shared" si="11"/>
        <v>0</v>
      </c>
      <c r="AE33" s="15">
        <f t="shared" si="12"/>
        <v>0</v>
      </c>
    </row>
    <row r="34" spans="1:31" x14ac:dyDescent="0.3">
      <c r="L34" s="15">
        <v>32</v>
      </c>
      <c r="M34" s="15">
        <f t="shared" si="0"/>
        <v>0</v>
      </c>
      <c r="N34" s="15">
        <f t="shared" si="1"/>
        <v>0</v>
      </c>
      <c r="O34" s="15">
        <v>0</v>
      </c>
      <c r="P34" s="15">
        <f t="shared" si="13"/>
        <v>0</v>
      </c>
      <c r="Q34" s="15">
        <v>0</v>
      </c>
      <c r="R34" s="15">
        <f t="shared" si="3"/>
        <v>0</v>
      </c>
      <c r="S34" s="15">
        <f t="shared" si="4"/>
        <v>0</v>
      </c>
      <c r="T34" s="15">
        <v>0</v>
      </c>
      <c r="U34" s="15">
        <f t="shared" si="5"/>
        <v>0</v>
      </c>
      <c r="V34" s="15">
        <f t="shared" si="6"/>
        <v>0</v>
      </c>
      <c r="X34" s="15">
        <f t="shared" si="7"/>
        <v>0</v>
      </c>
      <c r="Y34" s="15">
        <f t="shared" si="8"/>
        <v>0</v>
      </c>
      <c r="Z34" s="15">
        <f t="shared" si="9"/>
        <v>1</v>
      </c>
      <c r="AC34" s="15">
        <f t="shared" si="10"/>
        <v>0</v>
      </c>
      <c r="AD34" s="15">
        <f t="shared" si="11"/>
        <v>0</v>
      </c>
      <c r="AE34" s="15">
        <f t="shared" si="12"/>
        <v>0</v>
      </c>
    </row>
    <row r="35" spans="1:31" x14ac:dyDescent="0.3">
      <c r="A35" s="15" t="s">
        <v>83</v>
      </c>
      <c r="B35">
        <f>-20</f>
        <v>-20</v>
      </c>
      <c r="C35">
        <v>0</v>
      </c>
      <c r="D35">
        <v>20</v>
      </c>
      <c r="L35" s="15">
        <v>33</v>
      </c>
      <c r="M35" s="15">
        <f t="shared" si="0"/>
        <v>0</v>
      </c>
      <c r="N35" s="15">
        <f t="shared" si="1"/>
        <v>0</v>
      </c>
      <c r="O35" s="15">
        <v>0</v>
      </c>
      <c r="P35" s="15">
        <f t="shared" si="13"/>
        <v>0</v>
      </c>
      <c r="Q35" s="15">
        <v>0</v>
      </c>
      <c r="R35" s="15">
        <f t="shared" si="3"/>
        <v>0</v>
      </c>
      <c r="S35" s="15">
        <f t="shared" si="4"/>
        <v>0</v>
      </c>
      <c r="T35" s="15">
        <v>0</v>
      </c>
      <c r="U35" s="15">
        <f t="shared" si="5"/>
        <v>0</v>
      </c>
      <c r="V35" s="15">
        <f t="shared" si="6"/>
        <v>0</v>
      </c>
      <c r="X35" s="15">
        <f t="shared" si="7"/>
        <v>0</v>
      </c>
      <c r="Y35" s="15">
        <f t="shared" si="8"/>
        <v>0</v>
      </c>
      <c r="Z35" s="15">
        <f t="shared" si="9"/>
        <v>1</v>
      </c>
      <c r="AC35" s="15">
        <f t="shared" si="10"/>
        <v>0</v>
      </c>
      <c r="AD35" s="15">
        <f t="shared" si="11"/>
        <v>0</v>
      </c>
      <c r="AE35" s="15">
        <f t="shared" si="12"/>
        <v>0</v>
      </c>
    </row>
    <row r="36" spans="1:31" ht="18.600000000000001" thickBot="1" x14ac:dyDescent="0.35">
      <c r="A36" s="35" t="s">
        <v>79</v>
      </c>
      <c r="B36" s="15">
        <v>164</v>
      </c>
      <c r="C36" s="15">
        <f>D28</f>
        <v>133</v>
      </c>
      <c r="D36" s="15">
        <v>133</v>
      </c>
      <c r="L36" s="15">
        <v>34</v>
      </c>
      <c r="M36" s="15">
        <f t="shared" si="0"/>
        <v>0</v>
      </c>
      <c r="N36" s="15">
        <f t="shared" si="1"/>
        <v>0</v>
      </c>
      <c r="O36" s="15">
        <v>0</v>
      </c>
      <c r="P36" s="15">
        <f t="shared" si="13"/>
        <v>0</v>
      </c>
      <c r="Q36" s="15">
        <v>0</v>
      </c>
      <c r="R36" s="15">
        <f t="shared" si="3"/>
        <v>0</v>
      </c>
      <c r="S36" s="15">
        <f t="shared" si="4"/>
        <v>0</v>
      </c>
      <c r="T36" s="15">
        <v>0</v>
      </c>
      <c r="U36" s="15">
        <f t="shared" si="5"/>
        <v>0</v>
      </c>
      <c r="V36" s="15">
        <f t="shared" si="6"/>
        <v>0</v>
      </c>
      <c r="X36" s="15">
        <f t="shared" si="7"/>
        <v>0</v>
      </c>
      <c r="Y36" s="15">
        <f t="shared" si="8"/>
        <v>0</v>
      </c>
      <c r="Z36" s="15">
        <f t="shared" si="9"/>
        <v>1</v>
      </c>
      <c r="AC36" s="15">
        <f t="shared" si="10"/>
        <v>0</v>
      </c>
      <c r="AD36" s="15">
        <f t="shared" si="11"/>
        <v>0</v>
      </c>
      <c r="AE36" s="15">
        <f t="shared" si="12"/>
        <v>0</v>
      </c>
    </row>
    <row r="37" spans="1:31" ht="18.600000000000001" thickBot="1" x14ac:dyDescent="0.35">
      <c r="A37" s="36" t="s">
        <v>80</v>
      </c>
      <c r="B37" s="15">
        <v>0</v>
      </c>
      <c r="C37" s="15">
        <f t="shared" ref="C37:C40" si="14">D29</f>
        <v>1.1539999999999999</v>
      </c>
      <c r="D37" s="15">
        <v>1.1539999999999999</v>
      </c>
      <c r="L37" s="15">
        <v>35</v>
      </c>
      <c r="M37" s="15">
        <f t="shared" si="0"/>
        <v>0</v>
      </c>
      <c r="N37" s="15">
        <f t="shared" si="1"/>
        <v>0</v>
      </c>
      <c r="O37" s="15">
        <v>0</v>
      </c>
      <c r="P37" s="15">
        <f t="shared" si="13"/>
        <v>0</v>
      </c>
      <c r="Q37" s="15">
        <v>0</v>
      </c>
      <c r="R37" s="15">
        <f t="shared" si="3"/>
        <v>0</v>
      </c>
      <c r="S37" s="15">
        <f t="shared" si="4"/>
        <v>0</v>
      </c>
      <c r="T37" s="15">
        <v>0</v>
      </c>
      <c r="U37" s="15">
        <f t="shared" si="5"/>
        <v>0</v>
      </c>
      <c r="V37" s="15">
        <f t="shared" si="6"/>
        <v>0</v>
      </c>
      <c r="X37" s="15">
        <f t="shared" si="7"/>
        <v>0</v>
      </c>
      <c r="Y37" s="15">
        <f t="shared" si="8"/>
        <v>0</v>
      </c>
      <c r="Z37" s="15">
        <f t="shared" si="9"/>
        <v>1</v>
      </c>
      <c r="AC37" s="15">
        <f t="shared" si="10"/>
        <v>0</v>
      </c>
      <c r="AD37" s="15">
        <f t="shared" si="11"/>
        <v>0</v>
      </c>
      <c r="AE37" s="15">
        <f t="shared" si="12"/>
        <v>0</v>
      </c>
    </row>
    <row r="38" spans="1:31" ht="18" x14ac:dyDescent="0.3">
      <c r="A38" s="37" t="s">
        <v>82</v>
      </c>
      <c r="B38" s="15">
        <v>33.731000000000002</v>
      </c>
      <c r="C38" s="15">
        <f t="shared" si="14"/>
        <v>33.226999999999997</v>
      </c>
      <c r="D38" s="15">
        <v>33.226999999999997</v>
      </c>
      <c r="L38" s="15">
        <v>36</v>
      </c>
      <c r="M38" s="15">
        <f t="shared" si="0"/>
        <v>0</v>
      </c>
      <c r="N38" s="15">
        <f t="shared" si="1"/>
        <v>0</v>
      </c>
      <c r="O38" s="15">
        <v>0</v>
      </c>
      <c r="P38" s="15">
        <f t="shared" si="13"/>
        <v>0</v>
      </c>
      <c r="Q38" s="15">
        <v>0</v>
      </c>
      <c r="R38" s="15">
        <f t="shared" si="3"/>
        <v>0</v>
      </c>
      <c r="S38" s="15">
        <f t="shared" si="4"/>
        <v>0</v>
      </c>
      <c r="T38" s="15">
        <v>0</v>
      </c>
      <c r="U38" s="15">
        <f t="shared" si="5"/>
        <v>0</v>
      </c>
      <c r="V38" s="15">
        <f t="shared" si="6"/>
        <v>0</v>
      </c>
      <c r="X38" s="15">
        <f t="shared" si="7"/>
        <v>0</v>
      </c>
      <c r="Y38" s="15">
        <f t="shared" si="8"/>
        <v>0</v>
      </c>
      <c r="Z38" s="15">
        <f t="shared" si="9"/>
        <v>1</v>
      </c>
      <c r="AC38" s="15">
        <f t="shared" si="10"/>
        <v>0</v>
      </c>
      <c r="AD38" s="15">
        <f t="shared" si="11"/>
        <v>0</v>
      </c>
      <c r="AE38" s="15">
        <f t="shared" si="12"/>
        <v>0</v>
      </c>
    </row>
    <row r="39" spans="1:31" ht="18" x14ac:dyDescent="0.3">
      <c r="A39" s="37" t="s">
        <v>81</v>
      </c>
      <c r="B39" s="15">
        <v>51.231000000000002</v>
      </c>
      <c r="C39" s="15">
        <f t="shared" si="14"/>
        <v>43.021999999999998</v>
      </c>
      <c r="D39" s="15">
        <v>43.021999999999998</v>
      </c>
      <c r="L39" s="15">
        <v>37</v>
      </c>
      <c r="M39" s="15">
        <f t="shared" si="0"/>
        <v>0</v>
      </c>
      <c r="N39" s="15">
        <f t="shared" si="1"/>
        <v>0</v>
      </c>
      <c r="O39" s="15">
        <v>0</v>
      </c>
      <c r="P39" s="15">
        <f t="shared" si="13"/>
        <v>0</v>
      </c>
      <c r="Q39" s="15">
        <v>0</v>
      </c>
      <c r="R39" s="15">
        <f t="shared" si="3"/>
        <v>0</v>
      </c>
      <c r="S39" s="15">
        <f t="shared" si="4"/>
        <v>0</v>
      </c>
      <c r="T39" s="15">
        <v>0</v>
      </c>
      <c r="U39" s="15">
        <f t="shared" si="5"/>
        <v>0</v>
      </c>
      <c r="V39" s="15">
        <f t="shared" si="6"/>
        <v>0</v>
      </c>
      <c r="X39" s="15">
        <f t="shared" si="7"/>
        <v>0</v>
      </c>
      <c r="Y39" s="15">
        <f t="shared" si="8"/>
        <v>0</v>
      </c>
      <c r="Z39" s="15">
        <f t="shared" si="9"/>
        <v>1</v>
      </c>
      <c r="AC39" s="15">
        <f t="shared" si="10"/>
        <v>0</v>
      </c>
      <c r="AD39" s="15">
        <f t="shared" si="11"/>
        <v>0</v>
      </c>
      <c r="AE39" s="15">
        <f t="shared" si="12"/>
        <v>0</v>
      </c>
    </row>
    <row r="40" spans="1:31" ht="18.600000000000001" thickBot="1" x14ac:dyDescent="0.35">
      <c r="A40" s="37" t="s">
        <v>67</v>
      </c>
      <c r="B40" s="15">
        <v>2357.8890000000001</v>
      </c>
      <c r="C40" s="15">
        <f t="shared" si="14"/>
        <v>1614.4369999999999</v>
      </c>
      <c r="D40" s="15">
        <v>1614.4369999999999</v>
      </c>
      <c r="L40" s="15">
        <v>38</v>
      </c>
      <c r="M40" s="15">
        <f t="shared" si="0"/>
        <v>0</v>
      </c>
      <c r="N40" s="15">
        <f t="shared" si="1"/>
        <v>0</v>
      </c>
      <c r="O40" s="15">
        <v>0</v>
      </c>
      <c r="P40" s="15">
        <f t="shared" si="13"/>
        <v>0</v>
      </c>
      <c r="Q40" s="15">
        <v>0</v>
      </c>
      <c r="R40" s="15">
        <f t="shared" si="3"/>
        <v>0</v>
      </c>
      <c r="S40" s="15">
        <f t="shared" si="4"/>
        <v>0</v>
      </c>
      <c r="T40" s="15">
        <v>0</v>
      </c>
      <c r="U40" s="15">
        <f t="shared" si="5"/>
        <v>0</v>
      </c>
      <c r="V40" s="15">
        <f t="shared" si="6"/>
        <v>0</v>
      </c>
      <c r="X40" s="15">
        <f t="shared" si="7"/>
        <v>0</v>
      </c>
      <c r="Y40" s="15">
        <f t="shared" si="8"/>
        <v>0</v>
      </c>
      <c r="Z40" s="15">
        <f t="shared" si="9"/>
        <v>1</v>
      </c>
      <c r="AC40" s="15">
        <f t="shared" si="10"/>
        <v>0</v>
      </c>
      <c r="AD40" s="15">
        <f t="shared" si="11"/>
        <v>0</v>
      </c>
      <c r="AE40" s="15">
        <f t="shared" si="12"/>
        <v>0</v>
      </c>
    </row>
    <row r="41" spans="1:31" x14ac:dyDescent="0.3">
      <c r="B41" s="38">
        <v>3.2</v>
      </c>
      <c r="C41" s="38">
        <v>4</v>
      </c>
      <c r="D41" s="38">
        <v>4.8</v>
      </c>
      <c r="L41" s="15">
        <v>39</v>
      </c>
      <c r="M41" s="15">
        <f t="shared" si="0"/>
        <v>0</v>
      </c>
      <c r="N41" s="15">
        <f t="shared" si="1"/>
        <v>0</v>
      </c>
      <c r="O41" s="15">
        <v>0</v>
      </c>
      <c r="P41" s="15">
        <f t="shared" si="13"/>
        <v>0</v>
      </c>
      <c r="Q41" s="15">
        <v>0</v>
      </c>
      <c r="R41" s="15">
        <f t="shared" si="3"/>
        <v>0</v>
      </c>
      <c r="S41" s="15">
        <f t="shared" si="4"/>
        <v>0</v>
      </c>
      <c r="T41" s="15">
        <v>0</v>
      </c>
      <c r="U41" s="15">
        <f t="shared" si="5"/>
        <v>0</v>
      </c>
      <c r="V41" s="15">
        <f t="shared" si="6"/>
        <v>0</v>
      </c>
      <c r="X41" s="15">
        <f t="shared" si="7"/>
        <v>0</v>
      </c>
      <c r="Y41" s="15">
        <f t="shared" si="8"/>
        <v>0</v>
      </c>
      <c r="Z41" s="15">
        <f t="shared" si="9"/>
        <v>1</v>
      </c>
      <c r="AC41" s="15">
        <f t="shared" si="10"/>
        <v>0</v>
      </c>
      <c r="AD41" s="15">
        <f t="shared" si="11"/>
        <v>0</v>
      </c>
      <c r="AE41" s="15">
        <f t="shared" si="12"/>
        <v>0</v>
      </c>
    </row>
    <row r="42" spans="1:31" x14ac:dyDescent="0.3">
      <c r="B42" s="39">
        <v>32</v>
      </c>
      <c r="C42" s="39">
        <v>40</v>
      </c>
      <c r="D42" s="39">
        <v>48</v>
      </c>
      <c r="L42" s="15">
        <v>40</v>
      </c>
      <c r="M42" s="15">
        <f t="shared" si="0"/>
        <v>1</v>
      </c>
      <c r="N42" s="15">
        <f t="shared" si="1"/>
        <v>1</v>
      </c>
      <c r="O42" s="15">
        <f ca="1">IF(MOD(L42,$B$11)=0,OFFSET(O42,-$B$11,0)+ $E$2*N42+$E$3*OFFSET(N42,-$B$11,0)+ $E$4*OFFSET(N42,-2* $B$11,0), O41)</f>
        <v>0</v>
      </c>
      <c r="P42" s="15">
        <f t="shared" ca="1" si="13"/>
        <v>0</v>
      </c>
      <c r="Q42" s="15">
        <v>0</v>
      </c>
      <c r="R42" s="15">
        <f t="shared" ca="1" si="3"/>
        <v>0</v>
      </c>
      <c r="S42" s="15">
        <f t="shared" si="4"/>
        <v>0</v>
      </c>
      <c r="T42" s="15">
        <v>0</v>
      </c>
      <c r="U42" s="15">
        <f t="shared" si="5"/>
        <v>0</v>
      </c>
      <c r="V42" s="15">
        <f t="shared" si="6"/>
        <v>0</v>
      </c>
      <c r="X42" s="15">
        <f>M42 * 1.05</f>
        <v>1.05</v>
      </c>
      <c r="Y42" s="15">
        <f t="shared" si="8"/>
        <v>0.95</v>
      </c>
      <c r="Z42" s="15">
        <f t="shared" si="9"/>
        <v>0</v>
      </c>
      <c r="AC42" s="15">
        <f t="shared" si="10"/>
        <v>1</v>
      </c>
      <c r="AD42" s="15">
        <f t="shared" si="11"/>
        <v>1</v>
      </c>
      <c r="AE42" s="15">
        <f t="shared" si="12"/>
        <v>0</v>
      </c>
    </row>
    <row r="43" spans="1:31" x14ac:dyDescent="0.3">
      <c r="B43" s="39">
        <v>13.6</v>
      </c>
      <c r="C43" s="39">
        <v>17</v>
      </c>
      <c r="D43" s="39">
        <v>20.399999999999999</v>
      </c>
      <c r="L43" s="15">
        <v>41</v>
      </c>
      <c r="M43" s="15">
        <f t="shared" si="0"/>
        <v>1</v>
      </c>
      <c r="N43" s="15">
        <f t="shared" si="1"/>
        <v>1</v>
      </c>
      <c r="O43" s="15">
        <f t="shared" ref="O43:O106" ca="1" si="15">IF(MOD(L43,$B$11)=0,OFFSET(O43,-$B$11,0)+ $E$2*N43+$E$3*OFFSET(N43,-$B$11,0)+ $E$4*OFFSET(N43,-2* $B$11,0), O42)</f>
        <v>0</v>
      </c>
      <c r="P43" s="15">
        <f t="shared" ca="1" si="13"/>
        <v>0</v>
      </c>
      <c r="Q43" s="15">
        <v>0</v>
      </c>
      <c r="R43" s="15">
        <f t="shared" ca="1" si="3"/>
        <v>0</v>
      </c>
      <c r="S43" s="15">
        <f t="shared" ref="S43" si="16">$D$12</f>
        <v>0</v>
      </c>
      <c r="T43" s="15">
        <v>0</v>
      </c>
      <c r="U43" s="15">
        <f t="shared" si="5"/>
        <v>0</v>
      </c>
      <c r="V43" s="15">
        <f t="shared" si="6"/>
        <v>0</v>
      </c>
      <c r="X43" s="15">
        <f t="shared" si="7"/>
        <v>1.05</v>
      </c>
      <c r="Y43" s="15">
        <f t="shared" si="8"/>
        <v>0.95</v>
      </c>
      <c r="Z43" s="15">
        <f t="shared" si="9"/>
        <v>0</v>
      </c>
      <c r="AC43" s="15">
        <f t="shared" si="10"/>
        <v>1</v>
      </c>
      <c r="AD43" s="15">
        <f t="shared" si="11"/>
        <v>1</v>
      </c>
      <c r="AE43" s="15">
        <f t="shared" si="12"/>
        <v>1</v>
      </c>
    </row>
    <row r="44" spans="1:31" ht="15" thickBot="1" x14ac:dyDescent="0.35">
      <c r="B44" s="40">
        <v>10.4</v>
      </c>
      <c r="C44" s="40">
        <v>13</v>
      </c>
      <c r="D44" s="40">
        <v>15.6</v>
      </c>
      <c r="L44" s="15">
        <v>42</v>
      </c>
      <c r="M44" s="15">
        <f t="shared" si="0"/>
        <v>1</v>
      </c>
      <c r="N44" s="15">
        <f t="shared" si="1"/>
        <v>1</v>
      </c>
      <c r="O44" s="15">
        <f t="shared" ca="1" si="15"/>
        <v>1.0855265049988945</v>
      </c>
      <c r="P44" s="15">
        <f t="shared" ca="1" si="13"/>
        <v>1.0849164568551155</v>
      </c>
      <c r="Q44" s="15">
        <v>0</v>
      </c>
      <c r="R44" s="15">
        <f t="shared" ca="1" si="3"/>
        <v>1.0849164568551155</v>
      </c>
      <c r="S44" s="15">
        <f>$I$1*S43-$I$2*S42+$I$3*R3+$I$4*R2</f>
        <v>0</v>
      </c>
      <c r="T44" s="15">
        <v>0</v>
      </c>
      <c r="U44" s="15">
        <f t="shared" si="5"/>
        <v>0</v>
      </c>
      <c r="V44" s="15">
        <f t="shared" si="6"/>
        <v>0</v>
      </c>
      <c r="X44" s="15">
        <f t="shared" si="7"/>
        <v>1.05</v>
      </c>
      <c r="Y44" s="15">
        <f t="shared" si="8"/>
        <v>0.95</v>
      </c>
      <c r="Z44" s="15">
        <f t="shared" si="9"/>
        <v>0</v>
      </c>
      <c r="AC44" s="15">
        <f t="shared" si="10"/>
        <v>1</v>
      </c>
      <c r="AD44" s="15">
        <f t="shared" si="11"/>
        <v>1</v>
      </c>
      <c r="AE44" s="15">
        <f t="shared" si="12"/>
        <v>2</v>
      </c>
    </row>
    <row r="45" spans="1:31" x14ac:dyDescent="0.3">
      <c r="L45" s="15">
        <v>43</v>
      </c>
      <c r="M45" s="15">
        <f t="shared" si="0"/>
        <v>1</v>
      </c>
      <c r="N45" s="15">
        <f t="shared" si="1"/>
        <v>1</v>
      </c>
      <c r="O45" s="15">
        <f t="shared" ca="1" si="15"/>
        <v>1.0855265049988945</v>
      </c>
      <c r="P45" s="15">
        <f t="shared" ca="1" si="13"/>
        <v>1.0849164568551155</v>
      </c>
      <c r="Q45" s="15">
        <v>0</v>
      </c>
      <c r="R45" s="15">
        <f t="shared" ca="1" si="3"/>
        <v>1.0849164568551155</v>
      </c>
      <c r="S45" s="15">
        <f t="shared" ref="S45:S108" si="17">$I$1*S44-$I$2*S43+$I$3*R24+$I$4*R23</f>
        <v>0</v>
      </c>
      <c r="T45" s="15">
        <v>0</v>
      </c>
      <c r="U45" s="15">
        <f t="shared" si="5"/>
        <v>0</v>
      </c>
      <c r="V45" s="15">
        <f t="shared" si="6"/>
        <v>0</v>
      </c>
      <c r="X45" s="15">
        <f t="shared" si="7"/>
        <v>1.05</v>
      </c>
      <c r="Y45" s="15">
        <f t="shared" si="8"/>
        <v>0.95</v>
      </c>
      <c r="Z45" s="15">
        <f t="shared" si="9"/>
        <v>0</v>
      </c>
      <c r="AC45" s="15">
        <f t="shared" si="10"/>
        <v>1</v>
      </c>
      <c r="AD45" s="15">
        <f t="shared" si="11"/>
        <v>1</v>
      </c>
      <c r="AE45" s="15">
        <f t="shared" si="12"/>
        <v>3</v>
      </c>
    </row>
    <row r="46" spans="1:31" x14ac:dyDescent="0.3">
      <c r="L46" s="15">
        <v>44</v>
      </c>
      <c r="M46" s="15">
        <f t="shared" si="0"/>
        <v>1</v>
      </c>
      <c r="N46" s="15">
        <f t="shared" si="1"/>
        <v>1</v>
      </c>
      <c r="O46" s="15">
        <f t="shared" ca="1" si="15"/>
        <v>1.0855265049988945</v>
      </c>
      <c r="P46" s="15">
        <f t="shared" ca="1" si="13"/>
        <v>1.0849164568551155</v>
      </c>
      <c r="Q46" s="15">
        <v>0</v>
      </c>
      <c r="R46" s="15">
        <f t="shared" ca="1" si="3"/>
        <v>1.0849164568551155</v>
      </c>
      <c r="S46" s="15">
        <f t="shared" si="17"/>
        <v>0</v>
      </c>
      <c r="T46" s="15">
        <v>0</v>
      </c>
      <c r="U46" s="15">
        <f t="shared" si="5"/>
        <v>0</v>
      </c>
      <c r="V46" s="15">
        <f t="shared" si="6"/>
        <v>0</v>
      </c>
      <c r="X46" s="15">
        <f t="shared" si="7"/>
        <v>1.05</v>
      </c>
      <c r="Y46" s="15">
        <f t="shared" si="8"/>
        <v>0.95</v>
      </c>
      <c r="Z46" s="15">
        <f t="shared" si="9"/>
        <v>0</v>
      </c>
      <c r="AC46" s="15">
        <f t="shared" si="10"/>
        <v>1</v>
      </c>
      <c r="AD46" s="15">
        <f t="shared" si="11"/>
        <v>1</v>
      </c>
      <c r="AE46" s="15">
        <f t="shared" si="12"/>
        <v>4</v>
      </c>
    </row>
    <row r="47" spans="1:31" x14ac:dyDescent="0.3">
      <c r="L47" s="15">
        <v>45</v>
      </c>
      <c r="M47" s="15">
        <f t="shared" si="0"/>
        <v>1</v>
      </c>
      <c r="N47" s="15">
        <f t="shared" si="1"/>
        <v>1</v>
      </c>
      <c r="O47" s="15">
        <f t="shared" ca="1" si="15"/>
        <v>0.25638880499668337</v>
      </c>
      <c r="P47" s="15">
        <f t="shared" ca="1" si="13"/>
        <v>0.25635156786449986</v>
      </c>
      <c r="Q47" s="15">
        <v>0</v>
      </c>
      <c r="R47" s="15">
        <f t="shared" ca="1" si="3"/>
        <v>0.25635156786449986</v>
      </c>
      <c r="S47" s="15">
        <f t="shared" si="17"/>
        <v>0</v>
      </c>
      <c r="T47" s="15">
        <v>0</v>
      </c>
      <c r="U47" s="15">
        <f t="shared" si="5"/>
        <v>0</v>
      </c>
      <c r="V47" s="15">
        <f t="shared" si="6"/>
        <v>0</v>
      </c>
      <c r="X47" s="15">
        <f t="shared" si="7"/>
        <v>1.05</v>
      </c>
      <c r="Y47" s="15">
        <f t="shared" si="8"/>
        <v>0.95</v>
      </c>
      <c r="Z47" s="15">
        <f t="shared" si="9"/>
        <v>0</v>
      </c>
      <c r="AC47" s="15">
        <f t="shared" si="10"/>
        <v>1</v>
      </c>
      <c r="AD47" s="15">
        <f t="shared" si="11"/>
        <v>1</v>
      </c>
      <c r="AE47" s="15">
        <f t="shared" si="12"/>
        <v>5</v>
      </c>
    </row>
    <row r="48" spans="1:31" x14ac:dyDescent="0.3">
      <c r="L48" s="15">
        <v>46</v>
      </c>
      <c r="M48" s="15">
        <f t="shared" si="0"/>
        <v>1</v>
      </c>
      <c r="N48" s="15">
        <f t="shared" si="1"/>
        <v>1</v>
      </c>
      <c r="O48" s="15">
        <f t="shared" ca="1" si="15"/>
        <v>0.25638880499668337</v>
      </c>
      <c r="P48" s="15">
        <f t="shared" ca="1" si="13"/>
        <v>0.25635156786449986</v>
      </c>
      <c r="Q48" s="15">
        <v>0</v>
      </c>
      <c r="R48" s="15">
        <f t="shared" ca="1" si="3"/>
        <v>0.25635156786449986</v>
      </c>
      <c r="S48" s="15">
        <f t="shared" si="17"/>
        <v>0</v>
      </c>
      <c r="T48" s="15">
        <v>0</v>
      </c>
      <c r="U48" s="15">
        <f t="shared" si="5"/>
        <v>0</v>
      </c>
      <c r="V48" s="15">
        <f t="shared" si="6"/>
        <v>0</v>
      </c>
      <c r="X48" s="15">
        <f t="shared" si="7"/>
        <v>1.05</v>
      </c>
      <c r="Y48" s="15">
        <f t="shared" si="8"/>
        <v>0.95</v>
      </c>
      <c r="Z48" s="15">
        <f t="shared" si="9"/>
        <v>0</v>
      </c>
      <c r="AC48" s="15">
        <f t="shared" si="10"/>
        <v>1</v>
      </c>
      <c r="AD48" s="15">
        <f t="shared" si="11"/>
        <v>1</v>
      </c>
      <c r="AE48" s="15">
        <f t="shared" si="12"/>
        <v>6</v>
      </c>
    </row>
    <row r="49" spans="12:31" x14ac:dyDescent="0.3">
      <c r="L49" s="15">
        <v>47</v>
      </c>
      <c r="M49" s="15">
        <f t="shared" si="0"/>
        <v>1</v>
      </c>
      <c r="N49" s="15">
        <f t="shared" si="1"/>
        <v>1</v>
      </c>
      <c r="O49" s="15">
        <f t="shared" ca="1" si="15"/>
        <v>0.25638880499668337</v>
      </c>
      <c r="P49" s="15">
        <f t="shared" ca="1" si="13"/>
        <v>0.25635156786449986</v>
      </c>
      <c r="Q49" s="15">
        <v>0</v>
      </c>
      <c r="R49" s="15">
        <f t="shared" ca="1" si="3"/>
        <v>0.25635156786449986</v>
      </c>
      <c r="S49" s="15">
        <f t="shared" si="17"/>
        <v>0</v>
      </c>
      <c r="T49" s="15">
        <v>0</v>
      </c>
      <c r="U49" s="15">
        <f t="shared" si="5"/>
        <v>0</v>
      </c>
      <c r="V49" s="15">
        <f t="shared" si="6"/>
        <v>0</v>
      </c>
      <c r="X49" s="15">
        <f t="shared" si="7"/>
        <v>1.05</v>
      </c>
      <c r="Y49" s="15">
        <f t="shared" si="8"/>
        <v>0.95</v>
      </c>
      <c r="Z49" s="15">
        <f t="shared" si="9"/>
        <v>0</v>
      </c>
      <c r="AC49" s="15">
        <f t="shared" si="10"/>
        <v>1</v>
      </c>
      <c r="AD49" s="15">
        <f t="shared" si="11"/>
        <v>1</v>
      </c>
      <c r="AE49" s="15">
        <f t="shared" si="12"/>
        <v>7</v>
      </c>
    </row>
    <row r="50" spans="12:31" x14ac:dyDescent="0.3">
      <c r="L50" s="15">
        <v>48</v>
      </c>
      <c r="M50" s="15">
        <f t="shared" si="0"/>
        <v>1</v>
      </c>
      <c r="N50" s="15">
        <f t="shared" si="1"/>
        <v>1</v>
      </c>
      <c r="O50" s="15">
        <f t="shared" ca="1" si="15"/>
        <v>0.27529467499447235</v>
      </c>
      <c r="P50" s="15">
        <f t="shared" ca="1" si="13"/>
        <v>0.27466239414053562</v>
      </c>
      <c r="Q50" s="15">
        <v>0</v>
      </c>
      <c r="R50" s="15">
        <f t="shared" ca="1" si="3"/>
        <v>0.27466239414053562</v>
      </c>
      <c r="S50" s="15">
        <f t="shared" si="17"/>
        <v>0</v>
      </c>
      <c r="T50" s="15">
        <v>0</v>
      </c>
      <c r="U50" s="15">
        <f t="shared" si="5"/>
        <v>0</v>
      </c>
      <c r="V50" s="15">
        <f t="shared" si="6"/>
        <v>0</v>
      </c>
      <c r="X50" s="15">
        <f t="shared" si="7"/>
        <v>1.05</v>
      </c>
      <c r="Y50" s="15">
        <f t="shared" si="8"/>
        <v>0.95</v>
      </c>
      <c r="Z50" s="15">
        <f t="shared" si="9"/>
        <v>0</v>
      </c>
      <c r="AC50" s="15">
        <f t="shared" si="10"/>
        <v>1</v>
      </c>
      <c r="AD50" s="15">
        <f t="shared" si="11"/>
        <v>1</v>
      </c>
      <c r="AE50" s="15">
        <f t="shared" si="12"/>
        <v>8</v>
      </c>
    </row>
    <row r="51" spans="12:31" x14ac:dyDescent="0.3">
      <c r="L51" s="15">
        <v>49</v>
      </c>
      <c r="M51" s="15">
        <f t="shared" si="0"/>
        <v>1</v>
      </c>
      <c r="N51" s="15">
        <f t="shared" si="1"/>
        <v>1</v>
      </c>
      <c r="O51" s="15">
        <f t="shared" ca="1" si="15"/>
        <v>0.27529467499447235</v>
      </c>
      <c r="P51" s="15">
        <f t="shared" ca="1" si="13"/>
        <v>0.27466239414053562</v>
      </c>
      <c r="Q51" s="15">
        <v>0</v>
      </c>
      <c r="R51" s="15">
        <f t="shared" ca="1" si="3"/>
        <v>0.27466239414053562</v>
      </c>
      <c r="S51" s="15">
        <f t="shared" si="17"/>
        <v>0</v>
      </c>
      <c r="T51" s="15">
        <v>0</v>
      </c>
      <c r="U51" s="15">
        <f t="shared" si="5"/>
        <v>0</v>
      </c>
      <c r="V51" s="15">
        <f t="shared" si="6"/>
        <v>0</v>
      </c>
      <c r="X51" s="15">
        <f t="shared" si="7"/>
        <v>1.05</v>
      </c>
      <c r="Y51" s="15">
        <f t="shared" si="8"/>
        <v>0.95</v>
      </c>
      <c r="Z51" s="15">
        <f t="shared" si="9"/>
        <v>0</v>
      </c>
      <c r="AC51" s="15">
        <f t="shared" si="10"/>
        <v>1</v>
      </c>
      <c r="AD51" s="15">
        <f t="shared" si="11"/>
        <v>1</v>
      </c>
      <c r="AE51" s="15">
        <f t="shared" si="12"/>
        <v>9</v>
      </c>
    </row>
    <row r="52" spans="12:31" x14ac:dyDescent="0.3">
      <c r="L52" s="15">
        <v>50</v>
      </c>
      <c r="M52" s="15">
        <f t="shared" si="0"/>
        <v>1</v>
      </c>
      <c r="N52" s="15">
        <f t="shared" si="1"/>
        <v>1</v>
      </c>
      <c r="O52" s="15">
        <f t="shared" ca="1" si="15"/>
        <v>0.27529467499447235</v>
      </c>
      <c r="P52" s="15">
        <f t="shared" ca="1" si="13"/>
        <v>0.27466239414053562</v>
      </c>
      <c r="Q52" s="15">
        <v>0</v>
      </c>
      <c r="R52" s="15">
        <f t="shared" ca="1" si="3"/>
        <v>0.27466239414053562</v>
      </c>
      <c r="S52" s="15">
        <f t="shared" si="17"/>
        <v>0</v>
      </c>
      <c r="T52" s="15">
        <v>0</v>
      </c>
      <c r="U52" s="15">
        <f t="shared" si="5"/>
        <v>0</v>
      </c>
      <c r="V52" s="15">
        <f t="shared" si="6"/>
        <v>0</v>
      </c>
      <c r="X52" s="15">
        <f t="shared" si="7"/>
        <v>1.05</v>
      </c>
      <c r="Y52" s="15">
        <f t="shared" si="8"/>
        <v>0.95</v>
      </c>
      <c r="Z52" s="15">
        <f t="shared" si="9"/>
        <v>0</v>
      </c>
      <c r="AC52" s="15">
        <f t="shared" si="10"/>
        <v>1</v>
      </c>
      <c r="AD52" s="15">
        <f t="shared" si="11"/>
        <v>1</v>
      </c>
      <c r="AE52" s="15">
        <f t="shared" si="12"/>
        <v>10</v>
      </c>
    </row>
    <row r="53" spans="12:31" x14ac:dyDescent="0.3">
      <c r="L53" s="15">
        <v>51</v>
      </c>
      <c r="M53" s="15">
        <f t="shared" si="0"/>
        <v>1</v>
      </c>
      <c r="N53" s="15">
        <f t="shared" si="1"/>
        <v>1</v>
      </c>
      <c r="O53" s="15">
        <f t="shared" ca="1" si="15"/>
        <v>0.29420054499226145</v>
      </c>
      <c r="P53" s="15">
        <f t="shared" ca="1" si="13"/>
        <v>0.29297322041657131</v>
      </c>
      <c r="Q53" s="15">
        <v>0</v>
      </c>
      <c r="R53" s="15">
        <f t="shared" ca="1" si="3"/>
        <v>0.29297322041657131</v>
      </c>
      <c r="S53" s="15">
        <f t="shared" si="17"/>
        <v>0</v>
      </c>
      <c r="T53" s="15">
        <v>0</v>
      </c>
      <c r="U53" s="15">
        <f t="shared" si="5"/>
        <v>0</v>
      </c>
      <c r="V53" s="15">
        <f t="shared" si="6"/>
        <v>0</v>
      </c>
      <c r="X53" s="15">
        <f t="shared" si="7"/>
        <v>1.05</v>
      </c>
      <c r="Y53" s="15">
        <f t="shared" si="8"/>
        <v>0.95</v>
      </c>
      <c r="Z53" s="15">
        <f t="shared" si="9"/>
        <v>0</v>
      </c>
      <c r="AC53" s="15">
        <f t="shared" si="10"/>
        <v>1</v>
      </c>
      <c r="AD53" s="15">
        <f t="shared" si="11"/>
        <v>1</v>
      </c>
      <c r="AE53" s="15">
        <f t="shared" si="12"/>
        <v>11</v>
      </c>
    </row>
    <row r="54" spans="12:31" x14ac:dyDescent="0.3">
      <c r="L54" s="15">
        <v>52</v>
      </c>
      <c r="M54" s="15">
        <f t="shared" si="0"/>
        <v>1</v>
      </c>
      <c r="N54" s="15">
        <f t="shared" si="1"/>
        <v>1</v>
      </c>
      <c r="O54" s="15">
        <f t="shared" ca="1" si="15"/>
        <v>0.29420054499226145</v>
      </c>
      <c r="P54" s="15">
        <f t="shared" ca="1" si="13"/>
        <v>0.29297322041657131</v>
      </c>
      <c r="Q54" s="15">
        <v>0</v>
      </c>
      <c r="R54" s="15">
        <f t="shared" ca="1" si="3"/>
        <v>0.29297322041657131</v>
      </c>
      <c r="S54" s="15">
        <f t="shared" si="17"/>
        <v>0</v>
      </c>
      <c r="T54" s="15">
        <v>0</v>
      </c>
      <c r="U54" s="15">
        <f t="shared" si="5"/>
        <v>0</v>
      </c>
      <c r="V54" s="15">
        <f t="shared" si="6"/>
        <v>0</v>
      </c>
      <c r="X54" s="15">
        <f t="shared" si="7"/>
        <v>1.05</v>
      </c>
      <c r="Y54" s="15">
        <f t="shared" si="8"/>
        <v>0.95</v>
      </c>
      <c r="Z54" s="15">
        <f t="shared" si="9"/>
        <v>0</v>
      </c>
      <c r="AC54" s="15">
        <f t="shared" si="10"/>
        <v>1</v>
      </c>
      <c r="AD54" s="15">
        <f t="shared" si="11"/>
        <v>1</v>
      </c>
      <c r="AE54" s="15">
        <f t="shared" si="12"/>
        <v>12</v>
      </c>
    </row>
    <row r="55" spans="12:31" x14ac:dyDescent="0.3">
      <c r="L55" s="15">
        <v>53</v>
      </c>
      <c r="M55" s="15">
        <f t="shared" si="0"/>
        <v>1</v>
      </c>
      <c r="N55" s="15">
        <f t="shared" si="1"/>
        <v>1</v>
      </c>
      <c r="O55" s="15">
        <f t="shared" ca="1" si="15"/>
        <v>0.29420054499226145</v>
      </c>
      <c r="P55" s="15">
        <f t="shared" ca="1" si="13"/>
        <v>0.29297322041657131</v>
      </c>
      <c r="Q55" s="15">
        <v>0</v>
      </c>
      <c r="R55" s="15">
        <f t="shared" ca="1" si="3"/>
        <v>0.29297322041657131</v>
      </c>
      <c r="S55" s="15">
        <f t="shared" si="17"/>
        <v>0</v>
      </c>
      <c r="T55" s="15">
        <v>0</v>
      </c>
      <c r="U55" s="15">
        <f t="shared" si="5"/>
        <v>0</v>
      </c>
      <c r="V55" s="15">
        <f t="shared" si="6"/>
        <v>0</v>
      </c>
      <c r="X55" s="15">
        <f t="shared" si="7"/>
        <v>1.05</v>
      </c>
      <c r="Y55" s="15">
        <f t="shared" si="8"/>
        <v>0.95</v>
      </c>
      <c r="Z55" s="15">
        <f t="shared" si="9"/>
        <v>0</v>
      </c>
      <c r="AC55" s="15">
        <f t="shared" si="10"/>
        <v>1</v>
      </c>
      <c r="AD55" s="15">
        <f t="shared" si="11"/>
        <v>1</v>
      </c>
      <c r="AE55" s="15">
        <f t="shared" si="12"/>
        <v>13</v>
      </c>
    </row>
    <row r="56" spans="12:31" x14ac:dyDescent="0.3">
      <c r="L56" s="15">
        <v>54</v>
      </c>
      <c r="M56" s="15">
        <f t="shared" si="0"/>
        <v>1</v>
      </c>
      <c r="N56" s="15">
        <f t="shared" si="1"/>
        <v>1</v>
      </c>
      <c r="O56" s="15">
        <f t="shared" ca="1" si="15"/>
        <v>0.31310641499005054</v>
      </c>
      <c r="P56" s="15">
        <f t="shared" ca="1" si="13"/>
        <v>0.31280994888227664</v>
      </c>
      <c r="Q56" s="15">
        <v>0</v>
      </c>
      <c r="R56" s="15">
        <f t="shared" ca="1" si="3"/>
        <v>0.31280994888227664</v>
      </c>
      <c r="S56" s="15">
        <f t="shared" si="17"/>
        <v>0</v>
      </c>
      <c r="T56" s="15">
        <v>0</v>
      </c>
      <c r="U56" s="15">
        <f t="shared" si="5"/>
        <v>0</v>
      </c>
      <c r="V56" s="15">
        <f t="shared" si="6"/>
        <v>0</v>
      </c>
      <c r="X56" s="15">
        <f t="shared" si="7"/>
        <v>1.05</v>
      </c>
      <c r="Y56" s="15">
        <f t="shared" si="8"/>
        <v>0.95</v>
      </c>
      <c r="Z56" s="15">
        <f t="shared" si="9"/>
        <v>0</v>
      </c>
      <c r="AC56" s="15">
        <f t="shared" si="10"/>
        <v>1</v>
      </c>
      <c r="AD56" s="15">
        <f t="shared" si="11"/>
        <v>1</v>
      </c>
      <c r="AE56" s="15">
        <f t="shared" si="12"/>
        <v>14</v>
      </c>
    </row>
    <row r="57" spans="12:31" x14ac:dyDescent="0.3">
      <c r="L57" s="15">
        <v>55</v>
      </c>
      <c r="M57" s="15">
        <f t="shared" si="0"/>
        <v>1</v>
      </c>
      <c r="N57" s="15">
        <f t="shared" si="1"/>
        <v>1</v>
      </c>
      <c r="O57" s="15">
        <f t="shared" ca="1" si="15"/>
        <v>0.31310641499005054</v>
      </c>
      <c r="P57" s="15">
        <f t="shared" ca="1" si="13"/>
        <v>0.31280994888227664</v>
      </c>
      <c r="Q57" s="15">
        <v>0</v>
      </c>
      <c r="R57" s="15">
        <f t="shared" ca="1" si="3"/>
        <v>0.31280994888227664</v>
      </c>
      <c r="S57" s="15">
        <f t="shared" si="17"/>
        <v>0</v>
      </c>
      <c r="T57" s="15">
        <v>0</v>
      </c>
      <c r="U57" s="15">
        <f t="shared" si="5"/>
        <v>0</v>
      </c>
      <c r="V57" s="15">
        <f t="shared" si="6"/>
        <v>0</v>
      </c>
      <c r="X57" s="15">
        <f t="shared" si="7"/>
        <v>1.05</v>
      </c>
      <c r="Y57" s="15">
        <f t="shared" si="8"/>
        <v>0.95</v>
      </c>
      <c r="Z57" s="15">
        <f t="shared" si="9"/>
        <v>0</v>
      </c>
      <c r="AC57" s="15">
        <f t="shared" si="10"/>
        <v>1</v>
      </c>
      <c r="AD57" s="15">
        <f t="shared" si="11"/>
        <v>1</v>
      </c>
      <c r="AE57" s="15">
        <f t="shared" si="12"/>
        <v>15</v>
      </c>
    </row>
    <row r="58" spans="12:31" x14ac:dyDescent="0.3">
      <c r="L58" s="15">
        <v>56</v>
      </c>
      <c r="M58" s="15">
        <f t="shared" si="0"/>
        <v>1</v>
      </c>
      <c r="N58" s="15">
        <f t="shared" si="1"/>
        <v>1</v>
      </c>
      <c r="O58" s="15">
        <f t="shared" ca="1" si="15"/>
        <v>0.31310641499005054</v>
      </c>
      <c r="P58" s="15">
        <f t="shared" ca="1" si="13"/>
        <v>0.31280994888227664</v>
      </c>
      <c r="Q58" s="15">
        <v>0</v>
      </c>
      <c r="R58" s="15">
        <f t="shared" ca="1" si="3"/>
        <v>0.31280994888227664</v>
      </c>
      <c r="S58" s="15">
        <f t="shared" si="17"/>
        <v>0</v>
      </c>
      <c r="T58" s="15">
        <v>0</v>
      </c>
      <c r="U58" s="15">
        <f t="shared" si="5"/>
        <v>0</v>
      </c>
      <c r="V58" s="15">
        <f t="shared" si="6"/>
        <v>0</v>
      </c>
      <c r="X58" s="15">
        <f t="shared" si="7"/>
        <v>1.05</v>
      </c>
      <c r="Y58" s="15">
        <f t="shared" si="8"/>
        <v>0.95</v>
      </c>
      <c r="Z58" s="15">
        <f t="shared" si="9"/>
        <v>0</v>
      </c>
      <c r="AC58" s="15">
        <f t="shared" si="10"/>
        <v>1</v>
      </c>
      <c r="AD58" s="15">
        <f t="shared" si="11"/>
        <v>1</v>
      </c>
      <c r="AE58" s="15">
        <f t="shared" si="12"/>
        <v>16</v>
      </c>
    </row>
    <row r="59" spans="12:31" x14ac:dyDescent="0.3">
      <c r="L59" s="15">
        <v>57</v>
      </c>
      <c r="M59" s="15">
        <f t="shared" si="0"/>
        <v>1</v>
      </c>
      <c r="N59" s="15">
        <f t="shared" si="1"/>
        <v>1</v>
      </c>
      <c r="O59" s="15">
        <f t="shared" ca="1" si="15"/>
        <v>0.33201228498783963</v>
      </c>
      <c r="P59" s="15">
        <f t="shared" ca="1" si="13"/>
        <v>0.33112077515831234</v>
      </c>
      <c r="Q59" s="15">
        <v>0</v>
      </c>
      <c r="R59" s="15">
        <f t="shared" ca="1" si="3"/>
        <v>0.33112077515831234</v>
      </c>
      <c r="S59" s="15">
        <f t="shared" si="17"/>
        <v>0</v>
      </c>
      <c r="T59" s="15">
        <v>0</v>
      </c>
      <c r="U59" s="15">
        <f t="shared" si="5"/>
        <v>0</v>
      </c>
      <c r="V59" s="15">
        <f t="shared" si="6"/>
        <v>0</v>
      </c>
      <c r="X59" s="15">
        <f t="shared" si="7"/>
        <v>1.05</v>
      </c>
      <c r="Y59" s="15">
        <f t="shared" si="8"/>
        <v>0.95</v>
      </c>
      <c r="Z59" s="15">
        <f t="shared" si="9"/>
        <v>0</v>
      </c>
      <c r="AC59" s="15">
        <f t="shared" si="10"/>
        <v>1</v>
      </c>
      <c r="AD59" s="15">
        <f t="shared" si="11"/>
        <v>1</v>
      </c>
      <c r="AE59" s="15">
        <f t="shared" si="12"/>
        <v>17</v>
      </c>
    </row>
    <row r="60" spans="12:31" x14ac:dyDescent="0.3">
      <c r="L60" s="15">
        <v>58</v>
      </c>
      <c r="M60" s="15">
        <f t="shared" si="0"/>
        <v>1</v>
      </c>
      <c r="N60" s="15">
        <f t="shared" si="1"/>
        <v>1</v>
      </c>
      <c r="O60" s="15">
        <f t="shared" ca="1" si="15"/>
        <v>0.33201228498783963</v>
      </c>
      <c r="P60" s="15">
        <f t="shared" ca="1" si="13"/>
        <v>0.33112077515831234</v>
      </c>
      <c r="Q60" s="15">
        <v>0</v>
      </c>
      <c r="R60" s="15">
        <f t="shared" ca="1" si="3"/>
        <v>0.33112077515831234</v>
      </c>
      <c r="S60" s="15">
        <f t="shared" si="17"/>
        <v>0</v>
      </c>
      <c r="T60" s="15">
        <v>0</v>
      </c>
      <c r="U60" s="15">
        <f t="shared" si="5"/>
        <v>0</v>
      </c>
      <c r="V60" s="15">
        <f t="shared" si="6"/>
        <v>0</v>
      </c>
      <c r="X60" s="15">
        <f t="shared" si="7"/>
        <v>1.05</v>
      </c>
      <c r="Y60" s="15">
        <f t="shared" si="8"/>
        <v>0.95</v>
      </c>
      <c r="Z60" s="15">
        <f t="shared" si="9"/>
        <v>0</v>
      </c>
      <c r="AC60" s="15">
        <f t="shared" si="10"/>
        <v>1</v>
      </c>
      <c r="AD60" s="15">
        <f t="shared" si="11"/>
        <v>1</v>
      </c>
      <c r="AE60" s="15">
        <f t="shared" si="12"/>
        <v>18</v>
      </c>
    </row>
    <row r="61" spans="12:31" x14ac:dyDescent="0.3">
      <c r="L61" s="15">
        <v>59</v>
      </c>
      <c r="M61" s="15">
        <f t="shared" si="0"/>
        <v>1</v>
      </c>
      <c r="N61" s="15">
        <f t="shared" si="1"/>
        <v>1</v>
      </c>
      <c r="O61" s="15">
        <f t="shared" ca="1" si="15"/>
        <v>0.33201228498783963</v>
      </c>
      <c r="P61" s="15">
        <f t="shared" ca="1" si="13"/>
        <v>0.33112077515831234</v>
      </c>
      <c r="Q61" s="15">
        <v>0</v>
      </c>
      <c r="R61" s="15">
        <f t="shared" ca="1" si="3"/>
        <v>0.33112077515831234</v>
      </c>
      <c r="S61" s="15">
        <f t="shared" si="17"/>
        <v>0</v>
      </c>
      <c r="T61" s="15">
        <v>0</v>
      </c>
      <c r="U61" s="15">
        <f t="shared" si="5"/>
        <v>0</v>
      </c>
      <c r="V61" s="15">
        <f t="shared" si="6"/>
        <v>0</v>
      </c>
      <c r="X61" s="15">
        <f t="shared" si="7"/>
        <v>1.05</v>
      </c>
      <c r="Y61" s="15">
        <f t="shared" si="8"/>
        <v>0.95</v>
      </c>
      <c r="Z61" s="15">
        <f t="shared" si="9"/>
        <v>0</v>
      </c>
      <c r="AC61" s="15">
        <f t="shared" si="10"/>
        <v>1</v>
      </c>
      <c r="AD61" s="15">
        <f t="shared" si="11"/>
        <v>1</v>
      </c>
      <c r="AE61" s="15">
        <f t="shared" si="12"/>
        <v>19</v>
      </c>
    </row>
    <row r="62" spans="12:31" x14ac:dyDescent="0.3">
      <c r="L62" s="15">
        <v>60</v>
      </c>
      <c r="M62" s="15">
        <f t="shared" si="0"/>
        <v>1</v>
      </c>
      <c r="N62" s="15">
        <f t="shared" si="1"/>
        <v>1</v>
      </c>
      <c r="O62" s="15">
        <f t="shared" ca="1" si="15"/>
        <v>0.35091815498562873</v>
      </c>
      <c r="P62" s="15">
        <f t="shared" ca="1" si="13"/>
        <v>0.34943160143434809</v>
      </c>
      <c r="Q62" s="15">
        <v>0</v>
      </c>
      <c r="R62" s="15">
        <f t="shared" ca="1" si="3"/>
        <v>0.34943160143434809</v>
      </c>
      <c r="S62" s="15">
        <f t="shared" si="17"/>
        <v>0</v>
      </c>
      <c r="T62" s="15">
        <v>0</v>
      </c>
      <c r="U62" s="15">
        <f t="shared" si="5"/>
        <v>0</v>
      </c>
      <c r="V62" s="15">
        <f t="shared" si="6"/>
        <v>0</v>
      </c>
      <c r="X62" s="15">
        <f t="shared" si="7"/>
        <v>1.05</v>
      </c>
      <c r="Y62" s="15">
        <f t="shared" si="8"/>
        <v>0.95</v>
      </c>
      <c r="Z62" s="15">
        <f t="shared" si="9"/>
        <v>0</v>
      </c>
      <c r="AC62" s="15">
        <f t="shared" si="10"/>
        <v>1</v>
      </c>
      <c r="AD62" s="15">
        <f t="shared" si="11"/>
        <v>1</v>
      </c>
      <c r="AE62" s="15">
        <f t="shared" si="12"/>
        <v>20</v>
      </c>
    </row>
    <row r="63" spans="12:31" x14ac:dyDescent="0.3">
      <c r="L63" s="15">
        <v>61</v>
      </c>
      <c r="M63" s="15">
        <f t="shared" si="0"/>
        <v>1</v>
      </c>
      <c r="N63" s="15">
        <f t="shared" ca="1" si="1"/>
        <v>1</v>
      </c>
      <c r="O63" s="15">
        <f t="shared" ca="1" si="15"/>
        <v>0.35091815498562873</v>
      </c>
      <c r="P63" s="15">
        <f t="shared" ca="1" si="13"/>
        <v>0.34943160143434809</v>
      </c>
      <c r="Q63" s="15">
        <v>0</v>
      </c>
      <c r="R63" s="15">
        <f t="shared" ca="1" si="3"/>
        <v>0.34943160143434809</v>
      </c>
      <c r="S63" s="15">
        <f t="shared" ca="1" si="17"/>
        <v>0</v>
      </c>
      <c r="T63" s="15">
        <v>0</v>
      </c>
      <c r="U63" s="15">
        <f t="shared" ca="1" si="5"/>
        <v>0</v>
      </c>
      <c r="V63" s="15">
        <f t="shared" ca="1" si="6"/>
        <v>0</v>
      </c>
      <c r="X63" s="15">
        <f t="shared" si="7"/>
        <v>1.05</v>
      </c>
      <c r="Y63" s="15">
        <f t="shared" si="8"/>
        <v>0.95</v>
      </c>
      <c r="Z63" s="15">
        <f t="shared" ca="1" si="9"/>
        <v>0</v>
      </c>
      <c r="AC63" s="15">
        <f t="shared" ca="1" si="10"/>
        <v>1</v>
      </c>
      <c r="AD63" s="15">
        <f t="shared" ca="1" si="11"/>
        <v>1</v>
      </c>
      <c r="AE63" s="15">
        <f t="shared" ca="1" si="12"/>
        <v>21</v>
      </c>
    </row>
    <row r="64" spans="12:31" x14ac:dyDescent="0.3">
      <c r="L64" s="15">
        <v>62</v>
      </c>
      <c r="M64" s="15">
        <f t="shared" si="0"/>
        <v>1</v>
      </c>
      <c r="N64" s="15">
        <f t="shared" ca="1" si="1"/>
        <v>1</v>
      </c>
      <c r="O64" s="15">
        <f t="shared" ca="1" si="15"/>
        <v>0.35091815498562873</v>
      </c>
      <c r="P64" s="15">
        <f t="shared" ca="1" si="13"/>
        <v>0.34943160143434809</v>
      </c>
      <c r="Q64" s="15">
        <v>0</v>
      </c>
      <c r="R64" s="15">
        <f t="shared" ca="1" si="3"/>
        <v>0.34943160143434809</v>
      </c>
      <c r="S64" s="15">
        <f t="shared" ca="1" si="17"/>
        <v>0</v>
      </c>
      <c r="T64" s="15">
        <v>0</v>
      </c>
      <c r="U64" s="15">
        <f t="shared" ca="1" si="5"/>
        <v>0</v>
      </c>
      <c r="V64" s="15">
        <f t="shared" ca="1" si="6"/>
        <v>0</v>
      </c>
      <c r="X64" s="15">
        <f t="shared" si="7"/>
        <v>1.05</v>
      </c>
      <c r="Y64" s="15">
        <f t="shared" si="8"/>
        <v>0.95</v>
      </c>
      <c r="Z64" s="15">
        <f t="shared" ca="1" si="9"/>
        <v>0</v>
      </c>
      <c r="AC64" s="15">
        <f t="shared" ca="1" si="10"/>
        <v>1</v>
      </c>
      <c r="AD64" s="15">
        <f t="shared" ca="1" si="11"/>
        <v>1</v>
      </c>
      <c r="AE64" s="15">
        <f t="shared" ca="1" si="12"/>
        <v>22</v>
      </c>
    </row>
    <row r="65" spans="12:31" x14ac:dyDescent="0.3">
      <c r="L65" s="15">
        <v>63</v>
      </c>
      <c r="M65" s="15">
        <f t="shared" si="0"/>
        <v>1</v>
      </c>
      <c r="N65" s="15">
        <f t="shared" ca="1" si="1"/>
        <v>0.99084458686198218</v>
      </c>
      <c r="O65" s="15">
        <f t="shared" ca="1" si="15"/>
        <v>0.35988558135788418</v>
      </c>
      <c r="P65" s="15">
        <f t="shared" ca="1" si="13"/>
        <v>0.35858701457236591</v>
      </c>
      <c r="Q65" s="15">
        <v>0</v>
      </c>
      <c r="R65" s="15">
        <f t="shared" ca="1" si="3"/>
        <v>0.35858701457236591</v>
      </c>
      <c r="S65" s="15">
        <f t="shared" ca="1" si="17"/>
        <v>9.3851531503058166E-3</v>
      </c>
      <c r="T65" s="15">
        <v>0</v>
      </c>
      <c r="U65" s="15">
        <f t="shared" ca="1" si="5"/>
        <v>9.3851531503058166E-3</v>
      </c>
      <c r="V65" s="15">
        <f t="shared" ca="1" si="6"/>
        <v>9.1554131380178535E-3</v>
      </c>
      <c r="X65" s="15">
        <f t="shared" si="7"/>
        <v>1.05</v>
      </c>
      <c r="Y65" s="15">
        <f t="shared" si="8"/>
        <v>0.95</v>
      </c>
      <c r="Z65" s="15">
        <f t="shared" ca="1" si="9"/>
        <v>0</v>
      </c>
      <c r="AC65" s="15">
        <f t="shared" ca="1" si="10"/>
        <v>0.98177299531369211</v>
      </c>
      <c r="AD65" s="15">
        <f t="shared" ca="1" si="11"/>
        <v>0.99084458686198218</v>
      </c>
      <c r="AE65" s="15">
        <f t="shared" ca="1" si="12"/>
        <v>22.78942549782559</v>
      </c>
    </row>
    <row r="66" spans="12:31" x14ac:dyDescent="0.3">
      <c r="L66" s="15">
        <v>64</v>
      </c>
      <c r="M66" s="15">
        <f t="shared" si="0"/>
        <v>1</v>
      </c>
      <c r="N66" s="15">
        <f t="shared" ca="1" si="1"/>
        <v>0.96490424963759824</v>
      </c>
      <c r="O66" s="15">
        <f t="shared" ca="1" si="15"/>
        <v>0.35988558135788418</v>
      </c>
      <c r="P66" s="15">
        <f t="shared" ca="1" si="13"/>
        <v>0.35858701457236591</v>
      </c>
      <c r="Q66" s="15">
        <v>0</v>
      </c>
      <c r="R66" s="15">
        <f t="shared" ca="1" si="3"/>
        <v>0.35858701457236591</v>
      </c>
      <c r="S66" s="15">
        <f t="shared" ca="1" si="17"/>
        <v>3.589439288411915E-2</v>
      </c>
      <c r="T66" s="15">
        <v>0</v>
      </c>
      <c r="U66" s="15">
        <f t="shared" ca="1" si="5"/>
        <v>3.589439288411915E-2</v>
      </c>
      <c r="V66" s="15">
        <f t="shared" ca="1" si="6"/>
        <v>3.509575036240177E-2</v>
      </c>
      <c r="X66" s="15">
        <f t="shared" si="7"/>
        <v>1.05</v>
      </c>
      <c r="Y66" s="15">
        <f t="shared" si="8"/>
        <v>0.95</v>
      </c>
      <c r="Z66" s="15">
        <f t="shared" ca="1" si="9"/>
        <v>0</v>
      </c>
      <c r="AC66" s="15">
        <f t="shared" ca="1" si="10"/>
        <v>0.93104021096869649</v>
      </c>
      <c r="AD66" s="15">
        <f t="shared" ca="1" si="11"/>
        <v>0.96490424963759824</v>
      </c>
      <c r="AE66" s="15">
        <f t="shared" ca="1" si="12"/>
        <v>23.157701991302357</v>
      </c>
    </row>
    <row r="67" spans="12:31" x14ac:dyDescent="0.3">
      <c r="L67" s="15">
        <v>65</v>
      </c>
      <c r="M67" s="15">
        <f t="shared" ref="M67:M130" si="18">IF(L67&lt;$D$16,$D$12,IF(L67&lt;$E$16,$E$12,$F$13))</f>
        <v>1</v>
      </c>
      <c r="N67" s="15">
        <f t="shared" ref="N67:N130" ca="1" si="19">M67-V67</f>
        <v>0.92370489051651794</v>
      </c>
      <c r="O67" s="15">
        <f t="shared" ca="1" si="15"/>
        <v>0.35988558135788418</v>
      </c>
      <c r="P67" s="15">
        <f t="shared" ca="1" si="13"/>
        <v>0.35858701457236591</v>
      </c>
      <c r="Q67" s="15">
        <v>0</v>
      </c>
      <c r="R67" s="15">
        <f t="shared" ref="R67:R130" ca="1" si="20">P67+Q67</f>
        <v>0.35858701457236591</v>
      </c>
      <c r="S67" s="15">
        <f t="shared" ca="1" si="17"/>
        <v>7.7241929525475095E-2</v>
      </c>
      <c r="T67" s="15">
        <v>0</v>
      </c>
      <c r="U67" s="15">
        <f t="shared" ref="U67:U130" ca="1" si="21">S67+T67</f>
        <v>7.7241929525475095E-2</v>
      </c>
      <c r="V67" s="15">
        <f t="shared" ref="V67:V130" ca="1" si="22">INT((2^$J$12-1)*U67/100)/(2^$J$12-1)*100</f>
        <v>7.6295109483482115E-2</v>
      </c>
      <c r="X67" s="15">
        <f t="shared" ref="X67:X130" si="23">M67 * 1.05</f>
        <v>1.05</v>
      </c>
      <c r="Y67" s="15">
        <f t="shared" ref="Y67:Y130" si="24">M67 * 0.95</f>
        <v>0.95</v>
      </c>
      <c r="Z67" s="15">
        <f t="shared" ref="Z67:Z130" ca="1" si="25">IF(AND(V67 &lt;= X67, V67 &gt;= Y67), 1, 0)</f>
        <v>0</v>
      </c>
      <c r="AC67" s="15">
        <f t="shared" ref="AC67:AC130" ca="1" si="26">N67^2</f>
        <v>0.85323072476413242</v>
      </c>
      <c r="AD67" s="15">
        <f t="shared" ref="AD67:AD130" ca="1" si="27">ABS(N67)</f>
        <v>0.92370489051651794</v>
      </c>
      <c r="AE67" s="15">
        <f t="shared" ref="AE67:AE130" ca="1" si="28">IF(M67&gt;0, ABS(N67)*(L67-$D$16),0)</f>
        <v>23.092622262912947</v>
      </c>
    </row>
    <row r="68" spans="12:31" x14ac:dyDescent="0.3">
      <c r="L68" s="15">
        <v>66</v>
      </c>
      <c r="M68" s="15">
        <f t="shared" si="18"/>
        <v>1</v>
      </c>
      <c r="N68" s="15">
        <f t="shared" ca="1" si="19"/>
        <v>0.87640192263675898</v>
      </c>
      <c r="O68" s="15">
        <f t="shared" ca="1" si="15"/>
        <v>0.26215200422833085</v>
      </c>
      <c r="P68" s="15">
        <f t="shared" ca="1" si="13"/>
        <v>0.26092927443350877</v>
      </c>
      <c r="Q68" s="15">
        <v>0</v>
      </c>
      <c r="R68" s="15">
        <f t="shared" ca="1" si="20"/>
        <v>0.26092927443350877</v>
      </c>
      <c r="S68" s="15">
        <f t="shared" ca="1" si="17"/>
        <v>0.12420179833647169</v>
      </c>
      <c r="T68" s="15">
        <v>0</v>
      </c>
      <c r="U68" s="15">
        <f t="shared" ca="1" si="21"/>
        <v>0.12420179833647169</v>
      </c>
      <c r="V68" s="15">
        <f t="shared" ca="1" si="22"/>
        <v>0.12359807736324101</v>
      </c>
      <c r="X68" s="15">
        <f t="shared" si="23"/>
        <v>1.05</v>
      </c>
      <c r="Y68" s="15">
        <f t="shared" si="24"/>
        <v>0.95</v>
      </c>
      <c r="Z68" s="15">
        <f t="shared" ca="1" si="25"/>
        <v>0</v>
      </c>
      <c r="AC68" s="15">
        <f t="shared" ca="1" si="26"/>
        <v>0.76808033000140763</v>
      </c>
      <c r="AD68" s="15">
        <f t="shared" ca="1" si="27"/>
        <v>0.87640192263675898</v>
      </c>
      <c r="AE68" s="15">
        <f t="shared" ca="1" si="28"/>
        <v>22.786449988555734</v>
      </c>
    </row>
    <row r="69" spans="12:31" x14ac:dyDescent="0.3">
      <c r="L69" s="15">
        <v>67</v>
      </c>
      <c r="M69" s="15">
        <f t="shared" si="18"/>
        <v>1</v>
      </c>
      <c r="N69" s="15">
        <f t="shared" ca="1" si="19"/>
        <v>0.83215075913633929</v>
      </c>
      <c r="O69" s="15">
        <f t="shared" ca="1" si="15"/>
        <v>0.26215200422833085</v>
      </c>
      <c r="P69" s="15">
        <f t="shared" ca="1" si="13"/>
        <v>0.26092927443350877</v>
      </c>
      <c r="Q69" s="15">
        <v>0</v>
      </c>
      <c r="R69" s="15">
        <f t="shared" ca="1" si="20"/>
        <v>0.26092927443350877</v>
      </c>
      <c r="S69" s="15">
        <f t="shared" ca="1" si="17"/>
        <v>0.16901250559330247</v>
      </c>
      <c r="T69" s="15">
        <v>0</v>
      </c>
      <c r="U69" s="15">
        <f t="shared" ca="1" si="21"/>
        <v>0.16901250559330247</v>
      </c>
      <c r="V69" s="15">
        <f t="shared" ca="1" si="22"/>
        <v>0.16784924086366065</v>
      </c>
      <c r="X69" s="15">
        <f t="shared" si="23"/>
        <v>1.05</v>
      </c>
      <c r="Y69" s="15">
        <f t="shared" si="24"/>
        <v>0.95</v>
      </c>
      <c r="Z69" s="15">
        <f t="shared" ca="1" si="25"/>
        <v>0</v>
      </c>
      <c r="AC69" s="15">
        <f t="shared" ca="1" si="26"/>
        <v>0.69247488593118578</v>
      </c>
      <c r="AD69" s="15">
        <f t="shared" ca="1" si="27"/>
        <v>0.83215075913633929</v>
      </c>
      <c r="AE69" s="15">
        <f t="shared" ca="1" si="28"/>
        <v>22.468070496681161</v>
      </c>
    </row>
    <row r="70" spans="12:31" x14ac:dyDescent="0.3">
      <c r="L70" s="15">
        <v>68</v>
      </c>
      <c r="M70" s="15">
        <f t="shared" si="18"/>
        <v>1</v>
      </c>
      <c r="N70" s="15">
        <f t="shared" ca="1" si="19"/>
        <v>0.78942549782558935</v>
      </c>
      <c r="O70" s="15">
        <f t="shared" ca="1" si="15"/>
        <v>0.26215200422833085</v>
      </c>
      <c r="P70" s="15">
        <f t="shared" ca="1" si="13"/>
        <v>0.26092927443350877</v>
      </c>
      <c r="Q70" s="15">
        <v>0</v>
      </c>
      <c r="R70" s="15">
        <f t="shared" ca="1" si="20"/>
        <v>0.26092927443350877</v>
      </c>
      <c r="S70" s="15">
        <f t="shared" ca="1" si="17"/>
        <v>0.21175732577346115</v>
      </c>
      <c r="T70" s="15">
        <v>0</v>
      </c>
      <c r="U70" s="15">
        <f t="shared" ca="1" si="21"/>
        <v>0.21175732577346115</v>
      </c>
      <c r="V70" s="15">
        <f t="shared" ca="1" si="22"/>
        <v>0.21057450217441062</v>
      </c>
      <c r="X70" s="15">
        <f t="shared" si="23"/>
        <v>1.05</v>
      </c>
      <c r="Y70" s="15">
        <f t="shared" si="24"/>
        <v>0.95</v>
      </c>
      <c r="Z70" s="15">
        <f t="shared" ca="1" si="25"/>
        <v>0</v>
      </c>
      <c r="AC70" s="15">
        <f t="shared" ca="1" si="26"/>
        <v>0.62319261661717962</v>
      </c>
      <c r="AD70" s="15">
        <f t="shared" ca="1" si="27"/>
        <v>0.78942549782558935</v>
      </c>
      <c r="AE70" s="15">
        <f t="shared" ca="1" si="28"/>
        <v>22.103913939116502</v>
      </c>
    </row>
    <row r="71" spans="12:31" x14ac:dyDescent="0.3">
      <c r="L71" s="15">
        <v>69</v>
      </c>
      <c r="M71" s="15">
        <f t="shared" si="18"/>
        <v>1</v>
      </c>
      <c r="N71" s="15">
        <f t="shared" ca="1" si="19"/>
        <v>0.74822613870450905</v>
      </c>
      <c r="O71" s="15">
        <f t="shared" ca="1" si="15"/>
        <v>0.23663529981591469</v>
      </c>
      <c r="P71" s="15">
        <f t="shared" ca="1" si="13"/>
        <v>0.23651483939879453</v>
      </c>
      <c r="Q71" s="15">
        <v>0</v>
      </c>
      <c r="R71" s="15">
        <f t="shared" ca="1" si="20"/>
        <v>0.23651483939879453</v>
      </c>
      <c r="S71" s="15">
        <f t="shared" ca="1" si="17"/>
        <v>0.25267609991908363</v>
      </c>
      <c r="T71" s="15">
        <v>0</v>
      </c>
      <c r="U71" s="15">
        <f t="shared" ca="1" si="21"/>
        <v>0.25267609991908363</v>
      </c>
      <c r="V71" s="15">
        <f t="shared" ca="1" si="22"/>
        <v>0.25177386129549095</v>
      </c>
      <c r="X71" s="15">
        <f t="shared" si="23"/>
        <v>1.05</v>
      </c>
      <c r="Y71" s="15">
        <f t="shared" si="24"/>
        <v>0.95</v>
      </c>
      <c r="Z71" s="15">
        <f t="shared" ca="1" si="25"/>
        <v>0</v>
      </c>
      <c r="AC71" s="15">
        <f t="shared" ca="1" si="26"/>
        <v>0.55984235464065923</v>
      </c>
      <c r="AD71" s="15">
        <f t="shared" ca="1" si="27"/>
        <v>0.74822613870450905</v>
      </c>
      <c r="AE71" s="15">
        <f t="shared" ca="1" si="28"/>
        <v>21.698558022430763</v>
      </c>
    </row>
    <row r="72" spans="12:31" x14ac:dyDescent="0.3">
      <c r="L72" s="15">
        <v>70</v>
      </c>
      <c r="M72" s="15">
        <f t="shared" si="18"/>
        <v>1</v>
      </c>
      <c r="N72" s="15">
        <f t="shared" ca="1" si="19"/>
        <v>0.70855268177309827</v>
      </c>
      <c r="O72" s="15">
        <f t="shared" ca="1" si="15"/>
        <v>0.23663529981591469</v>
      </c>
      <c r="P72" s="15">
        <f t="shared" ca="1" si="13"/>
        <v>0.23651483939879453</v>
      </c>
      <c r="Q72" s="15">
        <v>0</v>
      </c>
      <c r="R72" s="15">
        <f t="shared" ca="1" si="20"/>
        <v>0.23651483939879453</v>
      </c>
      <c r="S72" s="15">
        <f t="shared" ca="1" si="17"/>
        <v>0.291978940290267</v>
      </c>
      <c r="T72" s="15">
        <v>0</v>
      </c>
      <c r="U72" s="15">
        <f t="shared" ca="1" si="21"/>
        <v>0.291978940290267</v>
      </c>
      <c r="V72" s="15">
        <f t="shared" ca="1" si="22"/>
        <v>0.29144731822690167</v>
      </c>
      <c r="X72" s="15">
        <f t="shared" si="23"/>
        <v>1.05</v>
      </c>
      <c r="Y72" s="15">
        <f t="shared" si="24"/>
        <v>0.95</v>
      </c>
      <c r="Z72" s="15">
        <f t="shared" ca="1" si="25"/>
        <v>0</v>
      </c>
      <c r="AC72" s="15">
        <f t="shared" ca="1" si="26"/>
        <v>0.50204690284784947</v>
      </c>
      <c r="AD72" s="15">
        <f t="shared" ca="1" si="27"/>
        <v>0.70855268177309827</v>
      </c>
      <c r="AE72" s="15">
        <f t="shared" ca="1" si="28"/>
        <v>21.256580453192949</v>
      </c>
    </row>
    <row r="73" spans="12:31" x14ac:dyDescent="0.3">
      <c r="L73" s="15">
        <v>71</v>
      </c>
      <c r="M73" s="15">
        <f t="shared" si="18"/>
        <v>1</v>
      </c>
      <c r="N73" s="15">
        <f t="shared" ca="1" si="19"/>
        <v>0.67040512703135735</v>
      </c>
      <c r="O73" s="15">
        <f t="shared" ca="1" si="15"/>
        <v>0.23663529981591469</v>
      </c>
      <c r="P73" s="15">
        <f t="shared" ca="1" si="13"/>
        <v>0.23651483939879453</v>
      </c>
      <c r="Q73" s="15">
        <v>0</v>
      </c>
      <c r="R73" s="15">
        <f t="shared" ca="1" si="20"/>
        <v>0.23651483939879453</v>
      </c>
      <c r="S73" s="15">
        <f t="shared" ca="1" si="17"/>
        <v>0.32970473160748914</v>
      </c>
      <c r="T73" s="15">
        <v>0</v>
      </c>
      <c r="U73" s="15">
        <f t="shared" ca="1" si="21"/>
        <v>0.32970473160748914</v>
      </c>
      <c r="V73" s="15">
        <f t="shared" ca="1" si="22"/>
        <v>0.3295948729686427</v>
      </c>
      <c r="X73" s="15">
        <f t="shared" si="23"/>
        <v>1.05</v>
      </c>
      <c r="Y73" s="15">
        <f t="shared" si="24"/>
        <v>0.95</v>
      </c>
      <c r="Z73" s="15">
        <f t="shared" ca="1" si="25"/>
        <v>0</v>
      </c>
      <c r="AC73" s="15">
        <f t="shared" ca="1" si="26"/>
        <v>0.44944303434993038</v>
      </c>
      <c r="AD73" s="15">
        <f t="shared" ca="1" si="27"/>
        <v>0.67040512703135735</v>
      </c>
      <c r="AE73" s="15">
        <f t="shared" ca="1" si="28"/>
        <v>20.782558937972077</v>
      </c>
    </row>
    <row r="74" spans="12:31" x14ac:dyDescent="0.3">
      <c r="L74" s="15">
        <v>72</v>
      </c>
      <c r="M74" s="15">
        <f t="shared" si="18"/>
        <v>1</v>
      </c>
      <c r="N74" s="15">
        <f t="shared" ca="1" si="19"/>
        <v>0.63530937666895548</v>
      </c>
      <c r="O74" s="15">
        <f t="shared" ca="1" si="15"/>
        <v>0.23690567726841738</v>
      </c>
      <c r="P74" s="15">
        <f t="shared" ca="1" si="13"/>
        <v>0.23651483939879453</v>
      </c>
      <c r="Q74" s="15">
        <v>0</v>
      </c>
      <c r="R74" s="15">
        <f t="shared" ca="1" si="20"/>
        <v>0.23651483939879453</v>
      </c>
      <c r="S74" s="15">
        <f t="shared" ca="1" si="17"/>
        <v>0.36605249222688124</v>
      </c>
      <c r="T74" s="15">
        <v>0</v>
      </c>
      <c r="U74" s="15">
        <f t="shared" ca="1" si="21"/>
        <v>0.36605249222688124</v>
      </c>
      <c r="V74" s="15">
        <f t="shared" ca="1" si="22"/>
        <v>0.36469062333104446</v>
      </c>
      <c r="X74" s="15">
        <f t="shared" si="23"/>
        <v>1.05</v>
      </c>
      <c r="Y74" s="15">
        <f t="shared" si="24"/>
        <v>0.95</v>
      </c>
      <c r="Z74" s="15">
        <f t="shared" ca="1" si="25"/>
        <v>0</v>
      </c>
      <c r="AC74" s="15">
        <f t="shared" ca="1" si="26"/>
        <v>0.40361800408349674</v>
      </c>
      <c r="AD74" s="15">
        <f t="shared" ca="1" si="27"/>
        <v>0.63530937666895548</v>
      </c>
      <c r="AE74" s="15">
        <f t="shared" ca="1" si="28"/>
        <v>20.329900053406575</v>
      </c>
    </row>
    <row r="75" spans="12:31" x14ac:dyDescent="0.3">
      <c r="L75" s="15">
        <v>73</v>
      </c>
      <c r="M75" s="15">
        <f t="shared" si="18"/>
        <v>1</v>
      </c>
      <c r="N75" s="15">
        <f t="shared" ca="1" si="19"/>
        <v>0.60021362630655384</v>
      </c>
      <c r="O75" s="15">
        <f t="shared" ca="1" si="15"/>
        <v>0.23690567726841738</v>
      </c>
      <c r="P75" s="15">
        <f t="shared" ca="1" si="13"/>
        <v>0.23651483939879453</v>
      </c>
      <c r="Q75" s="15">
        <v>0</v>
      </c>
      <c r="R75" s="15">
        <f t="shared" ca="1" si="20"/>
        <v>0.23651483939879453</v>
      </c>
      <c r="S75" s="15">
        <f t="shared" ca="1" si="17"/>
        <v>0.40119479866730012</v>
      </c>
      <c r="T75" s="15">
        <v>0</v>
      </c>
      <c r="U75" s="15">
        <f t="shared" ca="1" si="21"/>
        <v>0.40119479866730012</v>
      </c>
      <c r="V75" s="15">
        <f t="shared" ca="1" si="22"/>
        <v>0.39978637369344622</v>
      </c>
      <c r="X75" s="15">
        <f t="shared" si="23"/>
        <v>1.05</v>
      </c>
      <c r="Y75" s="15">
        <f t="shared" si="24"/>
        <v>0.95</v>
      </c>
      <c r="Z75" s="15">
        <f t="shared" ca="1" si="25"/>
        <v>0</v>
      </c>
      <c r="AC75" s="15">
        <f t="shared" ca="1" si="26"/>
        <v>0.36025639720406344</v>
      </c>
      <c r="AD75" s="15">
        <f t="shared" ca="1" si="27"/>
        <v>0.60021362630655384</v>
      </c>
      <c r="AE75" s="15">
        <f t="shared" ca="1" si="28"/>
        <v>19.807049668116278</v>
      </c>
    </row>
    <row r="76" spans="12:31" x14ac:dyDescent="0.3">
      <c r="L76" s="15">
        <v>74</v>
      </c>
      <c r="M76" s="15">
        <f t="shared" si="18"/>
        <v>1</v>
      </c>
      <c r="N76" s="15">
        <f t="shared" ca="1" si="19"/>
        <v>0.56511787594415197</v>
      </c>
      <c r="O76" s="15">
        <f t="shared" ca="1" si="15"/>
        <v>0.23690567726841738</v>
      </c>
      <c r="P76" s="15">
        <f t="shared" ca="1" si="13"/>
        <v>0.23651483939879453</v>
      </c>
      <c r="Q76" s="15">
        <v>0</v>
      </c>
      <c r="R76" s="15">
        <f t="shared" ca="1" si="20"/>
        <v>0.23651483939879453</v>
      </c>
      <c r="S76" s="15">
        <f t="shared" ca="1" si="17"/>
        <v>0.43513602838215648</v>
      </c>
      <c r="T76" s="15">
        <v>0</v>
      </c>
      <c r="U76" s="15">
        <f t="shared" ca="1" si="21"/>
        <v>0.43513602838215648</v>
      </c>
      <c r="V76" s="15">
        <f t="shared" ca="1" si="22"/>
        <v>0.43488212405584803</v>
      </c>
      <c r="X76" s="15">
        <f t="shared" si="23"/>
        <v>1.05</v>
      </c>
      <c r="Y76" s="15">
        <f t="shared" si="24"/>
        <v>0.95</v>
      </c>
      <c r="Z76" s="15">
        <f t="shared" ca="1" si="25"/>
        <v>0</v>
      </c>
      <c r="AC76" s="15">
        <f t="shared" ca="1" si="26"/>
        <v>0.31935821371162992</v>
      </c>
      <c r="AD76" s="15">
        <f t="shared" ca="1" si="27"/>
        <v>0.56511787594415197</v>
      </c>
      <c r="AE76" s="15">
        <f t="shared" ca="1" si="28"/>
        <v>19.214007782101167</v>
      </c>
    </row>
    <row r="77" spans="12:31" x14ac:dyDescent="0.3">
      <c r="L77" s="15">
        <v>75</v>
      </c>
      <c r="M77" s="15">
        <f t="shared" si="18"/>
        <v>1</v>
      </c>
      <c r="N77" s="15">
        <f t="shared" ca="1" si="19"/>
        <v>0.53307392996108949</v>
      </c>
      <c r="O77" s="15">
        <f t="shared" ca="1" si="15"/>
        <v>0.23369580058977779</v>
      </c>
      <c r="P77" s="15">
        <f t="shared" ref="P77:P140" ca="1" si="29">INT((2^$J$12-1)*O77/100)/(2^$J$12-1)*100</f>
        <v>0.23346303501945526</v>
      </c>
      <c r="Q77" s="15">
        <v>0</v>
      </c>
      <c r="R77" s="15">
        <f t="shared" ca="1" si="20"/>
        <v>0.23346303501945526</v>
      </c>
      <c r="S77" s="15">
        <f t="shared" ca="1" si="17"/>
        <v>0.46805668239820181</v>
      </c>
      <c r="T77" s="15">
        <v>0</v>
      </c>
      <c r="U77" s="15">
        <f t="shared" ca="1" si="21"/>
        <v>0.46805668239820181</v>
      </c>
      <c r="V77" s="15">
        <f t="shared" ca="1" si="22"/>
        <v>0.46692607003891051</v>
      </c>
      <c r="X77" s="15">
        <f t="shared" si="23"/>
        <v>1.05</v>
      </c>
      <c r="Y77" s="15">
        <f t="shared" si="24"/>
        <v>0.95</v>
      </c>
      <c r="Z77" s="15">
        <f t="shared" ca="1" si="25"/>
        <v>0</v>
      </c>
      <c r="AC77" s="15">
        <f t="shared" ca="1" si="26"/>
        <v>0.28416781480416053</v>
      </c>
      <c r="AD77" s="15">
        <f t="shared" ca="1" si="27"/>
        <v>0.53307392996108949</v>
      </c>
      <c r="AE77" s="15">
        <f t="shared" ca="1" si="28"/>
        <v>18.657587548638134</v>
      </c>
    </row>
    <row r="78" spans="12:31" x14ac:dyDescent="0.3">
      <c r="L78" s="15">
        <v>76</v>
      </c>
      <c r="M78" s="15">
        <f t="shared" si="18"/>
        <v>1</v>
      </c>
      <c r="N78" s="15">
        <f t="shared" ca="1" si="19"/>
        <v>0.501029983978027</v>
      </c>
      <c r="O78" s="15">
        <f t="shared" ca="1" si="15"/>
        <v>0.23369580058977779</v>
      </c>
      <c r="P78" s="15">
        <f t="shared" ca="1" si="29"/>
        <v>0.23346303501945526</v>
      </c>
      <c r="Q78" s="15">
        <v>0</v>
      </c>
      <c r="R78" s="15">
        <f t="shared" ca="1" si="20"/>
        <v>0.23346303501945526</v>
      </c>
      <c r="S78" s="15">
        <f t="shared" ca="1" si="17"/>
        <v>0.50011107454956272</v>
      </c>
      <c r="T78" s="15">
        <v>0</v>
      </c>
      <c r="U78" s="15">
        <f t="shared" ca="1" si="21"/>
        <v>0.50011107454956272</v>
      </c>
      <c r="V78" s="15">
        <f t="shared" ca="1" si="22"/>
        <v>0.49897001602197294</v>
      </c>
      <c r="X78" s="15">
        <f t="shared" si="23"/>
        <v>1.05</v>
      </c>
      <c r="Y78" s="15">
        <f t="shared" si="24"/>
        <v>0.95</v>
      </c>
      <c r="Z78" s="15">
        <f t="shared" ca="1" si="25"/>
        <v>0</v>
      </c>
      <c r="AC78" s="15">
        <f t="shared" ca="1" si="26"/>
        <v>0.25103104484502198</v>
      </c>
      <c r="AD78" s="15">
        <f t="shared" ca="1" si="27"/>
        <v>0.501029983978027</v>
      </c>
      <c r="AE78" s="15">
        <f t="shared" ca="1" si="28"/>
        <v>18.037079423208972</v>
      </c>
    </row>
    <row r="79" spans="12:31" x14ac:dyDescent="0.3">
      <c r="L79" s="15">
        <v>77</v>
      </c>
      <c r="M79" s="15">
        <f t="shared" si="18"/>
        <v>1</v>
      </c>
      <c r="N79" s="15">
        <f t="shared" ca="1" si="19"/>
        <v>0.46898603799496452</v>
      </c>
      <c r="O79" s="15">
        <f t="shared" ca="1" si="15"/>
        <v>0.23369580058977779</v>
      </c>
      <c r="P79" s="15">
        <f t="shared" ca="1" si="29"/>
        <v>0.23346303501945526</v>
      </c>
      <c r="Q79" s="15">
        <v>0</v>
      </c>
      <c r="R79" s="15">
        <f t="shared" ca="1" si="20"/>
        <v>0.23346303501945526</v>
      </c>
      <c r="S79" s="15">
        <f t="shared" ca="1" si="17"/>
        <v>0.5312735871931582</v>
      </c>
      <c r="T79" s="15">
        <v>0</v>
      </c>
      <c r="U79" s="15">
        <f t="shared" ca="1" si="21"/>
        <v>0.5312735871931582</v>
      </c>
      <c r="V79" s="15">
        <f t="shared" ca="1" si="22"/>
        <v>0.53101396200503548</v>
      </c>
      <c r="X79" s="15">
        <f t="shared" si="23"/>
        <v>1.05</v>
      </c>
      <c r="Y79" s="15">
        <f t="shared" si="24"/>
        <v>0.95</v>
      </c>
      <c r="Z79" s="15">
        <f t="shared" ca="1" si="25"/>
        <v>0</v>
      </c>
      <c r="AC79" s="15">
        <f t="shared" ca="1" si="26"/>
        <v>0.21994790383421431</v>
      </c>
      <c r="AD79" s="15">
        <f t="shared" ca="1" si="27"/>
        <v>0.46898603799496452</v>
      </c>
      <c r="AE79" s="15">
        <f t="shared" ca="1" si="28"/>
        <v>17.352483405813686</v>
      </c>
    </row>
    <row r="80" spans="12:31" x14ac:dyDescent="0.3">
      <c r="L80" s="15">
        <v>78</v>
      </c>
      <c r="M80" s="15">
        <f t="shared" si="18"/>
        <v>1</v>
      </c>
      <c r="N80" s="15">
        <f t="shared" ca="1" si="19"/>
        <v>0.43846799420157168</v>
      </c>
      <c r="O80" s="15">
        <f t="shared" ca="1" si="15"/>
        <v>0.22777688941833663</v>
      </c>
      <c r="P80" s="15">
        <f t="shared" ca="1" si="29"/>
        <v>0.22735942626077671</v>
      </c>
      <c r="Q80" s="15">
        <v>0</v>
      </c>
      <c r="R80" s="15">
        <f t="shared" ca="1" si="20"/>
        <v>0.22735942626077671</v>
      </c>
      <c r="S80" s="15">
        <f t="shared" ca="1" si="17"/>
        <v>0.5616840260038144</v>
      </c>
      <c r="T80" s="15">
        <v>0</v>
      </c>
      <c r="U80" s="15">
        <f t="shared" ca="1" si="21"/>
        <v>0.5616840260038144</v>
      </c>
      <c r="V80" s="15">
        <f t="shared" ca="1" si="22"/>
        <v>0.56153200579842832</v>
      </c>
      <c r="X80" s="15">
        <f t="shared" si="23"/>
        <v>1.05</v>
      </c>
      <c r="Y80" s="15">
        <f t="shared" si="24"/>
        <v>0.95</v>
      </c>
      <c r="Z80" s="15">
        <f t="shared" ca="1" si="25"/>
        <v>0</v>
      </c>
      <c r="AC80" s="15">
        <f t="shared" ca="1" si="26"/>
        <v>0.1922541819391495</v>
      </c>
      <c r="AD80" s="15">
        <f t="shared" ca="1" si="27"/>
        <v>0.43846799420157168</v>
      </c>
      <c r="AE80" s="15">
        <f t="shared" ca="1" si="28"/>
        <v>16.661783779659725</v>
      </c>
    </row>
    <row r="81" spans="12:31" x14ac:dyDescent="0.3">
      <c r="L81" s="15">
        <v>79</v>
      </c>
      <c r="M81" s="15">
        <f t="shared" si="18"/>
        <v>1</v>
      </c>
      <c r="N81" s="15">
        <f t="shared" ca="1" si="19"/>
        <v>0.40947585259784847</v>
      </c>
      <c r="O81" s="15">
        <f t="shared" ca="1" si="15"/>
        <v>0.22777688941833663</v>
      </c>
      <c r="P81" s="15">
        <f t="shared" ca="1" si="29"/>
        <v>0.22735942626077671</v>
      </c>
      <c r="Q81" s="15">
        <v>0</v>
      </c>
      <c r="R81" s="15">
        <f t="shared" ca="1" si="20"/>
        <v>0.22735942626077671</v>
      </c>
      <c r="S81" s="15">
        <f t="shared" ca="1" si="17"/>
        <v>0.59146062349594553</v>
      </c>
      <c r="T81" s="15">
        <v>0</v>
      </c>
      <c r="U81" s="15">
        <f t="shared" ca="1" si="21"/>
        <v>0.59146062349594553</v>
      </c>
      <c r="V81" s="15">
        <f t="shared" ca="1" si="22"/>
        <v>0.59052414740215153</v>
      </c>
      <c r="X81" s="15">
        <f t="shared" si="23"/>
        <v>1.05</v>
      </c>
      <c r="Y81" s="15">
        <f t="shared" si="24"/>
        <v>0.95</v>
      </c>
      <c r="Z81" s="15">
        <f t="shared" ca="1" si="25"/>
        <v>0</v>
      </c>
      <c r="AC81" s="15">
        <f t="shared" ca="1" si="26"/>
        <v>0.16767047386073491</v>
      </c>
      <c r="AD81" s="15">
        <f t="shared" ca="1" si="27"/>
        <v>0.40947585259784847</v>
      </c>
      <c r="AE81" s="15">
        <f t="shared" ca="1" si="28"/>
        <v>15.969558251316091</v>
      </c>
    </row>
    <row r="82" spans="12:31" x14ac:dyDescent="0.3">
      <c r="L82" s="15">
        <v>80</v>
      </c>
      <c r="M82" s="15">
        <f t="shared" si="18"/>
        <v>1</v>
      </c>
      <c r="N82" s="15">
        <f t="shared" ca="1" si="19"/>
        <v>0.38048371099412526</v>
      </c>
      <c r="O82" s="15">
        <f t="shared" ca="1" si="15"/>
        <v>0.22777688941833663</v>
      </c>
      <c r="P82" s="15">
        <f t="shared" ca="1" si="29"/>
        <v>0.22735942626077671</v>
      </c>
      <c r="Q82" s="15">
        <v>0</v>
      </c>
      <c r="R82" s="15">
        <f t="shared" ca="1" si="20"/>
        <v>0.22735942626077671</v>
      </c>
      <c r="S82" s="15">
        <f t="shared" ca="1" si="17"/>
        <v>0.62055789363819303</v>
      </c>
      <c r="T82" s="15">
        <v>0</v>
      </c>
      <c r="U82" s="15">
        <f t="shared" ca="1" si="21"/>
        <v>0.62055789363819303</v>
      </c>
      <c r="V82" s="15">
        <f t="shared" ca="1" si="22"/>
        <v>0.61951628900587474</v>
      </c>
      <c r="X82" s="15">
        <f t="shared" si="23"/>
        <v>1.05</v>
      </c>
      <c r="Y82" s="15">
        <f t="shared" si="24"/>
        <v>0.95</v>
      </c>
      <c r="Z82" s="15">
        <f t="shared" ca="1" si="25"/>
        <v>0</v>
      </c>
      <c r="AC82" s="15">
        <f t="shared" ca="1" si="26"/>
        <v>0.14476785433186104</v>
      </c>
      <c r="AD82" s="15">
        <f t="shared" ca="1" si="27"/>
        <v>0.38048371099412526</v>
      </c>
      <c r="AE82" s="15">
        <f t="shared" ca="1" si="28"/>
        <v>15.21934843976501</v>
      </c>
    </row>
    <row r="83" spans="12:31" x14ac:dyDescent="0.3">
      <c r="L83" s="15">
        <v>81</v>
      </c>
      <c r="M83" s="15">
        <f t="shared" si="18"/>
        <v>1</v>
      </c>
      <c r="N83" s="15">
        <f t="shared" ca="1" si="19"/>
        <v>0.35149156939040205</v>
      </c>
      <c r="O83" s="15">
        <f t="shared" ca="1" si="15"/>
        <v>0.22188124937702697</v>
      </c>
      <c r="P83" s="15">
        <f t="shared" ca="1" si="29"/>
        <v>0.22125581750209811</v>
      </c>
      <c r="Q83" s="15">
        <v>0</v>
      </c>
      <c r="R83" s="15">
        <f t="shared" ca="1" si="20"/>
        <v>0.22125581750209811</v>
      </c>
      <c r="S83" s="15">
        <f t="shared" ca="1" si="17"/>
        <v>0.64909739672124711</v>
      </c>
      <c r="T83" s="15">
        <v>0</v>
      </c>
      <c r="U83" s="15">
        <f t="shared" ca="1" si="21"/>
        <v>0.64909739672124711</v>
      </c>
      <c r="V83" s="15">
        <f t="shared" ca="1" si="22"/>
        <v>0.64850843060959795</v>
      </c>
      <c r="X83" s="15">
        <f t="shared" si="23"/>
        <v>1.05</v>
      </c>
      <c r="Y83" s="15">
        <f t="shared" si="24"/>
        <v>0.95</v>
      </c>
      <c r="Z83" s="15">
        <f t="shared" ca="1" si="25"/>
        <v>0</v>
      </c>
      <c r="AC83" s="15">
        <f t="shared" ca="1" si="26"/>
        <v>0.12354632335252781</v>
      </c>
      <c r="AD83" s="15">
        <f t="shared" ca="1" si="27"/>
        <v>0.35149156939040205</v>
      </c>
      <c r="AE83" s="15">
        <f t="shared" ca="1" si="28"/>
        <v>14.411154345006484</v>
      </c>
    </row>
    <row r="84" spans="12:31" x14ac:dyDescent="0.3">
      <c r="L84" s="15">
        <v>82</v>
      </c>
      <c r="M84" s="15">
        <f t="shared" si="18"/>
        <v>1</v>
      </c>
      <c r="N84" s="15">
        <f t="shared" ca="1" si="19"/>
        <v>0.32402532997634848</v>
      </c>
      <c r="O84" s="15">
        <f t="shared" ca="1" si="15"/>
        <v>0.22188124937702697</v>
      </c>
      <c r="P84" s="15">
        <f t="shared" ca="1" si="29"/>
        <v>0.22125581750209811</v>
      </c>
      <c r="Q84" s="15">
        <v>0</v>
      </c>
      <c r="R84" s="15">
        <f t="shared" ca="1" si="20"/>
        <v>0.22125581750209811</v>
      </c>
      <c r="S84" s="15">
        <f t="shared" ca="1" si="17"/>
        <v>0.67718061403247753</v>
      </c>
      <c r="T84" s="15">
        <v>0</v>
      </c>
      <c r="U84" s="15">
        <f t="shared" ca="1" si="21"/>
        <v>0.67718061403247753</v>
      </c>
      <c r="V84" s="15">
        <f t="shared" ca="1" si="22"/>
        <v>0.67597467002365152</v>
      </c>
      <c r="X84" s="15">
        <f t="shared" si="23"/>
        <v>1.05</v>
      </c>
      <c r="Y84" s="15">
        <f t="shared" si="24"/>
        <v>0.95</v>
      </c>
      <c r="Z84" s="15">
        <f t="shared" ca="1" si="25"/>
        <v>0</v>
      </c>
      <c r="AC84" s="15">
        <f t="shared" ca="1" si="26"/>
        <v>0.10499241446628152</v>
      </c>
      <c r="AD84" s="15">
        <f t="shared" ca="1" si="27"/>
        <v>0.32402532997634848</v>
      </c>
      <c r="AE84" s="15">
        <f t="shared" ca="1" si="28"/>
        <v>13.609063859006636</v>
      </c>
    </row>
    <row r="85" spans="12:31" x14ac:dyDescent="0.3">
      <c r="L85" s="15">
        <v>83</v>
      </c>
      <c r="M85" s="15">
        <f t="shared" si="18"/>
        <v>1</v>
      </c>
      <c r="N85" s="15">
        <f t="shared" ca="1" si="19"/>
        <v>0.2965590905622949</v>
      </c>
      <c r="O85" s="15">
        <f t="shared" ca="1" si="15"/>
        <v>0.22188124937702697</v>
      </c>
      <c r="P85" s="15">
        <f t="shared" ca="1" si="29"/>
        <v>0.22125581750209811</v>
      </c>
      <c r="Q85" s="15">
        <v>0</v>
      </c>
      <c r="R85" s="15">
        <f t="shared" ca="1" si="20"/>
        <v>0.22125581750209811</v>
      </c>
      <c r="S85" s="15">
        <f t="shared" ca="1" si="17"/>
        <v>0.70474668365917015</v>
      </c>
      <c r="T85" s="15">
        <v>0</v>
      </c>
      <c r="U85" s="15">
        <f t="shared" ca="1" si="21"/>
        <v>0.70474668365917015</v>
      </c>
      <c r="V85" s="15">
        <f t="shared" ca="1" si="22"/>
        <v>0.7034409094377051</v>
      </c>
      <c r="X85" s="15">
        <f t="shared" si="23"/>
        <v>1.05</v>
      </c>
      <c r="Y85" s="15">
        <f t="shared" si="24"/>
        <v>0.95</v>
      </c>
      <c r="Z85" s="15">
        <f t="shared" ca="1" si="25"/>
        <v>0</v>
      </c>
      <c r="AC85" s="15">
        <f t="shared" ca="1" si="26"/>
        <v>8.7947294195135431E-2</v>
      </c>
      <c r="AD85" s="15">
        <f t="shared" ca="1" si="27"/>
        <v>0.2965590905622949</v>
      </c>
      <c r="AE85" s="15">
        <f t="shared" ca="1" si="28"/>
        <v>12.75204089417868</v>
      </c>
    </row>
    <row r="86" spans="12:31" x14ac:dyDescent="0.3">
      <c r="L86" s="15">
        <v>84</v>
      </c>
      <c r="M86" s="15">
        <f t="shared" si="18"/>
        <v>1</v>
      </c>
      <c r="N86" s="15">
        <f t="shared" ca="1" si="19"/>
        <v>0.26909285114824144</v>
      </c>
      <c r="O86" s="15">
        <f t="shared" ca="1" si="15"/>
        <v>0.21284030846614038</v>
      </c>
      <c r="P86" s="15">
        <f t="shared" ca="1" si="29"/>
        <v>0.21210040436408026</v>
      </c>
      <c r="Q86" s="15">
        <v>0</v>
      </c>
      <c r="R86" s="15">
        <f t="shared" ca="1" si="20"/>
        <v>0.21210040436408026</v>
      </c>
      <c r="S86" s="15">
        <f t="shared" ca="1" si="17"/>
        <v>0.73182385620458867</v>
      </c>
      <c r="T86" s="15">
        <v>0</v>
      </c>
      <c r="U86" s="15">
        <f t="shared" ca="1" si="21"/>
        <v>0.73182385620458867</v>
      </c>
      <c r="V86" s="15">
        <f t="shared" ca="1" si="22"/>
        <v>0.73090714885175856</v>
      </c>
      <c r="X86" s="15">
        <f t="shared" si="23"/>
        <v>1.05</v>
      </c>
      <c r="Y86" s="15">
        <f t="shared" si="24"/>
        <v>0.95</v>
      </c>
      <c r="Z86" s="15">
        <f t="shared" ca="1" si="25"/>
        <v>0</v>
      </c>
      <c r="AC86" s="15">
        <f t="shared" ca="1" si="26"/>
        <v>7.2410962539089629E-2</v>
      </c>
      <c r="AD86" s="15">
        <f t="shared" ca="1" si="27"/>
        <v>0.26909285114824144</v>
      </c>
      <c r="AE86" s="15">
        <f t="shared" ca="1" si="28"/>
        <v>11.840085450522624</v>
      </c>
    </row>
    <row r="87" spans="12:31" x14ac:dyDescent="0.3">
      <c r="L87" s="15">
        <v>85</v>
      </c>
      <c r="M87" s="15">
        <f t="shared" si="18"/>
        <v>1</v>
      </c>
      <c r="N87" s="15">
        <f t="shared" ca="1" si="19"/>
        <v>0.24162661173418787</v>
      </c>
      <c r="O87" s="15">
        <f t="shared" ca="1" si="15"/>
        <v>0.21284030846614038</v>
      </c>
      <c r="P87" s="15">
        <f t="shared" ca="1" si="29"/>
        <v>0.21210040436408026</v>
      </c>
      <c r="Q87" s="15">
        <v>0</v>
      </c>
      <c r="R87" s="15">
        <f t="shared" ca="1" si="20"/>
        <v>0.21210040436408026</v>
      </c>
      <c r="S87" s="15">
        <f t="shared" ca="1" si="17"/>
        <v>0.75843536022130109</v>
      </c>
      <c r="T87" s="15">
        <v>0</v>
      </c>
      <c r="U87" s="15">
        <f t="shared" ca="1" si="21"/>
        <v>0.75843536022130109</v>
      </c>
      <c r="V87" s="15">
        <f t="shared" ca="1" si="22"/>
        <v>0.75837338826581213</v>
      </c>
      <c r="X87" s="15">
        <f t="shared" si="23"/>
        <v>1.05</v>
      </c>
      <c r="Y87" s="15">
        <f t="shared" si="24"/>
        <v>0.95</v>
      </c>
      <c r="Z87" s="15">
        <f t="shared" ca="1" si="25"/>
        <v>0</v>
      </c>
      <c r="AC87" s="15">
        <f t="shared" ca="1" si="26"/>
        <v>5.8383419498143976E-2</v>
      </c>
      <c r="AD87" s="15">
        <f t="shared" ca="1" si="27"/>
        <v>0.24162661173418787</v>
      </c>
      <c r="AE87" s="15">
        <f t="shared" ca="1" si="28"/>
        <v>10.873197528038453</v>
      </c>
    </row>
    <row r="88" spans="12:31" x14ac:dyDescent="0.3">
      <c r="L88" s="15">
        <v>86</v>
      </c>
      <c r="M88" s="15">
        <f t="shared" si="18"/>
        <v>1</v>
      </c>
      <c r="N88" s="15">
        <f t="shared" ca="1" si="19"/>
        <v>0.21568627450980393</v>
      </c>
      <c r="O88" s="15">
        <f t="shared" ca="1" si="15"/>
        <v>0.21284030846614038</v>
      </c>
      <c r="P88" s="15">
        <f t="shared" ca="1" si="29"/>
        <v>0.21210040436408026</v>
      </c>
      <c r="Q88" s="15">
        <v>0</v>
      </c>
      <c r="R88" s="15">
        <f t="shared" ca="1" si="20"/>
        <v>0.21210040436408026</v>
      </c>
      <c r="S88" s="15">
        <f t="shared" ca="1" si="17"/>
        <v>0.78452774958224381</v>
      </c>
      <c r="T88" s="15">
        <v>0</v>
      </c>
      <c r="U88" s="15">
        <f t="shared" ca="1" si="21"/>
        <v>0.78452774958224381</v>
      </c>
      <c r="V88" s="15">
        <f t="shared" ca="1" si="22"/>
        <v>0.78431372549019607</v>
      </c>
      <c r="X88" s="15">
        <f t="shared" si="23"/>
        <v>1.05</v>
      </c>
      <c r="Y88" s="15">
        <f t="shared" si="24"/>
        <v>0.95</v>
      </c>
      <c r="Z88" s="15">
        <f t="shared" ca="1" si="25"/>
        <v>0</v>
      </c>
      <c r="AC88" s="15">
        <f t="shared" ca="1" si="26"/>
        <v>4.6520569011918499E-2</v>
      </c>
      <c r="AD88" s="15">
        <f t="shared" ca="1" si="27"/>
        <v>0.21568627450980393</v>
      </c>
      <c r="AE88" s="15">
        <f t="shared" ca="1" si="28"/>
        <v>9.9215686274509807</v>
      </c>
    </row>
    <row r="89" spans="12:31" x14ac:dyDescent="0.3">
      <c r="L89" s="15">
        <v>87</v>
      </c>
      <c r="M89" s="15">
        <f t="shared" si="18"/>
        <v>1</v>
      </c>
      <c r="N89" s="15">
        <f t="shared" ca="1" si="19"/>
        <v>0.19127183947508952</v>
      </c>
      <c r="O89" s="15">
        <f t="shared" ca="1" si="15"/>
        <v>0.20332867529175458</v>
      </c>
      <c r="P89" s="15">
        <f t="shared" ca="1" si="29"/>
        <v>0.20294499122606244</v>
      </c>
      <c r="Q89" s="15">
        <v>0</v>
      </c>
      <c r="R89" s="15">
        <f t="shared" ca="1" si="20"/>
        <v>0.20294499122606244</v>
      </c>
      <c r="S89" s="15">
        <f t="shared" ca="1" si="17"/>
        <v>0.80921176227693825</v>
      </c>
      <c r="T89" s="15">
        <v>0</v>
      </c>
      <c r="U89" s="15">
        <f t="shared" ca="1" si="21"/>
        <v>0.80921176227693825</v>
      </c>
      <c r="V89" s="15">
        <f t="shared" ca="1" si="22"/>
        <v>0.80872816052491048</v>
      </c>
      <c r="X89" s="15">
        <f t="shared" si="23"/>
        <v>1.05</v>
      </c>
      <c r="Y89" s="15">
        <f t="shared" si="24"/>
        <v>0.95</v>
      </c>
      <c r="Z89" s="15">
        <f t="shared" ca="1" si="25"/>
        <v>0</v>
      </c>
      <c r="AC89" s="15">
        <f t="shared" ca="1" si="26"/>
        <v>3.6584916576184415E-2</v>
      </c>
      <c r="AD89" s="15">
        <f t="shared" ca="1" si="27"/>
        <v>0.19127183947508952</v>
      </c>
      <c r="AE89" s="15">
        <f t="shared" ca="1" si="28"/>
        <v>8.9897764553292081</v>
      </c>
    </row>
    <row r="90" spans="12:31" x14ac:dyDescent="0.3">
      <c r="L90" s="15">
        <v>88</v>
      </c>
      <c r="M90" s="15">
        <f t="shared" si="18"/>
        <v>1</v>
      </c>
      <c r="N90" s="15">
        <f t="shared" ca="1" si="19"/>
        <v>0.16838330663004497</v>
      </c>
      <c r="O90" s="15">
        <f t="shared" ca="1" si="15"/>
        <v>0.20332867529175458</v>
      </c>
      <c r="P90" s="15">
        <f t="shared" ca="1" si="29"/>
        <v>0.20294499122606244</v>
      </c>
      <c r="Q90" s="15">
        <v>0</v>
      </c>
      <c r="R90" s="15">
        <f t="shared" ca="1" si="20"/>
        <v>0.20294499122606244</v>
      </c>
      <c r="S90" s="15">
        <f t="shared" ca="1" si="17"/>
        <v>0.83175434732330422</v>
      </c>
      <c r="T90" s="15">
        <v>0</v>
      </c>
      <c r="U90" s="15">
        <f t="shared" ca="1" si="21"/>
        <v>0.83175434732330422</v>
      </c>
      <c r="V90" s="15">
        <f t="shared" ca="1" si="22"/>
        <v>0.83161669336995503</v>
      </c>
      <c r="X90" s="15">
        <f t="shared" si="23"/>
        <v>1.05</v>
      </c>
      <c r="Y90" s="15">
        <f t="shared" si="24"/>
        <v>0.95</v>
      </c>
      <c r="Z90" s="15">
        <f t="shared" ca="1" si="25"/>
        <v>0</v>
      </c>
      <c r="AC90" s="15">
        <f t="shared" ca="1" si="26"/>
        <v>2.8352937951667746E-2</v>
      </c>
      <c r="AD90" s="15">
        <f t="shared" ca="1" si="27"/>
        <v>0.16838330663004497</v>
      </c>
      <c r="AE90" s="15">
        <f t="shared" ca="1" si="28"/>
        <v>8.0823987182421586</v>
      </c>
    </row>
    <row r="91" spans="12:31" x14ac:dyDescent="0.3">
      <c r="L91" s="27">
        <v>89</v>
      </c>
      <c r="M91" s="15">
        <f t="shared" si="18"/>
        <v>1</v>
      </c>
      <c r="N91" s="15">
        <f t="shared" ca="1" si="19"/>
        <v>0.14854657816433969</v>
      </c>
      <c r="O91" s="15">
        <f t="shared" ca="1" si="15"/>
        <v>0.20332867529175458</v>
      </c>
      <c r="P91" s="15">
        <f t="shared" ca="1" si="29"/>
        <v>0.20294499122606244</v>
      </c>
      <c r="Q91" s="15">
        <v>0</v>
      </c>
      <c r="R91" s="15">
        <f t="shared" ca="1" si="20"/>
        <v>0.20294499122606244</v>
      </c>
      <c r="S91" s="15">
        <f t="shared" ca="1" si="17"/>
        <v>0.85233198297688428</v>
      </c>
      <c r="T91" s="15">
        <v>0</v>
      </c>
      <c r="U91" s="15">
        <f t="shared" ca="1" si="21"/>
        <v>0.85233198297688428</v>
      </c>
      <c r="V91" s="15">
        <f t="shared" ca="1" si="22"/>
        <v>0.85145342183566031</v>
      </c>
      <c r="X91" s="15">
        <f t="shared" si="23"/>
        <v>1.05</v>
      </c>
      <c r="Y91" s="15">
        <f t="shared" si="24"/>
        <v>0.95</v>
      </c>
      <c r="Z91" s="15">
        <f t="shared" ca="1" si="25"/>
        <v>0</v>
      </c>
      <c r="AC91" s="15">
        <f t="shared" ca="1" si="26"/>
        <v>2.2066085884334282E-2</v>
      </c>
      <c r="AD91" s="15">
        <f t="shared" ca="1" si="27"/>
        <v>0.14854657816433969</v>
      </c>
      <c r="AE91" s="15">
        <f t="shared" ca="1" si="28"/>
        <v>7.2787823300526453</v>
      </c>
    </row>
    <row r="92" spans="12:31" x14ac:dyDescent="0.3">
      <c r="L92" s="15">
        <v>90</v>
      </c>
      <c r="M92" s="15">
        <f t="shared" si="18"/>
        <v>1</v>
      </c>
      <c r="N92" s="15">
        <f t="shared" ca="1" si="19"/>
        <v>0.13023575188830394</v>
      </c>
      <c r="O92" s="15">
        <f t="shared" ca="1" si="15"/>
        <v>0.20668415354653025</v>
      </c>
      <c r="P92" s="15">
        <f t="shared" ca="1" si="29"/>
        <v>0.20599679560540171</v>
      </c>
      <c r="Q92" s="15">
        <v>0</v>
      </c>
      <c r="R92" s="15">
        <f t="shared" ca="1" si="20"/>
        <v>0.20599679560540171</v>
      </c>
      <c r="S92" s="15">
        <f t="shared" ca="1" si="17"/>
        <v>0.87089585804543268</v>
      </c>
      <c r="T92" s="15">
        <v>0</v>
      </c>
      <c r="U92" s="15">
        <f t="shared" ca="1" si="21"/>
        <v>0.87089585804543268</v>
      </c>
      <c r="V92" s="15">
        <f t="shared" ca="1" si="22"/>
        <v>0.86976424811169606</v>
      </c>
      <c r="X92" s="15">
        <f t="shared" si="23"/>
        <v>1.05</v>
      </c>
      <c r="Y92" s="15">
        <f t="shared" si="24"/>
        <v>0.95</v>
      </c>
      <c r="Z92" s="15">
        <f t="shared" ca="1" si="25"/>
        <v>0</v>
      </c>
      <c r="AC92" s="15">
        <f t="shared" ca="1" si="26"/>
        <v>1.6961351069911864E-2</v>
      </c>
      <c r="AD92" s="15">
        <f t="shared" ca="1" si="27"/>
        <v>0.13023575188830394</v>
      </c>
      <c r="AE92" s="15">
        <f t="shared" ca="1" si="28"/>
        <v>6.5117875944151971</v>
      </c>
    </row>
    <row r="93" spans="12:31" x14ac:dyDescent="0.3">
      <c r="L93" s="15">
        <v>91</v>
      </c>
      <c r="M93" s="15">
        <f t="shared" si="18"/>
        <v>1</v>
      </c>
      <c r="N93" s="15">
        <f t="shared" ca="1" si="19"/>
        <v>0.11345082780193794</v>
      </c>
      <c r="O93" s="15">
        <f t="shared" ca="1" si="15"/>
        <v>0.20668415354653025</v>
      </c>
      <c r="P93" s="15">
        <f t="shared" ca="1" si="29"/>
        <v>0.20599679560540171</v>
      </c>
      <c r="Q93" s="15">
        <v>0</v>
      </c>
      <c r="R93" s="15">
        <f t="shared" ca="1" si="20"/>
        <v>0.20599679560540171</v>
      </c>
      <c r="S93" s="15">
        <f t="shared" ca="1" si="17"/>
        <v>0.88742121832398491</v>
      </c>
      <c r="T93" s="15">
        <v>0</v>
      </c>
      <c r="U93" s="15">
        <f t="shared" ca="1" si="21"/>
        <v>0.88742121832398491</v>
      </c>
      <c r="V93" s="15">
        <f t="shared" ca="1" si="22"/>
        <v>0.88654917219806206</v>
      </c>
      <c r="X93" s="15">
        <f t="shared" si="23"/>
        <v>1.05</v>
      </c>
      <c r="Y93" s="15">
        <f t="shared" si="24"/>
        <v>0.95</v>
      </c>
      <c r="Z93" s="15">
        <f t="shared" ca="1" si="25"/>
        <v>0</v>
      </c>
      <c r="AC93" s="15">
        <f t="shared" ca="1" si="26"/>
        <v>1.2871090328944974E-2</v>
      </c>
      <c r="AD93" s="15">
        <f t="shared" ca="1" si="27"/>
        <v>0.11345082780193794</v>
      </c>
      <c r="AE93" s="15">
        <f t="shared" ca="1" si="28"/>
        <v>5.7859922178988352</v>
      </c>
    </row>
    <row r="94" spans="12:31" x14ac:dyDescent="0.3">
      <c r="L94" s="15">
        <v>92</v>
      </c>
      <c r="M94" s="15">
        <f t="shared" si="18"/>
        <v>1</v>
      </c>
      <c r="N94" s="15">
        <f t="shared" ca="1" si="19"/>
        <v>9.8191805905241569E-2</v>
      </c>
      <c r="O94" s="15">
        <f t="shared" ca="1" si="15"/>
        <v>0.20668415354653025</v>
      </c>
      <c r="P94" s="15">
        <f t="shared" ca="1" si="29"/>
        <v>0.20599679560540171</v>
      </c>
      <c r="Q94" s="15">
        <v>0</v>
      </c>
      <c r="R94" s="15">
        <f t="shared" ca="1" si="20"/>
        <v>0.20599679560540171</v>
      </c>
      <c r="S94" s="15">
        <f t="shared" ca="1" si="17"/>
        <v>0.9020969292232649</v>
      </c>
      <c r="T94" s="15">
        <v>0</v>
      </c>
      <c r="U94" s="15">
        <f t="shared" ca="1" si="21"/>
        <v>0.9020969292232649</v>
      </c>
      <c r="V94" s="15">
        <f t="shared" ca="1" si="22"/>
        <v>0.90180819409475843</v>
      </c>
      <c r="X94" s="15">
        <f t="shared" si="23"/>
        <v>1.05</v>
      </c>
      <c r="Y94" s="15">
        <f t="shared" si="24"/>
        <v>0.95</v>
      </c>
      <c r="Z94" s="15">
        <f t="shared" ca="1" si="25"/>
        <v>0</v>
      </c>
      <c r="AC94" s="15">
        <f t="shared" ca="1" si="26"/>
        <v>9.6416307469326338E-3</v>
      </c>
      <c r="AD94" s="15">
        <f t="shared" ca="1" si="27"/>
        <v>9.8191805905241569E-2</v>
      </c>
      <c r="AE94" s="15">
        <f t="shared" ca="1" si="28"/>
        <v>5.1059739070725616</v>
      </c>
    </row>
    <row r="95" spans="12:31" x14ac:dyDescent="0.3">
      <c r="L95" s="15">
        <v>93</v>
      </c>
      <c r="M95" s="15">
        <f t="shared" si="18"/>
        <v>1</v>
      </c>
      <c r="N95" s="15">
        <f t="shared" ca="1" si="19"/>
        <v>8.5984588387884253E-2</v>
      </c>
      <c r="O95" s="15">
        <f t="shared" ca="1" si="15"/>
        <v>0.21287182449997991</v>
      </c>
      <c r="P95" s="15">
        <f t="shared" ca="1" si="29"/>
        <v>0.21210040436408026</v>
      </c>
      <c r="Q95" s="15">
        <v>0</v>
      </c>
      <c r="R95" s="15">
        <f t="shared" ca="1" si="20"/>
        <v>0.21210040436408026</v>
      </c>
      <c r="S95" s="15">
        <f t="shared" ca="1" si="17"/>
        <v>0.91509570559974684</v>
      </c>
      <c r="T95" s="15">
        <v>0</v>
      </c>
      <c r="U95" s="15">
        <f t="shared" ca="1" si="21"/>
        <v>0.91509570559974684</v>
      </c>
      <c r="V95" s="15">
        <f t="shared" ca="1" si="22"/>
        <v>0.91401541161211575</v>
      </c>
      <c r="X95" s="15">
        <f t="shared" si="23"/>
        <v>1.05</v>
      </c>
      <c r="Y95" s="15">
        <f t="shared" si="24"/>
        <v>0.95</v>
      </c>
      <c r="Z95" s="15">
        <f t="shared" ca="1" si="25"/>
        <v>0</v>
      </c>
      <c r="AC95" s="15">
        <f t="shared" ca="1" si="26"/>
        <v>7.3933494402338793E-3</v>
      </c>
      <c r="AD95" s="15">
        <f t="shared" ca="1" si="27"/>
        <v>8.5984588387884253E-2</v>
      </c>
      <c r="AE95" s="15">
        <f t="shared" ca="1" si="28"/>
        <v>4.5571831845578652</v>
      </c>
    </row>
    <row r="96" spans="12:31" x14ac:dyDescent="0.3">
      <c r="L96" s="15">
        <v>94</v>
      </c>
      <c r="M96" s="15">
        <f t="shared" si="18"/>
        <v>1</v>
      </c>
      <c r="N96" s="15">
        <f t="shared" ca="1" si="19"/>
        <v>7.3777370870527159E-2</v>
      </c>
      <c r="O96" s="15">
        <f t="shared" ca="1" si="15"/>
        <v>0.21287182449997991</v>
      </c>
      <c r="P96" s="15">
        <f t="shared" ca="1" si="29"/>
        <v>0.21210040436408026</v>
      </c>
      <c r="Q96" s="15">
        <v>0</v>
      </c>
      <c r="R96" s="15">
        <f t="shared" ca="1" si="20"/>
        <v>0.21210040436408026</v>
      </c>
      <c r="S96" s="15">
        <f t="shared" ca="1" si="17"/>
        <v>0.92657543132847753</v>
      </c>
      <c r="T96" s="15">
        <v>0</v>
      </c>
      <c r="U96" s="15">
        <f t="shared" ca="1" si="21"/>
        <v>0.92657543132847753</v>
      </c>
      <c r="V96" s="15">
        <f t="shared" ca="1" si="22"/>
        <v>0.92622262912947284</v>
      </c>
      <c r="X96" s="15">
        <f t="shared" si="23"/>
        <v>1.05</v>
      </c>
      <c r="Y96" s="15">
        <f t="shared" si="24"/>
        <v>0.95</v>
      </c>
      <c r="Z96" s="15">
        <f t="shared" ca="1" si="25"/>
        <v>0</v>
      </c>
      <c r="AC96" s="15">
        <f t="shared" ca="1" si="26"/>
        <v>5.4431004525673093E-3</v>
      </c>
      <c r="AD96" s="15">
        <f t="shared" ca="1" si="27"/>
        <v>7.3777370870527159E-2</v>
      </c>
      <c r="AE96" s="15">
        <f t="shared" ca="1" si="28"/>
        <v>3.9839780270084666</v>
      </c>
    </row>
    <row r="97" spans="12:31" x14ac:dyDescent="0.3">
      <c r="L97" s="15">
        <v>95</v>
      </c>
      <c r="M97" s="15">
        <f t="shared" si="18"/>
        <v>1</v>
      </c>
      <c r="N97" s="15">
        <f t="shared" ca="1" si="19"/>
        <v>6.4621957732509339E-2</v>
      </c>
      <c r="O97" s="15">
        <f t="shared" ca="1" si="15"/>
        <v>0.21287182449997991</v>
      </c>
      <c r="P97" s="15">
        <f t="shared" ca="1" si="29"/>
        <v>0.21210040436408026</v>
      </c>
      <c r="Q97" s="15">
        <v>0</v>
      </c>
      <c r="R97" s="15">
        <f t="shared" ca="1" si="20"/>
        <v>0.21210040436408026</v>
      </c>
      <c r="S97" s="15">
        <f t="shared" ca="1" si="17"/>
        <v>0.93668037410366278</v>
      </c>
      <c r="T97" s="15">
        <v>0</v>
      </c>
      <c r="U97" s="15">
        <f t="shared" ca="1" si="21"/>
        <v>0.93668037410366278</v>
      </c>
      <c r="V97" s="15">
        <f t="shared" ca="1" si="22"/>
        <v>0.93537804226749066</v>
      </c>
      <c r="X97" s="15">
        <f t="shared" si="23"/>
        <v>1.05</v>
      </c>
      <c r="Y97" s="15">
        <f t="shared" si="24"/>
        <v>0.95</v>
      </c>
      <c r="Z97" s="15">
        <f t="shared" ca="1" si="25"/>
        <v>0</v>
      </c>
      <c r="AC97" s="15">
        <f t="shared" ca="1" si="26"/>
        <v>4.1759974211822235E-3</v>
      </c>
      <c r="AD97" s="15">
        <f t="shared" ca="1" si="27"/>
        <v>6.4621957732509339E-2</v>
      </c>
      <c r="AE97" s="15">
        <f t="shared" ca="1" si="28"/>
        <v>3.5542076752880138</v>
      </c>
    </row>
    <row r="98" spans="12:31" x14ac:dyDescent="0.3">
      <c r="L98" s="15">
        <v>96</v>
      </c>
      <c r="M98" s="15">
        <f t="shared" si="18"/>
        <v>1</v>
      </c>
      <c r="N98" s="15">
        <f t="shared" ca="1" si="19"/>
        <v>5.5466544594491518E-2</v>
      </c>
      <c r="O98" s="15">
        <f t="shared" ca="1" si="15"/>
        <v>0.21889620720295944</v>
      </c>
      <c r="P98" s="15">
        <f t="shared" ca="1" si="29"/>
        <v>0.21820401312275883</v>
      </c>
      <c r="Q98" s="15">
        <v>0</v>
      </c>
      <c r="R98" s="15">
        <f t="shared" ca="1" si="20"/>
        <v>0.21820401312275883</v>
      </c>
      <c r="S98" s="15">
        <f t="shared" ca="1" si="17"/>
        <v>0.94551590376005445</v>
      </c>
      <c r="T98" s="15">
        <v>0</v>
      </c>
      <c r="U98" s="15">
        <f t="shared" ca="1" si="21"/>
        <v>0.94551590376005445</v>
      </c>
      <c r="V98" s="15">
        <f t="shared" ca="1" si="22"/>
        <v>0.94453345540550848</v>
      </c>
      <c r="X98" s="15">
        <f t="shared" si="23"/>
        <v>1.05</v>
      </c>
      <c r="Y98" s="15">
        <f t="shared" si="24"/>
        <v>0.95</v>
      </c>
      <c r="Z98" s="15">
        <f t="shared" ca="1" si="25"/>
        <v>0</v>
      </c>
      <c r="AC98" s="15">
        <f t="shared" ca="1" si="26"/>
        <v>3.0765375692527164E-3</v>
      </c>
      <c r="AD98" s="15">
        <f t="shared" ca="1" si="27"/>
        <v>5.5466544594491518E-2</v>
      </c>
      <c r="AE98" s="15">
        <f t="shared" ca="1" si="28"/>
        <v>3.106126497291525</v>
      </c>
    </row>
    <row r="99" spans="12:31" x14ac:dyDescent="0.3">
      <c r="L99" s="15">
        <v>97</v>
      </c>
      <c r="M99" s="15">
        <f t="shared" si="18"/>
        <v>1</v>
      </c>
      <c r="N99" s="15">
        <f t="shared" ca="1" si="19"/>
        <v>4.7837033646143223E-2</v>
      </c>
      <c r="O99" s="15">
        <f t="shared" ca="1" si="15"/>
        <v>0.21889620720295944</v>
      </c>
      <c r="P99" s="15">
        <f t="shared" ca="1" si="29"/>
        <v>0.21820401312275883</v>
      </c>
      <c r="Q99" s="15">
        <v>0</v>
      </c>
      <c r="R99" s="15">
        <f t="shared" ca="1" si="20"/>
        <v>0.21820401312275883</v>
      </c>
      <c r="S99" s="15">
        <f t="shared" ca="1" si="17"/>
        <v>0.95318055197020846</v>
      </c>
      <c r="T99" s="15">
        <v>0</v>
      </c>
      <c r="U99" s="15">
        <f t="shared" ca="1" si="21"/>
        <v>0.95318055197020846</v>
      </c>
      <c r="V99" s="15">
        <f t="shared" ca="1" si="22"/>
        <v>0.95216296635385678</v>
      </c>
      <c r="X99" s="15">
        <f t="shared" si="23"/>
        <v>1.05</v>
      </c>
      <c r="Y99" s="15">
        <f t="shared" si="24"/>
        <v>0.95</v>
      </c>
      <c r="Z99" s="15">
        <f t="shared" ca="1" si="25"/>
        <v>1</v>
      </c>
      <c r="AC99" s="15">
        <f t="shared" ca="1" si="26"/>
        <v>2.2883817880622387E-3</v>
      </c>
      <c r="AD99" s="15">
        <f t="shared" ca="1" si="27"/>
        <v>4.7837033646143223E-2</v>
      </c>
      <c r="AE99" s="15">
        <f t="shared" ca="1" si="28"/>
        <v>2.7267109178301636</v>
      </c>
    </row>
    <row r="100" spans="12:31" x14ac:dyDescent="0.3">
      <c r="L100" s="15">
        <v>98</v>
      </c>
      <c r="M100" s="15">
        <f t="shared" si="18"/>
        <v>1</v>
      </c>
      <c r="N100" s="15">
        <f t="shared" ca="1" si="19"/>
        <v>4.1733424887464676E-2</v>
      </c>
      <c r="O100" s="15">
        <f t="shared" ca="1" si="15"/>
        <v>0.21889620720295944</v>
      </c>
      <c r="P100" s="15">
        <f t="shared" ca="1" si="29"/>
        <v>0.21820401312275883</v>
      </c>
      <c r="Q100" s="15">
        <v>0</v>
      </c>
      <c r="R100" s="15">
        <f t="shared" ca="1" si="20"/>
        <v>0.21820401312275883</v>
      </c>
      <c r="S100" s="15">
        <f t="shared" ca="1" si="17"/>
        <v>0.95979052745764137</v>
      </c>
      <c r="T100" s="15">
        <v>0</v>
      </c>
      <c r="U100" s="15">
        <f t="shared" ca="1" si="21"/>
        <v>0.95979052745764137</v>
      </c>
      <c r="V100" s="15">
        <f t="shared" ca="1" si="22"/>
        <v>0.95826657511253532</v>
      </c>
      <c r="X100" s="15">
        <f t="shared" si="23"/>
        <v>1.05</v>
      </c>
      <c r="Y100" s="15">
        <f t="shared" si="24"/>
        <v>0.95</v>
      </c>
      <c r="Z100" s="15">
        <f t="shared" ca="1" si="25"/>
        <v>1</v>
      </c>
      <c r="AC100" s="15">
        <f t="shared" ca="1" si="26"/>
        <v>1.7416787528376561E-3</v>
      </c>
      <c r="AD100" s="15">
        <f t="shared" ca="1" si="27"/>
        <v>4.1733424887464676E-2</v>
      </c>
      <c r="AE100" s="15">
        <f t="shared" ca="1" si="28"/>
        <v>2.420538643472951</v>
      </c>
    </row>
    <row r="101" spans="12:31" x14ac:dyDescent="0.3">
      <c r="L101" s="15">
        <v>99</v>
      </c>
      <c r="M101" s="15">
        <f t="shared" si="18"/>
        <v>1</v>
      </c>
      <c r="N101" s="15">
        <f t="shared" ca="1" si="19"/>
        <v>3.5629816128786129E-2</v>
      </c>
      <c r="O101" s="15">
        <f t="shared" ca="1" si="15"/>
        <v>0.22429218677026533</v>
      </c>
      <c r="P101" s="15">
        <f t="shared" ca="1" si="29"/>
        <v>0.22278171969176774</v>
      </c>
      <c r="Q101" s="15">
        <v>0</v>
      </c>
      <c r="R101" s="15">
        <f t="shared" ca="1" si="20"/>
        <v>0.22278171969176774</v>
      </c>
      <c r="S101" s="15">
        <f t="shared" ca="1" si="17"/>
        <v>0.96539894897468981</v>
      </c>
      <c r="T101" s="15">
        <v>0</v>
      </c>
      <c r="U101" s="15">
        <f t="shared" ca="1" si="21"/>
        <v>0.96539894897468981</v>
      </c>
      <c r="V101" s="15">
        <f t="shared" ca="1" si="22"/>
        <v>0.96437018387121387</v>
      </c>
      <c r="X101" s="15">
        <f t="shared" si="23"/>
        <v>1.05</v>
      </c>
      <c r="Y101" s="15">
        <f t="shared" si="24"/>
        <v>0.95</v>
      </c>
      <c r="Z101" s="15">
        <f t="shared" ca="1" si="25"/>
        <v>1</v>
      </c>
      <c r="AC101" s="15">
        <f t="shared" ca="1" si="26"/>
        <v>1.2694837973711082E-3</v>
      </c>
      <c r="AD101" s="15">
        <f t="shared" ca="1" si="27"/>
        <v>3.5629816128786129E-2</v>
      </c>
      <c r="AE101" s="15">
        <f t="shared" ca="1" si="28"/>
        <v>2.1021591515983817</v>
      </c>
    </row>
    <row r="102" spans="12:31" x14ac:dyDescent="0.3">
      <c r="L102" s="15">
        <v>100</v>
      </c>
      <c r="M102" s="15">
        <f t="shared" si="18"/>
        <v>1</v>
      </c>
      <c r="N102" s="15">
        <f t="shared" ca="1" si="19"/>
        <v>3.1052109559777219E-2</v>
      </c>
      <c r="O102" s="15">
        <f t="shared" ca="1" si="15"/>
        <v>0.22429218677026533</v>
      </c>
      <c r="P102" s="15">
        <f t="shared" ca="1" si="29"/>
        <v>0.22278171969176774</v>
      </c>
      <c r="Q102" s="15">
        <v>0</v>
      </c>
      <c r="R102" s="15">
        <f t="shared" ca="1" si="20"/>
        <v>0.22278171969176774</v>
      </c>
      <c r="S102" s="15">
        <f t="shared" ca="1" si="17"/>
        <v>0.97005876468091545</v>
      </c>
      <c r="T102" s="15">
        <v>0</v>
      </c>
      <c r="U102" s="15">
        <f t="shared" ca="1" si="21"/>
        <v>0.97005876468091545</v>
      </c>
      <c r="V102" s="15">
        <f t="shared" ca="1" si="22"/>
        <v>0.96894789044022278</v>
      </c>
      <c r="X102" s="15">
        <f t="shared" si="23"/>
        <v>1.05</v>
      </c>
      <c r="Y102" s="15">
        <f t="shared" si="24"/>
        <v>0.95</v>
      </c>
      <c r="Z102" s="15">
        <f t="shared" ca="1" si="25"/>
        <v>1</v>
      </c>
      <c r="AC102" s="15">
        <f t="shared" ca="1" si="26"/>
        <v>9.6423350811240772E-4</v>
      </c>
      <c r="AD102" s="15">
        <f t="shared" ca="1" si="27"/>
        <v>3.1052109559777219E-2</v>
      </c>
      <c r="AE102" s="15">
        <f t="shared" ca="1" si="28"/>
        <v>1.8631265735866331</v>
      </c>
    </row>
    <row r="103" spans="12:31" x14ac:dyDescent="0.3">
      <c r="L103" s="15">
        <v>101</v>
      </c>
      <c r="M103" s="15">
        <f t="shared" si="18"/>
        <v>1</v>
      </c>
      <c r="N103" s="15">
        <f t="shared" ca="1" si="19"/>
        <v>2.6474402990768309E-2</v>
      </c>
      <c r="O103" s="15">
        <f t="shared" ca="1" si="15"/>
        <v>0.22429218677026533</v>
      </c>
      <c r="P103" s="15">
        <f t="shared" ca="1" si="29"/>
        <v>0.22278171969176774</v>
      </c>
      <c r="Q103" s="15">
        <v>0</v>
      </c>
      <c r="R103" s="15">
        <f t="shared" ca="1" si="20"/>
        <v>0.22278171969176774</v>
      </c>
      <c r="S103" s="15">
        <f t="shared" ca="1" si="17"/>
        <v>0.97387067775476543</v>
      </c>
      <c r="T103" s="15">
        <v>0</v>
      </c>
      <c r="U103" s="15">
        <f t="shared" ca="1" si="21"/>
        <v>0.97387067775476543</v>
      </c>
      <c r="V103" s="15">
        <f t="shared" ca="1" si="22"/>
        <v>0.97352559700923169</v>
      </c>
      <c r="X103" s="15">
        <f t="shared" si="23"/>
        <v>1.05</v>
      </c>
      <c r="Y103" s="15">
        <f t="shared" si="24"/>
        <v>0.95</v>
      </c>
      <c r="Z103" s="15">
        <f t="shared" ca="1" si="25"/>
        <v>1</v>
      </c>
      <c r="AC103" s="15">
        <f t="shared" ca="1" si="26"/>
        <v>7.0089401371760201E-4</v>
      </c>
      <c r="AD103" s="15">
        <f t="shared" ca="1" si="27"/>
        <v>2.6474402990768309E-2</v>
      </c>
      <c r="AE103" s="15">
        <f t="shared" ca="1" si="28"/>
        <v>1.6149385824368667</v>
      </c>
    </row>
    <row r="104" spans="12:31" x14ac:dyDescent="0.3">
      <c r="L104" s="15">
        <v>102</v>
      </c>
      <c r="M104" s="15">
        <f t="shared" si="18"/>
        <v>1</v>
      </c>
      <c r="N104" s="15">
        <f t="shared" ca="1" si="19"/>
        <v>2.3422598611429035E-2</v>
      </c>
      <c r="O104" s="15">
        <f t="shared" ca="1" si="15"/>
        <v>0.22853695129984078</v>
      </c>
      <c r="P104" s="15">
        <f t="shared" ca="1" si="29"/>
        <v>0.22735942626077671</v>
      </c>
      <c r="Q104" s="15">
        <v>0</v>
      </c>
      <c r="R104" s="15">
        <f t="shared" ca="1" si="20"/>
        <v>0.22735942626077671</v>
      </c>
      <c r="S104" s="15">
        <f t="shared" ca="1" si="17"/>
        <v>0.97687339506095128</v>
      </c>
      <c r="T104" s="15">
        <v>0</v>
      </c>
      <c r="U104" s="15">
        <f t="shared" ca="1" si="21"/>
        <v>0.97687339506095128</v>
      </c>
      <c r="V104" s="15">
        <f t="shared" ca="1" si="22"/>
        <v>0.97657740138857096</v>
      </c>
      <c r="X104" s="15">
        <f t="shared" si="23"/>
        <v>1.05</v>
      </c>
      <c r="Y104" s="15">
        <f t="shared" si="24"/>
        <v>0.95</v>
      </c>
      <c r="Z104" s="15">
        <f t="shared" ca="1" si="25"/>
        <v>1</v>
      </c>
      <c r="AC104" s="15">
        <f t="shared" ca="1" si="26"/>
        <v>5.4861812571211732E-4</v>
      </c>
      <c r="AD104" s="15">
        <f t="shared" ca="1" si="27"/>
        <v>2.3422598611429035E-2</v>
      </c>
      <c r="AE104" s="15">
        <f t="shared" ca="1" si="28"/>
        <v>1.4522011139086002</v>
      </c>
    </row>
    <row r="105" spans="12:31" x14ac:dyDescent="0.3">
      <c r="L105" s="15">
        <v>103</v>
      </c>
      <c r="M105" s="15">
        <f t="shared" si="18"/>
        <v>1</v>
      </c>
      <c r="N105" s="15">
        <f t="shared" ca="1" si="19"/>
        <v>2.1896696421759398E-2</v>
      </c>
      <c r="O105" s="15">
        <f t="shared" ca="1" si="15"/>
        <v>0.22853695129984078</v>
      </c>
      <c r="P105" s="15">
        <f t="shared" ca="1" si="29"/>
        <v>0.22735942626077671</v>
      </c>
      <c r="Q105" s="15">
        <v>0</v>
      </c>
      <c r="R105" s="15">
        <f t="shared" ca="1" si="20"/>
        <v>0.22735942626077671</v>
      </c>
      <c r="S105" s="15">
        <f t="shared" ca="1" si="17"/>
        <v>0.97910646866084616</v>
      </c>
      <c r="T105" s="15">
        <v>0</v>
      </c>
      <c r="U105" s="15">
        <f t="shared" ca="1" si="21"/>
        <v>0.97910646866084616</v>
      </c>
      <c r="V105" s="15">
        <f t="shared" ca="1" si="22"/>
        <v>0.9781033035782406</v>
      </c>
      <c r="X105" s="15">
        <f t="shared" si="23"/>
        <v>1.05</v>
      </c>
      <c r="Y105" s="15">
        <f t="shared" si="24"/>
        <v>0.95</v>
      </c>
      <c r="Z105" s="15">
        <f t="shared" ca="1" si="25"/>
        <v>1</v>
      </c>
      <c r="AC105" s="15">
        <f t="shared" ca="1" si="26"/>
        <v>4.7946531418669087E-4</v>
      </c>
      <c r="AD105" s="15">
        <f t="shared" ca="1" si="27"/>
        <v>2.1896696421759398E-2</v>
      </c>
      <c r="AE105" s="15">
        <f t="shared" ca="1" si="28"/>
        <v>1.3794918745708422</v>
      </c>
    </row>
    <row r="106" spans="12:31" x14ac:dyDescent="0.3">
      <c r="L106" s="15">
        <v>104</v>
      </c>
      <c r="M106" s="15">
        <f t="shared" si="18"/>
        <v>1</v>
      </c>
      <c r="N106" s="15">
        <f t="shared" ca="1" si="19"/>
        <v>2.0370794232089762E-2</v>
      </c>
      <c r="O106" s="15">
        <f t="shared" ca="1" si="15"/>
        <v>0.22853695129984078</v>
      </c>
      <c r="P106" s="15">
        <f t="shared" ca="1" si="29"/>
        <v>0.22735942626077671</v>
      </c>
      <c r="Q106" s="15">
        <v>0</v>
      </c>
      <c r="R106" s="15">
        <f t="shared" ca="1" si="20"/>
        <v>0.22735942626077671</v>
      </c>
      <c r="S106" s="15">
        <f t="shared" ca="1" si="17"/>
        <v>0.98065814914400962</v>
      </c>
      <c r="T106" s="15">
        <v>0</v>
      </c>
      <c r="U106" s="15">
        <f t="shared" ca="1" si="21"/>
        <v>0.98065814914400962</v>
      </c>
      <c r="V106" s="15">
        <f t="shared" ca="1" si="22"/>
        <v>0.97962920576791024</v>
      </c>
      <c r="X106" s="15">
        <f t="shared" si="23"/>
        <v>1.05</v>
      </c>
      <c r="Y106" s="15">
        <f t="shared" si="24"/>
        <v>0.95</v>
      </c>
      <c r="Z106" s="15">
        <f t="shared" ca="1" si="25"/>
        <v>1</v>
      </c>
      <c r="AC106" s="15">
        <f t="shared" ca="1" si="26"/>
        <v>4.1496925764614151E-4</v>
      </c>
      <c r="AD106" s="15">
        <f t="shared" ca="1" si="27"/>
        <v>2.0370794232089762E-2</v>
      </c>
      <c r="AE106" s="15">
        <f t="shared" ca="1" si="28"/>
        <v>1.3037308308537447</v>
      </c>
    </row>
    <row r="107" spans="12:31" x14ac:dyDescent="0.3">
      <c r="L107" s="15">
        <v>105</v>
      </c>
      <c r="M107" s="15">
        <f t="shared" si="18"/>
        <v>1</v>
      </c>
      <c r="N107" s="15">
        <f t="shared" ca="1" si="19"/>
        <v>1.8844892042420125E-2</v>
      </c>
      <c r="O107" s="15">
        <f t="shared" ref="O107:O170" ca="1" si="30">IF(MOD(L107,$B$11)=0,OFFSET(O107,-$B$11,0)+ $E$2*N107+$E$3*OFFSET(N107,-$B$11,0)+ $E$4*OFFSET(N107,-2* $B$11,0), O106)</f>
        <v>0.23436280641461818</v>
      </c>
      <c r="P107" s="15">
        <f t="shared" ca="1" si="29"/>
        <v>0.23346303501945526</v>
      </c>
      <c r="Q107" s="15">
        <v>0</v>
      </c>
      <c r="R107" s="15">
        <f t="shared" ca="1" si="20"/>
        <v>0.23346303501945526</v>
      </c>
      <c r="S107" s="15">
        <f t="shared" ca="1" si="17"/>
        <v>0.98152916733150219</v>
      </c>
      <c r="T107" s="15">
        <v>0</v>
      </c>
      <c r="U107" s="15">
        <f t="shared" ca="1" si="21"/>
        <v>0.98152916733150219</v>
      </c>
      <c r="V107" s="15">
        <f t="shared" ca="1" si="22"/>
        <v>0.98115510795757988</v>
      </c>
      <c r="X107" s="15">
        <f t="shared" si="23"/>
        <v>1.05</v>
      </c>
      <c r="Y107" s="15">
        <f t="shared" si="24"/>
        <v>0.95</v>
      </c>
      <c r="Z107" s="15">
        <f t="shared" ca="1" si="25"/>
        <v>1</v>
      </c>
      <c r="AC107" s="15">
        <f t="shared" ca="1" si="26"/>
        <v>3.5512995609046936E-4</v>
      </c>
      <c r="AD107" s="15">
        <f t="shared" ca="1" si="27"/>
        <v>1.8844892042420125E-2</v>
      </c>
      <c r="AE107" s="15">
        <f t="shared" ca="1" si="28"/>
        <v>1.224917982757308</v>
      </c>
    </row>
    <row r="108" spans="12:31" x14ac:dyDescent="0.3">
      <c r="L108" s="15">
        <v>106</v>
      </c>
      <c r="M108" s="15">
        <f t="shared" si="18"/>
        <v>1</v>
      </c>
      <c r="N108" s="15">
        <f t="shared" ca="1" si="19"/>
        <v>1.8844892042420125E-2</v>
      </c>
      <c r="O108" s="15">
        <f t="shared" ca="1" si="30"/>
        <v>0.23436280641461818</v>
      </c>
      <c r="P108" s="15">
        <f t="shared" ca="1" si="29"/>
        <v>0.23346303501945526</v>
      </c>
      <c r="Q108" s="15">
        <v>0</v>
      </c>
      <c r="R108" s="15">
        <f t="shared" ca="1" si="20"/>
        <v>0.23346303501945526</v>
      </c>
      <c r="S108" s="15">
        <f t="shared" ca="1" si="17"/>
        <v>0.98172654408515436</v>
      </c>
      <c r="T108" s="15">
        <v>0</v>
      </c>
      <c r="U108" s="15">
        <f t="shared" ca="1" si="21"/>
        <v>0.98172654408515436</v>
      </c>
      <c r="V108" s="15">
        <f t="shared" ca="1" si="22"/>
        <v>0.98115510795757988</v>
      </c>
      <c r="X108" s="15">
        <f t="shared" si="23"/>
        <v>1.05</v>
      </c>
      <c r="Y108" s="15">
        <f t="shared" si="24"/>
        <v>0.95</v>
      </c>
      <c r="Z108" s="15">
        <f t="shared" ca="1" si="25"/>
        <v>1</v>
      </c>
      <c r="AC108" s="15">
        <f t="shared" ca="1" si="26"/>
        <v>3.5512995609046936E-4</v>
      </c>
      <c r="AD108" s="15">
        <f t="shared" ca="1" si="27"/>
        <v>1.8844892042420125E-2</v>
      </c>
      <c r="AE108" s="15">
        <f t="shared" ca="1" si="28"/>
        <v>1.2437628747997282</v>
      </c>
    </row>
    <row r="109" spans="12:31" x14ac:dyDescent="0.3">
      <c r="L109" s="15">
        <v>107</v>
      </c>
      <c r="M109" s="15">
        <f t="shared" si="18"/>
        <v>1</v>
      </c>
      <c r="N109" s="15">
        <f t="shared" ca="1" si="19"/>
        <v>1.8844892042420125E-2</v>
      </c>
      <c r="O109" s="15">
        <f t="shared" ca="1" si="30"/>
        <v>0.23436280641461818</v>
      </c>
      <c r="P109" s="15">
        <f t="shared" ca="1" si="29"/>
        <v>0.23346303501945526</v>
      </c>
      <c r="Q109" s="15">
        <v>0</v>
      </c>
      <c r="R109" s="15">
        <f t="shared" ca="1" si="20"/>
        <v>0.23346303501945526</v>
      </c>
      <c r="S109" s="15">
        <f t="shared" ref="S109:S172" ca="1" si="31">$I$1*S108-$I$2*S107+$I$3*R88+$I$4*R87</f>
        <v>0.98133495403945281</v>
      </c>
      <c r="T109" s="15">
        <v>0</v>
      </c>
      <c r="U109" s="15">
        <f t="shared" ca="1" si="21"/>
        <v>0.98133495403945281</v>
      </c>
      <c r="V109" s="15">
        <f t="shared" ca="1" si="22"/>
        <v>0.98115510795757988</v>
      </c>
      <c r="X109" s="15">
        <f t="shared" si="23"/>
        <v>1.05</v>
      </c>
      <c r="Y109" s="15">
        <f t="shared" si="24"/>
        <v>0.95</v>
      </c>
      <c r="Z109" s="15">
        <f t="shared" ca="1" si="25"/>
        <v>1</v>
      </c>
      <c r="AC109" s="15">
        <f t="shared" ca="1" si="26"/>
        <v>3.5512995609046936E-4</v>
      </c>
      <c r="AD109" s="15">
        <f t="shared" ca="1" si="27"/>
        <v>1.8844892042420125E-2</v>
      </c>
      <c r="AE109" s="15">
        <f t="shared" ca="1" si="28"/>
        <v>1.2626077668421485</v>
      </c>
    </row>
    <row r="110" spans="12:31" x14ac:dyDescent="0.3">
      <c r="L110" s="15">
        <v>108</v>
      </c>
      <c r="M110" s="15">
        <f t="shared" si="18"/>
        <v>1</v>
      </c>
      <c r="N110" s="15">
        <f t="shared" ca="1" si="19"/>
        <v>2.0370794232089762E-2</v>
      </c>
      <c r="O110" s="15">
        <f t="shared" ca="1" si="30"/>
        <v>0.24025758738581154</v>
      </c>
      <c r="P110" s="15">
        <f t="shared" ca="1" si="29"/>
        <v>0.23956664377813383</v>
      </c>
      <c r="Q110" s="15">
        <v>0</v>
      </c>
      <c r="R110" s="15">
        <f t="shared" ca="1" si="20"/>
        <v>0.23956664377813383</v>
      </c>
      <c r="S110" s="15">
        <f t="shared" ca="1" si="31"/>
        <v>0.98035161505106327</v>
      </c>
      <c r="T110" s="15">
        <v>0</v>
      </c>
      <c r="U110" s="15">
        <f t="shared" ca="1" si="21"/>
        <v>0.98035161505106327</v>
      </c>
      <c r="V110" s="15">
        <f t="shared" ca="1" si="22"/>
        <v>0.97962920576791024</v>
      </c>
      <c r="X110" s="15">
        <f t="shared" si="23"/>
        <v>1.05</v>
      </c>
      <c r="Y110" s="15">
        <f t="shared" si="24"/>
        <v>0.95</v>
      </c>
      <c r="Z110" s="15">
        <f t="shared" ca="1" si="25"/>
        <v>1</v>
      </c>
      <c r="AC110" s="15">
        <f t="shared" ca="1" si="26"/>
        <v>4.1496925764614151E-4</v>
      </c>
      <c r="AD110" s="15">
        <f t="shared" ca="1" si="27"/>
        <v>2.0370794232089762E-2</v>
      </c>
      <c r="AE110" s="15">
        <f t="shared" ca="1" si="28"/>
        <v>1.3852140077821038</v>
      </c>
    </row>
    <row r="111" spans="12:31" x14ac:dyDescent="0.3">
      <c r="L111" s="15">
        <v>109</v>
      </c>
      <c r="M111" s="15">
        <f t="shared" si="18"/>
        <v>1</v>
      </c>
      <c r="N111" s="15">
        <f t="shared" ca="1" si="19"/>
        <v>2.1896696421759398E-2</v>
      </c>
      <c r="O111" s="15">
        <f t="shared" ca="1" si="30"/>
        <v>0.24025758738581154</v>
      </c>
      <c r="P111" s="15">
        <f t="shared" ca="1" si="29"/>
        <v>0.23956664377813383</v>
      </c>
      <c r="Q111" s="15">
        <v>0</v>
      </c>
      <c r="R111" s="15">
        <f t="shared" ca="1" si="20"/>
        <v>0.23956664377813383</v>
      </c>
      <c r="S111" s="15">
        <f t="shared" ca="1" si="31"/>
        <v>0.97878010487077649</v>
      </c>
      <c r="T111" s="15">
        <v>0</v>
      </c>
      <c r="U111" s="15">
        <f t="shared" ca="1" si="21"/>
        <v>0.97878010487077649</v>
      </c>
      <c r="V111" s="15">
        <f t="shared" ca="1" si="22"/>
        <v>0.9781033035782406</v>
      </c>
      <c r="X111" s="15">
        <f t="shared" si="23"/>
        <v>1.05</v>
      </c>
      <c r="Y111" s="15">
        <f t="shared" si="24"/>
        <v>0.95</v>
      </c>
      <c r="Z111" s="15">
        <f t="shared" ca="1" si="25"/>
        <v>1</v>
      </c>
      <c r="AC111" s="15">
        <f t="shared" ca="1" si="26"/>
        <v>4.7946531418669087E-4</v>
      </c>
      <c r="AD111" s="15">
        <f t="shared" ca="1" si="27"/>
        <v>2.1896696421759398E-2</v>
      </c>
      <c r="AE111" s="15">
        <f t="shared" ca="1" si="28"/>
        <v>1.5108720531013984</v>
      </c>
    </row>
    <row r="112" spans="12:31" x14ac:dyDescent="0.3">
      <c r="L112" s="15">
        <v>110</v>
      </c>
      <c r="M112" s="15">
        <f t="shared" si="18"/>
        <v>1</v>
      </c>
      <c r="N112" s="15">
        <f t="shared" ca="1" si="19"/>
        <v>2.3422598611429035E-2</v>
      </c>
      <c r="O112" s="15">
        <f t="shared" ca="1" si="30"/>
        <v>0.24025758738581154</v>
      </c>
      <c r="P112" s="15">
        <f t="shared" ca="1" si="29"/>
        <v>0.23956664377813383</v>
      </c>
      <c r="Q112" s="15">
        <v>0</v>
      </c>
      <c r="R112" s="15">
        <f t="shared" ca="1" si="20"/>
        <v>0.23956664377813383</v>
      </c>
      <c r="S112" s="15">
        <f t="shared" ca="1" si="31"/>
        <v>0.97670173057149734</v>
      </c>
      <c r="T112" s="15">
        <v>0</v>
      </c>
      <c r="U112" s="15">
        <f t="shared" ca="1" si="21"/>
        <v>0.97670173057149734</v>
      </c>
      <c r="V112" s="15">
        <f t="shared" ca="1" si="22"/>
        <v>0.97657740138857096</v>
      </c>
      <c r="X112" s="15">
        <f t="shared" si="23"/>
        <v>1.05</v>
      </c>
      <c r="Y112" s="15">
        <f t="shared" si="24"/>
        <v>0.95</v>
      </c>
      <c r="Z112" s="15">
        <f t="shared" ca="1" si="25"/>
        <v>1</v>
      </c>
      <c r="AC112" s="15">
        <f t="shared" ca="1" si="26"/>
        <v>5.4861812571211732E-4</v>
      </c>
      <c r="AD112" s="15">
        <f t="shared" ca="1" si="27"/>
        <v>2.3422598611429035E-2</v>
      </c>
      <c r="AE112" s="15">
        <f t="shared" ca="1" si="28"/>
        <v>1.6395819028000325</v>
      </c>
    </row>
    <row r="113" spans="12:31" x14ac:dyDescent="0.3">
      <c r="L113" s="15">
        <v>111</v>
      </c>
      <c r="M113" s="15">
        <f t="shared" si="18"/>
        <v>1</v>
      </c>
      <c r="N113" s="15">
        <f t="shared" ca="1" si="19"/>
        <v>2.6474402990768309E-2</v>
      </c>
      <c r="O113" s="15">
        <f t="shared" ca="1" si="30"/>
        <v>0.24597431251660587</v>
      </c>
      <c r="P113" s="15">
        <f t="shared" ca="1" si="29"/>
        <v>0.24567025253681238</v>
      </c>
      <c r="Q113" s="15">
        <v>0</v>
      </c>
      <c r="R113" s="15">
        <f t="shared" ca="1" si="20"/>
        <v>0.24567025253681238</v>
      </c>
      <c r="S113" s="15">
        <f t="shared" ca="1" si="31"/>
        <v>0.97421602212414193</v>
      </c>
      <c r="T113" s="15">
        <v>0</v>
      </c>
      <c r="U113" s="15">
        <f t="shared" ca="1" si="21"/>
        <v>0.97421602212414193</v>
      </c>
      <c r="V113" s="15">
        <f t="shared" ca="1" si="22"/>
        <v>0.97352559700923169</v>
      </c>
      <c r="X113" s="15">
        <f t="shared" si="23"/>
        <v>1.05</v>
      </c>
      <c r="Y113" s="15">
        <f t="shared" si="24"/>
        <v>0.95</v>
      </c>
      <c r="Z113" s="15">
        <f t="shared" ca="1" si="25"/>
        <v>1</v>
      </c>
      <c r="AC113" s="15">
        <f t="shared" ca="1" si="26"/>
        <v>7.0089401371760201E-4</v>
      </c>
      <c r="AD113" s="15">
        <f t="shared" ca="1" si="27"/>
        <v>2.6474402990768309E-2</v>
      </c>
      <c r="AE113" s="15">
        <f t="shared" ca="1" si="28"/>
        <v>1.87968261234455</v>
      </c>
    </row>
    <row r="114" spans="12:31" x14ac:dyDescent="0.3">
      <c r="L114" s="15">
        <v>112</v>
      </c>
      <c r="M114" s="15">
        <f t="shared" si="18"/>
        <v>1</v>
      </c>
      <c r="N114" s="15">
        <f t="shared" ca="1" si="19"/>
        <v>2.9526207370107582E-2</v>
      </c>
      <c r="O114" s="15">
        <f t="shared" ca="1" si="30"/>
        <v>0.24597431251660587</v>
      </c>
      <c r="P114" s="15">
        <f t="shared" ca="1" si="29"/>
        <v>0.24567025253681238</v>
      </c>
      <c r="Q114" s="15">
        <v>0</v>
      </c>
      <c r="R114" s="15">
        <f t="shared" ca="1" si="20"/>
        <v>0.24567025253681238</v>
      </c>
      <c r="S114" s="15">
        <f t="shared" ca="1" si="31"/>
        <v>0.97141043045430009</v>
      </c>
      <c r="T114" s="15">
        <v>0</v>
      </c>
      <c r="U114" s="15">
        <f t="shared" ca="1" si="21"/>
        <v>0.97141043045430009</v>
      </c>
      <c r="V114" s="15">
        <f t="shared" ca="1" si="22"/>
        <v>0.97047379262989242</v>
      </c>
      <c r="X114" s="15">
        <f t="shared" si="23"/>
        <v>1.05</v>
      </c>
      <c r="Y114" s="15">
        <f t="shared" si="24"/>
        <v>0.95</v>
      </c>
      <c r="Z114" s="15">
        <f t="shared" ca="1" si="25"/>
        <v>1</v>
      </c>
      <c r="AC114" s="15">
        <f t="shared" ca="1" si="26"/>
        <v>8.717969216625953E-4</v>
      </c>
      <c r="AD114" s="15">
        <f t="shared" ca="1" si="27"/>
        <v>2.9526207370107582E-2</v>
      </c>
      <c r="AE114" s="15">
        <f t="shared" ca="1" si="28"/>
        <v>2.1258869306477459</v>
      </c>
    </row>
    <row r="115" spans="12:31" x14ac:dyDescent="0.3">
      <c r="L115" s="15">
        <v>113</v>
      </c>
      <c r="M115" s="15">
        <f t="shared" si="18"/>
        <v>1</v>
      </c>
      <c r="N115" s="15">
        <f t="shared" ca="1" si="19"/>
        <v>3.2578011749446856E-2</v>
      </c>
      <c r="O115" s="15">
        <f t="shared" ca="1" si="30"/>
        <v>0.24597431251660587</v>
      </c>
      <c r="P115" s="15">
        <f t="shared" ca="1" si="29"/>
        <v>0.24567025253681238</v>
      </c>
      <c r="Q115" s="15">
        <v>0</v>
      </c>
      <c r="R115" s="15">
        <f t="shared" ca="1" si="20"/>
        <v>0.24567025253681238</v>
      </c>
      <c r="S115" s="15">
        <f t="shared" ca="1" si="31"/>
        <v>0.9683374268728776</v>
      </c>
      <c r="T115" s="15">
        <v>0</v>
      </c>
      <c r="U115" s="15">
        <f t="shared" ca="1" si="21"/>
        <v>0.9683374268728776</v>
      </c>
      <c r="V115" s="15">
        <f t="shared" ca="1" si="22"/>
        <v>0.96742198825055314</v>
      </c>
      <c r="X115" s="15">
        <f t="shared" si="23"/>
        <v>1.05</v>
      </c>
      <c r="Y115" s="15">
        <f t="shared" si="24"/>
        <v>0.95</v>
      </c>
      <c r="Z115" s="15">
        <f t="shared" ca="1" si="25"/>
        <v>1</v>
      </c>
      <c r="AC115" s="15">
        <f t="shared" ca="1" si="26"/>
        <v>1.0613268495470974E-3</v>
      </c>
      <c r="AD115" s="15">
        <f t="shared" ca="1" si="27"/>
        <v>3.2578011749446856E-2</v>
      </c>
      <c r="AE115" s="15">
        <f t="shared" ca="1" si="28"/>
        <v>2.3781948577096204</v>
      </c>
    </row>
    <row r="116" spans="12:31" x14ac:dyDescent="0.3">
      <c r="L116" s="15">
        <v>114</v>
      </c>
      <c r="M116" s="15">
        <f t="shared" si="18"/>
        <v>1</v>
      </c>
      <c r="N116" s="15">
        <f t="shared" ca="1" si="19"/>
        <v>3.5629816128786129E-2</v>
      </c>
      <c r="O116" s="15">
        <f t="shared" ca="1" si="30"/>
        <v>0.2512371516017588</v>
      </c>
      <c r="P116" s="15">
        <f t="shared" ca="1" si="29"/>
        <v>0.25024795910582132</v>
      </c>
      <c r="Q116" s="15">
        <v>0</v>
      </c>
      <c r="R116" s="15">
        <f t="shared" ca="1" si="20"/>
        <v>0.25024795910582132</v>
      </c>
      <c r="S116" s="15">
        <f t="shared" ca="1" si="31"/>
        <v>0.96509675296845365</v>
      </c>
      <c r="T116" s="15">
        <v>0</v>
      </c>
      <c r="U116" s="15">
        <f t="shared" ca="1" si="21"/>
        <v>0.96509675296845365</v>
      </c>
      <c r="V116" s="15">
        <f t="shared" ca="1" si="22"/>
        <v>0.96437018387121387</v>
      </c>
      <c r="X116" s="15">
        <f t="shared" si="23"/>
        <v>1.05</v>
      </c>
      <c r="Y116" s="15">
        <f t="shared" si="24"/>
        <v>0.95</v>
      </c>
      <c r="Z116" s="15">
        <f t="shared" ca="1" si="25"/>
        <v>1</v>
      </c>
      <c r="AC116" s="15">
        <f t="shared" ca="1" si="26"/>
        <v>1.2694837973711082E-3</v>
      </c>
      <c r="AD116" s="15">
        <f t="shared" ca="1" si="27"/>
        <v>3.5629816128786129E-2</v>
      </c>
      <c r="AE116" s="15">
        <f t="shared" ca="1" si="28"/>
        <v>2.6366063935301733</v>
      </c>
    </row>
    <row r="117" spans="12:31" x14ac:dyDescent="0.3">
      <c r="L117" s="15">
        <v>115</v>
      </c>
      <c r="M117" s="15">
        <f t="shared" si="18"/>
        <v>1</v>
      </c>
      <c r="N117" s="15">
        <f t="shared" ca="1" si="19"/>
        <v>3.8681620508125403E-2</v>
      </c>
      <c r="O117" s="15">
        <f t="shared" ca="1" si="30"/>
        <v>0.2512371516017588</v>
      </c>
      <c r="P117" s="15">
        <f t="shared" ca="1" si="29"/>
        <v>0.25024795910582132</v>
      </c>
      <c r="Q117" s="15">
        <v>0</v>
      </c>
      <c r="R117" s="15">
        <f t="shared" ca="1" si="20"/>
        <v>0.25024795910582132</v>
      </c>
      <c r="S117" s="15">
        <f t="shared" ca="1" si="31"/>
        <v>0.96177386278037702</v>
      </c>
      <c r="T117" s="15">
        <v>0</v>
      </c>
      <c r="U117" s="15">
        <f t="shared" ca="1" si="21"/>
        <v>0.96177386278037702</v>
      </c>
      <c r="V117" s="15">
        <f t="shared" ca="1" si="22"/>
        <v>0.9613183794918746</v>
      </c>
      <c r="X117" s="15">
        <f t="shared" si="23"/>
        <v>1.05</v>
      </c>
      <c r="Y117" s="15">
        <f t="shared" si="24"/>
        <v>0.95</v>
      </c>
      <c r="Z117" s="15">
        <f t="shared" ca="1" si="25"/>
        <v>1</v>
      </c>
      <c r="AC117" s="15">
        <f t="shared" ca="1" si="26"/>
        <v>1.4962677651346277E-3</v>
      </c>
      <c r="AD117" s="15">
        <f t="shared" ca="1" si="27"/>
        <v>3.8681620508125403E-2</v>
      </c>
      <c r="AE117" s="15">
        <f t="shared" ca="1" si="28"/>
        <v>2.9011215381094053</v>
      </c>
    </row>
    <row r="118" spans="12:31" x14ac:dyDescent="0.3">
      <c r="L118" s="15">
        <v>116</v>
      </c>
      <c r="M118" s="15">
        <f t="shared" si="18"/>
        <v>1</v>
      </c>
      <c r="N118" s="15">
        <f t="shared" ca="1" si="19"/>
        <v>4.1733424887464676E-2</v>
      </c>
      <c r="O118" s="15">
        <f t="shared" ca="1" si="30"/>
        <v>0.2512371516017588</v>
      </c>
      <c r="P118" s="15">
        <f t="shared" ca="1" si="29"/>
        <v>0.25024795910582132</v>
      </c>
      <c r="Q118" s="15">
        <v>0</v>
      </c>
      <c r="R118" s="15">
        <f t="shared" ca="1" si="20"/>
        <v>0.25024795910582132</v>
      </c>
      <c r="S118" s="15">
        <f t="shared" ca="1" si="31"/>
        <v>0.95839324706079276</v>
      </c>
      <c r="T118" s="15">
        <v>0</v>
      </c>
      <c r="U118" s="15">
        <f t="shared" ca="1" si="21"/>
        <v>0.95839324706079276</v>
      </c>
      <c r="V118" s="15">
        <f t="shared" ca="1" si="22"/>
        <v>0.95826657511253532</v>
      </c>
      <c r="X118" s="15">
        <f t="shared" si="23"/>
        <v>1.05</v>
      </c>
      <c r="Y118" s="15">
        <f t="shared" si="24"/>
        <v>0.95</v>
      </c>
      <c r="Z118" s="15">
        <f t="shared" ca="1" si="25"/>
        <v>1</v>
      </c>
      <c r="AC118" s="15">
        <f t="shared" ca="1" si="26"/>
        <v>1.7416787528376561E-3</v>
      </c>
      <c r="AD118" s="15">
        <f t="shared" ca="1" si="27"/>
        <v>4.1733424887464676E-2</v>
      </c>
      <c r="AE118" s="15">
        <f t="shared" ca="1" si="28"/>
        <v>3.1717402914473154</v>
      </c>
    </row>
    <row r="119" spans="12:31" x14ac:dyDescent="0.3">
      <c r="L119" s="15">
        <v>117</v>
      </c>
      <c r="M119" s="15">
        <f t="shared" si="18"/>
        <v>1</v>
      </c>
      <c r="N119" s="15">
        <f t="shared" ca="1" si="19"/>
        <v>4.6311131456473587E-2</v>
      </c>
      <c r="O119" s="15">
        <f t="shared" ca="1" si="30"/>
        <v>0.25574142592760091</v>
      </c>
      <c r="P119" s="15">
        <f t="shared" ca="1" si="29"/>
        <v>0.25482566567483023</v>
      </c>
      <c r="Q119" s="15">
        <v>0</v>
      </c>
      <c r="R119" s="15">
        <f t="shared" ca="1" si="20"/>
        <v>0.25482566567483023</v>
      </c>
      <c r="S119" s="15">
        <f t="shared" ca="1" si="31"/>
        <v>0.95502933169261039</v>
      </c>
      <c r="T119" s="15">
        <v>0</v>
      </c>
      <c r="U119" s="15">
        <f t="shared" ca="1" si="21"/>
        <v>0.95502933169261039</v>
      </c>
      <c r="V119" s="15">
        <f t="shared" ca="1" si="22"/>
        <v>0.95368886854352641</v>
      </c>
      <c r="X119" s="15">
        <f t="shared" si="23"/>
        <v>1.05</v>
      </c>
      <c r="Y119" s="15">
        <f t="shared" si="24"/>
        <v>0.95</v>
      </c>
      <c r="Z119" s="15">
        <f t="shared" ca="1" si="25"/>
        <v>1</v>
      </c>
      <c r="AC119" s="15">
        <f t="shared" ca="1" si="26"/>
        <v>2.1447208967787772E-3</v>
      </c>
      <c r="AD119" s="15">
        <f t="shared" ca="1" si="27"/>
        <v>4.6311131456473587E-2</v>
      </c>
      <c r="AE119" s="15">
        <f t="shared" ca="1" si="28"/>
        <v>3.5659571221484661</v>
      </c>
    </row>
    <row r="120" spans="12:31" x14ac:dyDescent="0.3">
      <c r="L120" s="15">
        <v>118</v>
      </c>
      <c r="M120" s="15">
        <f t="shared" si="18"/>
        <v>1</v>
      </c>
      <c r="N120" s="15">
        <f t="shared" ca="1" si="19"/>
        <v>4.9362935835812971E-2</v>
      </c>
      <c r="O120" s="15">
        <f t="shared" ca="1" si="30"/>
        <v>0.25574142592760091</v>
      </c>
      <c r="P120" s="15">
        <f t="shared" ca="1" si="29"/>
        <v>0.25482566567483023</v>
      </c>
      <c r="Q120" s="15">
        <v>0</v>
      </c>
      <c r="R120" s="15">
        <f t="shared" ca="1" si="20"/>
        <v>0.25482566567483023</v>
      </c>
      <c r="S120" s="15">
        <f t="shared" ca="1" si="31"/>
        <v>0.95174468867194673</v>
      </c>
      <c r="T120" s="15">
        <v>0</v>
      </c>
      <c r="U120" s="15">
        <f t="shared" ca="1" si="21"/>
        <v>0.95174468867194673</v>
      </c>
      <c r="V120" s="15">
        <f t="shared" ca="1" si="22"/>
        <v>0.95063706416418703</v>
      </c>
      <c r="X120" s="15">
        <f t="shared" si="23"/>
        <v>1.05</v>
      </c>
      <c r="Y120" s="15">
        <f t="shared" si="24"/>
        <v>0.95</v>
      </c>
      <c r="Z120" s="15">
        <f t="shared" ca="1" si="25"/>
        <v>1</v>
      </c>
      <c r="AC120" s="15">
        <f t="shared" ca="1" si="26"/>
        <v>2.4366994343305885E-3</v>
      </c>
      <c r="AD120" s="15">
        <f t="shared" ca="1" si="27"/>
        <v>4.9362935835812971E-2</v>
      </c>
      <c r="AE120" s="15">
        <f t="shared" ca="1" si="28"/>
        <v>3.8503089951934117</v>
      </c>
    </row>
    <row r="121" spans="12:31" x14ac:dyDescent="0.3">
      <c r="L121" s="15">
        <v>119</v>
      </c>
      <c r="M121" s="15">
        <f t="shared" si="18"/>
        <v>1</v>
      </c>
      <c r="N121" s="15">
        <f t="shared" ca="1" si="19"/>
        <v>5.2414740215152245E-2</v>
      </c>
      <c r="O121" s="15">
        <f t="shared" ca="1" si="30"/>
        <v>0.25574142592760091</v>
      </c>
      <c r="P121" s="15">
        <f t="shared" ca="1" si="29"/>
        <v>0.25482566567483023</v>
      </c>
      <c r="Q121" s="15">
        <v>0</v>
      </c>
      <c r="R121" s="15">
        <f t="shared" ca="1" si="20"/>
        <v>0.25482566567483023</v>
      </c>
      <c r="S121" s="15">
        <f t="shared" ca="1" si="31"/>
        <v>0.94854314823250852</v>
      </c>
      <c r="T121" s="15">
        <v>0</v>
      </c>
      <c r="U121" s="15">
        <f t="shared" ca="1" si="21"/>
        <v>0.94854314823250852</v>
      </c>
      <c r="V121" s="15">
        <f t="shared" ca="1" si="22"/>
        <v>0.94758525978484776</v>
      </c>
      <c r="X121" s="15">
        <f t="shared" si="23"/>
        <v>1.05</v>
      </c>
      <c r="Y121" s="15">
        <f t="shared" si="24"/>
        <v>0.95</v>
      </c>
      <c r="Z121" s="15">
        <f t="shared" ca="1" si="25"/>
        <v>0</v>
      </c>
      <c r="AC121" s="15">
        <f t="shared" ca="1" si="26"/>
        <v>2.7473049918218979E-3</v>
      </c>
      <c r="AD121" s="15">
        <f t="shared" ca="1" si="27"/>
        <v>5.2414740215152245E-2</v>
      </c>
      <c r="AE121" s="15">
        <f t="shared" ca="1" si="28"/>
        <v>4.1407644769970275</v>
      </c>
    </row>
    <row r="122" spans="12:31" x14ac:dyDescent="0.3">
      <c r="L122" s="15">
        <v>120</v>
      </c>
      <c r="M122" s="15">
        <f t="shared" si="18"/>
        <v>1</v>
      </c>
      <c r="N122" s="15">
        <f t="shared" ca="1" si="19"/>
        <v>5.5466544594491518E-2</v>
      </c>
      <c r="O122" s="15">
        <f t="shared" ca="1" si="30"/>
        <v>0.25749720100111329</v>
      </c>
      <c r="P122" s="15">
        <f t="shared" ca="1" si="29"/>
        <v>0.25635156786449986</v>
      </c>
      <c r="Q122" s="15">
        <v>0</v>
      </c>
      <c r="R122" s="15">
        <f t="shared" ca="1" si="20"/>
        <v>0.25635156786449986</v>
      </c>
      <c r="S122" s="15">
        <f t="shared" ca="1" si="31"/>
        <v>0.94546730272356461</v>
      </c>
      <c r="T122" s="15">
        <v>0</v>
      </c>
      <c r="U122" s="15">
        <f t="shared" ca="1" si="21"/>
        <v>0.94546730272356461</v>
      </c>
      <c r="V122" s="15">
        <f t="shared" ca="1" si="22"/>
        <v>0.94453345540550848</v>
      </c>
      <c r="X122" s="15">
        <f t="shared" si="23"/>
        <v>1.05</v>
      </c>
      <c r="Y122" s="15">
        <f t="shared" si="24"/>
        <v>0.95</v>
      </c>
      <c r="Z122" s="15">
        <f t="shared" ca="1" si="25"/>
        <v>0</v>
      </c>
      <c r="AC122" s="15">
        <f t="shared" ca="1" si="26"/>
        <v>3.0765375692527164E-3</v>
      </c>
      <c r="AD122" s="15">
        <f t="shared" ca="1" si="27"/>
        <v>5.5466544594491518E-2</v>
      </c>
      <c r="AE122" s="15">
        <f t="shared" ca="1" si="28"/>
        <v>4.4373235675593214</v>
      </c>
    </row>
    <row r="123" spans="12:31" x14ac:dyDescent="0.3">
      <c r="L123" s="15">
        <v>121</v>
      </c>
      <c r="M123" s="15">
        <f t="shared" si="18"/>
        <v>1</v>
      </c>
      <c r="N123" s="15">
        <f t="shared" ca="1" si="19"/>
        <v>5.8518348973830792E-2</v>
      </c>
      <c r="O123" s="15">
        <f t="shared" ca="1" si="30"/>
        <v>0.25749720100111329</v>
      </c>
      <c r="P123" s="15">
        <f t="shared" ca="1" si="29"/>
        <v>0.25635156786449986</v>
      </c>
      <c r="Q123" s="15">
        <v>0</v>
      </c>
      <c r="R123" s="15">
        <f t="shared" ca="1" si="20"/>
        <v>0.25635156786449986</v>
      </c>
      <c r="S123" s="15">
        <f t="shared" ca="1" si="31"/>
        <v>0.94255205440830525</v>
      </c>
      <c r="T123" s="15">
        <v>0</v>
      </c>
      <c r="U123" s="15">
        <f t="shared" ca="1" si="21"/>
        <v>0.94255205440830525</v>
      </c>
      <c r="V123" s="15">
        <f t="shared" ca="1" si="22"/>
        <v>0.94148165102616921</v>
      </c>
      <c r="X123" s="15">
        <f t="shared" si="23"/>
        <v>1.05</v>
      </c>
      <c r="Y123" s="15">
        <f t="shared" si="24"/>
        <v>0.95</v>
      </c>
      <c r="Z123" s="15">
        <f t="shared" ca="1" si="25"/>
        <v>0</v>
      </c>
      <c r="AC123" s="15">
        <f t="shared" ca="1" si="26"/>
        <v>3.4243971666230431E-3</v>
      </c>
      <c r="AD123" s="15">
        <f t="shared" ca="1" si="27"/>
        <v>5.8518348973830792E-2</v>
      </c>
      <c r="AE123" s="15">
        <f t="shared" ca="1" si="28"/>
        <v>4.7399862668802939</v>
      </c>
    </row>
    <row r="124" spans="12:31" x14ac:dyDescent="0.3">
      <c r="L124" s="15">
        <v>122</v>
      </c>
      <c r="M124" s="15">
        <f t="shared" si="18"/>
        <v>1</v>
      </c>
      <c r="N124" s="15">
        <f t="shared" ca="1" si="19"/>
        <v>6.1570153353170065E-2</v>
      </c>
      <c r="O124" s="15">
        <f t="shared" ca="1" si="30"/>
        <v>0.25749720100111329</v>
      </c>
      <c r="P124" s="15">
        <f t="shared" ca="1" si="29"/>
        <v>0.25635156786449986</v>
      </c>
      <c r="Q124" s="15">
        <v>0</v>
      </c>
      <c r="R124" s="15">
        <f t="shared" ca="1" si="20"/>
        <v>0.25635156786449986</v>
      </c>
      <c r="S124" s="15">
        <f t="shared" ca="1" si="31"/>
        <v>0.93978934806036896</v>
      </c>
      <c r="T124" s="15">
        <v>0</v>
      </c>
      <c r="U124" s="15">
        <f t="shared" ca="1" si="21"/>
        <v>0.93978934806036896</v>
      </c>
      <c r="V124" s="15">
        <f t="shared" ca="1" si="22"/>
        <v>0.93842984664682993</v>
      </c>
      <c r="X124" s="15">
        <f t="shared" si="23"/>
        <v>1.05</v>
      </c>
      <c r="Y124" s="15">
        <f t="shared" si="24"/>
        <v>0.95</v>
      </c>
      <c r="Z124" s="15">
        <f t="shared" ca="1" si="25"/>
        <v>0</v>
      </c>
      <c r="AC124" s="15">
        <f t="shared" ca="1" si="26"/>
        <v>3.7908837839328792E-3</v>
      </c>
      <c r="AD124" s="15">
        <f t="shared" ca="1" si="27"/>
        <v>6.1570153353170065E-2</v>
      </c>
      <c r="AE124" s="15">
        <f t="shared" ca="1" si="28"/>
        <v>5.0487525749599449</v>
      </c>
    </row>
    <row r="125" spans="12:31" x14ac:dyDescent="0.3">
      <c r="L125" s="15">
        <v>123</v>
      </c>
      <c r="M125" s="15">
        <f t="shared" si="18"/>
        <v>1</v>
      </c>
      <c r="N125" s="15">
        <f t="shared" ca="1" si="19"/>
        <v>6.3096055542839702E-2</v>
      </c>
      <c r="O125" s="15">
        <f t="shared" ca="1" si="30"/>
        <v>0.2590636913946649</v>
      </c>
      <c r="P125" s="15">
        <f t="shared" ca="1" si="29"/>
        <v>0.2578774700541695</v>
      </c>
      <c r="Q125" s="15">
        <v>0</v>
      </c>
      <c r="R125" s="15">
        <f t="shared" ca="1" si="20"/>
        <v>0.2578774700541695</v>
      </c>
      <c r="S125" s="15">
        <f t="shared" ca="1" si="31"/>
        <v>0.93721110556211862</v>
      </c>
      <c r="T125" s="15">
        <v>0</v>
      </c>
      <c r="U125" s="15">
        <f t="shared" ca="1" si="21"/>
        <v>0.93721110556211862</v>
      </c>
      <c r="V125" s="15">
        <f t="shared" ca="1" si="22"/>
        <v>0.9369039444571603</v>
      </c>
      <c r="X125" s="15">
        <f t="shared" si="23"/>
        <v>1.05</v>
      </c>
      <c r="Y125" s="15">
        <f t="shared" si="24"/>
        <v>0.95</v>
      </c>
      <c r="Z125" s="15">
        <f t="shared" ca="1" si="25"/>
        <v>0</v>
      </c>
      <c r="AC125" s="15">
        <f t="shared" ca="1" si="26"/>
        <v>3.9811122250651126E-3</v>
      </c>
      <c r="AD125" s="15">
        <f t="shared" ca="1" si="27"/>
        <v>6.3096055542839702E-2</v>
      </c>
      <c r="AE125" s="15">
        <f t="shared" ca="1" si="28"/>
        <v>5.2369726100556955</v>
      </c>
    </row>
    <row r="126" spans="12:31" x14ac:dyDescent="0.3">
      <c r="L126" s="15">
        <v>124</v>
      </c>
      <c r="M126" s="15">
        <f t="shared" si="18"/>
        <v>1</v>
      </c>
      <c r="N126" s="15">
        <f t="shared" ca="1" si="19"/>
        <v>6.6147859922178975E-2</v>
      </c>
      <c r="O126" s="15">
        <f t="shared" ca="1" si="30"/>
        <v>0.2590636913946649</v>
      </c>
      <c r="P126" s="15">
        <f t="shared" ca="1" si="29"/>
        <v>0.2578774700541695</v>
      </c>
      <c r="Q126" s="15">
        <v>0</v>
      </c>
      <c r="R126" s="15">
        <f t="shared" ca="1" si="20"/>
        <v>0.2578774700541695</v>
      </c>
      <c r="S126" s="15">
        <f t="shared" ca="1" si="31"/>
        <v>0.93484266460834853</v>
      </c>
      <c r="T126" s="15">
        <v>0</v>
      </c>
      <c r="U126" s="15">
        <f t="shared" ca="1" si="21"/>
        <v>0.93484266460834853</v>
      </c>
      <c r="V126" s="15">
        <f t="shared" ca="1" si="22"/>
        <v>0.93385214007782102</v>
      </c>
      <c r="X126" s="15">
        <f t="shared" si="23"/>
        <v>1.05</v>
      </c>
      <c r="Y126" s="15">
        <f t="shared" si="24"/>
        <v>0.95</v>
      </c>
      <c r="Z126" s="15">
        <f t="shared" ca="1" si="25"/>
        <v>0</v>
      </c>
      <c r="AC126" s="15">
        <f t="shared" ca="1" si="26"/>
        <v>4.3755393722842116E-3</v>
      </c>
      <c r="AD126" s="15">
        <f t="shared" ca="1" si="27"/>
        <v>6.6147859922178975E-2</v>
      </c>
      <c r="AE126" s="15">
        <f t="shared" ca="1" si="28"/>
        <v>5.5564202334630339</v>
      </c>
    </row>
    <row r="127" spans="12:31" x14ac:dyDescent="0.3">
      <c r="L127" s="15">
        <v>125</v>
      </c>
      <c r="M127" s="15">
        <f t="shared" si="18"/>
        <v>1</v>
      </c>
      <c r="N127" s="15">
        <f t="shared" ca="1" si="19"/>
        <v>6.7673762111848612E-2</v>
      </c>
      <c r="O127" s="15">
        <f t="shared" ca="1" si="30"/>
        <v>0.2590636913946649</v>
      </c>
      <c r="P127" s="15">
        <f t="shared" ca="1" si="29"/>
        <v>0.2578774700541695</v>
      </c>
      <c r="Q127" s="15">
        <v>0</v>
      </c>
      <c r="R127" s="15">
        <f t="shared" ca="1" si="20"/>
        <v>0.2578774700541695</v>
      </c>
      <c r="S127" s="15">
        <f t="shared" ca="1" si="31"/>
        <v>0.93266741137869591</v>
      </c>
      <c r="T127" s="15">
        <v>0</v>
      </c>
      <c r="U127" s="15">
        <f t="shared" ca="1" si="21"/>
        <v>0.93266741137869591</v>
      </c>
      <c r="V127" s="15">
        <f t="shared" ca="1" si="22"/>
        <v>0.93232623788815139</v>
      </c>
      <c r="X127" s="15">
        <f t="shared" si="23"/>
        <v>1.05</v>
      </c>
      <c r="Y127" s="15">
        <f t="shared" si="24"/>
        <v>0.95</v>
      </c>
      <c r="Z127" s="15">
        <f t="shared" ca="1" si="25"/>
        <v>0</v>
      </c>
      <c r="AC127" s="15">
        <f t="shared" ca="1" si="26"/>
        <v>4.5797380783710769E-3</v>
      </c>
      <c r="AD127" s="15">
        <f t="shared" ca="1" si="27"/>
        <v>6.7673762111848612E-2</v>
      </c>
      <c r="AE127" s="15">
        <f t="shared" ca="1" si="28"/>
        <v>5.7522697795071318</v>
      </c>
    </row>
    <row r="128" spans="12:31" x14ac:dyDescent="0.3">
      <c r="L128" s="15">
        <v>126</v>
      </c>
      <c r="M128" s="15">
        <f t="shared" si="18"/>
        <v>1</v>
      </c>
      <c r="N128" s="15">
        <f t="shared" ca="1" si="19"/>
        <v>7.0725566491187886E-2</v>
      </c>
      <c r="O128" s="15">
        <f t="shared" ca="1" si="30"/>
        <v>0.262068455870751</v>
      </c>
      <c r="P128" s="15">
        <f t="shared" ca="1" si="29"/>
        <v>0.26092927443350877</v>
      </c>
      <c r="Q128" s="15">
        <v>0</v>
      </c>
      <c r="R128" s="15">
        <f t="shared" ca="1" si="20"/>
        <v>0.26092927443350877</v>
      </c>
      <c r="S128" s="15">
        <f t="shared" ca="1" si="31"/>
        <v>0.93072282357501201</v>
      </c>
      <c r="T128" s="15">
        <v>0</v>
      </c>
      <c r="U128" s="15">
        <f t="shared" ca="1" si="21"/>
        <v>0.93072282357501201</v>
      </c>
      <c r="V128" s="15">
        <f t="shared" ca="1" si="22"/>
        <v>0.92927443350881211</v>
      </c>
      <c r="X128" s="15">
        <f t="shared" si="23"/>
        <v>1.05</v>
      </c>
      <c r="Y128" s="15">
        <f t="shared" si="24"/>
        <v>0.95</v>
      </c>
      <c r="Z128" s="15">
        <f t="shared" ca="1" si="25"/>
        <v>0</v>
      </c>
      <c r="AC128" s="15">
        <f t="shared" ca="1" si="26"/>
        <v>5.0021057554994388E-3</v>
      </c>
      <c r="AD128" s="15">
        <f t="shared" ca="1" si="27"/>
        <v>7.0725566491187886E-2</v>
      </c>
      <c r="AE128" s="15">
        <f t="shared" ca="1" si="28"/>
        <v>6.0823987182421586</v>
      </c>
    </row>
    <row r="129" spans="12:31" x14ac:dyDescent="0.3">
      <c r="L129" s="15">
        <v>127</v>
      </c>
      <c r="M129" s="15">
        <f t="shared" si="18"/>
        <v>1</v>
      </c>
      <c r="N129" s="15">
        <f t="shared" ca="1" si="19"/>
        <v>7.2251468680857522E-2</v>
      </c>
      <c r="O129" s="15">
        <f t="shared" ca="1" si="30"/>
        <v>0.262068455870751</v>
      </c>
      <c r="P129" s="15">
        <f t="shared" ca="1" si="29"/>
        <v>0.26092927443350877</v>
      </c>
      <c r="Q129" s="15">
        <v>0</v>
      </c>
      <c r="R129" s="15">
        <f t="shared" ca="1" si="20"/>
        <v>0.26092927443350877</v>
      </c>
      <c r="S129" s="15">
        <f t="shared" ca="1" si="31"/>
        <v>0.92903831008383264</v>
      </c>
      <c r="T129" s="15">
        <v>0</v>
      </c>
      <c r="U129" s="15">
        <f t="shared" ca="1" si="21"/>
        <v>0.92903831008383264</v>
      </c>
      <c r="V129" s="15">
        <f t="shared" ca="1" si="22"/>
        <v>0.92774853131914248</v>
      </c>
      <c r="X129" s="15">
        <f t="shared" si="23"/>
        <v>1.05</v>
      </c>
      <c r="Y129" s="15">
        <f t="shared" si="24"/>
        <v>0.95</v>
      </c>
      <c r="Z129" s="15">
        <f t="shared" ca="1" si="25"/>
        <v>0</v>
      </c>
      <c r="AC129" s="15">
        <f t="shared" ca="1" si="26"/>
        <v>5.2202747265409355E-3</v>
      </c>
      <c r="AD129" s="15">
        <f t="shared" ca="1" si="27"/>
        <v>7.2251468680857522E-2</v>
      </c>
      <c r="AE129" s="15">
        <f t="shared" ca="1" si="28"/>
        <v>6.2858777752346047</v>
      </c>
    </row>
    <row r="130" spans="12:31" x14ac:dyDescent="0.3">
      <c r="L130" s="15">
        <v>128</v>
      </c>
      <c r="M130" s="15">
        <f t="shared" si="18"/>
        <v>1</v>
      </c>
      <c r="N130" s="15">
        <f t="shared" ca="1" si="19"/>
        <v>7.3777370870527159E-2</v>
      </c>
      <c r="O130" s="15">
        <f t="shared" ca="1" si="30"/>
        <v>0.262068455870751</v>
      </c>
      <c r="P130" s="15">
        <f t="shared" ca="1" si="29"/>
        <v>0.26092927443350877</v>
      </c>
      <c r="Q130" s="15">
        <v>0</v>
      </c>
      <c r="R130" s="15">
        <f t="shared" ca="1" si="20"/>
        <v>0.26092927443350877</v>
      </c>
      <c r="S130" s="15">
        <f t="shared" ca="1" si="31"/>
        <v>0.92758798290534417</v>
      </c>
      <c r="T130" s="15">
        <v>0</v>
      </c>
      <c r="U130" s="15">
        <f t="shared" ca="1" si="21"/>
        <v>0.92758798290534417</v>
      </c>
      <c r="V130" s="15">
        <f t="shared" ca="1" si="22"/>
        <v>0.92622262912947284</v>
      </c>
      <c r="X130" s="15">
        <f t="shared" si="23"/>
        <v>1.05</v>
      </c>
      <c r="Y130" s="15">
        <f t="shared" si="24"/>
        <v>0.95</v>
      </c>
      <c r="Z130" s="15">
        <f t="shared" ca="1" si="25"/>
        <v>0</v>
      </c>
      <c r="AC130" s="15">
        <f t="shared" ca="1" si="26"/>
        <v>5.4431004525673093E-3</v>
      </c>
      <c r="AD130" s="15">
        <f t="shared" ca="1" si="27"/>
        <v>7.3777370870527159E-2</v>
      </c>
      <c r="AE130" s="15">
        <f t="shared" ca="1" si="28"/>
        <v>6.49240863660639</v>
      </c>
    </row>
    <row r="131" spans="12:31" x14ac:dyDescent="0.3">
      <c r="L131" s="15">
        <v>129</v>
      </c>
      <c r="M131" s="15">
        <f t="shared" ref="M131:M194" si="32">IF(L131&lt;$D$16,$D$12,IF(L131&lt;$E$16,$E$12,$F$13))</f>
        <v>1</v>
      </c>
      <c r="N131" s="15">
        <f t="shared" ref="N131:N194" ca="1" si="33">M131-V131</f>
        <v>7.3777370870527159E-2</v>
      </c>
      <c r="O131" s="15">
        <f t="shared" ca="1" si="30"/>
        <v>0.26024824107620659</v>
      </c>
      <c r="P131" s="15">
        <f t="shared" ca="1" si="29"/>
        <v>0.25940337224383914</v>
      </c>
      <c r="Q131" s="15">
        <v>0</v>
      </c>
      <c r="R131" s="15">
        <f t="shared" ref="R131:R194" ca="1" si="34">P131+Q131</f>
        <v>0.25940337224383914</v>
      </c>
      <c r="S131" s="15">
        <f t="shared" ca="1" si="31"/>
        <v>0.92640104938266243</v>
      </c>
      <c r="T131" s="15">
        <v>0</v>
      </c>
      <c r="U131" s="15">
        <f t="shared" ref="U131:U194" ca="1" si="35">S131+T131</f>
        <v>0.92640104938266243</v>
      </c>
      <c r="V131" s="15">
        <f t="shared" ref="V131:V194" ca="1" si="36">INT((2^$J$12-1)*U131/100)/(2^$J$12-1)*100</f>
        <v>0.92622262912947284</v>
      </c>
      <c r="X131" s="15">
        <f t="shared" ref="X131:X194" si="37">M131 * 1.05</f>
        <v>1.05</v>
      </c>
      <c r="Y131" s="15">
        <f t="shared" ref="Y131:Y194" si="38">M131 * 0.95</f>
        <v>0.95</v>
      </c>
      <c r="Z131" s="15">
        <f t="shared" ref="Z131:Z194" ca="1" si="39">IF(AND(V131 &lt;= X131, V131 &gt;= Y131), 1, 0)</f>
        <v>0</v>
      </c>
      <c r="AC131" s="15">
        <f t="shared" ref="AC131:AC194" ca="1" si="40">N131^2</f>
        <v>5.4431004525673093E-3</v>
      </c>
      <c r="AD131" s="15">
        <f t="shared" ref="AD131:AD194" ca="1" si="41">ABS(N131)</f>
        <v>7.3777370870527159E-2</v>
      </c>
      <c r="AE131" s="15">
        <f t="shared" ref="AE131:AE194" ca="1" si="42">IF(M131&gt;0, ABS(N131)*(L131-$D$16),0)</f>
        <v>6.5661860074769169</v>
      </c>
    </row>
    <row r="132" spans="12:31" x14ac:dyDescent="0.3">
      <c r="L132" s="15">
        <v>130</v>
      </c>
      <c r="M132" s="15">
        <f t="shared" si="32"/>
        <v>1</v>
      </c>
      <c r="N132" s="15">
        <f t="shared" ca="1" si="33"/>
        <v>7.5303273060196796E-2</v>
      </c>
      <c r="O132" s="15">
        <f t="shared" ca="1" si="30"/>
        <v>0.26024824107620659</v>
      </c>
      <c r="P132" s="15">
        <f t="shared" ca="1" si="29"/>
        <v>0.25940337224383914</v>
      </c>
      <c r="Q132" s="15">
        <v>0</v>
      </c>
      <c r="R132" s="15">
        <f t="shared" ca="1" si="34"/>
        <v>0.25940337224383914</v>
      </c>
      <c r="S132" s="15">
        <f t="shared" ca="1" si="31"/>
        <v>0.92549955942354822</v>
      </c>
      <c r="T132" s="15">
        <v>0</v>
      </c>
      <c r="U132" s="15">
        <f t="shared" ca="1" si="35"/>
        <v>0.92549955942354822</v>
      </c>
      <c r="V132" s="15">
        <f t="shared" ca="1" si="36"/>
        <v>0.9246967269398032</v>
      </c>
      <c r="X132" s="15">
        <f t="shared" si="37"/>
        <v>1.05</v>
      </c>
      <c r="Y132" s="15">
        <f t="shared" si="38"/>
        <v>0.95</v>
      </c>
      <c r="Z132" s="15">
        <f t="shared" ca="1" si="39"/>
        <v>0</v>
      </c>
      <c r="AC132" s="15">
        <f t="shared" ca="1" si="40"/>
        <v>5.6705829335785603E-3</v>
      </c>
      <c r="AD132" s="15">
        <f t="shared" ca="1" si="41"/>
        <v>7.5303273060196796E-2</v>
      </c>
      <c r="AE132" s="15">
        <f t="shared" ca="1" si="42"/>
        <v>6.7772945754177112</v>
      </c>
    </row>
    <row r="133" spans="12:31" x14ac:dyDescent="0.3">
      <c r="L133" s="15">
        <v>131</v>
      </c>
      <c r="M133" s="15">
        <f t="shared" si="32"/>
        <v>1</v>
      </c>
      <c r="N133" s="15">
        <f t="shared" ca="1" si="33"/>
        <v>7.5303273060196796E-2</v>
      </c>
      <c r="O133" s="15">
        <f t="shared" ca="1" si="30"/>
        <v>0.26024824107620659</v>
      </c>
      <c r="P133" s="15">
        <f t="shared" ca="1" si="29"/>
        <v>0.25940337224383914</v>
      </c>
      <c r="Q133" s="15">
        <v>0</v>
      </c>
      <c r="R133" s="15">
        <f t="shared" ca="1" si="34"/>
        <v>0.25940337224383914</v>
      </c>
      <c r="S133" s="15">
        <f t="shared" ca="1" si="31"/>
        <v>0.92485109286791067</v>
      </c>
      <c r="T133" s="15">
        <v>0</v>
      </c>
      <c r="U133" s="15">
        <f t="shared" ca="1" si="35"/>
        <v>0.92485109286791067</v>
      </c>
      <c r="V133" s="15">
        <f t="shared" ca="1" si="36"/>
        <v>0.9246967269398032</v>
      </c>
      <c r="X133" s="15">
        <f t="shared" si="37"/>
        <v>1.05</v>
      </c>
      <c r="Y133" s="15">
        <f t="shared" si="38"/>
        <v>0.95</v>
      </c>
      <c r="Z133" s="15">
        <f t="shared" ca="1" si="39"/>
        <v>0</v>
      </c>
      <c r="AC133" s="15">
        <f t="shared" ca="1" si="40"/>
        <v>5.6705829335785603E-3</v>
      </c>
      <c r="AD133" s="15">
        <f t="shared" ca="1" si="41"/>
        <v>7.5303273060196796E-2</v>
      </c>
      <c r="AE133" s="15">
        <f t="shared" ca="1" si="42"/>
        <v>6.8525978484779086</v>
      </c>
    </row>
    <row r="134" spans="12:31" x14ac:dyDescent="0.3">
      <c r="L134" s="15">
        <v>132</v>
      </c>
      <c r="M134" s="15">
        <f t="shared" si="32"/>
        <v>1</v>
      </c>
      <c r="N134" s="15">
        <f t="shared" ca="1" si="33"/>
        <v>7.6829175249866433E-2</v>
      </c>
      <c r="O134" s="15">
        <f t="shared" ca="1" si="30"/>
        <v>0.26236781791971142</v>
      </c>
      <c r="P134" s="15">
        <f t="shared" ca="1" si="29"/>
        <v>0.26092927443350877</v>
      </c>
      <c r="Q134" s="15">
        <v>0</v>
      </c>
      <c r="R134" s="15">
        <f t="shared" ca="1" si="34"/>
        <v>0.26092927443350877</v>
      </c>
      <c r="S134" s="15">
        <f t="shared" ca="1" si="31"/>
        <v>0.92447907439241139</v>
      </c>
      <c r="T134" s="15">
        <v>0</v>
      </c>
      <c r="U134" s="15">
        <f t="shared" ca="1" si="35"/>
        <v>0.92447907439241139</v>
      </c>
      <c r="V134" s="15">
        <f t="shared" ca="1" si="36"/>
        <v>0.92317082475013357</v>
      </c>
      <c r="X134" s="15">
        <f t="shared" si="37"/>
        <v>1.05</v>
      </c>
      <c r="Y134" s="15">
        <f t="shared" si="38"/>
        <v>0.95</v>
      </c>
      <c r="Z134" s="15">
        <f t="shared" ca="1" si="39"/>
        <v>0</v>
      </c>
      <c r="AC134" s="15">
        <f t="shared" ca="1" si="40"/>
        <v>5.9027221695746885E-3</v>
      </c>
      <c r="AD134" s="15">
        <f t="shared" ca="1" si="41"/>
        <v>7.6829175249866433E-2</v>
      </c>
      <c r="AE134" s="15">
        <f t="shared" ca="1" si="42"/>
        <v>7.0682841229877118</v>
      </c>
    </row>
    <row r="135" spans="12:31" x14ac:dyDescent="0.3">
      <c r="L135" s="15">
        <v>133</v>
      </c>
      <c r="M135" s="15">
        <f t="shared" si="32"/>
        <v>1</v>
      </c>
      <c r="N135" s="15">
        <f t="shared" ca="1" si="33"/>
        <v>7.6829175249866433E-2</v>
      </c>
      <c r="O135" s="15">
        <f t="shared" ca="1" si="30"/>
        <v>0.26236781791971142</v>
      </c>
      <c r="P135" s="15">
        <f t="shared" ca="1" si="29"/>
        <v>0.26092927443350877</v>
      </c>
      <c r="Q135" s="15">
        <v>0</v>
      </c>
      <c r="R135" s="15">
        <f t="shared" ca="1" si="34"/>
        <v>0.26092927443350877</v>
      </c>
      <c r="S135" s="15">
        <f t="shared" ca="1" si="31"/>
        <v>0.92440045005273563</v>
      </c>
      <c r="T135" s="15">
        <v>0</v>
      </c>
      <c r="U135" s="15">
        <f t="shared" ca="1" si="35"/>
        <v>0.92440045005273563</v>
      </c>
      <c r="V135" s="15">
        <f t="shared" ca="1" si="36"/>
        <v>0.92317082475013357</v>
      </c>
      <c r="X135" s="15">
        <f t="shared" si="37"/>
        <v>1.05</v>
      </c>
      <c r="Y135" s="15">
        <f t="shared" si="38"/>
        <v>0.95</v>
      </c>
      <c r="Z135" s="15">
        <f t="shared" ca="1" si="39"/>
        <v>0</v>
      </c>
      <c r="AC135" s="15">
        <f t="shared" ca="1" si="40"/>
        <v>5.9027221695746885E-3</v>
      </c>
      <c r="AD135" s="15">
        <f t="shared" ca="1" si="41"/>
        <v>7.6829175249866433E-2</v>
      </c>
      <c r="AE135" s="15">
        <f t="shared" ca="1" si="42"/>
        <v>7.145113298237578</v>
      </c>
    </row>
    <row r="136" spans="12:31" x14ac:dyDescent="0.3">
      <c r="L136" s="15">
        <v>134</v>
      </c>
      <c r="M136" s="15">
        <f t="shared" si="32"/>
        <v>1</v>
      </c>
      <c r="N136" s="15">
        <f t="shared" ca="1" si="33"/>
        <v>7.6829175249866433E-2</v>
      </c>
      <c r="O136" s="15">
        <f t="shared" ca="1" si="30"/>
        <v>0.26236781791971142</v>
      </c>
      <c r="P136" s="15">
        <f t="shared" ca="1" si="29"/>
        <v>0.26092927443350877</v>
      </c>
      <c r="Q136" s="15">
        <v>0</v>
      </c>
      <c r="R136" s="15">
        <f t="shared" ca="1" si="34"/>
        <v>0.26092927443350877</v>
      </c>
      <c r="S136" s="15">
        <f t="shared" ca="1" si="31"/>
        <v>0.92457831007230851</v>
      </c>
      <c r="T136" s="15">
        <v>0</v>
      </c>
      <c r="U136" s="15">
        <f t="shared" ca="1" si="35"/>
        <v>0.92457831007230851</v>
      </c>
      <c r="V136" s="15">
        <f t="shared" ca="1" si="36"/>
        <v>0.92317082475013357</v>
      </c>
      <c r="X136" s="15">
        <f t="shared" si="37"/>
        <v>1.05</v>
      </c>
      <c r="Y136" s="15">
        <f t="shared" si="38"/>
        <v>0.95</v>
      </c>
      <c r="Z136" s="15">
        <f t="shared" ca="1" si="39"/>
        <v>0</v>
      </c>
      <c r="AC136" s="15">
        <f t="shared" ca="1" si="40"/>
        <v>5.9027221695746885E-3</v>
      </c>
      <c r="AD136" s="15">
        <f t="shared" ca="1" si="41"/>
        <v>7.6829175249866433E-2</v>
      </c>
      <c r="AE136" s="15">
        <f t="shared" ca="1" si="42"/>
        <v>7.2219424734874451</v>
      </c>
    </row>
    <row r="137" spans="12:31" x14ac:dyDescent="0.3">
      <c r="L137" s="15">
        <v>135</v>
      </c>
      <c r="M137" s="15">
        <f t="shared" si="32"/>
        <v>1</v>
      </c>
      <c r="N137" s="15">
        <f t="shared" ca="1" si="33"/>
        <v>7.5303273060196796E-2</v>
      </c>
      <c r="O137" s="15">
        <f t="shared" ca="1" si="30"/>
        <v>0.25957586996730403</v>
      </c>
      <c r="P137" s="15">
        <f t="shared" ca="1" si="29"/>
        <v>0.25940337224383914</v>
      </c>
      <c r="Q137" s="15">
        <v>0</v>
      </c>
      <c r="R137" s="15">
        <f t="shared" ca="1" si="34"/>
        <v>0.25940337224383914</v>
      </c>
      <c r="S137" s="15">
        <f t="shared" ca="1" si="31"/>
        <v>0.92501894483341085</v>
      </c>
      <c r="T137" s="15">
        <v>0</v>
      </c>
      <c r="U137" s="15">
        <f t="shared" ca="1" si="35"/>
        <v>0.92501894483341085</v>
      </c>
      <c r="V137" s="15">
        <f t="shared" ca="1" si="36"/>
        <v>0.9246967269398032</v>
      </c>
      <c r="X137" s="15">
        <f t="shared" si="37"/>
        <v>1.05</v>
      </c>
      <c r="Y137" s="15">
        <f t="shared" si="38"/>
        <v>0.95</v>
      </c>
      <c r="Z137" s="15">
        <f t="shared" ca="1" si="39"/>
        <v>0</v>
      </c>
      <c r="AC137" s="15">
        <f t="shared" ca="1" si="40"/>
        <v>5.6705829335785603E-3</v>
      </c>
      <c r="AD137" s="15">
        <f t="shared" ca="1" si="41"/>
        <v>7.5303273060196796E-2</v>
      </c>
      <c r="AE137" s="15">
        <f t="shared" ca="1" si="42"/>
        <v>7.1538109407186958</v>
      </c>
    </row>
    <row r="138" spans="12:31" x14ac:dyDescent="0.3">
      <c r="L138" s="15">
        <v>136</v>
      </c>
      <c r="M138" s="15">
        <f t="shared" si="32"/>
        <v>1</v>
      </c>
      <c r="N138" s="15">
        <f t="shared" ca="1" si="33"/>
        <v>7.5303273060196796E-2</v>
      </c>
      <c r="O138" s="15">
        <f t="shared" ca="1" si="30"/>
        <v>0.25957586996730403</v>
      </c>
      <c r="P138" s="15">
        <f t="shared" ca="1" si="29"/>
        <v>0.25940337224383914</v>
      </c>
      <c r="Q138" s="15">
        <v>0</v>
      </c>
      <c r="R138" s="15">
        <f t="shared" ca="1" si="34"/>
        <v>0.25940337224383914</v>
      </c>
      <c r="S138" s="15">
        <f t="shared" ca="1" si="31"/>
        <v>0.92572498287052718</v>
      </c>
      <c r="T138" s="15">
        <v>0</v>
      </c>
      <c r="U138" s="15">
        <f t="shared" ca="1" si="35"/>
        <v>0.92572498287052718</v>
      </c>
      <c r="V138" s="15">
        <f t="shared" ca="1" si="36"/>
        <v>0.9246967269398032</v>
      </c>
      <c r="X138" s="15">
        <f t="shared" si="37"/>
        <v>1.05</v>
      </c>
      <c r="Y138" s="15">
        <f t="shared" si="38"/>
        <v>0.95</v>
      </c>
      <c r="Z138" s="15">
        <f t="shared" ca="1" si="39"/>
        <v>0</v>
      </c>
      <c r="AC138" s="15">
        <f t="shared" ca="1" si="40"/>
        <v>5.6705829335785603E-3</v>
      </c>
      <c r="AD138" s="15">
        <f t="shared" ca="1" si="41"/>
        <v>7.5303273060196796E-2</v>
      </c>
      <c r="AE138" s="15">
        <f t="shared" ca="1" si="42"/>
        <v>7.2291142137788924</v>
      </c>
    </row>
    <row r="139" spans="12:31" x14ac:dyDescent="0.3">
      <c r="L139" s="15">
        <v>137</v>
      </c>
      <c r="M139" s="15">
        <f t="shared" si="32"/>
        <v>1</v>
      </c>
      <c r="N139" s="15">
        <f t="shared" ca="1" si="33"/>
        <v>7.3777370870527159E-2</v>
      </c>
      <c r="O139" s="15">
        <f t="shared" ca="1" si="30"/>
        <v>0.25957586996730403</v>
      </c>
      <c r="P139" s="15">
        <f t="shared" ca="1" si="29"/>
        <v>0.25940337224383914</v>
      </c>
      <c r="Q139" s="15">
        <v>0</v>
      </c>
      <c r="R139" s="15">
        <f t="shared" ca="1" si="34"/>
        <v>0.25940337224383914</v>
      </c>
      <c r="S139" s="15">
        <f t="shared" ca="1" si="31"/>
        <v>0.92665974864305867</v>
      </c>
      <c r="T139" s="15">
        <v>0</v>
      </c>
      <c r="U139" s="15">
        <f t="shared" ca="1" si="35"/>
        <v>0.92665974864305867</v>
      </c>
      <c r="V139" s="15">
        <f t="shared" ca="1" si="36"/>
        <v>0.92622262912947284</v>
      </c>
      <c r="X139" s="15">
        <f t="shared" si="37"/>
        <v>1.05</v>
      </c>
      <c r="Y139" s="15">
        <f t="shared" si="38"/>
        <v>0.95</v>
      </c>
      <c r="Z139" s="15">
        <f t="shared" ca="1" si="39"/>
        <v>0</v>
      </c>
      <c r="AC139" s="15">
        <f t="shared" ca="1" si="40"/>
        <v>5.4431004525673093E-3</v>
      </c>
      <c r="AD139" s="15">
        <f t="shared" ca="1" si="41"/>
        <v>7.3777370870527159E-2</v>
      </c>
      <c r="AE139" s="15">
        <f t="shared" ca="1" si="42"/>
        <v>7.1564049744411342</v>
      </c>
    </row>
    <row r="140" spans="12:31" x14ac:dyDescent="0.3">
      <c r="L140" s="15">
        <v>138</v>
      </c>
      <c r="M140" s="15">
        <f t="shared" si="32"/>
        <v>1</v>
      </c>
      <c r="N140" s="15">
        <f t="shared" ca="1" si="33"/>
        <v>7.2251468680857522E-2</v>
      </c>
      <c r="O140" s="15">
        <f t="shared" ca="1" si="30"/>
        <v>0.25898076085674193</v>
      </c>
      <c r="P140" s="15">
        <f t="shared" ca="1" si="29"/>
        <v>0.2578774700541695</v>
      </c>
      <c r="Q140" s="15">
        <v>0</v>
      </c>
      <c r="R140" s="15">
        <f t="shared" ca="1" si="34"/>
        <v>0.2578774700541695</v>
      </c>
      <c r="S140" s="15">
        <f t="shared" ca="1" si="31"/>
        <v>0.92782985443596167</v>
      </c>
      <c r="T140" s="15">
        <v>0</v>
      </c>
      <c r="U140" s="15">
        <f t="shared" ca="1" si="35"/>
        <v>0.92782985443596167</v>
      </c>
      <c r="V140" s="15">
        <f t="shared" ca="1" si="36"/>
        <v>0.92774853131914248</v>
      </c>
      <c r="X140" s="15">
        <f t="shared" si="37"/>
        <v>1.05</v>
      </c>
      <c r="Y140" s="15">
        <f t="shared" si="38"/>
        <v>0.95</v>
      </c>
      <c r="Z140" s="15">
        <f t="shared" ca="1" si="39"/>
        <v>0</v>
      </c>
      <c r="AC140" s="15">
        <f t="shared" ca="1" si="40"/>
        <v>5.2202747265409355E-3</v>
      </c>
      <c r="AD140" s="15">
        <f t="shared" ca="1" si="41"/>
        <v>7.2251468680857522E-2</v>
      </c>
      <c r="AE140" s="15">
        <f t="shared" ca="1" si="42"/>
        <v>7.0806439307240367</v>
      </c>
    </row>
    <row r="141" spans="12:31" x14ac:dyDescent="0.3">
      <c r="L141" s="15">
        <v>139</v>
      </c>
      <c r="M141" s="15">
        <f t="shared" si="32"/>
        <v>1</v>
      </c>
      <c r="N141" s="15">
        <f t="shared" ca="1" si="33"/>
        <v>7.2251468680857522E-2</v>
      </c>
      <c r="O141" s="15">
        <f t="shared" ca="1" si="30"/>
        <v>0.25898076085674193</v>
      </c>
      <c r="P141" s="15">
        <f t="shared" ref="P141:P204" ca="1" si="43">INT((2^$J$12-1)*O141/100)/(2^$J$12-1)*100</f>
        <v>0.2578774700541695</v>
      </c>
      <c r="Q141" s="15">
        <v>0</v>
      </c>
      <c r="R141" s="15">
        <f t="shared" ca="1" si="34"/>
        <v>0.2578774700541695</v>
      </c>
      <c r="S141" s="15">
        <f t="shared" ca="1" si="31"/>
        <v>0.92923832586349742</v>
      </c>
      <c r="T141" s="15">
        <v>0</v>
      </c>
      <c r="U141" s="15">
        <f t="shared" ca="1" si="35"/>
        <v>0.92923832586349742</v>
      </c>
      <c r="V141" s="15">
        <f t="shared" ca="1" si="36"/>
        <v>0.92774853131914248</v>
      </c>
      <c r="X141" s="15">
        <f t="shared" si="37"/>
        <v>1.05</v>
      </c>
      <c r="Y141" s="15">
        <f t="shared" si="38"/>
        <v>0.95</v>
      </c>
      <c r="Z141" s="15">
        <f t="shared" ca="1" si="39"/>
        <v>0</v>
      </c>
      <c r="AC141" s="15">
        <f t="shared" ca="1" si="40"/>
        <v>5.2202747265409355E-3</v>
      </c>
      <c r="AD141" s="15">
        <f t="shared" ca="1" si="41"/>
        <v>7.2251468680857522E-2</v>
      </c>
      <c r="AE141" s="15">
        <f t="shared" ca="1" si="42"/>
        <v>7.1528953994048949</v>
      </c>
    </row>
    <row r="142" spans="12:31" x14ac:dyDescent="0.3">
      <c r="L142" s="15">
        <v>140</v>
      </c>
      <c r="M142" s="15">
        <f t="shared" si="32"/>
        <v>1</v>
      </c>
      <c r="N142" s="15">
        <f t="shared" ca="1" si="33"/>
        <v>6.9199664301518249E-2</v>
      </c>
      <c r="O142" s="15">
        <f t="shared" ca="1" si="30"/>
        <v>0.25898076085674193</v>
      </c>
      <c r="P142" s="15">
        <f t="shared" ca="1" si="43"/>
        <v>0.2578774700541695</v>
      </c>
      <c r="Q142" s="15">
        <v>0</v>
      </c>
      <c r="R142" s="15">
        <f t="shared" ca="1" si="34"/>
        <v>0.2578774700541695</v>
      </c>
      <c r="S142" s="15">
        <f t="shared" ca="1" si="31"/>
        <v>0.9308489484197594</v>
      </c>
      <c r="T142" s="15">
        <v>0</v>
      </c>
      <c r="U142" s="15">
        <f t="shared" ca="1" si="35"/>
        <v>0.9308489484197594</v>
      </c>
      <c r="V142" s="15">
        <f t="shared" ca="1" si="36"/>
        <v>0.93080033569848175</v>
      </c>
      <c r="X142" s="15">
        <f t="shared" si="37"/>
        <v>1.05</v>
      </c>
      <c r="Y142" s="15">
        <f t="shared" si="38"/>
        <v>0.95</v>
      </c>
      <c r="Z142" s="15">
        <f t="shared" ca="1" si="39"/>
        <v>0</v>
      </c>
      <c r="AC142" s="15">
        <f t="shared" ca="1" si="40"/>
        <v>4.7885935394428192E-3</v>
      </c>
      <c r="AD142" s="15">
        <f t="shared" ca="1" si="41"/>
        <v>6.9199664301518249E-2</v>
      </c>
      <c r="AE142" s="15">
        <f t="shared" ca="1" si="42"/>
        <v>6.9199664301518249</v>
      </c>
    </row>
    <row r="143" spans="12:31" x14ac:dyDescent="0.3">
      <c r="L143" s="15">
        <v>141</v>
      </c>
      <c r="M143" s="15">
        <f t="shared" si="32"/>
        <v>1</v>
      </c>
      <c r="N143" s="15">
        <f t="shared" ca="1" si="33"/>
        <v>6.7673762111848612E-2</v>
      </c>
      <c r="O143" s="15">
        <f t="shared" ca="1" si="30"/>
        <v>0.25796557899880135</v>
      </c>
      <c r="P143" s="15">
        <f t="shared" ca="1" si="43"/>
        <v>0.2578774700541695</v>
      </c>
      <c r="Q143" s="15">
        <v>0</v>
      </c>
      <c r="R143" s="15">
        <f t="shared" ca="1" si="34"/>
        <v>0.2578774700541695</v>
      </c>
      <c r="S143" s="15">
        <f t="shared" ca="1" si="31"/>
        <v>0.93264244944290764</v>
      </c>
      <c r="T143" s="15">
        <v>0</v>
      </c>
      <c r="U143" s="15">
        <f t="shared" ca="1" si="35"/>
        <v>0.93264244944290764</v>
      </c>
      <c r="V143" s="15">
        <f t="shared" ca="1" si="36"/>
        <v>0.93232623788815139</v>
      </c>
      <c r="X143" s="15">
        <f t="shared" si="37"/>
        <v>1.05</v>
      </c>
      <c r="Y143" s="15">
        <f t="shared" si="38"/>
        <v>0.95</v>
      </c>
      <c r="Z143" s="15">
        <f t="shared" ca="1" si="39"/>
        <v>0</v>
      </c>
      <c r="AC143" s="15">
        <f t="shared" ca="1" si="40"/>
        <v>4.5797380783710769E-3</v>
      </c>
      <c r="AD143" s="15">
        <f t="shared" ca="1" si="41"/>
        <v>6.7673762111848612E-2</v>
      </c>
      <c r="AE143" s="15">
        <f t="shared" ca="1" si="42"/>
        <v>6.8350499732967096</v>
      </c>
    </row>
    <row r="144" spans="12:31" x14ac:dyDescent="0.3">
      <c r="L144" s="15">
        <v>142</v>
      </c>
      <c r="M144" s="15">
        <f t="shared" si="32"/>
        <v>1</v>
      </c>
      <c r="N144" s="15">
        <f t="shared" ca="1" si="33"/>
        <v>6.6147859922178975E-2</v>
      </c>
      <c r="O144" s="15">
        <f t="shared" ca="1" si="30"/>
        <v>0.25796557899880135</v>
      </c>
      <c r="P144" s="15">
        <f t="shared" ca="1" si="43"/>
        <v>0.2578774700541695</v>
      </c>
      <c r="Q144" s="15">
        <v>0</v>
      </c>
      <c r="R144" s="15">
        <f t="shared" ca="1" si="34"/>
        <v>0.2578774700541695</v>
      </c>
      <c r="S144" s="15">
        <f t="shared" ca="1" si="31"/>
        <v>0.93460064518554609</v>
      </c>
      <c r="T144" s="15">
        <v>0</v>
      </c>
      <c r="U144" s="15">
        <f t="shared" ca="1" si="35"/>
        <v>0.93460064518554609</v>
      </c>
      <c r="V144" s="15">
        <f t="shared" ca="1" si="36"/>
        <v>0.93385214007782102</v>
      </c>
      <c r="X144" s="15">
        <f t="shared" si="37"/>
        <v>1.05</v>
      </c>
      <c r="Y144" s="15">
        <f t="shared" si="38"/>
        <v>0.95</v>
      </c>
      <c r="Z144" s="15">
        <f t="shared" ca="1" si="39"/>
        <v>0</v>
      </c>
      <c r="AC144" s="15">
        <f t="shared" ca="1" si="40"/>
        <v>4.3755393722842116E-3</v>
      </c>
      <c r="AD144" s="15">
        <f t="shared" ca="1" si="41"/>
        <v>6.6147859922178975E-2</v>
      </c>
      <c r="AE144" s="15">
        <f t="shared" ca="1" si="42"/>
        <v>6.7470817120622559</v>
      </c>
    </row>
    <row r="145" spans="12:31" x14ac:dyDescent="0.3">
      <c r="L145" s="15">
        <v>143</v>
      </c>
      <c r="M145" s="15">
        <f t="shared" si="32"/>
        <v>1</v>
      </c>
      <c r="N145" s="15">
        <f t="shared" ca="1" si="33"/>
        <v>6.4621957732509339E-2</v>
      </c>
      <c r="O145" s="15">
        <f t="shared" ca="1" si="30"/>
        <v>0.25796557899880135</v>
      </c>
      <c r="P145" s="15">
        <f t="shared" ca="1" si="43"/>
        <v>0.2578774700541695</v>
      </c>
      <c r="Q145" s="15">
        <v>0</v>
      </c>
      <c r="R145" s="15">
        <f t="shared" ca="1" si="34"/>
        <v>0.2578774700541695</v>
      </c>
      <c r="S145" s="15">
        <f t="shared" ca="1" si="31"/>
        <v>0.93669434752542768</v>
      </c>
      <c r="T145" s="15">
        <v>0</v>
      </c>
      <c r="U145" s="15">
        <f t="shared" ca="1" si="35"/>
        <v>0.93669434752542768</v>
      </c>
      <c r="V145" s="15">
        <f t="shared" ca="1" si="36"/>
        <v>0.93537804226749066</v>
      </c>
      <c r="X145" s="15">
        <f t="shared" si="37"/>
        <v>1.05</v>
      </c>
      <c r="Y145" s="15">
        <f t="shared" si="38"/>
        <v>0.95</v>
      </c>
      <c r="Z145" s="15">
        <f t="shared" ca="1" si="39"/>
        <v>0</v>
      </c>
      <c r="AC145" s="15">
        <f t="shared" ca="1" si="40"/>
        <v>4.1759974211822235E-3</v>
      </c>
      <c r="AD145" s="15">
        <f t="shared" ca="1" si="41"/>
        <v>6.4621957732509339E-2</v>
      </c>
      <c r="AE145" s="15">
        <f t="shared" ca="1" si="42"/>
        <v>6.6560616464484621</v>
      </c>
    </row>
    <row r="146" spans="12:31" x14ac:dyDescent="0.3">
      <c r="L146" s="15">
        <v>144</v>
      </c>
      <c r="M146" s="15">
        <f t="shared" si="32"/>
        <v>1</v>
      </c>
      <c r="N146" s="15">
        <f t="shared" ca="1" si="33"/>
        <v>6.1570153353170065E-2</v>
      </c>
      <c r="O146" s="15">
        <f t="shared" ca="1" si="30"/>
        <v>0.25650147588505506</v>
      </c>
      <c r="P146" s="15">
        <f t="shared" ca="1" si="43"/>
        <v>0.25635156786449986</v>
      </c>
      <c r="Q146" s="15">
        <v>0</v>
      </c>
      <c r="R146" s="15">
        <f t="shared" ca="1" si="34"/>
        <v>0.25635156786449986</v>
      </c>
      <c r="S146" s="15">
        <f t="shared" ca="1" si="31"/>
        <v>0.93891070016259526</v>
      </c>
      <c r="T146" s="15">
        <v>0</v>
      </c>
      <c r="U146" s="15">
        <f t="shared" ca="1" si="35"/>
        <v>0.93891070016259526</v>
      </c>
      <c r="V146" s="15">
        <f t="shared" ca="1" si="36"/>
        <v>0.93842984664682993</v>
      </c>
      <c r="X146" s="15">
        <f t="shared" si="37"/>
        <v>1.05</v>
      </c>
      <c r="Y146" s="15">
        <f t="shared" si="38"/>
        <v>0.95</v>
      </c>
      <c r="Z146" s="15">
        <f t="shared" ca="1" si="39"/>
        <v>0</v>
      </c>
      <c r="AC146" s="15">
        <f t="shared" ca="1" si="40"/>
        <v>3.7908837839328792E-3</v>
      </c>
      <c r="AD146" s="15">
        <f t="shared" ca="1" si="41"/>
        <v>6.1570153353170065E-2</v>
      </c>
      <c r="AE146" s="15">
        <f t="shared" ca="1" si="42"/>
        <v>6.4032959487296868</v>
      </c>
    </row>
    <row r="147" spans="12:31" x14ac:dyDescent="0.3">
      <c r="L147" s="15">
        <v>145</v>
      </c>
      <c r="M147" s="15">
        <f t="shared" si="32"/>
        <v>1</v>
      </c>
      <c r="N147" s="15">
        <f t="shared" ca="1" si="33"/>
        <v>6.0044251163500428E-2</v>
      </c>
      <c r="O147" s="15">
        <f t="shared" ca="1" si="30"/>
        <v>0.25650147588505506</v>
      </c>
      <c r="P147" s="15">
        <f t="shared" ca="1" si="43"/>
        <v>0.25635156786449986</v>
      </c>
      <c r="Q147" s="15">
        <v>0</v>
      </c>
      <c r="R147" s="15">
        <f t="shared" ca="1" si="34"/>
        <v>0.25635156786449986</v>
      </c>
      <c r="S147" s="15">
        <f t="shared" ca="1" si="31"/>
        <v>0.94123737598487123</v>
      </c>
      <c r="T147" s="15">
        <v>0</v>
      </c>
      <c r="U147" s="15">
        <f t="shared" ca="1" si="35"/>
        <v>0.94123737598487123</v>
      </c>
      <c r="V147" s="15">
        <f t="shared" ca="1" si="36"/>
        <v>0.93995574883649957</v>
      </c>
      <c r="X147" s="15">
        <f t="shared" si="37"/>
        <v>1.05</v>
      </c>
      <c r="Y147" s="15">
        <f t="shared" si="38"/>
        <v>0.95</v>
      </c>
      <c r="Z147" s="15">
        <f t="shared" ca="1" si="39"/>
        <v>0</v>
      </c>
      <c r="AC147" s="15">
        <f t="shared" ca="1" si="40"/>
        <v>3.6053120977855226E-3</v>
      </c>
      <c r="AD147" s="15">
        <f t="shared" ca="1" si="41"/>
        <v>6.0044251163500428E-2</v>
      </c>
      <c r="AE147" s="15">
        <f t="shared" ca="1" si="42"/>
        <v>6.3046463721675448</v>
      </c>
    </row>
    <row r="148" spans="12:31" x14ac:dyDescent="0.3">
      <c r="L148" s="15">
        <v>146</v>
      </c>
      <c r="M148" s="15">
        <f t="shared" si="32"/>
        <v>1</v>
      </c>
      <c r="N148" s="15">
        <f t="shared" ca="1" si="33"/>
        <v>5.6992446784161155E-2</v>
      </c>
      <c r="O148" s="15">
        <f t="shared" ca="1" si="30"/>
        <v>0.25650147588505506</v>
      </c>
      <c r="P148" s="15">
        <f t="shared" ca="1" si="43"/>
        <v>0.25635156786449986</v>
      </c>
      <c r="Q148" s="15">
        <v>0</v>
      </c>
      <c r="R148" s="15">
        <f t="shared" ca="1" si="34"/>
        <v>0.25635156786449986</v>
      </c>
      <c r="S148" s="15">
        <f t="shared" ca="1" si="31"/>
        <v>0.94365053005683253</v>
      </c>
      <c r="T148" s="15">
        <v>0</v>
      </c>
      <c r="U148" s="15">
        <f t="shared" ca="1" si="35"/>
        <v>0.94365053005683253</v>
      </c>
      <c r="V148" s="15">
        <f t="shared" ca="1" si="36"/>
        <v>0.94300755321583885</v>
      </c>
      <c r="X148" s="15">
        <f t="shared" si="37"/>
        <v>1.05</v>
      </c>
      <c r="Y148" s="15">
        <f t="shared" si="38"/>
        <v>0.95</v>
      </c>
      <c r="Z148" s="15">
        <f t="shared" ca="1" si="39"/>
        <v>0</v>
      </c>
      <c r="AC148" s="15">
        <f t="shared" ca="1" si="40"/>
        <v>3.2481389904454412E-3</v>
      </c>
      <c r="AD148" s="15">
        <f t="shared" ca="1" si="41"/>
        <v>5.6992446784161155E-2</v>
      </c>
      <c r="AE148" s="15">
        <f t="shared" ca="1" si="42"/>
        <v>6.041199359121082</v>
      </c>
    </row>
    <row r="149" spans="12:31" x14ac:dyDescent="0.3">
      <c r="L149" s="15">
        <v>147</v>
      </c>
      <c r="M149" s="15">
        <f t="shared" si="32"/>
        <v>1</v>
      </c>
      <c r="N149" s="15">
        <f t="shared" ca="1" si="33"/>
        <v>5.3940642404821881E-2</v>
      </c>
      <c r="O149" s="15">
        <f t="shared" ca="1" si="30"/>
        <v>0.25455960300707586</v>
      </c>
      <c r="P149" s="15">
        <f t="shared" ca="1" si="43"/>
        <v>0.25329976348516059</v>
      </c>
      <c r="Q149" s="15">
        <v>0</v>
      </c>
      <c r="R149" s="15">
        <f t="shared" ca="1" si="34"/>
        <v>0.25329976348516059</v>
      </c>
      <c r="S149" s="15">
        <f t="shared" ca="1" si="31"/>
        <v>0.94615537832662833</v>
      </c>
      <c r="T149" s="15">
        <v>0</v>
      </c>
      <c r="U149" s="15">
        <f t="shared" ca="1" si="35"/>
        <v>0.94615537832662833</v>
      </c>
      <c r="V149" s="15">
        <f t="shared" ca="1" si="36"/>
        <v>0.94605935759517812</v>
      </c>
      <c r="X149" s="15">
        <f t="shared" si="37"/>
        <v>1.05</v>
      </c>
      <c r="Y149" s="15">
        <f t="shared" si="38"/>
        <v>0.95</v>
      </c>
      <c r="Z149" s="15">
        <f t="shared" ca="1" si="39"/>
        <v>0</v>
      </c>
      <c r="AC149" s="15">
        <f t="shared" ca="1" si="40"/>
        <v>2.9095929030448684E-3</v>
      </c>
      <c r="AD149" s="15">
        <f t="shared" ca="1" si="41"/>
        <v>5.3940642404821881E-2</v>
      </c>
      <c r="AE149" s="15">
        <f t="shared" ca="1" si="42"/>
        <v>5.7716487373159415</v>
      </c>
    </row>
    <row r="150" spans="12:31" x14ac:dyDescent="0.3">
      <c r="L150" s="15">
        <v>148</v>
      </c>
      <c r="M150" s="15">
        <f t="shared" si="32"/>
        <v>1</v>
      </c>
      <c r="N150" s="15">
        <f t="shared" ca="1" si="33"/>
        <v>5.2414740215152245E-2</v>
      </c>
      <c r="O150" s="15">
        <f t="shared" ca="1" si="30"/>
        <v>0.25455960300707586</v>
      </c>
      <c r="P150" s="15">
        <f t="shared" ca="1" si="43"/>
        <v>0.25329976348516059</v>
      </c>
      <c r="Q150" s="15">
        <v>0</v>
      </c>
      <c r="R150" s="15">
        <f t="shared" ca="1" si="34"/>
        <v>0.25329976348516059</v>
      </c>
      <c r="S150" s="15">
        <f t="shared" ca="1" si="31"/>
        <v>0.94875491886191055</v>
      </c>
      <c r="T150" s="15">
        <v>0</v>
      </c>
      <c r="U150" s="15">
        <f t="shared" ca="1" si="35"/>
        <v>0.94875491886191055</v>
      </c>
      <c r="V150" s="15">
        <f t="shared" ca="1" si="36"/>
        <v>0.94758525978484776</v>
      </c>
      <c r="X150" s="15">
        <f t="shared" si="37"/>
        <v>1.05</v>
      </c>
      <c r="Y150" s="15">
        <f t="shared" si="38"/>
        <v>0.95</v>
      </c>
      <c r="Z150" s="15">
        <f t="shared" ca="1" si="39"/>
        <v>0</v>
      </c>
      <c r="AC150" s="15">
        <f t="shared" ca="1" si="40"/>
        <v>2.7473049918218979E-3</v>
      </c>
      <c r="AD150" s="15">
        <f t="shared" ca="1" si="41"/>
        <v>5.2414740215152245E-2</v>
      </c>
      <c r="AE150" s="15">
        <f t="shared" ca="1" si="42"/>
        <v>5.6607919432364424</v>
      </c>
    </row>
    <row r="151" spans="12:31" x14ac:dyDescent="0.3">
      <c r="L151" s="15">
        <v>149</v>
      </c>
      <c r="M151" s="15">
        <f t="shared" si="32"/>
        <v>1</v>
      </c>
      <c r="N151" s="15">
        <f t="shared" ca="1" si="33"/>
        <v>4.9362935835812971E-2</v>
      </c>
      <c r="O151" s="15">
        <f t="shared" ca="1" si="30"/>
        <v>0.25455960300707586</v>
      </c>
      <c r="P151" s="15">
        <f t="shared" ca="1" si="43"/>
        <v>0.25329976348516059</v>
      </c>
      <c r="Q151" s="15">
        <v>0</v>
      </c>
      <c r="R151" s="15">
        <f t="shared" ca="1" si="34"/>
        <v>0.25329976348516059</v>
      </c>
      <c r="S151" s="15">
        <f t="shared" ca="1" si="31"/>
        <v>0.95142613674473508</v>
      </c>
      <c r="T151" s="15">
        <v>0</v>
      </c>
      <c r="U151" s="15">
        <f t="shared" ca="1" si="35"/>
        <v>0.95142613674473508</v>
      </c>
      <c r="V151" s="15">
        <f t="shared" ca="1" si="36"/>
        <v>0.95063706416418703</v>
      </c>
      <c r="X151" s="15">
        <f t="shared" si="37"/>
        <v>1.05</v>
      </c>
      <c r="Y151" s="15">
        <f t="shared" si="38"/>
        <v>0.95</v>
      </c>
      <c r="Z151" s="15">
        <f t="shared" ca="1" si="39"/>
        <v>1</v>
      </c>
      <c r="AC151" s="15">
        <f t="shared" ca="1" si="40"/>
        <v>2.4366994343305885E-3</v>
      </c>
      <c r="AD151" s="15">
        <f t="shared" ca="1" si="41"/>
        <v>4.9362935835812971E-2</v>
      </c>
      <c r="AE151" s="15">
        <f t="shared" ca="1" si="42"/>
        <v>5.3805600061036136</v>
      </c>
    </row>
    <row r="152" spans="12:31" x14ac:dyDescent="0.3">
      <c r="L152" s="15">
        <v>150</v>
      </c>
      <c r="M152" s="15">
        <f t="shared" si="32"/>
        <v>1</v>
      </c>
      <c r="N152" s="15">
        <f t="shared" ca="1" si="33"/>
        <v>4.6311131456473587E-2</v>
      </c>
      <c r="O152" s="15">
        <f t="shared" ca="1" si="30"/>
        <v>0.25376751912735862</v>
      </c>
      <c r="P152" s="15">
        <f t="shared" ca="1" si="43"/>
        <v>0.25329976348516059</v>
      </c>
      <c r="Q152" s="15">
        <v>0</v>
      </c>
      <c r="R152" s="15">
        <f t="shared" ca="1" si="34"/>
        <v>0.25329976348516059</v>
      </c>
      <c r="S152" s="15">
        <f t="shared" ca="1" si="31"/>
        <v>0.95413543538122703</v>
      </c>
      <c r="T152" s="15">
        <v>0</v>
      </c>
      <c r="U152" s="15">
        <f t="shared" ca="1" si="35"/>
        <v>0.95413543538122703</v>
      </c>
      <c r="V152" s="15">
        <f t="shared" ca="1" si="36"/>
        <v>0.95368886854352641</v>
      </c>
      <c r="X152" s="15">
        <f t="shared" si="37"/>
        <v>1.05</v>
      </c>
      <c r="Y152" s="15">
        <f t="shared" si="38"/>
        <v>0.95</v>
      </c>
      <c r="Z152" s="15">
        <f t="shared" ca="1" si="39"/>
        <v>1</v>
      </c>
      <c r="AC152" s="15">
        <f t="shared" ca="1" si="40"/>
        <v>2.1447208967787772E-3</v>
      </c>
      <c r="AD152" s="15">
        <f t="shared" ca="1" si="41"/>
        <v>4.6311131456473587E-2</v>
      </c>
      <c r="AE152" s="15">
        <f t="shared" ca="1" si="42"/>
        <v>5.0942244602120947</v>
      </c>
    </row>
    <row r="153" spans="12:31" x14ac:dyDescent="0.3">
      <c r="L153" s="15">
        <v>151</v>
      </c>
      <c r="M153" s="15">
        <f t="shared" si="32"/>
        <v>1</v>
      </c>
      <c r="N153" s="15">
        <f t="shared" ca="1" si="33"/>
        <v>4.3259327077134313E-2</v>
      </c>
      <c r="O153" s="15">
        <f t="shared" ca="1" si="30"/>
        <v>0.25376751912735862</v>
      </c>
      <c r="P153" s="15">
        <f t="shared" ca="1" si="43"/>
        <v>0.25329976348516059</v>
      </c>
      <c r="Q153" s="15">
        <v>0</v>
      </c>
      <c r="R153" s="15">
        <f t="shared" ca="1" si="34"/>
        <v>0.25329976348516059</v>
      </c>
      <c r="S153" s="15">
        <f t="shared" ca="1" si="31"/>
        <v>0.95685390571221629</v>
      </c>
      <c r="T153" s="15">
        <v>0</v>
      </c>
      <c r="U153" s="15">
        <f t="shared" ca="1" si="35"/>
        <v>0.95685390571221629</v>
      </c>
      <c r="V153" s="15">
        <f t="shared" ca="1" si="36"/>
        <v>0.95674067292286569</v>
      </c>
      <c r="X153" s="15">
        <f t="shared" si="37"/>
        <v>1.05</v>
      </c>
      <c r="Y153" s="15">
        <f t="shared" si="38"/>
        <v>0.95</v>
      </c>
      <c r="Z153" s="15">
        <f t="shared" ca="1" si="39"/>
        <v>1</v>
      </c>
      <c r="AC153" s="15">
        <f t="shared" ca="1" si="40"/>
        <v>1.8713693791664859E-3</v>
      </c>
      <c r="AD153" s="15">
        <f t="shared" ca="1" si="41"/>
        <v>4.3259327077134313E-2</v>
      </c>
      <c r="AE153" s="15">
        <f t="shared" ca="1" si="42"/>
        <v>4.8017853055619089</v>
      </c>
    </row>
    <row r="154" spans="12:31" x14ac:dyDescent="0.3">
      <c r="L154" s="15">
        <v>152</v>
      </c>
      <c r="M154" s="15">
        <f t="shared" si="32"/>
        <v>1</v>
      </c>
      <c r="N154" s="15">
        <f t="shared" ca="1" si="33"/>
        <v>4.1733424887464676E-2</v>
      </c>
      <c r="O154" s="15">
        <f t="shared" ca="1" si="30"/>
        <v>0.25376751912735862</v>
      </c>
      <c r="P154" s="15">
        <f t="shared" ca="1" si="43"/>
        <v>0.25329976348516059</v>
      </c>
      <c r="Q154" s="15">
        <v>0</v>
      </c>
      <c r="R154" s="15">
        <f t="shared" ca="1" si="34"/>
        <v>0.25329976348516059</v>
      </c>
      <c r="S154" s="15">
        <f t="shared" ca="1" si="31"/>
        <v>0.95956888544646401</v>
      </c>
      <c r="T154" s="15">
        <v>0</v>
      </c>
      <c r="U154" s="15">
        <f t="shared" ca="1" si="35"/>
        <v>0.95956888544646401</v>
      </c>
      <c r="V154" s="15">
        <f t="shared" ca="1" si="36"/>
        <v>0.95826657511253532</v>
      </c>
      <c r="X154" s="15">
        <f t="shared" si="37"/>
        <v>1.05</v>
      </c>
      <c r="Y154" s="15">
        <f t="shared" si="38"/>
        <v>0.95</v>
      </c>
      <c r="Z154" s="15">
        <f t="shared" ca="1" si="39"/>
        <v>1</v>
      </c>
      <c r="AC154" s="15">
        <f t="shared" ca="1" si="40"/>
        <v>1.7416787528376561E-3</v>
      </c>
      <c r="AD154" s="15">
        <f t="shared" ca="1" si="41"/>
        <v>4.1733424887464676E-2</v>
      </c>
      <c r="AE154" s="15">
        <f t="shared" ca="1" si="42"/>
        <v>4.6741435873960437</v>
      </c>
    </row>
    <row r="155" spans="12:31" x14ac:dyDescent="0.3">
      <c r="L155" s="15">
        <v>153</v>
      </c>
      <c r="M155" s="15">
        <f t="shared" si="32"/>
        <v>1</v>
      </c>
      <c r="N155" s="15">
        <f t="shared" ca="1" si="33"/>
        <v>3.8681620508125403E-2</v>
      </c>
      <c r="O155" s="15">
        <f t="shared" ca="1" si="30"/>
        <v>0.25283119270550541</v>
      </c>
      <c r="P155" s="15">
        <f t="shared" ca="1" si="43"/>
        <v>0.25177386129549095</v>
      </c>
      <c r="Q155" s="15">
        <v>0</v>
      </c>
      <c r="R155" s="15">
        <f t="shared" ca="1" si="34"/>
        <v>0.25177386129549095</v>
      </c>
      <c r="S155" s="15">
        <f t="shared" ca="1" si="31"/>
        <v>0.96228253429341548</v>
      </c>
      <c r="T155" s="15">
        <v>0</v>
      </c>
      <c r="U155" s="15">
        <f t="shared" ca="1" si="35"/>
        <v>0.96228253429341548</v>
      </c>
      <c r="V155" s="15">
        <f t="shared" ca="1" si="36"/>
        <v>0.9613183794918746</v>
      </c>
      <c r="X155" s="15">
        <f t="shared" si="37"/>
        <v>1.05</v>
      </c>
      <c r="Y155" s="15">
        <f t="shared" si="38"/>
        <v>0.95</v>
      </c>
      <c r="Z155" s="15">
        <f t="shared" ca="1" si="39"/>
        <v>1</v>
      </c>
      <c r="AC155" s="15">
        <f t="shared" ca="1" si="40"/>
        <v>1.4962677651346277E-3</v>
      </c>
      <c r="AD155" s="15">
        <f t="shared" ca="1" si="41"/>
        <v>3.8681620508125403E-2</v>
      </c>
      <c r="AE155" s="15">
        <f t="shared" ca="1" si="42"/>
        <v>4.3710231174181704</v>
      </c>
    </row>
    <row r="156" spans="12:31" x14ac:dyDescent="0.3">
      <c r="L156" s="15">
        <v>154</v>
      </c>
      <c r="M156" s="15">
        <f t="shared" si="32"/>
        <v>1</v>
      </c>
      <c r="N156" s="15">
        <f t="shared" ca="1" si="33"/>
        <v>3.5629816128786129E-2</v>
      </c>
      <c r="O156" s="15">
        <f t="shared" ca="1" si="30"/>
        <v>0.25283119270550541</v>
      </c>
      <c r="P156" s="15">
        <f t="shared" ca="1" si="43"/>
        <v>0.25177386129549095</v>
      </c>
      <c r="Q156" s="15">
        <v>0</v>
      </c>
      <c r="R156" s="15">
        <f t="shared" ca="1" si="34"/>
        <v>0.25177386129549095</v>
      </c>
      <c r="S156" s="15">
        <f t="shared" ca="1" si="31"/>
        <v>0.96499615946778161</v>
      </c>
      <c r="T156" s="15">
        <v>0</v>
      </c>
      <c r="U156" s="15">
        <f t="shared" ca="1" si="35"/>
        <v>0.96499615946778161</v>
      </c>
      <c r="V156" s="15">
        <f t="shared" ca="1" si="36"/>
        <v>0.96437018387121387</v>
      </c>
      <c r="X156" s="15">
        <f t="shared" si="37"/>
        <v>1.05</v>
      </c>
      <c r="Y156" s="15">
        <f t="shared" si="38"/>
        <v>0.95</v>
      </c>
      <c r="Z156" s="15">
        <f t="shared" ca="1" si="39"/>
        <v>1</v>
      </c>
      <c r="AC156" s="15">
        <f t="shared" ca="1" si="40"/>
        <v>1.2694837973711082E-3</v>
      </c>
      <c r="AD156" s="15">
        <f t="shared" ca="1" si="41"/>
        <v>3.5629816128786129E-2</v>
      </c>
      <c r="AE156" s="15">
        <f t="shared" ca="1" si="42"/>
        <v>4.0617990386816185</v>
      </c>
    </row>
    <row r="157" spans="12:31" x14ac:dyDescent="0.3">
      <c r="L157" s="15">
        <v>155</v>
      </c>
      <c r="M157" s="15">
        <f t="shared" si="32"/>
        <v>1</v>
      </c>
      <c r="N157" s="15">
        <f t="shared" ca="1" si="33"/>
        <v>3.2578011749446856E-2</v>
      </c>
      <c r="O157" s="15">
        <f t="shared" ca="1" si="30"/>
        <v>0.25283119270550541</v>
      </c>
      <c r="P157" s="15">
        <f t="shared" ca="1" si="43"/>
        <v>0.25177386129549095</v>
      </c>
      <c r="Q157" s="15">
        <v>0</v>
      </c>
      <c r="R157" s="15">
        <f t="shared" ca="1" si="34"/>
        <v>0.25177386129549095</v>
      </c>
      <c r="S157" s="15">
        <f t="shared" ca="1" si="31"/>
        <v>0.96769828639609912</v>
      </c>
      <c r="T157" s="15">
        <v>0</v>
      </c>
      <c r="U157" s="15">
        <f t="shared" ca="1" si="35"/>
        <v>0.96769828639609912</v>
      </c>
      <c r="V157" s="15">
        <f t="shared" ca="1" si="36"/>
        <v>0.96742198825055314</v>
      </c>
      <c r="X157" s="15">
        <f t="shared" si="37"/>
        <v>1.05</v>
      </c>
      <c r="Y157" s="15">
        <f t="shared" si="38"/>
        <v>0.95</v>
      </c>
      <c r="Z157" s="15">
        <f t="shared" ca="1" si="39"/>
        <v>1</v>
      </c>
      <c r="AC157" s="15">
        <f t="shared" ca="1" si="40"/>
        <v>1.0613268495470974E-3</v>
      </c>
      <c r="AD157" s="15">
        <f t="shared" ca="1" si="41"/>
        <v>3.2578011749446856E-2</v>
      </c>
      <c r="AE157" s="15">
        <f t="shared" ca="1" si="42"/>
        <v>3.7464713511863885</v>
      </c>
    </row>
    <row r="158" spans="12:31" x14ac:dyDescent="0.3">
      <c r="L158" s="15">
        <v>156</v>
      </c>
      <c r="M158" s="15">
        <f t="shared" si="32"/>
        <v>1</v>
      </c>
      <c r="N158" s="15">
        <f t="shared" ca="1" si="33"/>
        <v>3.1052109559777219E-2</v>
      </c>
      <c r="O158" s="15">
        <f t="shared" ca="1" si="30"/>
        <v>0.25175062374151591</v>
      </c>
      <c r="P158" s="15">
        <f t="shared" ca="1" si="43"/>
        <v>0.25024795910582132</v>
      </c>
      <c r="Q158" s="15">
        <v>0</v>
      </c>
      <c r="R158" s="15">
        <f t="shared" ca="1" si="34"/>
        <v>0.25024795910582132</v>
      </c>
      <c r="S158" s="15">
        <f t="shared" ca="1" si="31"/>
        <v>0.97036574574227297</v>
      </c>
      <c r="T158" s="15">
        <v>0</v>
      </c>
      <c r="U158" s="15">
        <f t="shared" ca="1" si="35"/>
        <v>0.97036574574227297</v>
      </c>
      <c r="V158" s="15">
        <f t="shared" ca="1" si="36"/>
        <v>0.96894789044022278</v>
      </c>
      <c r="X158" s="15">
        <f t="shared" si="37"/>
        <v>1.05</v>
      </c>
      <c r="Y158" s="15">
        <f t="shared" si="38"/>
        <v>0.95</v>
      </c>
      <c r="Z158" s="15">
        <f t="shared" ca="1" si="39"/>
        <v>1</v>
      </c>
      <c r="AC158" s="15">
        <f t="shared" ca="1" si="40"/>
        <v>9.6423350811240772E-4</v>
      </c>
      <c r="AD158" s="15">
        <f t="shared" ca="1" si="41"/>
        <v>3.1052109559777219E-2</v>
      </c>
      <c r="AE158" s="15">
        <f t="shared" ca="1" si="42"/>
        <v>3.6020447089341574</v>
      </c>
    </row>
    <row r="159" spans="12:31" x14ac:dyDescent="0.3">
      <c r="L159" s="15">
        <v>157</v>
      </c>
      <c r="M159" s="15">
        <f t="shared" si="32"/>
        <v>1</v>
      </c>
      <c r="N159" s="15">
        <f t="shared" ca="1" si="33"/>
        <v>2.8000305180437945E-2</v>
      </c>
      <c r="O159" s="15">
        <f t="shared" ca="1" si="30"/>
        <v>0.25175062374151591</v>
      </c>
      <c r="P159" s="15">
        <f t="shared" ca="1" si="43"/>
        <v>0.25024795910582132</v>
      </c>
      <c r="Q159" s="15">
        <v>0</v>
      </c>
      <c r="R159" s="15">
        <f t="shared" ca="1" si="34"/>
        <v>0.25024795910582132</v>
      </c>
      <c r="S159" s="15">
        <f t="shared" ca="1" si="31"/>
        <v>0.97297903980592904</v>
      </c>
      <c r="T159" s="15">
        <v>0</v>
      </c>
      <c r="U159" s="15">
        <f t="shared" ca="1" si="35"/>
        <v>0.97297903980592904</v>
      </c>
      <c r="V159" s="15">
        <f t="shared" ca="1" si="36"/>
        <v>0.97199969481956205</v>
      </c>
      <c r="X159" s="15">
        <f t="shared" si="37"/>
        <v>1.05</v>
      </c>
      <c r="Y159" s="15">
        <f t="shared" si="38"/>
        <v>0.95</v>
      </c>
      <c r="Z159" s="15">
        <f t="shared" ca="1" si="39"/>
        <v>1</v>
      </c>
      <c r="AC159" s="15">
        <f t="shared" ca="1" si="40"/>
        <v>7.8401709019766002E-4</v>
      </c>
      <c r="AD159" s="15">
        <f t="shared" ca="1" si="41"/>
        <v>2.8000305180437945E-2</v>
      </c>
      <c r="AE159" s="15">
        <f t="shared" ca="1" si="42"/>
        <v>3.2760357061112395</v>
      </c>
    </row>
    <row r="160" spans="12:31" x14ac:dyDescent="0.3">
      <c r="L160" s="15">
        <v>158</v>
      </c>
      <c r="M160" s="15">
        <f t="shared" si="32"/>
        <v>1</v>
      </c>
      <c r="N160" s="15">
        <f t="shared" ca="1" si="33"/>
        <v>2.4948500801098672E-2</v>
      </c>
      <c r="O160" s="15">
        <f t="shared" ca="1" si="30"/>
        <v>0.25175062374151591</v>
      </c>
      <c r="P160" s="15">
        <f t="shared" ca="1" si="43"/>
        <v>0.25024795910582132</v>
      </c>
      <c r="Q160" s="15">
        <v>0</v>
      </c>
      <c r="R160" s="15">
        <f t="shared" ca="1" si="34"/>
        <v>0.25024795910582132</v>
      </c>
      <c r="S160" s="15">
        <f t="shared" ca="1" si="31"/>
        <v>0.97553399090357773</v>
      </c>
      <c r="T160" s="15">
        <v>0</v>
      </c>
      <c r="U160" s="15">
        <f t="shared" ca="1" si="35"/>
        <v>0.97553399090357773</v>
      </c>
      <c r="V160" s="15">
        <f t="shared" ca="1" si="36"/>
        <v>0.97505149919890133</v>
      </c>
      <c r="X160" s="15">
        <f t="shared" si="37"/>
        <v>1.05</v>
      </c>
      <c r="Y160" s="15">
        <f t="shared" si="38"/>
        <v>0.95</v>
      </c>
      <c r="Z160" s="15">
        <f t="shared" ca="1" si="39"/>
        <v>1</v>
      </c>
      <c r="AC160" s="15">
        <f t="shared" ca="1" si="40"/>
        <v>6.2242769222242104E-4</v>
      </c>
      <c r="AD160" s="15">
        <f t="shared" ca="1" si="41"/>
        <v>2.4948500801098672E-2</v>
      </c>
      <c r="AE160" s="15">
        <f t="shared" ca="1" si="42"/>
        <v>2.9439230945296435</v>
      </c>
    </row>
    <row r="161" spans="12:31" x14ac:dyDescent="0.3">
      <c r="L161" s="15">
        <v>159</v>
      </c>
      <c r="M161" s="15">
        <f t="shared" si="32"/>
        <v>1</v>
      </c>
      <c r="N161" s="15">
        <f t="shared" ca="1" si="33"/>
        <v>2.3422598611429035E-2</v>
      </c>
      <c r="O161" s="15">
        <f t="shared" ca="1" si="30"/>
        <v>0.25052581223539022</v>
      </c>
      <c r="P161" s="15">
        <f t="shared" ca="1" si="43"/>
        <v>0.25024795910582132</v>
      </c>
      <c r="Q161" s="15">
        <v>0</v>
      </c>
      <c r="R161" s="15">
        <f t="shared" ca="1" si="34"/>
        <v>0.25024795910582132</v>
      </c>
      <c r="S161" s="15">
        <f t="shared" ca="1" si="31"/>
        <v>0.97801399848478976</v>
      </c>
      <c r="T161" s="15">
        <v>0</v>
      </c>
      <c r="U161" s="15">
        <f t="shared" ca="1" si="35"/>
        <v>0.97801399848478976</v>
      </c>
      <c r="V161" s="15">
        <f t="shared" ca="1" si="36"/>
        <v>0.97657740138857096</v>
      </c>
      <c r="X161" s="15">
        <f t="shared" si="37"/>
        <v>1.05</v>
      </c>
      <c r="Y161" s="15">
        <f t="shared" si="38"/>
        <v>0.95</v>
      </c>
      <c r="Z161" s="15">
        <f t="shared" ca="1" si="39"/>
        <v>1</v>
      </c>
      <c r="AC161" s="15">
        <f t="shared" ca="1" si="40"/>
        <v>5.4861812571211732E-4</v>
      </c>
      <c r="AD161" s="15">
        <f t="shared" ca="1" si="41"/>
        <v>2.3422598611429035E-2</v>
      </c>
      <c r="AE161" s="15">
        <f t="shared" ca="1" si="42"/>
        <v>2.7872892347600553</v>
      </c>
    </row>
    <row r="162" spans="12:31" x14ac:dyDescent="0.3">
      <c r="L162" s="15">
        <v>160</v>
      </c>
      <c r="M162" s="15">
        <f t="shared" si="32"/>
        <v>1</v>
      </c>
      <c r="N162" s="15">
        <f t="shared" ca="1" si="33"/>
        <v>2.0370794232089762E-2</v>
      </c>
      <c r="O162" s="15">
        <f t="shared" ca="1" si="30"/>
        <v>0.25052581223539022</v>
      </c>
      <c r="P162" s="15">
        <f t="shared" ca="1" si="43"/>
        <v>0.25024795910582132</v>
      </c>
      <c r="Q162" s="15">
        <v>0</v>
      </c>
      <c r="R162" s="15">
        <f t="shared" ca="1" si="34"/>
        <v>0.25024795910582132</v>
      </c>
      <c r="S162" s="15">
        <f t="shared" ca="1" si="31"/>
        <v>0.98040547016991131</v>
      </c>
      <c r="T162" s="15">
        <v>0</v>
      </c>
      <c r="U162" s="15">
        <f t="shared" ca="1" si="35"/>
        <v>0.98040547016991131</v>
      </c>
      <c r="V162" s="15">
        <f t="shared" ca="1" si="36"/>
        <v>0.97962920576791024</v>
      </c>
      <c r="X162" s="15">
        <f t="shared" si="37"/>
        <v>1.05</v>
      </c>
      <c r="Y162" s="15">
        <f t="shared" si="38"/>
        <v>0.95</v>
      </c>
      <c r="Z162" s="15">
        <f t="shared" ca="1" si="39"/>
        <v>1</v>
      </c>
      <c r="AC162" s="15">
        <f t="shared" ca="1" si="40"/>
        <v>4.1496925764614151E-4</v>
      </c>
      <c r="AD162" s="15">
        <f t="shared" ca="1" si="41"/>
        <v>2.0370794232089762E-2</v>
      </c>
      <c r="AE162" s="15">
        <f t="shared" ca="1" si="42"/>
        <v>2.4444953078507714</v>
      </c>
    </row>
    <row r="163" spans="12:31" x14ac:dyDescent="0.3">
      <c r="L163" s="15">
        <v>161</v>
      </c>
      <c r="M163" s="15">
        <f t="shared" si="32"/>
        <v>1</v>
      </c>
      <c r="N163" s="15">
        <f t="shared" ca="1" si="33"/>
        <v>1.7318989852750488E-2</v>
      </c>
      <c r="O163" s="15">
        <f t="shared" ca="1" si="30"/>
        <v>0.25052581223539022</v>
      </c>
      <c r="P163" s="15">
        <f t="shared" ca="1" si="43"/>
        <v>0.25024795910582132</v>
      </c>
      <c r="Q163" s="15">
        <v>0</v>
      </c>
      <c r="R163" s="15">
        <f t="shared" ca="1" si="34"/>
        <v>0.25024795910582132</v>
      </c>
      <c r="S163" s="15">
        <f t="shared" ca="1" si="31"/>
        <v>0.98270952937171674</v>
      </c>
      <c r="T163" s="15">
        <v>0</v>
      </c>
      <c r="U163" s="15">
        <f t="shared" ca="1" si="35"/>
        <v>0.98270952937171674</v>
      </c>
      <c r="V163" s="15">
        <f t="shared" ca="1" si="36"/>
        <v>0.98268101014724951</v>
      </c>
      <c r="X163" s="15">
        <f t="shared" si="37"/>
        <v>1.05</v>
      </c>
      <c r="Y163" s="15">
        <f t="shared" si="38"/>
        <v>0.95</v>
      </c>
      <c r="Z163" s="15">
        <f t="shared" ca="1" si="39"/>
        <v>1</v>
      </c>
      <c r="AC163" s="15">
        <f t="shared" ca="1" si="40"/>
        <v>2.9994740951967436E-4</v>
      </c>
      <c r="AD163" s="15">
        <f t="shared" ca="1" si="41"/>
        <v>1.7318989852750488E-2</v>
      </c>
      <c r="AE163" s="15">
        <f t="shared" ca="1" si="42"/>
        <v>2.095597772182809</v>
      </c>
    </row>
    <row r="164" spans="12:31" x14ac:dyDescent="0.3">
      <c r="L164" s="15">
        <v>162</v>
      </c>
      <c r="M164" s="15">
        <f t="shared" si="32"/>
        <v>1</v>
      </c>
      <c r="N164" s="15">
        <f t="shared" ca="1" si="33"/>
        <v>1.5793087663080851E-2</v>
      </c>
      <c r="O164" s="15">
        <f t="shared" ca="1" si="30"/>
        <v>0.24915675818712835</v>
      </c>
      <c r="P164" s="15">
        <f t="shared" ca="1" si="43"/>
        <v>0.24872205691615165</v>
      </c>
      <c r="Q164" s="15">
        <v>0</v>
      </c>
      <c r="R164" s="15">
        <f t="shared" ca="1" si="34"/>
        <v>0.24872205691615165</v>
      </c>
      <c r="S164" s="15">
        <f t="shared" ca="1" si="31"/>
        <v>0.98492752662205352</v>
      </c>
      <c r="T164" s="15">
        <v>0</v>
      </c>
      <c r="U164" s="15">
        <f t="shared" ca="1" si="35"/>
        <v>0.98492752662205352</v>
      </c>
      <c r="V164" s="15">
        <f t="shared" ca="1" si="36"/>
        <v>0.98420691233691915</v>
      </c>
      <c r="X164" s="15">
        <f t="shared" si="37"/>
        <v>1.05</v>
      </c>
      <c r="Y164" s="15">
        <f t="shared" si="38"/>
        <v>0.95</v>
      </c>
      <c r="Z164" s="15">
        <f t="shared" ca="1" si="39"/>
        <v>1</v>
      </c>
      <c r="AC164" s="15">
        <f t="shared" ca="1" si="40"/>
        <v>2.4942161793375657E-4</v>
      </c>
      <c r="AD164" s="15">
        <f t="shared" ca="1" si="41"/>
        <v>1.5793087663080851E-2</v>
      </c>
      <c r="AE164" s="15">
        <f t="shared" ca="1" si="42"/>
        <v>1.9267566948958639</v>
      </c>
    </row>
    <row r="165" spans="12:31" x14ac:dyDescent="0.3">
      <c r="L165" s="15">
        <v>163</v>
      </c>
      <c r="M165" s="15">
        <f t="shared" si="32"/>
        <v>1</v>
      </c>
      <c r="N165" s="15">
        <f t="shared" ca="1" si="33"/>
        <v>1.4267185473411215E-2</v>
      </c>
      <c r="O165" s="15">
        <f t="shared" ca="1" si="30"/>
        <v>0.24915675818712835</v>
      </c>
      <c r="P165" s="15">
        <f t="shared" ca="1" si="43"/>
        <v>0.24872205691615165</v>
      </c>
      <c r="Q165" s="15">
        <v>0</v>
      </c>
      <c r="R165" s="15">
        <f t="shared" ca="1" si="34"/>
        <v>0.24872205691615165</v>
      </c>
      <c r="S165" s="15">
        <f t="shared" ca="1" si="31"/>
        <v>0.98706100502999372</v>
      </c>
      <c r="T165" s="15">
        <v>0</v>
      </c>
      <c r="U165" s="15">
        <f t="shared" ca="1" si="35"/>
        <v>0.98706100502999372</v>
      </c>
      <c r="V165" s="15">
        <f t="shared" ca="1" si="36"/>
        <v>0.98573281452658879</v>
      </c>
      <c r="X165" s="15">
        <f t="shared" si="37"/>
        <v>1.05</v>
      </c>
      <c r="Y165" s="15">
        <f t="shared" si="38"/>
        <v>0.95</v>
      </c>
      <c r="Z165" s="15">
        <f t="shared" ca="1" si="39"/>
        <v>1</v>
      </c>
      <c r="AC165" s="15">
        <f t="shared" ca="1" si="40"/>
        <v>2.0355258133271598E-4</v>
      </c>
      <c r="AD165" s="15">
        <f t="shared" ca="1" si="41"/>
        <v>1.4267185473411215E-2</v>
      </c>
      <c r="AE165" s="15">
        <f t="shared" ca="1" si="42"/>
        <v>1.7548638132295795</v>
      </c>
    </row>
    <row r="166" spans="12:31" x14ac:dyDescent="0.3">
      <c r="L166" s="15">
        <v>164</v>
      </c>
      <c r="M166" s="15">
        <f t="shared" si="32"/>
        <v>1</v>
      </c>
      <c r="N166" s="15">
        <f t="shared" ca="1" si="33"/>
        <v>1.1215381094071941E-2</v>
      </c>
      <c r="O166" s="15">
        <f t="shared" ca="1" si="30"/>
        <v>0.24915675818712835</v>
      </c>
      <c r="P166" s="15">
        <f t="shared" ca="1" si="43"/>
        <v>0.24872205691615165</v>
      </c>
      <c r="Q166" s="15">
        <v>0</v>
      </c>
      <c r="R166" s="15">
        <f t="shared" ca="1" si="34"/>
        <v>0.24872205691615165</v>
      </c>
      <c r="S166" s="15">
        <f t="shared" ca="1" si="31"/>
        <v>0.98911166931006833</v>
      </c>
      <c r="T166" s="15">
        <v>0</v>
      </c>
      <c r="U166" s="15">
        <f t="shared" ca="1" si="35"/>
        <v>0.98911166931006833</v>
      </c>
      <c r="V166" s="15">
        <f t="shared" ca="1" si="36"/>
        <v>0.98878461890592806</v>
      </c>
      <c r="X166" s="15">
        <f t="shared" si="37"/>
        <v>1.05</v>
      </c>
      <c r="Y166" s="15">
        <f t="shared" si="38"/>
        <v>0.95</v>
      </c>
      <c r="Z166" s="15">
        <f t="shared" ca="1" si="39"/>
        <v>1</v>
      </c>
      <c r="AC166" s="15">
        <f t="shared" ca="1" si="40"/>
        <v>1.2578477308526634E-4</v>
      </c>
      <c r="AD166" s="15">
        <f t="shared" ca="1" si="41"/>
        <v>1.1215381094071941E-2</v>
      </c>
      <c r="AE166" s="15">
        <f t="shared" ca="1" si="42"/>
        <v>1.3907072556649207</v>
      </c>
    </row>
    <row r="167" spans="12:31" x14ac:dyDescent="0.3">
      <c r="L167" s="15">
        <v>165</v>
      </c>
      <c r="M167" s="15">
        <f t="shared" si="32"/>
        <v>1</v>
      </c>
      <c r="N167" s="15">
        <f t="shared" ca="1" si="33"/>
        <v>9.6894789044023044E-3</v>
      </c>
      <c r="O167" s="15">
        <f t="shared" ca="1" si="30"/>
        <v>0.24929986886765251</v>
      </c>
      <c r="P167" s="15">
        <f t="shared" ca="1" si="43"/>
        <v>0.24872205691615165</v>
      </c>
      <c r="Q167" s="15">
        <v>0</v>
      </c>
      <c r="R167" s="15">
        <f t="shared" ca="1" si="34"/>
        <v>0.24872205691615165</v>
      </c>
      <c r="S167" s="15">
        <f t="shared" ca="1" si="31"/>
        <v>0.99106815812430349</v>
      </c>
      <c r="T167" s="15">
        <v>0</v>
      </c>
      <c r="U167" s="15">
        <f t="shared" ca="1" si="35"/>
        <v>0.99106815812430349</v>
      </c>
      <c r="V167" s="15">
        <f t="shared" ca="1" si="36"/>
        <v>0.9903105210955977</v>
      </c>
      <c r="X167" s="15">
        <f t="shared" si="37"/>
        <v>1.05</v>
      </c>
      <c r="Y167" s="15">
        <f t="shared" si="38"/>
        <v>0.95</v>
      </c>
      <c r="Z167" s="15">
        <f t="shared" ca="1" si="39"/>
        <v>1</v>
      </c>
      <c r="AC167" s="15">
        <f t="shared" ca="1" si="40"/>
        <v>9.3886001438857282E-5</v>
      </c>
      <c r="AD167" s="15">
        <f t="shared" ca="1" si="41"/>
        <v>9.6894789044023044E-3</v>
      </c>
      <c r="AE167" s="15">
        <f t="shared" ca="1" si="42"/>
        <v>1.2111848630502879</v>
      </c>
    </row>
    <row r="168" spans="12:31" x14ac:dyDescent="0.3">
      <c r="L168" s="15">
        <v>166</v>
      </c>
      <c r="M168" s="15">
        <f t="shared" si="32"/>
        <v>1</v>
      </c>
      <c r="N168" s="15">
        <f t="shared" ca="1" si="33"/>
        <v>8.1635767147326677E-3</v>
      </c>
      <c r="O168" s="15">
        <f t="shared" ca="1" si="30"/>
        <v>0.24929986886765251</v>
      </c>
      <c r="P168" s="15">
        <f t="shared" ca="1" si="43"/>
        <v>0.24872205691615165</v>
      </c>
      <c r="Q168" s="15">
        <v>0</v>
      </c>
      <c r="R168" s="15">
        <f t="shared" ca="1" si="34"/>
        <v>0.24872205691615165</v>
      </c>
      <c r="S168" s="15">
        <f t="shared" ca="1" si="31"/>
        <v>0.99292153460361654</v>
      </c>
      <c r="T168" s="15">
        <v>0</v>
      </c>
      <c r="U168" s="15">
        <f t="shared" ca="1" si="35"/>
        <v>0.99292153460361654</v>
      </c>
      <c r="V168" s="15">
        <f t="shared" ca="1" si="36"/>
        <v>0.99183642328526733</v>
      </c>
      <c r="X168" s="15">
        <f t="shared" si="37"/>
        <v>1.05</v>
      </c>
      <c r="Y168" s="15">
        <f t="shared" si="38"/>
        <v>0.95</v>
      </c>
      <c r="Z168" s="15">
        <f t="shared" ca="1" si="39"/>
        <v>1</v>
      </c>
      <c r="AC168" s="15">
        <f t="shared" ca="1" si="40"/>
        <v>6.6643984777325419E-5</v>
      </c>
      <c r="AD168" s="15">
        <f t="shared" ca="1" si="41"/>
        <v>8.1635767147326677E-3</v>
      </c>
      <c r="AE168" s="15">
        <f t="shared" ca="1" si="42"/>
        <v>1.0286106660563161</v>
      </c>
    </row>
    <row r="169" spans="12:31" x14ac:dyDescent="0.3">
      <c r="L169" s="15">
        <v>167</v>
      </c>
      <c r="M169" s="15">
        <f t="shared" si="32"/>
        <v>1</v>
      </c>
      <c r="N169" s="15">
        <f t="shared" ca="1" si="33"/>
        <v>6.6376745250630309E-3</v>
      </c>
      <c r="O169" s="15">
        <f t="shared" ca="1" si="30"/>
        <v>0.24929986886765251</v>
      </c>
      <c r="P169" s="15">
        <f t="shared" ca="1" si="43"/>
        <v>0.24872205691615165</v>
      </c>
      <c r="Q169" s="15">
        <v>0</v>
      </c>
      <c r="R169" s="15">
        <f t="shared" ca="1" si="34"/>
        <v>0.24872205691615165</v>
      </c>
      <c r="S169" s="15">
        <f t="shared" ca="1" si="31"/>
        <v>0.99467704837135007</v>
      </c>
      <c r="T169" s="15">
        <v>0</v>
      </c>
      <c r="U169" s="15">
        <f t="shared" ca="1" si="35"/>
        <v>0.99467704837135007</v>
      </c>
      <c r="V169" s="15">
        <f t="shared" ca="1" si="36"/>
        <v>0.99336232547493697</v>
      </c>
      <c r="X169" s="15">
        <f t="shared" si="37"/>
        <v>1.05</v>
      </c>
      <c r="Y169" s="15">
        <f t="shared" si="38"/>
        <v>0.95</v>
      </c>
      <c r="Z169" s="15">
        <f t="shared" ca="1" si="39"/>
        <v>1</v>
      </c>
      <c r="AC169" s="15">
        <f t="shared" ca="1" si="40"/>
        <v>4.4058723100670735E-5</v>
      </c>
      <c r="AD169" s="15">
        <f t="shared" ca="1" si="41"/>
        <v>6.6376745250630309E-3</v>
      </c>
      <c r="AE169" s="15">
        <f t="shared" ca="1" si="42"/>
        <v>0.84298466468300493</v>
      </c>
    </row>
    <row r="170" spans="12:31" x14ac:dyDescent="0.3">
      <c r="L170" s="15">
        <v>168</v>
      </c>
      <c r="M170" s="15">
        <f t="shared" si="32"/>
        <v>1</v>
      </c>
      <c r="N170" s="15">
        <f t="shared" ca="1" si="33"/>
        <v>5.1117723353933942E-3</v>
      </c>
      <c r="O170" s="15">
        <f t="shared" ca="1" si="30"/>
        <v>0.24968996124499179</v>
      </c>
      <c r="P170" s="15">
        <f t="shared" ca="1" si="43"/>
        <v>0.24872205691615165</v>
      </c>
      <c r="Q170" s="15">
        <v>0</v>
      </c>
      <c r="R170" s="15">
        <f t="shared" ca="1" si="34"/>
        <v>0.24872205691615165</v>
      </c>
      <c r="S170" s="15">
        <f t="shared" ca="1" si="31"/>
        <v>0.99631329673675117</v>
      </c>
      <c r="T170" s="15">
        <v>0</v>
      </c>
      <c r="U170" s="15">
        <f t="shared" ca="1" si="35"/>
        <v>0.99631329673675117</v>
      </c>
      <c r="V170" s="15">
        <f t="shared" ca="1" si="36"/>
        <v>0.99488822766460661</v>
      </c>
      <c r="X170" s="15">
        <f t="shared" si="37"/>
        <v>1.05</v>
      </c>
      <c r="Y170" s="15">
        <f t="shared" si="38"/>
        <v>0.95</v>
      </c>
      <c r="Z170" s="15">
        <f t="shared" ca="1" si="39"/>
        <v>1</v>
      </c>
      <c r="AC170" s="15">
        <f t="shared" ca="1" si="40"/>
        <v>2.6130216408893236E-5</v>
      </c>
      <c r="AD170" s="15">
        <f t="shared" ca="1" si="41"/>
        <v>5.1117723353933942E-3</v>
      </c>
      <c r="AE170" s="15">
        <f t="shared" ca="1" si="42"/>
        <v>0.65430685893035445</v>
      </c>
    </row>
    <row r="171" spans="12:31" x14ac:dyDescent="0.3">
      <c r="L171" s="15">
        <v>169</v>
      </c>
      <c r="M171" s="15">
        <f t="shared" si="32"/>
        <v>1</v>
      </c>
      <c r="N171" s="15">
        <f t="shared" ca="1" si="33"/>
        <v>3.5858701457237574E-3</v>
      </c>
      <c r="O171" s="15">
        <f t="shared" ref="O171:O234" ca="1" si="44">IF(MOD(L171,$B$11)=0,OFFSET(O171,-$B$11,0)+ $E$2*N171+$E$3*OFFSET(N171,-$B$11,0)+ $E$4*OFFSET(N171,-2* $B$11,0), O170)</f>
        <v>0.24968996124499179</v>
      </c>
      <c r="P171" s="15">
        <f t="shared" ca="1" si="43"/>
        <v>0.24872205691615165</v>
      </c>
      <c r="Q171" s="15">
        <v>0</v>
      </c>
      <c r="R171" s="15">
        <f t="shared" ca="1" si="34"/>
        <v>0.24872205691615165</v>
      </c>
      <c r="S171" s="15">
        <f t="shared" ca="1" si="31"/>
        <v>0.99781326618808652</v>
      </c>
      <c r="T171" s="15">
        <v>0</v>
      </c>
      <c r="U171" s="15">
        <f t="shared" ca="1" si="35"/>
        <v>0.99781326618808652</v>
      </c>
      <c r="V171" s="15">
        <f t="shared" ca="1" si="36"/>
        <v>0.99641412985427624</v>
      </c>
      <c r="X171" s="15">
        <f t="shared" si="37"/>
        <v>1.05</v>
      </c>
      <c r="Y171" s="15">
        <f t="shared" si="38"/>
        <v>0.95</v>
      </c>
      <c r="Z171" s="15">
        <f t="shared" ca="1" si="39"/>
        <v>1</v>
      </c>
      <c r="AC171" s="15">
        <f t="shared" ca="1" si="40"/>
        <v>1.2858464701992921E-5</v>
      </c>
      <c r="AD171" s="15">
        <f t="shared" ca="1" si="41"/>
        <v>3.5858701457237574E-3</v>
      </c>
      <c r="AE171" s="15">
        <f t="shared" ca="1" si="42"/>
        <v>0.4625772487983647</v>
      </c>
    </row>
    <row r="172" spans="12:31" x14ac:dyDescent="0.3">
      <c r="L172" s="15">
        <v>170</v>
      </c>
      <c r="M172" s="15">
        <f t="shared" si="32"/>
        <v>1</v>
      </c>
      <c r="N172" s="15">
        <f t="shared" ca="1" si="33"/>
        <v>2.0599679560541206E-3</v>
      </c>
      <c r="O172" s="15">
        <f t="shared" ca="1" si="44"/>
        <v>0.24968996124499179</v>
      </c>
      <c r="P172" s="15">
        <f t="shared" ca="1" si="43"/>
        <v>0.24872205691615165</v>
      </c>
      <c r="Q172" s="15">
        <v>0</v>
      </c>
      <c r="R172" s="15">
        <f t="shared" ca="1" si="34"/>
        <v>0.24872205691615165</v>
      </c>
      <c r="S172" s="15">
        <f t="shared" ca="1" si="31"/>
        <v>0.99918791116130345</v>
      </c>
      <c r="T172" s="15">
        <v>0</v>
      </c>
      <c r="U172" s="15">
        <f t="shared" ca="1" si="35"/>
        <v>0.99918791116130345</v>
      </c>
      <c r="V172" s="15">
        <f t="shared" ca="1" si="36"/>
        <v>0.99794003204394588</v>
      </c>
      <c r="X172" s="15">
        <f t="shared" si="37"/>
        <v>1.05</v>
      </c>
      <c r="Y172" s="15">
        <f t="shared" si="38"/>
        <v>0.95</v>
      </c>
      <c r="Z172" s="15">
        <f t="shared" ca="1" si="39"/>
        <v>1</v>
      </c>
      <c r="AC172" s="15">
        <f t="shared" ca="1" si="40"/>
        <v>4.2434679799697918E-6</v>
      </c>
      <c r="AD172" s="15">
        <f t="shared" ca="1" si="41"/>
        <v>2.0599679560541206E-3</v>
      </c>
      <c r="AE172" s="15">
        <f t="shared" ca="1" si="42"/>
        <v>0.26779583428703568</v>
      </c>
    </row>
    <row r="173" spans="12:31" x14ac:dyDescent="0.3">
      <c r="L173" s="15">
        <v>171</v>
      </c>
      <c r="M173" s="15">
        <f t="shared" si="32"/>
        <v>1</v>
      </c>
      <c r="N173" s="15">
        <f t="shared" ca="1" si="33"/>
        <v>5.3406576638448389E-4</v>
      </c>
      <c r="O173" s="15">
        <f t="shared" ca="1" si="44"/>
        <v>0.24869947655665112</v>
      </c>
      <c r="P173" s="15">
        <f t="shared" ca="1" si="43"/>
        <v>0.24719615472648201</v>
      </c>
      <c r="Q173" s="15">
        <v>0</v>
      </c>
      <c r="R173" s="15">
        <f t="shared" ca="1" si="34"/>
        <v>0.24719615472648201</v>
      </c>
      <c r="S173" s="15">
        <f t="shared" ref="S173:S236" ca="1" si="45">$I$1*S172-$I$2*S171+$I$3*R152+$I$4*R151</f>
        <v>1.0004473256520092</v>
      </c>
      <c r="T173" s="15">
        <v>0</v>
      </c>
      <c r="U173" s="15">
        <f t="shared" ca="1" si="35"/>
        <v>1.0004473256520092</v>
      </c>
      <c r="V173" s="15">
        <f t="shared" ca="1" si="36"/>
        <v>0.99946593423361552</v>
      </c>
      <c r="X173" s="15">
        <f t="shared" si="37"/>
        <v>1.05</v>
      </c>
      <c r="Y173" s="15">
        <f t="shared" si="38"/>
        <v>0.95</v>
      </c>
      <c r="Z173" s="15">
        <f t="shared" ca="1" si="39"/>
        <v>1</v>
      </c>
      <c r="AC173" s="15">
        <f t="shared" ca="1" si="40"/>
        <v>2.852262428238461E-7</v>
      </c>
      <c r="AD173" s="15">
        <f t="shared" ca="1" si="41"/>
        <v>5.3406576638448389E-4</v>
      </c>
      <c r="AE173" s="15">
        <f t="shared" ca="1" si="42"/>
        <v>6.9962615396367389E-2</v>
      </c>
    </row>
    <row r="174" spans="12:31" x14ac:dyDescent="0.3">
      <c r="L174" s="15">
        <v>172</v>
      </c>
      <c r="M174" s="15">
        <f t="shared" si="32"/>
        <v>1</v>
      </c>
      <c r="N174" s="15">
        <f t="shared" ca="1" si="33"/>
        <v>-9.9183642328526389E-4</v>
      </c>
      <c r="O174" s="15">
        <f t="shared" ca="1" si="44"/>
        <v>0.24869947655665112</v>
      </c>
      <c r="P174" s="15">
        <f t="shared" ca="1" si="43"/>
        <v>0.24719615472648201</v>
      </c>
      <c r="Q174" s="15">
        <v>0</v>
      </c>
      <c r="R174" s="15">
        <f t="shared" ca="1" si="34"/>
        <v>0.24719615472648201</v>
      </c>
      <c r="S174" s="15">
        <f t="shared" ca="1" si="45"/>
        <v>1.0016008097427964</v>
      </c>
      <c r="T174" s="15">
        <v>0</v>
      </c>
      <c r="U174" s="15">
        <f t="shared" ca="1" si="35"/>
        <v>1.0016008097427964</v>
      </c>
      <c r="V174" s="15">
        <f t="shared" ca="1" si="36"/>
        <v>1.0009918364232853</v>
      </c>
      <c r="X174" s="15">
        <f t="shared" si="37"/>
        <v>1.05</v>
      </c>
      <c r="Y174" s="15">
        <f t="shared" si="38"/>
        <v>0.95</v>
      </c>
      <c r="Z174" s="15">
        <f t="shared" ca="1" si="39"/>
        <v>1</v>
      </c>
      <c r="AC174" s="15">
        <f t="shared" ca="1" si="40"/>
        <v>9.8373949055530516E-7</v>
      </c>
      <c r="AD174" s="15">
        <f t="shared" ca="1" si="41"/>
        <v>9.9183642328526389E-4</v>
      </c>
      <c r="AE174" s="15">
        <f t="shared" ca="1" si="42"/>
        <v>0.13092240787365483</v>
      </c>
    </row>
    <row r="175" spans="12:31" x14ac:dyDescent="0.3">
      <c r="L175" s="15">
        <v>173</v>
      </c>
      <c r="M175" s="15">
        <f t="shared" si="32"/>
        <v>1</v>
      </c>
      <c r="N175" s="15">
        <f t="shared" ca="1" si="33"/>
        <v>-2.5177386129549006E-3</v>
      </c>
      <c r="O175" s="15">
        <f t="shared" ca="1" si="44"/>
        <v>0.24869947655665112</v>
      </c>
      <c r="P175" s="15">
        <f t="shared" ca="1" si="43"/>
        <v>0.24719615472648201</v>
      </c>
      <c r="Q175" s="15">
        <v>0</v>
      </c>
      <c r="R175" s="15">
        <f t="shared" ca="1" si="34"/>
        <v>0.24719615472648201</v>
      </c>
      <c r="S175" s="15">
        <f t="shared" ca="1" si="45"/>
        <v>1.0026569310437878</v>
      </c>
      <c r="T175" s="15">
        <v>0</v>
      </c>
      <c r="U175" s="15">
        <f t="shared" ca="1" si="35"/>
        <v>1.0026569310437878</v>
      </c>
      <c r="V175" s="15">
        <f t="shared" ca="1" si="36"/>
        <v>1.0025177386129549</v>
      </c>
      <c r="X175" s="15">
        <f t="shared" si="37"/>
        <v>1.05</v>
      </c>
      <c r="Y175" s="15">
        <f t="shared" si="38"/>
        <v>0.95</v>
      </c>
      <c r="Z175" s="15">
        <f t="shared" ca="1" si="39"/>
        <v>1</v>
      </c>
      <c r="AC175" s="15">
        <f t="shared" ca="1" si="40"/>
        <v>6.3390077231640668E-6</v>
      </c>
      <c r="AD175" s="15">
        <f t="shared" ca="1" si="41"/>
        <v>2.5177386129549006E-3</v>
      </c>
      <c r="AE175" s="15">
        <f t="shared" ca="1" si="42"/>
        <v>0.33485923552300179</v>
      </c>
    </row>
    <row r="176" spans="12:31" x14ac:dyDescent="0.3">
      <c r="L176" s="15">
        <v>174</v>
      </c>
      <c r="M176" s="15">
        <f t="shared" si="32"/>
        <v>1</v>
      </c>
      <c r="N176" s="15">
        <f t="shared" ca="1" si="33"/>
        <v>-2.5177386129549006E-3</v>
      </c>
      <c r="O176" s="15">
        <f t="shared" ca="1" si="44"/>
        <v>0.24927885361395083</v>
      </c>
      <c r="P176" s="15">
        <f t="shared" ca="1" si="43"/>
        <v>0.24872205691615165</v>
      </c>
      <c r="Q176" s="15">
        <v>0</v>
      </c>
      <c r="R176" s="15">
        <f t="shared" ca="1" si="34"/>
        <v>0.24872205691615165</v>
      </c>
      <c r="S176" s="15">
        <f t="shared" ca="1" si="45"/>
        <v>1.0036103814981208</v>
      </c>
      <c r="T176" s="15">
        <v>0</v>
      </c>
      <c r="U176" s="15">
        <f t="shared" ca="1" si="35"/>
        <v>1.0036103814981208</v>
      </c>
      <c r="V176" s="15">
        <f t="shared" ca="1" si="36"/>
        <v>1.0025177386129549</v>
      </c>
      <c r="X176" s="15">
        <f t="shared" si="37"/>
        <v>1.05</v>
      </c>
      <c r="Y176" s="15">
        <f t="shared" si="38"/>
        <v>0.95</v>
      </c>
      <c r="Z176" s="15">
        <f t="shared" ca="1" si="39"/>
        <v>1</v>
      </c>
      <c r="AC176" s="15">
        <f t="shared" ca="1" si="40"/>
        <v>6.3390077231640668E-6</v>
      </c>
      <c r="AD176" s="15">
        <f t="shared" ca="1" si="41"/>
        <v>2.5177386129549006E-3</v>
      </c>
      <c r="AE176" s="15">
        <f t="shared" ca="1" si="42"/>
        <v>0.33737697413595669</v>
      </c>
    </row>
    <row r="177" spans="12:31" x14ac:dyDescent="0.3">
      <c r="L177" s="15">
        <v>175</v>
      </c>
      <c r="M177" s="15">
        <f t="shared" si="32"/>
        <v>1</v>
      </c>
      <c r="N177" s="15">
        <f t="shared" ca="1" si="33"/>
        <v>-4.0436408026245374E-3</v>
      </c>
      <c r="O177" s="15">
        <f t="shared" ca="1" si="44"/>
        <v>0.24927885361395083</v>
      </c>
      <c r="P177" s="15">
        <f t="shared" ca="1" si="43"/>
        <v>0.24872205691615165</v>
      </c>
      <c r="Q177" s="15">
        <v>0</v>
      </c>
      <c r="R177" s="15">
        <f t="shared" ca="1" si="34"/>
        <v>0.24872205691615165</v>
      </c>
      <c r="S177" s="15">
        <f t="shared" ca="1" si="45"/>
        <v>1.0044575450696775</v>
      </c>
      <c r="T177" s="15">
        <v>0</v>
      </c>
      <c r="U177" s="15">
        <f t="shared" ca="1" si="35"/>
        <v>1.0044575450696775</v>
      </c>
      <c r="V177" s="15">
        <f t="shared" ca="1" si="36"/>
        <v>1.0040436408026245</v>
      </c>
      <c r="X177" s="15">
        <f t="shared" si="37"/>
        <v>1.05</v>
      </c>
      <c r="Y177" s="15">
        <f t="shared" si="38"/>
        <v>0.95</v>
      </c>
      <c r="Z177" s="15">
        <f t="shared" ca="1" si="39"/>
        <v>1</v>
      </c>
      <c r="AC177" s="15">
        <f t="shared" ca="1" si="40"/>
        <v>1.6351030940650012E-5</v>
      </c>
      <c r="AD177" s="15">
        <f t="shared" ca="1" si="41"/>
        <v>4.0436408026245374E-3</v>
      </c>
      <c r="AE177" s="15">
        <f t="shared" ca="1" si="42"/>
        <v>0.54589150835431255</v>
      </c>
    </row>
    <row r="178" spans="12:31" x14ac:dyDescent="0.3">
      <c r="L178" s="15">
        <v>176</v>
      </c>
      <c r="M178" s="15">
        <f t="shared" si="32"/>
        <v>1</v>
      </c>
      <c r="N178" s="15">
        <f t="shared" ca="1" si="33"/>
        <v>-4.0436408026245374E-3</v>
      </c>
      <c r="O178" s="15">
        <f t="shared" ca="1" si="44"/>
        <v>0.24927885361395083</v>
      </c>
      <c r="P178" s="15">
        <f t="shared" ca="1" si="43"/>
        <v>0.24872205691615165</v>
      </c>
      <c r="Q178" s="15">
        <v>0</v>
      </c>
      <c r="R178" s="15">
        <f t="shared" ca="1" si="34"/>
        <v>0.24872205691615165</v>
      </c>
      <c r="S178" s="15">
        <f t="shared" ca="1" si="45"/>
        <v>1.0052083302357275</v>
      </c>
      <c r="T178" s="15">
        <v>0</v>
      </c>
      <c r="U178" s="15">
        <f t="shared" ca="1" si="35"/>
        <v>1.0052083302357275</v>
      </c>
      <c r="V178" s="15">
        <f t="shared" ca="1" si="36"/>
        <v>1.0040436408026245</v>
      </c>
      <c r="X178" s="15">
        <f t="shared" si="37"/>
        <v>1.05</v>
      </c>
      <c r="Y178" s="15">
        <f t="shared" si="38"/>
        <v>0.95</v>
      </c>
      <c r="Z178" s="15">
        <f t="shared" ca="1" si="39"/>
        <v>1</v>
      </c>
      <c r="AC178" s="15">
        <f t="shared" ca="1" si="40"/>
        <v>1.6351030940650012E-5</v>
      </c>
      <c r="AD178" s="15">
        <f t="shared" ca="1" si="41"/>
        <v>4.0436408026245374E-3</v>
      </c>
      <c r="AE178" s="15">
        <f t="shared" ca="1" si="42"/>
        <v>0.54993514915693709</v>
      </c>
    </row>
    <row r="179" spans="12:31" x14ac:dyDescent="0.3">
      <c r="L179" s="15">
        <v>177</v>
      </c>
      <c r="M179" s="15">
        <f t="shared" si="32"/>
        <v>1</v>
      </c>
      <c r="N179" s="15">
        <f t="shared" ca="1" si="33"/>
        <v>-5.5695429922941742E-3</v>
      </c>
      <c r="O179" s="15">
        <f t="shared" ca="1" si="44"/>
        <v>0.24850650211399802</v>
      </c>
      <c r="P179" s="15">
        <f t="shared" ca="1" si="43"/>
        <v>0.24719615472648201</v>
      </c>
      <c r="Q179" s="15">
        <v>0</v>
      </c>
      <c r="R179" s="15">
        <f t="shared" ca="1" si="34"/>
        <v>0.24719615472648201</v>
      </c>
      <c r="S179" s="15">
        <f t="shared" ca="1" si="45"/>
        <v>1.0058585954384567</v>
      </c>
      <c r="T179" s="15">
        <v>0</v>
      </c>
      <c r="U179" s="15">
        <f t="shared" ca="1" si="35"/>
        <v>1.0058585954384567</v>
      </c>
      <c r="V179" s="15">
        <f t="shared" ca="1" si="36"/>
        <v>1.0055695429922942</v>
      </c>
      <c r="X179" s="15">
        <f t="shared" si="37"/>
        <v>1.05</v>
      </c>
      <c r="Y179" s="15">
        <f t="shared" si="38"/>
        <v>0.95</v>
      </c>
      <c r="Z179" s="15">
        <f t="shared" ca="1" si="39"/>
        <v>1</v>
      </c>
      <c r="AC179" s="15">
        <f t="shared" ca="1" si="40"/>
        <v>3.1019809143013146E-5</v>
      </c>
      <c r="AD179" s="15">
        <f t="shared" ca="1" si="41"/>
        <v>5.5695429922941742E-3</v>
      </c>
      <c r="AE179" s="15">
        <f t="shared" ca="1" si="42"/>
        <v>0.76302738994430186</v>
      </c>
    </row>
    <row r="180" spans="12:31" x14ac:dyDescent="0.3">
      <c r="L180" s="15">
        <v>178</v>
      </c>
      <c r="M180" s="15">
        <f t="shared" si="32"/>
        <v>1</v>
      </c>
      <c r="N180" s="15">
        <f t="shared" ca="1" si="33"/>
        <v>-5.5695429922941742E-3</v>
      </c>
      <c r="O180" s="15">
        <f t="shared" ca="1" si="44"/>
        <v>0.24850650211399802</v>
      </c>
      <c r="P180" s="15">
        <f t="shared" ca="1" si="43"/>
        <v>0.24719615472648201</v>
      </c>
      <c r="Q180" s="15">
        <v>0</v>
      </c>
      <c r="R180" s="15">
        <f t="shared" ca="1" si="34"/>
        <v>0.24719615472648201</v>
      </c>
      <c r="S180" s="15">
        <f t="shared" ca="1" si="45"/>
        <v>1.006405733972479</v>
      </c>
      <c r="T180" s="15">
        <v>0</v>
      </c>
      <c r="U180" s="15">
        <f t="shared" ca="1" si="35"/>
        <v>1.006405733972479</v>
      </c>
      <c r="V180" s="15">
        <f t="shared" ca="1" si="36"/>
        <v>1.0055695429922942</v>
      </c>
      <c r="X180" s="15">
        <f t="shared" si="37"/>
        <v>1.05</v>
      </c>
      <c r="Y180" s="15">
        <f t="shared" si="38"/>
        <v>0.95</v>
      </c>
      <c r="Z180" s="15">
        <f t="shared" ca="1" si="39"/>
        <v>1</v>
      </c>
      <c r="AC180" s="15">
        <f t="shared" ca="1" si="40"/>
        <v>3.1019809143013146E-5</v>
      </c>
      <c r="AD180" s="15">
        <f t="shared" ca="1" si="41"/>
        <v>5.5695429922941742E-3</v>
      </c>
      <c r="AE180" s="15">
        <f t="shared" ca="1" si="42"/>
        <v>0.76859693293659603</v>
      </c>
    </row>
    <row r="181" spans="12:31" x14ac:dyDescent="0.3">
      <c r="L181" s="15">
        <v>179</v>
      </c>
      <c r="M181" s="15">
        <f t="shared" si="32"/>
        <v>1</v>
      </c>
      <c r="N181" s="15">
        <f t="shared" ca="1" si="33"/>
        <v>-5.5695429922941742E-3</v>
      </c>
      <c r="O181" s="15">
        <f t="shared" ca="1" si="44"/>
        <v>0.24850650211399802</v>
      </c>
      <c r="P181" s="15">
        <f t="shared" ca="1" si="43"/>
        <v>0.24719615472648201</v>
      </c>
      <c r="Q181" s="15">
        <v>0</v>
      </c>
      <c r="R181" s="15">
        <f t="shared" ca="1" si="34"/>
        <v>0.24719615472648201</v>
      </c>
      <c r="S181" s="15">
        <f t="shared" ca="1" si="45"/>
        <v>1.0068605221587461</v>
      </c>
      <c r="T181" s="15">
        <v>0</v>
      </c>
      <c r="U181" s="15">
        <f t="shared" ca="1" si="35"/>
        <v>1.0068605221587461</v>
      </c>
      <c r="V181" s="15">
        <f t="shared" ca="1" si="36"/>
        <v>1.0055695429922942</v>
      </c>
      <c r="X181" s="15">
        <f t="shared" si="37"/>
        <v>1.05</v>
      </c>
      <c r="Y181" s="15">
        <f t="shared" si="38"/>
        <v>0.95</v>
      </c>
      <c r="Z181" s="15">
        <f t="shared" ca="1" si="39"/>
        <v>1</v>
      </c>
      <c r="AC181" s="15">
        <f t="shared" ca="1" si="40"/>
        <v>3.1019809143013146E-5</v>
      </c>
      <c r="AD181" s="15">
        <f t="shared" ca="1" si="41"/>
        <v>5.5695429922941742E-3</v>
      </c>
      <c r="AE181" s="15">
        <f t="shared" ca="1" si="42"/>
        <v>0.77416647592889021</v>
      </c>
    </row>
    <row r="182" spans="12:31" x14ac:dyDescent="0.3">
      <c r="L182" s="15">
        <v>180</v>
      </c>
      <c r="M182" s="15">
        <f t="shared" si="32"/>
        <v>1</v>
      </c>
      <c r="N182" s="15">
        <f t="shared" ca="1" si="33"/>
        <v>-7.0954451819638109E-3</v>
      </c>
      <c r="O182" s="15">
        <f t="shared" ca="1" si="44"/>
        <v>0.24933286086811288</v>
      </c>
      <c r="P182" s="15">
        <f t="shared" ca="1" si="43"/>
        <v>0.24872205691615165</v>
      </c>
      <c r="Q182" s="15">
        <v>0</v>
      </c>
      <c r="R182" s="15">
        <f t="shared" ca="1" si="34"/>
        <v>0.24872205691615165</v>
      </c>
      <c r="S182" s="15">
        <f t="shared" ca="1" si="45"/>
        <v>1.0072327590193662</v>
      </c>
      <c r="T182" s="15">
        <v>0</v>
      </c>
      <c r="U182" s="15">
        <f t="shared" ca="1" si="35"/>
        <v>1.0072327590193662</v>
      </c>
      <c r="V182" s="15">
        <f t="shared" ca="1" si="36"/>
        <v>1.0070954451819638</v>
      </c>
      <c r="X182" s="15">
        <f t="shared" si="37"/>
        <v>1.05</v>
      </c>
      <c r="Y182" s="15">
        <f t="shared" si="38"/>
        <v>0.95</v>
      </c>
      <c r="Z182" s="15">
        <f t="shared" ca="1" si="39"/>
        <v>1</v>
      </c>
      <c r="AC182" s="15">
        <f t="shared" ca="1" si="40"/>
        <v>5.0345342330253459E-5</v>
      </c>
      <c r="AD182" s="15">
        <f t="shared" ca="1" si="41"/>
        <v>7.0954451819638109E-3</v>
      </c>
      <c r="AE182" s="15">
        <f t="shared" ca="1" si="42"/>
        <v>0.99336232547493353</v>
      </c>
    </row>
    <row r="183" spans="12:31" x14ac:dyDescent="0.3">
      <c r="L183" s="15">
        <v>181</v>
      </c>
      <c r="M183" s="15">
        <f t="shared" si="32"/>
        <v>1</v>
      </c>
      <c r="N183" s="15">
        <f t="shared" ca="1" si="33"/>
        <v>-7.0954451819638109E-3</v>
      </c>
      <c r="O183" s="15">
        <f t="shared" ca="1" si="44"/>
        <v>0.24933286086811288</v>
      </c>
      <c r="P183" s="15">
        <f t="shared" ca="1" si="43"/>
        <v>0.24872205691615165</v>
      </c>
      <c r="Q183" s="15">
        <v>0</v>
      </c>
      <c r="R183" s="15">
        <f t="shared" ca="1" si="34"/>
        <v>0.24872205691615165</v>
      </c>
      <c r="S183" s="15">
        <f t="shared" ca="1" si="45"/>
        <v>1.0075313488861231</v>
      </c>
      <c r="T183" s="15">
        <v>0</v>
      </c>
      <c r="U183" s="15">
        <f t="shared" ca="1" si="35"/>
        <v>1.0075313488861231</v>
      </c>
      <c r="V183" s="15">
        <f t="shared" ca="1" si="36"/>
        <v>1.0070954451819638</v>
      </c>
      <c r="X183" s="15">
        <f t="shared" si="37"/>
        <v>1.05</v>
      </c>
      <c r="Y183" s="15">
        <f t="shared" si="38"/>
        <v>0.95</v>
      </c>
      <c r="Z183" s="15">
        <f t="shared" ca="1" si="39"/>
        <v>1</v>
      </c>
      <c r="AC183" s="15">
        <f t="shared" ca="1" si="40"/>
        <v>5.0345342330253459E-5</v>
      </c>
      <c r="AD183" s="15">
        <f t="shared" ca="1" si="41"/>
        <v>7.0954451819638109E-3</v>
      </c>
      <c r="AE183" s="15">
        <f t="shared" ca="1" si="42"/>
        <v>1.0004577706568973</v>
      </c>
    </row>
    <row r="184" spans="12:31" x14ac:dyDescent="0.3">
      <c r="L184" s="15">
        <v>182</v>
      </c>
      <c r="M184" s="15">
        <f t="shared" si="32"/>
        <v>1</v>
      </c>
      <c r="N184" s="15">
        <f t="shared" ca="1" si="33"/>
        <v>-7.0954451819638109E-3</v>
      </c>
      <c r="O184" s="15">
        <f t="shared" ca="1" si="44"/>
        <v>0.24933286086811288</v>
      </c>
      <c r="P184" s="15">
        <f t="shared" ca="1" si="43"/>
        <v>0.24872205691615165</v>
      </c>
      <c r="Q184" s="15">
        <v>0</v>
      </c>
      <c r="R184" s="15">
        <f t="shared" ca="1" si="34"/>
        <v>0.24872205691615165</v>
      </c>
      <c r="S184" s="15">
        <f t="shared" ca="1" si="45"/>
        <v>1.0077643773071783</v>
      </c>
      <c r="T184" s="15">
        <v>0</v>
      </c>
      <c r="U184" s="15">
        <f t="shared" ca="1" si="35"/>
        <v>1.0077643773071783</v>
      </c>
      <c r="V184" s="15">
        <f t="shared" ca="1" si="36"/>
        <v>1.0070954451819638</v>
      </c>
      <c r="X184" s="15">
        <f t="shared" si="37"/>
        <v>1.05</v>
      </c>
      <c r="Y184" s="15">
        <f t="shared" si="38"/>
        <v>0.95</v>
      </c>
      <c r="Z184" s="15">
        <f t="shared" ca="1" si="39"/>
        <v>1</v>
      </c>
      <c r="AC184" s="15">
        <f t="shared" ca="1" si="40"/>
        <v>5.0345342330253459E-5</v>
      </c>
      <c r="AD184" s="15">
        <f t="shared" ca="1" si="41"/>
        <v>7.0954451819638109E-3</v>
      </c>
      <c r="AE184" s="15">
        <f t="shared" ca="1" si="42"/>
        <v>1.0075532158388611</v>
      </c>
    </row>
    <row r="185" spans="12:31" x14ac:dyDescent="0.3">
      <c r="L185" s="15">
        <v>183</v>
      </c>
      <c r="M185" s="15">
        <f t="shared" si="32"/>
        <v>1</v>
      </c>
      <c r="N185" s="15">
        <f t="shared" ca="1" si="33"/>
        <v>-7.0954451819638109E-3</v>
      </c>
      <c r="O185" s="15">
        <f t="shared" ca="1" si="44"/>
        <v>0.25049274684432443</v>
      </c>
      <c r="P185" s="15">
        <f t="shared" ca="1" si="43"/>
        <v>0.25024795910582132</v>
      </c>
      <c r="Q185" s="15">
        <v>0</v>
      </c>
      <c r="R185" s="15">
        <f t="shared" ca="1" si="34"/>
        <v>0.25024795910582132</v>
      </c>
      <c r="S185" s="15">
        <f t="shared" ca="1" si="45"/>
        <v>1.0079259808474961</v>
      </c>
      <c r="T185" s="15">
        <v>0</v>
      </c>
      <c r="U185" s="15">
        <f t="shared" ca="1" si="35"/>
        <v>1.0079259808474961</v>
      </c>
      <c r="V185" s="15">
        <f t="shared" ca="1" si="36"/>
        <v>1.0070954451819638</v>
      </c>
      <c r="X185" s="15">
        <f t="shared" si="37"/>
        <v>1.05</v>
      </c>
      <c r="Y185" s="15">
        <f t="shared" si="38"/>
        <v>0.95</v>
      </c>
      <c r="Z185" s="15">
        <f t="shared" ca="1" si="39"/>
        <v>1</v>
      </c>
      <c r="AC185" s="15">
        <f t="shared" ca="1" si="40"/>
        <v>5.0345342330253459E-5</v>
      </c>
      <c r="AD185" s="15">
        <f t="shared" ca="1" si="41"/>
        <v>7.0954451819638109E-3</v>
      </c>
      <c r="AE185" s="15">
        <f t="shared" ca="1" si="42"/>
        <v>1.014648661020825</v>
      </c>
    </row>
    <row r="186" spans="12:31" x14ac:dyDescent="0.3">
      <c r="L186" s="15">
        <v>184</v>
      </c>
      <c r="M186" s="15">
        <f t="shared" si="32"/>
        <v>1</v>
      </c>
      <c r="N186" s="15">
        <f t="shared" ca="1" si="33"/>
        <v>-7.0954451819638109E-3</v>
      </c>
      <c r="O186" s="15">
        <f t="shared" ca="1" si="44"/>
        <v>0.25049274684432443</v>
      </c>
      <c r="P186" s="15">
        <f t="shared" ca="1" si="43"/>
        <v>0.25024795910582132</v>
      </c>
      <c r="Q186" s="15">
        <v>0</v>
      </c>
      <c r="R186" s="15">
        <f t="shared" ca="1" si="34"/>
        <v>0.25024795910582132</v>
      </c>
      <c r="S186" s="15">
        <f t="shared" ca="1" si="45"/>
        <v>1.008011926432087</v>
      </c>
      <c r="T186" s="15">
        <v>0</v>
      </c>
      <c r="U186" s="15">
        <f t="shared" ca="1" si="35"/>
        <v>1.008011926432087</v>
      </c>
      <c r="V186" s="15">
        <f t="shared" ca="1" si="36"/>
        <v>1.0070954451819638</v>
      </c>
      <c r="X186" s="15">
        <f t="shared" si="37"/>
        <v>1.05</v>
      </c>
      <c r="Y186" s="15">
        <f t="shared" si="38"/>
        <v>0.95</v>
      </c>
      <c r="Z186" s="15">
        <f t="shared" ca="1" si="39"/>
        <v>1</v>
      </c>
      <c r="AC186" s="15">
        <f t="shared" ca="1" si="40"/>
        <v>5.0345342330253459E-5</v>
      </c>
      <c r="AD186" s="15">
        <f t="shared" ca="1" si="41"/>
        <v>7.0954451819638109E-3</v>
      </c>
      <c r="AE186" s="15">
        <f t="shared" ca="1" si="42"/>
        <v>1.0217441062027888</v>
      </c>
    </row>
    <row r="187" spans="12:31" x14ac:dyDescent="0.3">
      <c r="L187" s="15">
        <v>185</v>
      </c>
      <c r="M187" s="15">
        <f t="shared" si="32"/>
        <v>1</v>
      </c>
      <c r="N187" s="15">
        <f t="shared" ca="1" si="33"/>
        <v>-7.0954451819638109E-3</v>
      </c>
      <c r="O187" s="15">
        <f t="shared" ca="1" si="44"/>
        <v>0.25049274684432443</v>
      </c>
      <c r="P187" s="15">
        <f t="shared" ca="1" si="43"/>
        <v>0.25024795910582132</v>
      </c>
      <c r="Q187" s="15">
        <v>0</v>
      </c>
      <c r="R187" s="15">
        <f t="shared" ca="1" si="34"/>
        <v>0.25024795910582132</v>
      </c>
      <c r="S187" s="15">
        <f t="shared" ca="1" si="45"/>
        <v>1.0080314542754576</v>
      </c>
      <c r="T187" s="15">
        <v>0</v>
      </c>
      <c r="U187" s="15">
        <f t="shared" ca="1" si="35"/>
        <v>1.0080314542754576</v>
      </c>
      <c r="V187" s="15">
        <f t="shared" ca="1" si="36"/>
        <v>1.0070954451819638</v>
      </c>
      <c r="X187" s="15">
        <f t="shared" si="37"/>
        <v>1.05</v>
      </c>
      <c r="Y187" s="15">
        <f t="shared" si="38"/>
        <v>0.95</v>
      </c>
      <c r="Z187" s="15">
        <f t="shared" ca="1" si="39"/>
        <v>1</v>
      </c>
      <c r="AC187" s="15">
        <f t="shared" ca="1" si="40"/>
        <v>5.0345342330253459E-5</v>
      </c>
      <c r="AD187" s="15">
        <f t="shared" ca="1" si="41"/>
        <v>7.0954451819638109E-3</v>
      </c>
      <c r="AE187" s="15">
        <f t="shared" ca="1" si="42"/>
        <v>1.0288395513847526</v>
      </c>
    </row>
    <row r="188" spans="12:31" x14ac:dyDescent="0.3">
      <c r="L188" s="15">
        <v>186</v>
      </c>
      <c r="M188" s="15">
        <f t="shared" si="32"/>
        <v>1</v>
      </c>
      <c r="N188" s="15">
        <f t="shared" ca="1" si="33"/>
        <v>-7.0954451819638109E-3</v>
      </c>
      <c r="O188" s="15">
        <f t="shared" ca="1" si="44"/>
        <v>0.25035860128013776</v>
      </c>
      <c r="P188" s="15">
        <f t="shared" ca="1" si="43"/>
        <v>0.25024795910582132</v>
      </c>
      <c r="Q188" s="15">
        <v>0</v>
      </c>
      <c r="R188" s="15">
        <f t="shared" ca="1" si="34"/>
        <v>0.25024795910582132</v>
      </c>
      <c r="S188" s="15">
        <f t="shared" ca="1" si="45"/>
        <v>1.0079929125959011</v>
      </c>
      <c r="T188" s="15">
        <v>0</v>
      </c>
      <c r="U188" s="15">
        <f t="shared" ca="1" si="35"/>
        <v>1.0079929125959011</v>
      </c>
      <c r="V188" s="15">
        <f t="shared" ca="1" si="36"/>
        <v>1.0070954451819638</v>
      </c>
      <c r="X188" s="15">
        <f t="shared" si="37"/>
        <v>1.05</v>
      </c>
      <c r="Y188" s="15">
        <f t="shared" si="38"/>
        <v>0.95</v>
      </c>
      <c r="Z188" s="15">
        <f t="shared" ca="1" si="39"/>
        <v>1</v>
      </c>
      <c r="AC188" s="15">
        <f t="shared" ca="1" si="40"/>
        <v>5.0345342330253459E-5</v>
      </c>
      <c r="AD188" s="15">
        <f t="shared" ca="1" si="41"/>
        <v>7.0954451819638109E-3</v>
      </c>
      <c r="AE188" s="15">
        <f t="shared" ca="1" si="42"/>
        <v>1.0359349965667164</v>
      </c>
    </row>
    <row r="189" spans="12:31" x14ac:dyDescent="0.3">
      <c r="L189" s="15">
        <v>187</v>
      </c>
      <c r="M189" s="15">
        <f t="shared" si="32"/>
        <v>1</v>
      </c>
      <c r="N189" s="15">
        <f t="shared" ca="1" si="33"/>
        <v>-7.0954451819638109E-3</v>
      </c>
      <c r="O189" s="15">
        <f t="shared" ca="1" si="44"/>
        <v>0.25035860128013776</v>
      </c>
      <c r="P189" s="15">
        <f t="shared" ca="1" si="43"/>
        <v>0.25024795910582132</v>
      </c>
      <c r="Q189" s="15">
        <v>0</v>
      </c>
      <c r="R189" s="15">
        <f t="shared" ca="1" si="34"/>
        <v>0.25024795910582132</v>
      </c>
      <c r="S189" s="15">
        <f t="shared" ca="1" si="45"/>
        <v>1.007903835532364</v>
      </c>
      <c r="T189" s="15">
        <v>0</v>
      </c>
      <c r="U189" s="15">
        <f t="shared" ca="1" si="35"/>
        <v>1.007903835532364</v>
      </c>
      <c r="V189" s="15">
        <f t="shared" ca="1" si="36"/>
        <v>1.0070954451819638</v>
      </c>
      <c r="X189" s="15">
        <f t="shared" si="37"/>
        <v>1.05</v>
      </c>
      <c r="Y189" s="15">
        <f t="shared" si="38"/>
        <v>0.95</v>
      </c>
      <c r="Z189" s="15">
        <f t="shared" ca="1" si="39"/>
        <v>1</v>
      </c>
      <c r="AC189" s="15">
        <f t="shared" ca="1" si="40"/>
        <v>5.0345342330253459E-5</v>
      </c>
      <c r="AD189" s="15">
        <f t="shared" ca="1" si="41"/>
        <v>7.0954451819638109E-3</v>
      </c>
      <c r="AE189" s="15">
        <f t="shared" ca="1" si="42"/>
        <v>1.0430304417486802</v>
      </c>
    </row>
    <row r="190" spans="12:31" x14ac:dyDescent="0.3">
      <c r="L190" s="15">
        <v>188</v>
      </c>
      <c r="M190" s="15">
        <f t="shared" si="32"/>
        <v>1</v>
      </c>
      <c r="N190" s="15">
        <f t="shared" ca="1" si="33"/>
        <v>-7.0954451819638109E-3</v>
      </c>
      <c r="O190" s="15">
        <f t="shared" ca="1" si="44"/>
        <v>0.25035860128013776</v>
      </c>
      <c r="P190" s="15">
        <f t="shared" ca="1" si="43"/>
        <v>0.25024795910582132</v>
      </c>
      <c r="Q190" s="15">
        <v>0</v>
      </c>
      <c r="R190" s="15">
        <f t="shared" ca="1" si="34"/>
        <v>0.25024795910582132</v>
      </c>
      <c r="S190" s="15">
        <f t="shared" ca="1" si="45"/>
        <v>1.0077710146140821</v>
      </c>
      <c r="T190" s="15">
        <v>0</v>
      </c>
      <c r="U190" s="15">
        <f t="shared" ca="1" si="35"/>
        <v>1.0077710146140821</v>
      </c>
      <c r="V190" s="15">
        <f t="shared" ca="1" si="36"/>
        <v>1.0070954451819638</v>
      </c>
      <c r="X190" s="15">
        <f t="shared" si="37"/>
        <v>1.05</v>
      </c>
      <c r="Y190" s="15">
        <f t="shared" si="38"/>
        <v>0.95</v>
      </c>
      <c r="Z190" s="15">
        <f t="shared" ca="1" si="39"/>
        <v>1</v>
      </c>
      <c r="AC190" s="15">
        <f t="shared" ca="1" si="40"/>
        <v>5.0345342330253459E-5</v>
      </c>
      <c r="AD190" s="15">
        <f t="shared" ca="1" si="41"/>
        <v>7.0954451819638109E-3</v>
      </c>
      <c r="AE190" s="15">
        <f t="shared" ca="1" si="42"/>
        <v>1.050125886930644</v>
      </c>
    </row>
    <row r="191" spans="12:31" x14ac:dyDescent="0.3">
      <c r="L191" s="15">
        <v>189</v>
      </c>
      <c r="M191" s="15">
        <f t="shared" si="32"/>
        <v>1</v>
      </c>
      <c r="N191" s="15">
        <f t="shared" ca="1" si="33"/>
        <v>-7.0954451819638109E-3</v>
      </c>
      <c r="O191" s="15">
        <f t="shared" ca="1" si="44"/>
        <v>0.25022445571595109</v>
      </c>
      <c r="P191" s="15">
        <f t="shared" ca="1" si="43"/>
        <v>0.24872205691615165</v>
      </c>
      <c r="Q191" s="15">
        <v>0</v>
      </c>
      <c r="R191" s="15">
        <f t="shared" ca="1" si="34"/>
        <v>0.24872205691615165</v>
      </c>
      <c r="S191" s="15">
        <f t="shared" ca="1" si="45"/>
        <v>1.0076005642990848</v>
      </c>
      <c r="T191" s="15">
        <v>0</v>
      </c>
      <c r="U191" s="15">
        <f t="shared" ca="1" si="35"/>
        <v>1.0076005642990848</v>
      </c>
      <c r="V191" s="15">
        <f t="shared" ca="1" si="36"/>
        <v>1.0070954451819638</v>
      </c>
      <c r="X191" s="15">
        <f t="shared" si="37"/>
        <v>1.05</v>
      </c>
      <c r="Y191" s="15">
        <f t="shared" si="38"/>
        <v>0.95</v>
      </c>
      <c r="Z191" s="15">
        <f t="shared" ca="1" si="39"/>
        <v>1</v>
      </c>
      <c r="AC191" s="15">
        <f t="shared" ca="1" si="40"/>
        <v>5.0345342330253459E-5</v>
      </c>
      <c r="AD191" s="15">
        <f t="shared" ca="1" si="41"/>
        <v>7.0954451819638109E-3</v>
      </c>
      <c r="AE191" s="15">
        <f t="shared" ca="1" si="42"/>
        <v>1.0572213321126078</v>
      </c>
    </row>
    <row r="192" spans="12:31" x14ac:dyDescent="0.3">
      <c r="L192" s="15">
        <v>190</v>
      </c>
      <c r="M192" s="15">
        <f t="shared" si="32"/>
        <v>1</v>
      </c>
      <c r="N192" s="15">
        <f t="shared" ca="1" si="33"/>
        <v>-7.0954451819638109E-3</v>
      </c>
      <c r="O192" s="15">
        <f t="shared" ca="1" si="44"/>
        <v>0.25022445571595109</v>
      </c>
      <c r="P192" s="15">
        <f t="shared" ca="1" si="43"/>
        <v>0.24872205691615165</v>
      </c>
      <c r="Q192" s="15">
        <v>0</v>
      </c>
      <c r="R192" s="15">
        <f t="shared" ca="1" si="34"/>
        <v>0.24872205691615165</v>
      </c>
      <c r="S192" s="15">
        <f t="shared" ca="1" si="45"/>
        <v>1.007397982057241</v>
      </c>
      <c r="T192" s="15">
        <v>0</v>
      </c>
      <c r="U192" s="15">
        <f t="shared" ca="1" si="35"/>
        <v>1.007397982057241</v>
      </c>
      <c r="V192" s="15">
        <f t="shared" ca="1" si="36"/>
        <v>1.0070954451819638</v>
      </c>
      <c r="X192" s="15">
        <f t="shared" si="37"/>
        <v>1.05</v>
      </c>
      <c r="Y192" s="15">
        <f t="shared" si="38"/>
        <v>0.95</v>
      </c>
      <c r="Z192" s="15">
        <f t="shared" ca="1" si="39"/>
        <v>1</v>
      </c>
      <c r="AC192" s="15">
        <f t="shared" ca="1" si="40"/>
        <v>5.0345342330253459E-5</v>
      </c>
      <c r="AD192" s="15">
        <f t="shared" ca="1" si="41"/>
        <v>7.0954451819638109E-3</v>
      </c>
      <c r="AE192" s="15">
        <f t="shared" ca="1" si="42"/>
        <v>1.0643167772945716</v>
      </c>
    </row>
    <row r="193" spans="12:31" x14ac:dyDescent="0.3">
      <c r="L193" s="15">
        <v>191</v>
      </c>
      <c r="M193" s="15">
        <f t="shared" si="32"/>
        <v>1</v>
      </c>
      <c r="N193" s="15">
        <f t="shared" ca="1" si="33"/>
        <v>-7.0954451819638109E-3</v>
      </c>
      <c r="O193" s="15">
        <f t="shared" ca="1" si="44"/>
        <v>0.25022445571595109</v>
      </c>
      <c r="P193" s="15">
        <f t="shared" ca="1" si="43"/>
        <v>0.24872205691615165</v>
      </c>
      <c r="Q193" s="15">
        <v>0</v>
      </c>
      <c r="R193" s="15">
        <f t="shared" ca="1" si="34"/>
        <v>0.24872205691615165</v>
      </c>
      <c r="S193" s="15">
        <f t="shared" ca="1" si="45"/>
        <v>1.0071682034362128</v>
      </c>
      <c r="T193" s="15">
        <v>0</v>
      </c>
      <c r="U193" s="15">
        <f t="shared" ca="1" si="35"/>
        <v>1.0071682034362128</v>
      </c>
      <c r="V193" s="15">
        <f t="shared" ca="1" si="36"/>
        <v>1.0070954451819638</v>
      </c>
      <c r="X193" s="15">
        <f t="shared" si="37"/>
        <v>1.05</v>
      </c>
      <c r="Y193" s="15">
        <f t="shared" si="38"/>
        <v>0.95</v>
      </c>
      <c r="Z193" s="15">
        <f t="shared" ca="1" si="39"/>
        <v>1</v>
      </c>
      <c r="AC193" s="15">
        <f t="shared" ca="1" si="40"/>
        <v>5.0345342330253459E-5</v>
      </c>
      <c r="AD193" s="15">
        <f t="shared" ca="1" si="41"/>
        <v>7.0954451819638109E-3</v>
      </c>
      <c r="AE193" s="15">
        <f t="shared" ca="1" si="42"/>
        <v>1.0714122224765354</v>
      </c>
    </row>
    <row r="194" spans="12:31" x14ac:dyDescent="0.3">
      <c r="L194" s="15">
        <v>192</v>
      </c>
      <c r="M194" s="15">
        <f t="shared" si="32"/>
        <v>1</v>
      </c>
      <c r="N194" s="15">
        <f t="shared" ca="1" si="33"/>
        <v>-5.5695429922941742E-3</v>
      </c>
      <c r="O194" s="15">
        <f t="shared" ca="1" si="44"/>
        <v>0.25174671742268667</v>
      </c>
      <c r="P194" s="15">
        <f t="shared" ca="1" si="43"/>
        <v>0.25024795910582132</v>
      </c>
      <c r="Q194" s="15">
        <v>0</v>
      </c>
      <c r="R194" s="15">
        <f t="shared" ca="1" si="34"/>
        <v>0.25024795910582132</v>
      </c>
      <c r="S194" s="15">
        <f t="shared" ca="1" si="45"/>
        <v>1.0069024525801538</v>
      </c>
      <c r="T194" s="15">
        <v>0</v>
      </c>
      <c r="U194" s="15">
        <f t="shared" ca="1" si="35"/>
        <v>1.0069024525801538</v>
      </c>
      <c r="V194" s="15">
        <f t="shared" ca="1" si="36"/>
        <v>1.0055695429922942</v>
      </c>
      <c r="X194" s="15">
        <f t="shared" si="37"/>
        <v>1.05</v>
      </c>
      <c r="Y194" s="15">
        <f t="shared" si="38"/>
        <v>0.95</v>
      </c>
      <c r="Z194" s="15">
        <f t="shared" ca="1" si="39"/>
        <v>1</v>
      </c>
      <c r="AC194" s="15">
        <f t="shared" ca="1" si="40"/>
        <v>3.1019809143013146E-5</v>
      </c>
      <c r="AD194" s="15">
        <f t="shared" ca="1" si="41"/>
        <v>5.5695429922941742E-3</v>
      </c>
      <c r="AE194" s="15">
        <f t="shared" ca="1" si="42"/>
        <v>0.84657053482871447</v>
      </c>
    </row>
    <row r="195" spans="12:31" x14ac:dyDescent="0.3">
      <c r="L195" s="15">
        <v>193</v>
      </c>
      <c r="M195" s="15">
        <f t="shared" ref="M195:M258" si="46">IF(L195&lt;$D$16,$D$12,IF(L195&lt;$E$16,$E$12,$F$13))</f>
        <v>1</v>
      </c>
      <c r="N195" s="15">
        <f t="shared" ref="N195:N258" ca="1" si="47">M195-V195</f>
        <v>-5.5695429922941742E-3</v>
      </c>
      <c r="O195" s="15">
        <f t="shared" ca="1" si="44"/>
        <v>0.25174671742268667</v>
      </c>
      <c r="P195" s="15">
        <f t="shared" ca="1" si="43"/>
        <v>0.25024795910582132</v>
      </c>
      <c r="Q195" s="15">
        <v>0</v>
      </c>
      <c r="R195" s="15">
        <f t="shared" ref="R195:R258" ca="1" si="48">P195+Q195</f>
        <v>0.25024795910582132</v>
      </c>
      <c r="S195" s="15">
        <f t="shared" ca="1" si="45"/>
        <v>1.0065938037339039</v>
      </c>
      <c r="T195" s="15">
        <v>0</v>
      </c>
      <c r="U195" s="15">
        <f t="shared" ref="U195:U258" ca="1" si="49">S195+T195</f>
        <v>1.0065938037339039</v>
      </c>
      <c r="V195" s="15">
        <f t="shared" ref="V195:V258" ca="1" si="50">INT((2^$J$12-1)*U195/100)/(2^$J$12-1)*100</f>
        <v>1.0055695429922942</v>
      </c>
      <c r="X195" s="15">
        <f t="shared" ref="X195:X258" si="51">M195 * 1.05</f>
        <v>1.05</v>
      </c>
      <c r="Y195" s="15">
        <f t="shared" ref="Y195:Y258" si="52">M195 * 0.95</f>
        <v>0.95</v>
      </c>
      <c r="Z195" s="15">
        <f t="shared" ref="Z195:Z258" ca="1" si="53">IF(AND(V195 &lt;= X195, V195 &gt;= Y195), 1, 0)</f>
        <v>1</v>
      </c>
      <c r="AC195" s="15">
        <f t="shared" ref="AC195:AC258" ca="1" si="54">N195^2</f>
        <v>3.1019809143013146E-5</v>
      </c>
      <c r="AD195" s="15">
        <f t="shared" ref="AD195:AD258" ca="1" si="55">ABS(N195)</f>
        <v>5.5695429922941742E-3</v>
      </c>
      <c r="AE195" s="15">
        <f t="shared" ref="AE195:AE258" ca="1" si="56">IF(M195&gt;0, ABS(N195)*(L195-$D$16),0)</f>
        <v>0.85214007782100865</v>
      </c>
    </row>
    <row r="196" spans="12:31" x14ac:dyDescent="0.3">
      <c r="L196" s="15">
        <v>194</v>
      </c>
      <c r="M196" s="15">
        <f t="shared" si="46"/>
        <v>1</v>
      </c>
      <c r="N196" s="15">
        <f t="shared" ca="1" si="47"/>
        <v>-5.5695429922941742E-3</v>
      </c>
      <c r="O196" s="15">
        <f t="shared" ca="1" si="44"/>
        <v>0.25174671742268667</v>
      </c>
      <c r="P196" s="15">
        <f t="shared" ca="1" si="43"/>
        <v>0.25024795910582132</v>
      </c>
      <c r="Q196" s="15">
        <v>0</v>
      </c>
      <c r="R196" s="15">
        <f t="shared" ca="1" si="48"/>
        <v>0.25024795910582132</v>
      </c>
      <c r="S196" s="15">
        <f t="shared" ca="1" si="45"/>
        <v>1.0062490076683934</v>
      </c>
      <c r="T196" s="15">
        <v>0</v>
      </c>
      <c r="U196" s="15">
        <f t="shared" ca="1" si="49"/>
        <v>1.0062490076683934</v>
      </c>
      <c r="V196" s="15">
        <f t="shared" ca="1" si="50"/>
        <v>1.0055695429922942</v>
      </c>
      <c r="X196" s="15">
        <f t="shared" si="51"/>
        <v>1.05</v>
      </c>
      <c r="Y196" s="15">
        <f t="shared" si="52"/>
        <v>0.95</v>
      </c>
      <c r="Z196" s="15">
        <f t="shared" ca="1" si="53"/>
        <v>1</v>
      </c>
      <c r="AC196" s="15">
        <f t="shared" ca="1" si="54"/>
        <v>3.1019809143013146E-5</v>
      </c>
      <c r="AD196" s="15">
        <f t="shared" ca="1" si="55"/>
        <v>5.5695429922941742E-3</v>
      </c>
      <c r="AE196" s="15">
        <f t="shared" ca="1" si="56"/>
        <v>0.85770962081330282</v>
      </c>
    </row>
    <row r="197" spans="12:31" x14ac:dyDescent="0.3">
      <c r="L197" s="15">
        <v>195</v>
      </c>
      <c r="M197" s="15">
        <f t="shared" si="46"/>
        <v>1</v>
      </c>
      <c r="N197" s="15">
        <f t="shared" ca="1" si="47"/>
        <v>-5.5695429922941742E-3</v>
      </c>
      <c r="O197" s="15">
        <f t="shared" ca="1" si="44"/>
        <v>0.25034738882652896</v>
      </c>
      <c r="P197" s="15">
        <f t="shared" ca="1" si="43"/>
        <v>0.25024795910582132</v>
      </c>
      <c r="Q197" s="15">
        <v>0</v>
      </c>
      <c r="R197" s="15">
        <f t="shared" ca="1" si="48"/>
        <v>0.25024795910582132</v>
      </c>
      <c r="S197" s="15">
        <f t="shared" ca="1" si="45"/>
        <v>1.005887311060345</v>
      </c>
      <c r="T197" s="15">
        <v>0</v>
      </c>
      <c r="U197" s="15">
        <f t="shared" ca="1" si="49"/>
        <v>1.005887311060345</v>
      </c>
      <c r="V197" s="15">
        <f t="shared" ca="1" si="50"/>
        <v>1.0055695429922942</v>
      </c>
      <c r="X197" s="15">
        <f t="shared" si="51"/>
        <v>1.05</v>
      </c>
      <c r="Y197" s="15">
        <f t="shared" si="52"/>
        <v>0.95</v>
      </c>
      <c r="Z197" s="15">
        <f t="shared" ca="1" si="53"/>
        <v>1</v>
      </c>
      <c r="AC197" s="15">
        <f t="shared" ca="1" si="54"/>
        <v>3.1019809143013146E-5</v>
      </c>
      <c r="AD197" s="15">
        <f t="shared" ca="1" si="55"/>
        <v>5.5695429922941742E-3</v>
      </c>
      <c r="AE197" s="15">
        <f t="shared" ca="1" si="56"/>
        <v>0.86327916380559699</v>
      </c>
    </row>
    <row r="198" spans="12:31" x14ac:dyDescent="0.3">
      <c r="L198" s="15">
        <v>196</v>
      </c>
      <c r="M198" s="15">
        <f t="shared" si="46"/>
        <v>1</v>
      </c>
      <c r="N198" s="15">
        <f t="shared" ca="1" si="47"/>
        <v>-4.0436408026245374E-3</v>
      </c>
      <c r="O198" s="15">
        <f t="shared" ca="1" si="44"/>
        <v>0.25034738882652896</v>
      </c>
      <c r="P198" s="15">
        <f t="shared" ca="1" si="43"/>
        <v>0.25024795910582132</v>
      </c>
      <c r="Q198" s="15">
        <v>0</v>
      </c>
      <c r="R198" s="15">
        <f t="shared" ca="1" si="48"/>
        <v>0.25024795910582132</v>
      </c>
      <c r="S198" s="15">
        <f t="shared" ca="1" si="45"/>
        <v>1.0055250049912021</v>
      </c>
      <c r="T198" s="15">
        <v>0</v>
      </c>
      <c r="U198" s="15">
        <f t="shared" ca="1" si="49"/>
        <v>1.0055250049912021</v>
      </c>
      <c r="V198" s="15">
        <f t="shared" ca="1" si="50"/>
        <v>1.0040436408026245</v>
      </c>
      <c r="X198" s="15">
        <f t="shared" si="51"/>
        <v>1.05</v>
      </c>
      <c r="Y198" s="15">
        <f t="shared" si="52"/>
        <v>0.95</v>
      </c>
      <c r="Z198" s="15">
        <f t="shared" ca="1" si="53"/>
        <v>1</v>
      </c>
      <c r="AC198" s="15">
        <f t="shared" ca="1" si="54"/>
        <v>1.6351030940650012E-5</v>
      </c>
      <c r="AD198" s="15">
        <f t="shared" ca="1" si="55"/>
        <v>4.0436408026245374E-3</v>
      </c>
      <c r="AE198" s="15">
        <f t="shared" ca="1" si="56"/>
        <v>0.63080796520942783</v>
      </c>
    </row>
    <row r="199" spans="12:31" x14ac:dyDescent="0.3">
      <c r="L199" s="15">
        <v>197</v>
      </c>
      <c r="M199" s="15">
        <f t="shared" si="46"/>
        <v>1</v>
      </c>
      <c r="N199" s="15">
        <f t="shared" ca="1" si="47"/>
        <v>-4.0436408026245374E-3</v>
      </c>
      <c r="O199" s="15">
        <f t="shared" ca="1" si="44"/>
        <v>0.25034738882652896</v>
      </c>
      <c r="P199" s="15">
        <f t="shared" ca="1" si="43"/>
        <v>0.25024795910582132</v>
      </c>
      <c r="Q199" s="15">
        <v>0</v>
      </c>
      <c r="R199" s="15">
        <f t="shared" ca="1" si="48"/>
        <v>0.25024795910582132</v>
      </c>
      <c r="S199" s="15">
        <f t="shared" ca="1" si="45"/>
        <v>1.0051636992372863</v>
      </c>
      <c r="T199" s="15">
        <v>0</v>
      </c>
      <c r="U199" s="15">
        <f t="shared" ca="1" si="49"/>
        <v>1.0051636992372863</v>
      </c>
      <c r="V199" s="15">
        <f t="shared" ca="1" si="50"/>
        <v>1.0040436408026245</v>
      </c>
      <c r="X199" s="15">
        <f t="shared" si="51"/>
        <v>1.05</v>
      </c>
      <c r="Y199" s="15">
        <f t="shared" si="52"/>
        <v>0.95</v>
      </c>
      <c r="Z199" s="15">
        <f t="shared" ca="1" si="53"/>
        <v>1</v>
      </c>
      <c r="AC199" s="15">
        <f t="shared" ca="1" si="54"/>
        <v>1.6351030940650012E-5</v>
      </c>
      <c r="AD199" s="15">
        <f t="shared" ca="1" si="55"/>
        <v>4.0436408026245374E-3</v>
      </c>
      <c r="AE199" s="15">
        <f t="shared" ca="1" si="56"/>
        <v>0.63485160601205237</v>
      </c>
    </row>
    <row r="200" spans="12:31" x14ac:dyDescent="0.3">
      <c r="L200" s="15">
        <v>198</v>
      </c>
      <c r="M200" s="15">
        <f t="shared" si="46"/>
        <v>1</v>
      </c>
      <c r="N200" s="15">
        <f t="shared" ca="1" si="47"/>
        <v>-4.0436408026245374E-3</v>
      </c>
      <c r="O200" s="15">
        <f t="shared" ca="1" si="44"/>
        <v>0.25189849904169176</v>
      </c>
      <c r="P200" s="15">
        <f t="shared" ca="1" si="43"/>
        <v>0.25177386129549095</v>
      </c>
      <c r="Q200" s="15">
        <v>0</v>
      </c>
      <c r="R200" s="15">
        <f t="shared" ca="1" si="48"/>
        <v>0.25177386129549095</v>
      </c>
      <c r="S200" s="15">
        <f t="shared" ca="1" si="45"/>
        <v>1.0047915950710322</v>
      </c>
      <c r="T200" s="15">
        <v>0</v>
      </c>
      <c r="U200" s="15">
        <f t="shared" ca="1" si="49"/>
        <v>1.0047915950710322</v>
      </c>
      <c r="V200" s="15">
        <f t="shared" ca="1" si="50"/>
        <v>1.0040436408026245</v>
      </c>
      <c r="X200" s="15">
        <f t="shared" si="51"/>
        <v>1.05</v>
      </c>
      <c r="Y200" s="15">
        <f t="shared" si="52"/>
        <v>0.95</v>
      </c>
      <c r="Z200" s="15">
        <f t="shared" ca="1" si="53"/>
        <v>1</v>
      </c>
      <c r="AC200" s="15">
        <f t="shared" ca="1" si="54"/>
        <v>1.6351030940650012E-5</v>
      </c>
      <c r="AD200" s="15">
        <f t="shared" ca="1" si="55"/>
        <v>4.0436408026245374E-3</v>
      </c>
      <c r="AE200" s="15">
        <f t="shared" ca="1" si="56"/>
        <v>0.63889524681467691</v>
      </c>
    </row>
    <row r="201" spans="12:31" x14ac:dyDescent="0.3">
      <c r="L201" s="15">
        <v>199</v>
      </c>
      <c r="M201" s="15">
        <f t="shared" si="46"/>
        <v>1</v>
      </c>
      <c r="N201" s="15">
        <f t="shared" ca="1" si="47"/>
        <v>-4.0436408026245374E-3</v>
      </c>
      <c r="O201" s="15">
        <f t="shared" ca="1" si="44"/>
        <v>0.25189849904169176</v>
      </c>
      <c r="P201" s="15">
        <f t="shared" ca="1" si="43"/>
        <v>0.25177386129549095</v>
      </c>
      <c r="Q201" s="15">
        <v>0</v>
      </c>
      <c r="R201" s="15">
        <f t="shared" ca="1" si="48"/>
        <v>0.25177386129549095</v>
      </c>
      <c r="S201" s="15">
        <f t="shared" ca="1" si="45"/>
        <v>1.0043990211018365</v>
      </c>
      <c r="T201" s="15">
        <v>0</v>
      </c>
      <c r="U201" s="15">
        <f t="shared" ca="1" si="49"/>
        <v>1.0043990211018365</v>
      </c>
      <c r="V201" s="15">
        <f t="shared" ca="1" si="50"/>
        <v>1.0040436408026245</v>
      </c>
      <c r="X201" s="15">
        <f t="shared" si="51"/>
        <v>1.05</v>
      </c>
      <c r="Y201" s="15">
        <f t="shared" si="52"/>
        <v>0.95</v>
      </c>
      <c r="Z201" s="15">
        <f t="shared" ca="1" si="53"/>
        <v>1</v>
      </c>
      <c r="AC201" s="15">
        <f t="shared" ca="1" si="54"/>
        <v>1.6351030940650012E-5</v>
      </c>
      <c r="AD201" s="15">
        <f t="shared" ca="1" si="55"/>
        <v>4.0436408026245374E-3</v>
      </c>
      <c r="AE201" s="15">
        <f t="shared" ca="1" si="56"/>
        <v>0.64293888761730145</v>
      </c>
    </row>
    <row r="202" spans="12:31" x14ac:dyDescent="0.3">
      <c r="L202" s="15">
        <v>200</v>
      </c>
      <c r="M202" s="15">
        <f t="shared" si="46"/>
        <v>1</v>
      </c>
      <c r="N202" s="15">
        <f t="shared" ca="1" si="47"/>
        <v>-2.5177386129549006E-3</v>
      </c>
      <c r="O202" s="15">
        <f t="shared" ca="1" si="44"/>
        <v>0.25189849904169176</v>
      </c>
      <c r="P202" s="15">
        <f t="shared" ca="1" si="43"/>
        <v>0.25177386129549095</v>
      </c>
      <c r="Q202" s="15">
        <v>0</v>
      </c>
      <c r="R202" s="15">
        <f t="shared" ca="1" si="48"/>
        <v>0.25177386129549095</v>
      </c>
      <c r="S202" s="15">
        <f t="shared" ca="1" si="45"/>
        <v>1.0039902361231214</v>
      </c>
      <c r="T202" s="15">
        <v>0</v>
      </c>
      <c r="U202" s="15">
        <f t="shared" ca="1" si="49"/>
        <v>1.0039902361231214</v>
      </c>
      <c r="V202" s="15">
        <f t="shared" ca="1" si="50"/>
        <v>1.0025177386129549</v>
      </c>
      <c r="X202" s="15">
        <f t="shared" si="51"/>
        <v>1.05</v>
      </c>
      <c r="Y202" s="15">
        <f t="shared" si="52"/>
        <v>0.95</v>
      </c>
      <c r="Z202" s="15">
        <f t="shared" ca="1" si="53"/>
        <v>1</v>
      </c>
      <c r="AC202" s="15">
        <f t="shared" ca="1" si="54"/>
        <v>6.3390077231640668E-6</v>
      </c>
      <c r="AD202" s="15">
        <f t="shared" ca="1" si="55"/>
        <v>2.5177386129549006E-3</v>
      </c>
      <c r="AE202" s="15">
        <f t="shared" ca="1" si="56"/>
        <v>0.4028381780727841</v>
      </c>
    </row>
    <row r="203" spans="12:31" x14ac:dyDescent="0.3">
      <c r="L203" s="15">
        <v>201</v>
      </c>
      <c r="M203" s="15">
        <f t="shared" si="46"/>
        <v>1</v>
      </c>
      <c r="N203" s="15">
        <f t="shared" ca="1" si="47"/>
        <v>-2.5177386129549006E-3</v>
      </c>
      <c r="O203" s="15">
        <f t="shared" ca="1" si="44"/>
        <v>0.25218442622488357</v>
      </c>
      <c r="P203" s="15">
        <f t="shared" ca="1" si="43"/>
        <v>0.25177386129549095</v>
      </c>
      <c r="Q203" s="15">
        <v>0</v>
      </c>
      <c r="R203" s="15">
        <f t="shared" ca="1" si="48"/>
        <v>0.25177386129549095</v>
      </c>
      <c r="S203" s="15">
        <f t="shared" ca="1" si="45"/>
        <v>1.0035822268337657</v>
      </c>
      <c r="T203" s="15">
        <v>0</v>
      </c>
      <c r="U203" s="15">
        <f t="shared" ca="1" si="49"/>
        <v>1.0035822268337657</v>
      </c>
      <c r="V203" s="15">
        <f t="shared" ca="1" si="50"/>
        <v>1.0025177386129549</v>
      </c>
      <c r="X203" s="15">
        <f t="shared" si="51"/>
        <v>1.05</v>
      </c>
      <c r="Y203" s="15">
        <f t="shared" si="52"/>
        <v>0.95</v>
      </c>
      <c r="Z203" s="15">
        <f t="shared" ca="1" si="53"/>
        <v>1</v>
      </c>
      <c r="AC203" s="15">
        <f t="shared" ca="1" si="54"/>
        <v>6.3390077231640668E-6</v>
      </c>
      <c r="AD203" s="15">
        <f t="shared" ca="1" si="55"/>
        <v>2.5177386129549006E-3</v>
      </c>
      <c r="AE203" s="15">
        <f t="shared" ca="1" si="56"/>
        <v>0.405355916685739</v>
      </c>
    </row>
    <row r="204" spans="12:31" x14ac:dyDescent="0.3">
      <c r="L204" s="15">
        <v>202</v>
      </c>
      <c r="M204" s="15">
        <f t="shared" si="46"/>
        <v>1</v>
      </c>
      <c r="N204" s="15">
        <f t="shared" ca="1" si="47"/>
        <v>-2.5177386129549006E-3</v>
      </c>
      <c r="O204" s="15">
        <f t="shared" ca="1" si="44"/>
        <v>0.25218442622488357</v>
      </c>
      <c r="P204" s="15">
        <f t="shared" ca="1" si="43"/>
        <v>0.25177386129549095</v>
      </c>
      <c r="Q204" s="15">
        <v>0</v>
      </c>
      <c r="R204" s="15">
        <f t="shared" ca="1" si="48"/>
        <v>0.25177386129549095</v>
      </c>
      <c r="S204" s="15">
        <f t="shared" ca="1" si="45"/>
        <v>1.0031892364467119</v>
      </c>
      <c r="T204" s="15">
        <v>0</v>
      </c>
      <c r="U204" s="15">
        <f t="shared" ca="1" si="49"/>
        <v>1.0031892364467119</v>
      </c>
      <c r="V204" s="15">
        <f t="shared" ca="1" si="50"/>
        <v>1.0025177386129549</v>
      </c>
      <c r="X204" s="15">
        <f t="shared" si="51"/>
        <v>1.05</v>
      </c>
      <c r="Y204" s="15">
        <f t="shared" si="52"/>
        <v>0.95</v>
      </c>
      <c r="Z204" s="15">
        <f t="shared" ca="1" si="53"/>
        <v>1</v>
      </c>
      <c r="AC204" s="15">
        <f t="shared" ca="1" si="54"/>
        <v>6.3390077231640668E-6</v>
      </c>
      <c r="AD204" s="15">
        <f t="shared" ca="1" si="55"/>
        <v>2.5177386129549006E-3</v>
      </c>
      <c r="AE204" s="15">
        <f t="shared" ca="1" si="56"/>
        <v>0.4078736552986939</v>
      </c>
    </row>
    <row r="205" spans="12:31" x14ac:dyDescent="0.3">
      <c r="L205" s="15">
        <v>203</v>
      </c>
      <c r="M205" s="15">
        <f t="shared" si="46"/>
        <v>1</v>
      </c>
      <c r="N205" s="15">
        <f t="shared" ca="1" si="47"/>
        <v>-2.5177386129549006E-3</v>
      </c>
      <c r="O205" s="15">
        <f t="shared" ca="1" si="44"/>
        <v>0.25218442622488357</v>
      </c>
      <c r="P205" s="15">
        <f t="shared" ref="P205:P268" ca="1" si="57">INT((2^$J$12-1)*O205/100)/(2^$J$12-1)*100</f>
        <v>0.25177386129549095</v>
      </c>
      <c r="Q205" s="15">
        <v>0</v>
      </c>
      <c r="R205" s="15">
        <f t="shared" ca="1" si="48"/>
        <v>0.25177386129549095</v>
      </c>
      <c r="S205" s="15">
        <f t="shared" ca="1" si="45"/>
        <v>1.0028110207164629</v>
      </c>
      <c r="T205" s="15">
        <v>0</v>
      </c>
      <c r="U205" s="15">
        <f t="shared" ca="1" si="49"/>
        <v>1.0028110207164629</v>
      </c>
      <c r="V205" s="15">
        <f t="shared" ca="1" si="50"/>
        <v>1.0025177386129549</v>
      </c>
      <c r="X205" s="15">
        <f t="shared" si="51"/>
        <v>1.05</v>
      </c>
      <c r="Y205" s="15">
        <f t="shared" si="52"/>
        <v>0.95</v>
      </c>
      <c r="Z205" s="15">
        <f t="shared" ca="1" si="53"/>
        <v>1</v>
      </c>
      <c r="AC205" s="15">
        <f t="shared" ca="1" si="54"/>
        <v>6.3390077231640668E-6</v>
      </c>
      <c r="AD205" s="15">
        <f t="shared" ca="1" si="55"/>
        <v>2.5177386129549006E-3</v>
      </c>
      <c r="AE205" s="15">
        <f t="shared" ca="1" si="56"/>
        <v>0.41039139391164881</v>
      </c>
    </row>
    <row r="206" spans="12:31" x14ac:dyDescent="0.3">
      <c r="L206" s="15">
        <v>204</v>
      </c>
      <c r="M206" s="15">
        <f t="shared" si="46"/>
        <v>1</v>
      </c>
      <c r="N206" s="15">
        <f t="shared" ca="1" si="47"/>
        <v>-9.9183642328526389E-4</v>
      </c>
      <c r="O206" s="15">
        <f t="shared" ca="1" si="44"/>
        <v>0.25249920191650266</v>
      </c>
      <c r="P206" s="15">
        <f t="shared" ca="1" si="57"/>
        <v>0.25177386129549095</v>
      </c>
      <c r="Q206" s="15">
        <v>0</v>
      </c>
      <c r="R206" s="15">
        <f t="shared" ca="1" si="48"/>
        <v>0.25177386129549095</v>
      </c>
      <c r="S206" s="15">
        <f t="shared" ca="1" si="45"/>
        <v>1.0024605038441681</v>
      </c>
      <c r="T206" s="15">
        <v>0</v>
      </c>
      <c r="U206" s="15">
        <f t="shared" ca="1" si="49"/>
        <v>1.0024605038441681</v>
      </c>
      <c r="V206" s="15">
        <f t="shared" ca="1" si="50"/>
        <v>1.0009918364232853</v>
      </c>
      <c r="X206" s="15">
        <f t="shared" si="51"/>
        <v>1.05</v>
      </c>
      <c r="Y206" s="15">
        <f t="shared" si="52"/>
        <v>0.95</v>
      </c>
      <c r="Z206" s="15">
        <f t="shared" ca="1" si="53"/>
        <v>1</v>
      </c>
      <c r="AC206" s="15">
        <f t="shared" ca="1" si="54"/>
        <v>9.8373949055530516E-7</v>
      </c>
      <c r="AD206" s="15">
        <f t="shared" ca="1" si="55"/>
        <v>9.9183642328526389E-4</v>
      </c>
      <c r="AE206" s="15">
        <f t="shared" ca="1" si="56"/>
        <v>0.16266117341878328</v>
      </c>
    </row>
    <row r="207" spans="12:31" x14ac:dyDescent="0.3">
      <c r="L207" s="15">
        <v>205</v>
      </c>
      <c r="M207" s="15">
        <f t="shared" si="46"/>
        <v>1</v>
      </c>
      <c r="N207" s="15">
        <f t="shared" ca="1" si="47"/>
        <v>-9.9183642328526389E-4</v>
      </c>
      <c r="O207" s="15">
        <f t="shared" ca="1" si="44"/>
        <v>0.25249920191650266</v>
      </c>
      <c r="P207" s="15">
        <f t="shared" ca="1" si="57"/>
        <v>0.25177386129549095</v>
      </c>
      <c r="Q207" s="15">
        <v>0</v>
      </c>
      <c r="R207" s="15">
        <f t="shared" ca="1" si="48"/>
        <v>0.25177386129549095</v>
      </c>
      <c r="S207" s="15">
        <f t="shared" ca="1" si="45"/>
        <v>1.0021482683484046</v>
      </c>
      <c r="T207" s="15">
        <v>0</v>
      </c>
      <c r="U207" s="15">
        <f t="shared" ca="1" si="49"/>
        <v>1.0021482683484046</v>
      </c>
      <c r="V207" s="15">
        <f t="shared" ca="1" si="50"/>
        <v>1.0009918364232853</v>
      </c>
      <c r="X207" s="15">
        <f t="shared" si="51"/>
        <v>1.05</v>
      </c>
      <c r="Y207" s="15">
        <f t="shared" si="52"/>
        <v>0.95</v>
      </c>
      <c r="Z207" s="15">
        <f t="shared" ca="1" si="53"/>
        <v>1</v>
      </c>
      <c r="AC207" s="15">
        <f t="shared" ca="1" si="54"/>
        <v>9.8373949055530516E-7</v>
      </c>
      <c r="AD207" s="15">
        <f t="shared" ca="1" si="55"/>
        <v>9.9183642328526389E-4</v>
      </c>
      <c r="AE207" s="15">
        <f t="shared" ca="1" si="56"/>
        <v>0.16365300984206854</v>
      </c>
    </row>
    <row r="208" spans="12:31" x14ac:dyDescent="0.3">
      <c r="L208" s="15">
        <v>206</v>
      </c>
      <c r="M208" s="15">
        <f t="shared" si="46"/>
        <v>1</v>
      </c>
      <c r="N208" s="15">
        <f t="shared" ca="1" si="47"/>
        <v>-9.9183642328526389E-4</v>
      </c>
      <c r="O208" s="15">
        <f t="shared" ca="1" si="44"/>
        <v>0.25249920191650266</v>
      </c>
      <c r="P208" s="15">
        <f t="shared" ca="1" si="57"/>
        <v>0.25177386129549095</v>
      </c>
      <c r="Q208" s="15">
        <v>0</v>
      </c>
      <c r="R208" s="15">
        <f t="shared" ca="1" si="48"/>
        <v>0.25177386129549095</v>
      </c>
      <c r="S208" s="15">
        <f t="shared" ca="1" si="45"/>
        <v>1.0018707755726075</v>
      </c>
      <c r="T208" s="15">
        <v>0</v>
      </c>
      <c r="U208" s="15">
        <f t="shared" ca="1" si="49"/>
        <v>1.0018707755726075</v>
      </c>
      <c r="V208" s="15">
        <f t="shared" ca="1" si="50"/>
        <v>1.0009918364232853</v>
      </c>
      <c r="X208" s="15">
        <f t="shared" si="51"/>
        <v>1.05</v>
      </c>
      <c r="Y208" s="15">
        <f t="shared" si="52"/>
        <v>0.95</v>
      </c>
      <c r="Z208" s="15">
        <f t="shared" ca="1" si="53"/>
        <v>1</v>
      </c>
      <c r="AC208" s="15">
        <f t="shared" ca="1" si="54"/>
        <v>9.8373949055530516E-7</v>
      </c>
      <c r="AD208" s="15">
        <f t="shared" ca="1" si="55"/>
        <v>9.9183642328526389E-4</v>
      </c>
      <c r="AE208" s="15">
        <f t="shared" ca="1" si="56"/>
        <v>0.16464484626535381</v>
      </c>
    </row>
    <row r="209" spans="12:31" x14ac:dyDescent="0.3">
      <c r="L209" s="15">
        <v>207</v>
      </c>
      <c r="M209" s="15">
        <f t="shared" si="46"/>
        <v>1</v>
      </c>
      <c r="N209" s="15">
        <f t="shared" ca="1" si="47"/>
        <v>-9.9183642328526389E-4</v>
      </c>
      <c r="O209" s="15">
        <f t="shared" ca="1" si="44"/>
        <v>0.2511864188456267</v>
      </c>
      <c r="P209" s="15">
        <f t="shared" ca="1" si="57"/>
        <v>0.25024795910582132</v>
      </c>
      <c r="Q209" s="15">
        <v>0</v>
      </c>
      <c r="R209" s="15">
        <f t="shared" ca="1" si="48"/>
        <v>0.25024795910582132</v>
      </c>
      <c r="S209" s="15">
        <f t="shared" ca="1" si="45"/>
        <v>1.0016247890955279</v>
      </c>
      <c r="T209" s="15">
        <v>0</v>
      </c>
      <c r="U209" s="15">
        <f t="shared" ca="1" si="49"/>
        <v>1.0016247890955279</v>
      </c>
      <c r="V209" s="15">
        <f t="shared" ca="1" si="50"/>
        <v>1.0009918364232853</v>
      </c>
      <c r="X209" s="15">
        <f t="shared" si="51"/>
        <v>1.05</v>
      </c>
      <c r="Y209" s="15">
        <f t="shared" si="52"/>
        <v>0.95</v>
      </c>
      <c r="Z209" s="15">
        <f t="shared" ca="1" si="53"/>
        <v>1</v>
      </c>
      <c r="AC209" s="15">
        <f t="shared" ca="1" si="54"/>
        <v>9.8373949055530516E-7</v>
      </c>
      <c r="AD209" s="15">
        <f t="shared" ca="1" si="55"/>
        <v>9.9183642328526389E-4</v>
      </c>
      <c r="AE209" s="15">
        <f t="shared" ca="1" si="56"/>
        <v>0.16563668268863907</v>
      </c>
    </row>
    <row r="210" spans="12:31" x14ac:dyDescent="0.3">
      <c r="L210" s="15">
        <v>208</v>
      </c>
      <c r="M210" s="15">
        <f t="shared" si="46"/>
        <v>1</v>
      </c>
      <c r="N210" s="15">
        <f t="shared" ca="1" si="47"/>
        <v>-9.9183642328526389E-4</v>
      </c>
      <c r="O210" s="15">
        <f t="shared" ca="1" si="44"/>
        <v>0.2511864188456267</v>
      </c>
      <c r="P210" s="15">
        <f t="shared" ca="1" si="57"/>
        <v>0.25024795910582132</v>
      </c>
      <c r="Q210" s="15">
        <v>0</v>
      </c>
      <c r="R210" s="15">
        <f t="shared" ca="1" si="48"/>
        <v>0.25024795910582132</v>
      </c>
      <c r="S210" s="15">
        <f t="shared" ca="1" si="45"/>
        <v>1.0014073500554423</v>
      </c>
      <c r="T210" s="15">
        <v>0</v>
      </c>
      <c r="U210" s="15">
        <f t="shared" ca="1" si="49"/>
        <v>1.0014073500554423</v>
      </c>
      <c r="V210" s="15">
        <f t="shared" ca="1" si="50"/>
        <v>1.0009918364232853</v>
      </c>
      <c r="X210" s="15">
        <f t="shared" si="51"/>
        <v>1.05</v>
      </c>
      <c r="Y210" s="15">
        <f t="shared" si="52"/>
        <v>0.95</v>
      </c>
      <c r="Z210" s="15">
        <f t="shared" ca="1" si="53"/>
        <v>1</v>
      </c>
      <c r="AC210" s="15">
        <f t="shared" ca="1" si="54"/>
        <v>9.8373949055530516E-7</v>
      </c>
      <c r="AD210" s="15">
        <f t="shared" ca="1" si="55"/>
        <v>9.9183642328526389E-4</v>
      </c>
      <c r="AE210" s="15">
        <f t="shared" ca="1" si="56"/>
        <v>0.16662851911192433</v>
      </c>
    </row>
    <row r="211" spans="12:31" x14ac:dyDescent="0.3">
      <c r="L211" s="15">
        <v>209</v>
      </c>
      <c r="M211" s="15">
        <f t="shared" si="46"/>
        <v>1</v>
      </c>
      <c r="N211" s="15">
        <f t="shared" ca="1" si="47"/>
        <v>-9.9183642328526389E-4</v>
      </c>
      <c r="O211" s="15">
        <f t="shared" ca="1" si="44"/>
        <v>0.2511864188456267</v>
      </c>
      <c r="P211" s="15">
        <f t="shared" ca="1" si="57"/>
        <v>0.25024795910582132</v>
      </c>
      <c r="Q211" s="15">
        <v>0</v>
      </c>
      <c r="R211" s="15">
        <f t="shared" ca="1" si="48"/>
        <v>0.25024795910582132</v>
      </c>
      <c r="S211" s="15">
        <f t="shared" ca="1" si="45"/>
        <v>1.0012157544326443</v>
      </c>
      <c r="T211" s="15">
        <v>0</v>
      </c>
      <c r="U211" s="15">
        <f t="shared" ca="1" si="49"/>
        <v>1.0012157544326443</v>
      </c>
      <c r="V211" s="15">
        <f t="shared" ca="1" si="50"/>
        <v>1.0009918364232853</v>
      </c>
      <c r="X211" s="15">
        <f t="shared" si="51"/>
        <v>1.05</v>
      </c>
      <c r="Y211" s="15">
        <f t="shared" si="52"/>
        <v>0.95</v>
      </c>
      <c r="Z211" s="15">
        <f t="shared" ca="1" si="53"/>
        <v>1</v>
      </c>
      <c r="AC211" s="15">
        <f t="shared" ca="1" si="54"/>
        <v>9.8373949055530516E-7</v>
      </c>
      <c r="AD211" s="15">
        <f t="shared" ca="1" si="55"/>
        <v>9.9183642328526389E-4</v>
      </c>
      <c r="AE211" s="15">
        <f t="shared" ca="1" si="56"/>
        <v>0.1676203555352096</v>
      </c>
    </row>
    <row r="212" spans="12:31" x14ac:dyDescent="0.3">
      <c r="L212" s="15">
        <v>210</v>
      </c>
      <c r="M212" s="15">
        <f t="shared" si="46"/>
        <v>1</v>
      </c>
      <c r="N212" s="15">
        <f t="shared" ca="1" si="47"/>
        <v>-9.9183642328526389E-4</v>
      </c>
      <c r="O212" s="15">
        <f t="shared" ca="1" si="44"/>
        <v>0.251167667315149</v>
      </c>
      <c r="P212" s="15">
        <f t="shared" ca="1" si="57"/>
        <v>0.25024795910582132</v>
      </c>
      <c r="Q212" s="15">
        <v>0</v>
      </c>
      <c r="R212" s="15">
        <f t="shared" ca="1" si="48"/>
        <v>0.25024795910582132</v>
      </c>
      <c r="S212" s="15">
        <f t="shared" ca="1" si="45"/>
        <v>1.001034332203619</v>
      </c>
      <c r="T212" s="15">
        <v>0</v>
      </c>
      <c r="U212" s="15">
        <f t="shared" ca="1" si="49"/>
        <v>1.001034332203619</v>
      </c>
      <c r="V212" s="15">
        <f t="shared" ca="1" si="50"/>
        <v>1.0009918364232853</v>
      </c>
      <c r="X212" s="15">
        <f t="shared" si="51"/>
        <v>1.05</v>
      </c>
      <c r="Y212" s="15">
        <f t="shared" si="52"/>
        <v>0.95</v>
      </c>
      <c r="Z212" s="15">
        <f t="shared" ca="1" si="53"/>
        <v>1</v>
      </c>
      <c r="AC212" s="15">
        <f t="shared" ca="1" si="54"/>
        <v>9.8373949055530516E-7</v>
      </c>
      <c r="AD212" s="15">
        <f t="shared" ca="1" si="55"/>
        <v>9.9183642328526389E-4</v>
      </c>
      <c r="AE212" s="15">
        <f t="shared" ca="1" si="56"/>
        <v>0.16861219195849486</v>
      </c>
    </row>
    <row r="213" spans="12:31" x14ac:dyDescent="0.3">
      <c r="L213" s="15">
        <v>211</v>
      </c>
      <c r="M213" s="15">
        <f t="shared" si="46"/>
        <v>1</v>
      </c>
      <c r="N213" s="15">
        <f t="shared" ca="1" si="47"/>
        <v>5.3406576638448389E-4</v>
      </c>
      <c r="O213" s="15">
        <f t="shared" ca="1" si="44"/>
        <v>0.251167667315149</v>
      </c>
      <c r="P213" s="15">
        <f t="shared" ca="1" si="57"/>
        <v>0.25024795910582132</v>
      </c>
      <c r="Q213" s="15">
        <v>0</v>
      </c>
      <c r="R213" s="15">
        <f t="shared" ca="1" si="48"/>
        <v>0.25024795910582132</v>
      </c>
      <c r="S213" s="15">
        <f t="shared" ca="1" si="45"/>
        <v>1.000849943386704</v>
      </c>
      <c r="T213" s="15">
        <v>0</v>
      </c>
      <c r="U213" s="15">
        <f t="shared" ca="1" si="49"/>
        <v>1.000849943386704</v>
      </c>
      <c r="V213" s="15">
        <f t="shared" ca="1" si="50"/>
        <v>0.99946593423361552</v>
      </c>
      <c r="X213" s="15">
        <f t="shared" si="51"/>
        <v>1.05</v>
      </c>
      <c r="Y213" s="15">
        <f t="shared" si="52"/>
        <v>0.95</v>
      </c>
      <c r="Z213" s="15">
        <f t="shared" ca="1" si="53"/>
        <v>1</v>
      </c>
      <c r="AC213" s="15">
        <f t="shared" ca="1" si="54"/>
        <v>2.852262428238461E-7</v>
      </c>
      <c r="AD213" s="15">
        <f t="shared" ca="1" si="55"/>
        <v>5.3406576638448389E-4</v>
      </c>
      <c r="AE213" s="15">
        <f t="shared" ca="1" si="56"/>
        <v>9.1325246051746745E-2</v>
      </c>
    </row>
    <row r="214" spans="12:31" x14ac:dyDescent="0.3">
      <c r="L214" s="15">
        <v>212</v>
      </c>
      <c r="M214" s="15">
        <f t="shared" si="46"/>
        <v>1</v>
      </c>
      <c r="N214" s="15">
        <f t="shared" ca="1" si="47"/>
        <v>5.3406576638448389E-4</v>
      </c>
      <c r="O214" s="15">
        <f t="shared" ca="1" si="44"/>
        <v>0.251167667315149</v>
      </c>
      <c r="P214" s="15">
        <f t="shared" ca="1" si="57"/>
        <v>0.25024795910582132</v>
      </c>
      <c r="Q214" s="15">
        <v>0</v>
      </c>
      <c r="R214" s="15">
        <f t="shared" ca="1" si="48"/>
        <v>0.25024795910582132</v>
      </c>
      <c r="S214" s="15">
        <f t="shared" ca="1" si="45"/>
        <v>1.0006637444421274</v>
      </c>
      <c r="T214" s="15">
        <v>0</v>
      </c>
      <c r="U214" s="15">
        <f t="shared" ca="1" si="49"/>
        <v>1.0006637444421274</v>
      </c>
      <c r="V214" s="15">
        <f t="shared" ca="1" si="50"/>
        <v>0.99946593423361552</v>
      </c>
      <c r="X214" s="15">
        <f t="shared" si="51"/>
        <v>1.05</v>
      </c>
      <c r="Y214" s="15">
        <f t="shared" si="52"/>
        <v>0.95</v>
      </c>
      <c r="Z214" s="15">
        <f t="shared" ca="1" si="53"/>
        <v>1</v>
      </c>
      <c r="AC214" s="15">
        <f t="shared" ca="1" si="54"/>
        <v>2.852262428238461E-7</v>
      </c>
      <c r="AD214" s="15">
        <f t="shared" ca="1" si="55"/>
        <v>5.3406576638448389E-4</v>
      </c>
      <c r="AE214" s="15">
        <f t="shared" ca="1" si="56"/>
        <v>9.1859311818131228E-2</v>
      </c>
    </row>
    <row r="215" spans="12:31" x14ac:dyDescent="0.3">
      <c r="L215" s="15">
        <v>213</v>
      </c>
      <c r="M215" s="15">
        <f t="shared" si="46"/>
        <v>1</v>
      </c>
      <c r="N215" s="15">
        <f t="shared" ca="1" si="47"/>
        <v>5.3406576638448389E-4</v>
      </c>
      <c r="O215" s="15">
        <f t="shared" ca="1" si="44"/>
        <v>0.25280532305559367</v>
      </c>
      <c r="P215" s="15">
        <f t="shared" ca="1" si="57"/>
        <v>0.25177386129549095</v>
      </c>
      <c r="Q215" s="15">
        <v>0</v>
      </c>
      <c r="R215" s="15">
        <f t="shared" ca="1" si="48"/>
        <v>0.25177386129549095</v>
      </c>
      <c r="S215" s="15">
        <f t="shared" ca="1" si="45"/>
        <v>1.0004899526237319</v>
      </c>
      <c r="T215" s="15">
        <v>0</v>
      </c>
      <c r="U215" s="15">
        <f t="shared" ca="1" si="49"/>
        <v>1.0004899526237319</v>
      </c>
      <c r="V215" s="15">
        <f t="shared" ca="1" si="50"/>
        <v>0.99946593423361552</v>
      </c>
      <c r="X215" s="15">
        <f t="shared" si="51"/>
        <v>1.05</v>
      </c>
      <c r="Y215" s="15">
        <f t="shared" si="52"/>
        <v>0.95</v>
      </c>
      <c r="Z215" s="15">
        <f t="shared" ca="1" si="53"/>
        <v>1</v>
      </c>
      <c r="AC215" s="15">
        <f t="shared" ca="1" si="54"/>
        <v>2.852262428238461E-7</v>
      </c>
      <c r="AD215" s="15">
        <f t="shared" ca="1" si="55"/>
        <v>5.3406576638448389E-4</v>
      </c>
      <c r="AE215" s="15">
        <f t="shared" ca="1" si="56"/>
        <v>9.2393377584515712E-2</v>
      </c>
    </row>
    <row r="216" spans="12:31" x14ac:dyDescent="0.3">
      <c r="L216" s="15">
        <v>214</v>
      </c>
      <c r="M216" s="15">
        <f t="shared" si="46"/>
        <v>1</v>
      </c>
      <c r="N216" s="15">
        <f t="shared" ca="1" si="47"/>
        <v>5.3406576638448389E-4</v>
      </c>
      <c r="O216" s="15">
        <f t="shared" ca="1" si="44"/>
        <v>0.25280532305559367</v>
      </c>
      <c r="P216" s="15">
        <f t="shared" ca="1" si="57"/>
        <v>0.25177386129549095</v>
      </c>
      <c r="Q216" s="15">
        <v>0</v>
      </c>
      <c r="R216" s="15">
        <f t="shared" ca="1" si="48"/>
        <v>0.25177386129549095</v>
      </c>
      <c r="S216" s="15">
        <f t="shared" ca="1" si="45"/>
        <v>1.0003403440457095</v>
      </c>
      <c r="T216" s="15">
        <v>0</v>
      </c>
      <c r="U216" s="15">
        <f t="shared" ca="1" si="49"/>
        <v>1.0003403440457095</v>
      </c>
      <c r="V216" s="15">
        <f t="shared" ca="1" si="50"/>
        <v>0.99946593423361552</v>
      </c>
      <c r="X216" s="15">
        <f t="shared" si="51"/>
        <v>1.05</v>
      </c>
      <c r="Y216" s="15">
        <f t="shared" si="52"/>
        <v>0.95</v>
      </c>
      <c r="Z216" s="15">
        <f t="shared" ca="1" si="53"/>
        <v>1</v>
      </c>
      <c r="AC216" s="15">
        <f t="shared" ca="1" si="54"/>
        <v>2.852262428238461E-7</v>
      </c>
      <c r="AD216" s="15">
        <f t="shared" ca="1" si="55"/>
        <v>5.3406576638448389E-4</v>
      </c>
      <c r="AE216" s="15">
        <f t="shared" ca="1" si="56"/>
        <v>9.2927443350900196E-2</v>
      </c>
    </row>
    <row r="217" spans="12:31" x14ac:dyDescent="0.3">
      <c r="L217" s="15">
        <v>215</v>
      </c>
      <c r="M217" s="15">
        <f t="shared" si="46"/>
        <v>1</v>
      </c>
      <c r="N217" s="15">
        <f t="shared" ca="1" si="47"/>
        <v>5.3406576638448389E-4</v>
      </c>
      <c r="O217" s="15">
        <f t="shared" ca="1" si="44"/>
        <v>0.25280532305559367</v>
      </c>
      <c r="P217" s="15">
        <f t="shared" ca="1" si="57"/>
        <v>0.25177386129549095</v>
      </c>
      <c r="Q217" s="15">
        <v>0</v>
      </c>
      <c r="R217" s="15">
        <f t="shared" ca="1" si="48"/>
        <v>0.25177386129549095</v>
      </c>
      <c r="S217" s="15">
        <f t="shared" ca="1" si="45"/>
        <v>1.0002124817662879</v>
      </c>
      <c r="T217" s="15">
        <v>0</v>
      </c>
      <c r="U217" s="15">
        <f t="shared" ca="1" si="49"/>
        <v>1.0002124817662879</v>
      </c>
      <c r="V217" s="15">
        <f t="shared" ca="1" si="50"/>
        <v>0.99946593423361552</v>
      </c>
      <c r="X217" s="15">
        <f t="shared" si="51"/>
        <v>1.05</v>
      </c>
      <c r="Y217" s="15">
        <f t="shared" si="52"/>
        <v>0.95</v>
      </c>
      <c r="Z217" s="15">
        <f t="shared" ca="1" si="53"/>
        <v>1</v>
      </c>
      <c r="AC217" s="15">
        <f t="shared" ca="1" si="54"/>
        <v>2.852262428238461E-7</v>
      </c>
      <c r="AD217" s="15">
        <f t="shared" ca="1" si="55"/>
        <v>5.3406576638448389E-4</v>
      </c>
      <c r="AE217" s="15">
        <f t="shared" ca="1" si="56"/>
        <v>9.346150911728468E-2</v>
      </c>
    </row>
    <row r="218" spans="12:31" x14ac:dyDescent="0.3">
      <c r="L218" s="15">
        <v>216</v>
      </c>
      <c r="M218" s="15">
        <f t="shared" si="46"/>
        <v>1</v>
      </c>
      <c r="N218" s="15">
        <f t="shared" ca="1" si="47"/>
        <v>5.3406576638448389E-4</v>
      </c>
      <c r="O218" s="15">
        <f t="shared" ca="1" si="44"/>
        <v>0.25152138849314487</v>
      </c>
      <c r="P218" s="15">
        <f t="shared" ca="1" si="57"/>
        <v>0.25024795910582132</v>
      </c>
      <c r="Q218" s="15">
        <v>0</v>
      </c>
      <c r="R218" s="15">
        <f t="shared" ca="1" si="48"/>
        <v>0.25024795910582132</v>
      </c>
      <c r="S218" s="15">
        <f t="shared" ca="1" si="45"/>
        <v>1.000104146201362</v>
      </c>
      <c r="T218" s="15">
        <v>0</v>
      </c>
      <c r="U218" s="15">
        <f t="shared" ca="1" si="49"/>
        <v>1.000104146201362</v>
      </c>
      <c r="V218" s="15">
        <f t="shared" ca="1" si="50"/>
        <v>0.99946593423361552</v>
      </c>
      <c r="X218" s="15">
        <f t="shared" si="51"/>
        <v>1.05</v>
      </c>
      <c r="Y218" s="15">
        <f t="shared" si="52"/>
        <v>0.95</v>
      </c>
      <c r="Z218" s="15">
        <f t="shared" ca="1" si="53"/>
        <v>1</v>
      </c>
      <c r="AC218" s="15">
        <f t="shared" ca="1" si="54"/>
        <v>2.852262428238461E-7</v>
      </c>
      <c r="AD218" s="15">
        <f t="shared" ca="1" si="55"/>
        <v>5.3406576638448389E-4</v>
      </c>
      <c r="AE218" s="15">
        <f t="shared" ca="1" si="56"/>
        <v>9.3995574883669164E-2</v>
      </c>
    </row>
    <row r="219" spans="12:31" x14ac:dyDescent="0.3">
      <c r="L219" s="15">
        <v>217</v>
      </c>
      <c r="M219" s="15">
        <f t="shared" si="46"/>
        <v>1</v>
      </c>
      <c r="N219" s="15">
        <f t="shared" ca="1" si="47"/>
        <v>5.3406576638448389E-4</v>
      </c>
      <c r="O219" s="15">
        <f t="shared" ca="1" si="44"/>
        <v>0.25152138849314487</v>
      </c>
      <c r="P219" s="15">
        <f t="shared" ca="1" si="57"/>
        <v>0.25024795910582132</v>
      </c>
      <c r="Q219" s="15">
        <v>0</v>
      </c>
      <c r="R219" s="15">
        <f t="shared" ca="1" si="48"/>
        <v>0.25024795910582132</v>
      </c>
      <c r="S219" s="15">
        <f t="shared" ca="1" si="45"/>
        <v>1.0000133169219223</v>
      </c>
      <c r="T219" s="15">
        <v>0</v>
      </c>
      <c r="U219" s="15">
        <f t="shared" ca="1" si="49"/>
        <v>1.0000133169219223</v>
      </c>
      <c r="V219" s="15">
        <f t="shared" ca="1" si="50"/>
        <v>0.99946593423361552</v>
      </c>
      <c r="X219" s="15">
        <f t="shared" si="51"/>
        <v>1.05</v>
      </c>
      <c r="Y219" s="15">
        <f t="shared" si="52"/>
        <v>0.95</v>
      </c>
      <c r="Z219" s="15">
        <f t="shared" ca="1" si="53"/>
        <v>1</v>
      </c>
      <c r="AC219" s="15">
        <f t="shared" ca="1" si="54"/>
        <v>2.852262428238461E-7</v>
      </c>
      <c r="AD219" s="15">
        <f t="shared" ca="1" si="55"/>
        <v>5.3406576638448389E-4</v>
      </c>
      <c r="AE219" s="15">
        <f t="shared" ca="1" si="56"/>
        <v>9.4529640650053648E-2</v>
      </c>
    </row>
    <row r="220" spans="12:31" x14ac:dyDescent="0.3">
      <c r="L220" s="15">
        <v>218</v>
      </c>
      <c r="M220" s="15">
        <f t="shared" si="46"/>
        <v>1</v>
      </c>
      <c r="N220" s="15">
        <f t="shared" ca="1" si="47"/>
        <v>5.3406576638448389E-4</v>
      </c>
      <c r="O220" s="15">
        <f t="shared" ca="1" si="44"/>
        <v>0.25152138849314487</v>
      </c>
      <c r="P220" s="15">
        <f t="shared" ca="1" si="57"/>
        <v>0.25024795910582132</v>
      </c>
      <c r="Q220" s="15">
        <v>0</v>
      </c>
      <c r="R220" s="15">
        <f t="shared" ca="1" si="48"/>
        <v>0.25024795910582132</v>
      </c>
      <c r="S220" s="15">
        <f t="shared" ca="1" si="45"/>
        <v>0.99993815591969826</v>
      </c>
      <c r="T220" s="15">
        <v>0</v>
      </c>
      <c r="U220" s="15">
        <f t="shared" ca="1" si="49"/>
        <v>0.99993815591969826</v>
      </c>
      <c r="V220" s="15">
        <f t="shared" ca="1" si="50"/>
        <v>0.99946593423361552</v>
      </c>
      <c r="X220" s="15">
        <f t="shared" si="51"/>
        <v>1.05</v>
      </c>
      <c r="Y220" s="15">
        <f t="shared" si="52"/>
        <v>0.95</v>
      </c>
      <c r="Z220" s="15">
        <f t="shared" ca="1" si="53"/>
        <v>1</v>
      </c>
      <c r="AC220" s="15">
        <f t="shared" ca="1" si="54"/>
        <v>2.852262428238461E-7</v>
      </c>
      <c r="AD220" s="15">
        <f t="shared" ca="1" si="55"/>
        <v>5.3406576638448389E-4</v>
      </c>
      <c r="AE220" s="15">
        <f t="shared" ca="1" si="56"/>
        <v>9.5063706416438132E-2</v>
      </c>
    </row>
    <row r="221" spans="12:31" x14ac:dyDescent="0.3">
      <c r="L221" s="15">
        <v>219</v>
      </c>
      <c r="M221" s="15">
        <f t="shared" si="46"/>
        <v>1</v>
      </c>
      <c r="N221" s="15">
        <f t="shared" ca="1" si="47"/>
        <v>5.3406576638448389E-4</v>
      </c>
      <c r="O221" s="15">
        <f t="shared" ca="1" si="44"/>
        <v>0.25153148547109438</v>
      </c>
      <c r="P221" s="15">
        <f t="shared" ca="1" si="57"/>
        <v>0.25024795910582132</v>
      </c>
      <c r="Q221" s="15">
        <v>0</v>
      </c>
      <c r="R221" s="15">
        <f t="shared" ca="1" si="48"/>
        <v>0.25024795910582132</v>
      </c>
      <c r="S221" s="15">
        <f t="shared" ca="1" si="45"/>
        <v>0.99989019215953601</v>
      </c>
      <c r="T221" s="15">
        <v>0</v>
      </c>
      <c r="U221" s="15">
        <f t="shared" ca="1" si="49"/>
        <v>0.99989019215953601</v>
      </c>
      <c r="V221" s="15">
        <f t="shared" ca="1" si="50"/>
        <v>0.99946593423361552</v>
      </c>
      <c r="X221" s="15">
        <f t="shared" si="51"/>
        <v>1.05</v>
      </c>
      <c r="Y221" s="15">
        <f t="shared" si="52"/>
        <v>0.95</v>
      </c>
      <c r="Z221" s="15">
        <f t="shared" ca="1" si="53"/>
        <v>1</v>
      </c>
      <c r="AC221" s="15">
        <f t="shared" ca="1" si="54"/>
        <v>2.852262428238461E-7</v>
      </c>
      <c r="AD221" s="15">
        <f t="shared" ca="1" si="55"/>
        <v>5.3406576638448389E-4</v>
      </c>
      <c r="AE221" s="15">
        <f t="shared" ca="1" si="56"/>
        <v>9.5597772182822616E-2</v>
      </c>
    </row>
    <row r="222" spans="12:31" x14ac:dyDescent="0.3">
      <c r="L222" s="15">
        <v>220</v>
      </c>
      <c r="M222" s="15">
        <f t="shared" si="46"/>
        <v>1</v>
      </c>
      <c r="N222" s="15">
        <f t="shared" ca="1" si="47"/>
        <v>5.3406576638448389E-4</v>
      </c>
      <c r="O222" s="15">
        <f t="shared" ca="1" si="44"/>
        <v>0.25153148547109438</v>
      </c>
      <c r="P222" s="15">
        <f t="shared" ca="1" si="57"/>
        <v>0.25024795910582132</v>
      </c>
      <c r="Q222" s="15">
        <v>0</v>
      </c>
      <c r="R222" s="15">
        <f t="shared" ca="1" si="48"/>
        <v>0.25024795910582132</v>
      </c>
      <c r="S222" s="15">
        <f t="shared" ca="1" si="45"/>
        <v>0.9998787921512976</v>
      </c>
      <c r="T222" s="15">
        <v>0</v>
      </c>
      <c r="U222" s="15">
        <f t="shared" ca="1" si="49"/>
        <v>0.9998787921512976</v>
      </c>
      <c r="V222" s="15">
        <f t="shared" ca="1" si="50"/>
        <v>0.99946593423361552</v>
      </c>
      <c r="X222" s="15">
        <f t="shared" si="51"/>
        <v>1.05</v>
      </c>
      <c r="Y222" s="15">
        <f t="shared" si="52"/>
        <v>0.95</v>
      </c>
      <c r="Z222" s="15">
        <f t="shared" ca="1" si="53"/>
        <v>1</v>
      </c>
      <c r="AC222" s="15">
        <f t="shared" ca="1" si="54"/>
        <v>2.852262428238461E-7</v>
      </c>
      <c r="AD222" s="15">
        <f t="shared" ca="1" si="55"/>
        <v>5.3406576638448389E-4</v>
      </c>
      <c r="AE222" s="15">
        <f t="shared" ca="1" si="56"/>
        <v>9.61318379492071E-2</v>
      </c>
    </row>
    <row r="223" spans="12:31" x14ac:dyDescent="0.3">
      <c r="L223" s="15">
        <v>221</v>
      </c>
      <c r="M223" s="15">
        <f t="shared" si="46"/>
        <v>1</v>
      </c>
      <c r="N223" s="15">
        <f t="shared" ca="1" si="47"/>
        <v>5.3406576638448389E-4</v>
      </c>
      <c r="O223" s="15">
        <f t="shared" ca="1" si="44"/>
        <v>0.25153148547109438</v>
      </c>
      <c r="P223" s="15">
        <f t="shared" ca="1" si="57"/>
        <v>0.25024795910582132</v>
      </c>
      <c r="Q223" s="15">
        <v>0</v>
      </c>
      <c r="R223" s="15">
        <f t="shared" ca="1" si="48"/>
        <v>0.25024795910582132</v>
      </c>
      <c r="S223" s="15">
        <f t="shared" ca="1" si="45"/>
        <v>0.99989936285007208</v>
      </c>
      <c r="T223" s="15">
        <v>0</v>
      </c>
      <c r="U223" s="15">
        <f t="shared" ca="1" si="49"/>
        <v>0.99989936285007208</v>
      </c>
      <c r="V223" s="15">
        <f t="shared" ca="1" si="50"/>
        <v>0.99946593423361552</v>
      </c>
      <c r="X223" s="15">
        <f t="shared" si="51"/>
        <v>1.05</v>
      </c>
      <c r="Y223" s="15">
        <f t="shared" si="52"/>
        <v>0.95</v>
      </c>
      <c r="Z223" s="15">
        <f t="shared" ca="1" si="53"/>
        <v>1</v>
      </c>
      <c r="AC223" s="15">
        <f t="shared" ca="1" si="54"/>
        <v>2.852262428238461E-7</v>
      </c>
      <c r="AD223" s="15">
        <f t="shared" ca="1" si="55"/>
        <v>5.3406576638448389E-4</v>
      </c>
      <c r="AE223" s="15">
        <f t="shared" ca="1" si="56"/>
        <v>9.6665903715591583E-2</v>
      </c>
    </row>
    <row r="224" spans="12:31" x14ac:dyDescent="0.3">
      <c r="L224" s="15">
        <v>222</v>
      </c>
      <c r="M224" s="15">
        <f t="shared" si="46"/>
        <v>1</v>
      </c>
      <c r="N224" s="15">
        <f t="shared" ca="1" si="47"/>
        <v>5.3406576638448389E-4</v>
      </c>
      <c r="O224" s="15">
        <f t="shared" ca="1" si="44"/>
        <v>0.2515415824490439</v>
      </c>
      <c r="P224" s="15">
        <f t="shared" ca="1" si="57"/>
        <v>0.25024795910582132</v>
      </c>
      <c r="Q224" s="15">
        <v>0</v>
      </c>
      <c r="R224" s="15">
        <f t="shared" ca="1" si="48"/>
        <v>0.25024795910582132</v>
      </c>
      <c r="S224" s="15">
        <f t="shared" ca="1" si="45"/>
        <v>0.9999477590108149</v>
      </c>
      <c r="T224" s="15">
        <v>0</v>
      </c>
      <c r="U224" s="15">
        <f t="shared" ca="1" si="49"/>
        <v>0.9999477590108149</v>
      </c>
      <c r="V224" s="15">
        <f t="shared" ca="1" si="50"/>
        <v>0.99946593423361552</v>
      </c>
      <c r="X224" s="15">
        <f t="shared" si="51"/>
        <v>1.05</v>
      </c>
      <c r="Y224" s="15">
        <f t="shared" si="52"/>
        <v>0.95</v>
      </c>
      <c r="Z224" s="15">
        <f t="shared" ca="1" si="53"/>
        <v>1</v>
      </c>
      <c r="AC224" s="15">
        <f t="shared" ca="1" si="54"/>
        <v>2.852262428238461E-7</v>
      </c>
      <c r="AD224" s="15">
        <f t="shared" ca="1" si="55"/>
        <v>5.3406576638448389E-4</v>
      </c>
      <c r="AE224" s="15">
        <f t="shared" ca="1" si="56"/>
        <v>9.7199969481976067E-2</v>
      </c>
    </row>
    <row r="225" spans="12:31" x14ac:dyDescent="0.3">
      <c r="L225" s="15">
        <v>223</v>
      </c>
      <c r="M225" s="15">
        <f t="shared" si="46"/>
        <v>1</v>
      </c>
      <c r="N225" s="15">
        <f t="shared" ca="1" si="47"/>
        <v>5.3406576638448389E-4</v>
      </c>
      <c r="O225" s="15">
        <f t="shared" ca="1" si="44"/>
        <v>0.2515415824490439</v>
      </c>
      <c r="P225" s="15">
        <f t="shared" ca="1" si="57"/>
        <v>0.25024795910582132</v>
      </c>
      <c r="Q225" s="15">
        <v>0</v>
      </c>
      <c r="R225" s="15">
        <f t="shared" ca="1" si="48"/>
        <v>0.25024795910582132</v>
      </c>
      <c r="S225" s="15">
        <f t="shared" ca="1" si="45"/>
        <v>1.0000202438791226</v>
      </c>
      <c r="T225" s="15">
        <v>0</v>
      </c>
      <c r="U225" s="15">
        <f t="shared" ca="1" si="49"/>
        <v>1.0000202438791226</v>
      </c>
      <c r="V225" s="15">
        <f t="shared" ca="1" si="50"/>
        <v>0.99946593423361552</v>
      </c>
      <c r="X225" s="15">
        <f t="shared" si="51"/>
        <v>1.05</v>
      </c>
      <c r="Y225" s="15">
        <f t="shared" si="52"/>
        <v>0.95</v>
      </c>
      <c r="Z225" s="15">
        <f t="shared" ca="1" si="53"/>
        <v>1</v>
      </c>
      <c r="AC225" s="15">
        <f t="shared" ca="1" si="54"/>
        <v>2.852262428238461E-7</v>
      </c>
      <c r="AD225" s="15">
        <f t="shared" ca="1" si="55"/>
        <v>5.3406576638448389E-4</v>
      </c>
      <c r="AE225" s="15">
        <f t="shared" ca="1" si="56"/>
        <v>9.7734035248360551E-2</v>
      </c>
    </row>
    <row r="226" spans="12:31" x14ac:dyDescent="0.3">
      <c r="L226" s="15">
        <v>224</v>
      </c>
      <c r="M226" s="15">
        <f t="shared" si="46"/>
        <v>1</v>
      </c>
      <c r="N226" s="15">
        <f t="shared" ca="1" si="47"/>
        <v>5.3406576638448389E-4</v>
      </c>
      <c r="O226" s="15">
        <f t="shared" ca="1" si="44"/>
        <v>0.2515415824490439</v>
      </c>
      <c r="P226" s="15">
        <f t="shared" ca="1" si="57"/>
        <v>0.25024795910582132</v>
      </c>
      <c r="Q226" s="15">
        <v>0</v>
      </c>
      <c r="R226" s="15">
        <f t="shared" ca="1" si="48"/>
        <v>0.25024795910582132</v>
      </c>
      <c r="S226" s="15">
        <f t="shared" ca="1" si="45"/>
        <v>1.0001134531440139</v>
      </c>
      <c r="T226" s="15">
        <v>0</v>
      </c>
      <c r="U226" s="15">
        <f t="shared" ca="1" si="49"/>
        <v>1.0001134531440139</v>
      </c>
      <c r="V226" s="15">
        <f t="shared" ca="1" si="50"/>
        <v>0.99946593423361552</v>
      </c>
      <c r="X226" s="15">
        <f t="shared" si="51"/>
        <v>1.05</v>
      </c>
      <c r="Y226" s="15">
        <f t="shared" si="52"/>
        <v>0.95</v>
      </c>
      <c r="Z226" s="15">
        <f t="shared" ca="1" si="53"/>
        <v>1</v>
      </c>
      <c r="AC226" s="15">
        <f t="shared" ca="1" si="54"/>
        <v>2.852262428238461E-7</v>
      </c>
      <c r="AD226" s="15">
        <f t="shared" ca="1" si="55"/>
        <v>5.3406576638448389E-4</v>
      </c>
      <c r="AE226" s="15">
        <f t="shared" ca="1" si="56"/>
        <v>9.8268101014745035E-2</v>
      </c>
    </row>
    <row r="227" spans="12:31" x14ac:dyDescent="0.3">
      <c r="L227" s="15">
        <v>225</v>
      </c>
      <c r="M227" s="15">
        <f t="shared" si="46"/>
        <v>1</v>
      </c>
      <c r="N227" s="15">
        <f t="shared" ca="1" si="47"/>
        <v>5.3406576638448389E-4</v>
      </c>
      <c r="O227" s="15">
        <f t="shared" ca="1" si="44"/>
        <v>0.25155167942699341</v>
      </c>
      <c r="P227" s="15">
        <f t="shared" ca="1" si="57"/>
        <v>0.25024795910582132</v>
      </c>
      <c r="Q227" s="15">
        <v>0</v>
      </c>
      <c r="R227" s="15">
        <f t="shared" ca="1" si="48"/>
        <v>0.25024795910582132</v>
      </c>
      <c r="S227" s="15">
        <f t="shared" ca="1" si="45"/>
        <v>1.0002243618911149</v>
      </c>
      <c r="T227" s="15">
        <v>0</v>
      </c>
      <c r="U227" s="15">
        <f t="shared" ca="1" si="49"/>
        <v>1.0002243618911149</v>
      </c>
      <c r="V227" s="15">
        <f t="shared" ca="1" si="50"/>
        <v>0.99946593423361552</v>
      </c>
      <c r="X227" s="15">
        <f t="shared" si="51"/>
        <v>1.05</v>
      </c>
      <c r="Y227" s="15">
        <f t="shared" si="52"/>
        <v>0.95</v>
      </c>
      <c r="Z227" s="15">
        <f t="shared" ca="1" si="53"/>
        <v>1</v>
      </c>
      <c r="AC227" s="15">
        <f t="shared" ca="1" si="54"/>
        <v>2.852262428238461E-7</v>
      </c>
      <c r="AD227" s="15">
        <f t="shared" ca="1" si="55"/>
        <v>5.3406576638448389E-4</v>
      </c>
      <c r="AE227" s="15">
        <f t="shared" ca="1" si="56"/>
        <v>9.8802166781129519E-2</v>
      </c>
    </row>
    <row r="228" spans="12:31" x14ac:dyDescent="0.3">
      <c r="L228" s="15">
        <v>226</v>
      </c>
      <c r="M228" s="15">
        <f t="shared" si="46"/>
        <v>1</v>
      </c>
      <c r="N228" s="15">
        <f t="shared" ca="1" si="47"/>
        <v>5.3406576638448389E-4</v>
      </c>
      <c r="O228" s="15">
        <f t="shared" ca="1" si="44"/>
        <v>0.25155167942699341</v>
      </c>
      <c r="P228" s="15">
        <f t="shared" ca="1" si="57"/>
        <v>0.25024795910582132</v>
      </c>
      <c r="Q228" s="15">
        <v>0</v>
      </c>
      <c r="R228" s="15">
        <f t="shared" ca="1" si="48"/>
        <v>0.25024795910582132</v>
      </c>
      <c r="S228" s="15">
        <f t="shared" ca="1" si="45"/>
        <v>1.0003502543151659</v>
      </c>
      <c r="T228" s="15">
        <v>0</v>
      </c>
      <c r="U228" s="15">
        <f t="shared" ca="1" si="49"/>
        <v>1.0003502543151659</v>
      </c>
      <c r="V228" s="15">
        <f t="shared" ca="1" si="50"/>
        <v>0.99946593423361552</v>
      </c>
      <c r="X228" s="15">
        <f t="shared" si="51"/>
        <v>1.05</v>
      </c>
      <c r="Y228" s="15">
        <f t="shared" si="52"/>
        <v>0.95</v>
      </c>
      <c r="Z228" s="15">
        <f t="shared" ca="1" si="53"/>
        <v>1</v>
      </c>
      <c r="AC228" s="15">
        <f t="shared" ca="1" si="54"/>
        <v>2.852262428238461E-7</v>
      </c>
      <c r="AD228" s="15">
        <f t="shared" ca="1" si="55"/>
        <v>5.3406576638448389E-4</v>
      </c>
      <c r="AE228" s="15">
        <f t="shared" ca="1" si="56"/>
        <v>9.9336232547514003E-2</v>
      </c>
    </row>
    <row r="229" spans="12:31" x14ac:dyDescent="0.3">
      <c r="L229" s="15">
        <v>227</v>
      </c>
      <c r="M229" s="15">
        <f t="shared" si="46"/>
        <v>1</v>
      </c>
      <c r="N229" s="15">
        <f t="shared" ca="1" si="47"/>
        <v>5.3406576638448389E-4</v>
      </c>
      <c r="O229" s="15">
        <f t="shared" ca="1" si="44"/>
        <v>0.25155167942699341</v>
      </c>
      <c r="P229" s="15">
        <f t="shared" ca="1" si="57"/>
        <v>0.25024795910582132</v>
      </c>
      <c r="Q229" s="15">
        <v>0</v>
      </c>
      <c r="R229" s="15">
        <f t="shared" ca="1" si="48"/>
        <v>0.25024795910582132</v>
      </c>
      <c r="S229" s="15">
        <f t="shared" ca="1" si="45"/>
        <v>1.0004886959696944</v>
      </c>
      <c r="T229" s="15">
        <v>0</v>
      </c>
      <c r="U229" s="15">
        <f t="shared" ca="1" si="49"/>
        <v>1.0004886959696944</v>
      </c>
      <c r="V229" s="15">
        <f t="shared" ca="1" si="50"/>
        <v>0.99946593423361552</v>
      </c>
      <c r="X229" s="15">
        <f t="shared" si="51"/>
        <v>1.05</v>
      </c>
      <c r="Y229" s="15">
        <f t="shared" si="52"/>
        <v>0.95</v>
      </c>
      <c r="Z229" s="15">
        <f t="shared" ca="1" si="53"/>
        <v>1</v>
      </c>
      <c r="AC229" s="15">
        <f t="shared" ca="1" si="54"/>
        <v>2.852262428238461E-7</v>
      </c>
      <c r="AD229" s="15">
        <f t="shared" ca="1" si="55"/>
        <v>5.3406576638448389E-4</v>
      </c>
      <c r="AE229" s="15">
        <f t="shared" ca="1" si="56"/>
        <v>9.9870298313898487E-2</v>
      </c>
    </row>
    <row r="230" spans="12:31" x14ac:dyDescent="0.3">
      <c r="L230" s="15">
        <v>228</v>
      </c>
      <c r="M230" s="15">
        <f t="shared" si="46"/>
        <v>1</v>
      </c>
      <c r="N230" s="15">
        <f t="shared" ca="1" si="47"/>
        <v>5.3406576638448389E-4</v>
      </c>
      <c r="O230" s="15">
        <f t="shared" ca="1" si="44"/>
        <v>0.25156177640494293</v>
      </c>
      <c r="P230" s="15">
        <f t="shared" ca="1" si="57"/>
        <v>0.25024795910582132</v>
      </c>
      <c r="Q230" s="15">
        <v>0</v>
      </c>
      <c r="R230" s="15">
        <f t="shared" ca="1" si="48"/>
        <v>0.25024795910582132</v>
      </c>
      <c r="S230" s="15">
        <f t="shared" ca="1" si="45"/>
        <v>1.0006243084150628</v>
      </c>
      <c r="T230" s="15">
        <v>0</v>
      </c>
      <c r="U230" s="15">
        <f t="shared" ca="1" si="49"/>
        <v>1.0006243084150628</v>
      </c>
      <c r="V230" s="15">
        <f t="shared" ca="1" si="50"/>
        <v>0.99946593423361552</v>
      </c>
      <c r="X230" s="15">
        <f t="shared" si="51"/>
        <v>1.05</v>
      </c>
      <c r="Y230" s="15">
        <f t="shared" si="52"/>
        <v>0.95</v>
      </c>
      <c r="Z230" s="15">
        <f t="shared" ca="1" si="53"/>
        <v>1</v>
      </c>
      <c r="AC230" s="15">
        <f t="shared" ca="1" si="54"/>
        <v>2.852262428238461E-7</v>
      </c>
      <c r="AD230" s="15">
        <f t="shared" ca="1" si="55"/>
        <v>5.3406576638448389E-4</v>
      </c>
      <c r="AE230" s="15">
        <f t="shared" ca="1" si="56"/>
        <v>0.10040436408028297</v>
      </c>
    </row>
    <row r="231" spans="12:31" x14ac:dyDescent="0.3">
      <c r="L231" s="15">
        <v>229</v>
      </c>
      <c r="M231" s="15">
        <f t="shared" si="46"/>
        <v>1</v>
      </c>
      <c r="N231" s="15">
        <f t="shared" ca="1" si="47"/>
        <v>5.3406576638448389E-4</v>
      </c>
      <c r="O231" s="15">
        <f t="shared" ca="1" si="44"/>
        <v>0.25156177640494293</v>
      </c>
      <c r="P231" s="15">
        <f t="shared" ca="1" si="57"/>
        <v>0.25024795910582132</v>
      </c>
      <c r="Q231" s="15">
        <v>0</v>
      </c>
      <c r="R231" s="15">
        <f t="shared" ca="1" si="48"/>
        <v>0.25024795910582132</v>
      </c>
      <c r="S231" s="15">
        <f t="shared" ca="1" si="45"/>
        <v>1.0007442612368962</v>
      </c>
      <c r="T231" s="15">
        <v>0</v>
      </c>
      <c r="U231" s="15">
        <f t="shared" ca="1" si="49"/>
        <v>1.0007442612368962</v>
      </c>
      <c r="V231" s="15">
        <f t="shared" ca="1" si="50"/>
        <v>0.99946593423361552</v>
      </c>
      <c r="X231" s="15">
        <f t="shared" si="51"/>
        <v>1.05</v>
      </c>
      <c r="Y231" s="15">
        <f t="shared" si="52"/>
        <v>0.95</v>
      </c>
      <c r="Z231" s="15">
        <f t="shared" ca="1" si="53"/>
        <v>1</v>
      </c>
      <c r="AC231" s="15">
        <f t="shared" ca="1" si="54"/>
        <v>2.852262428238461E-7</v>
      </c>
      <c r="AD231" s="15">
        <f t="shared" ca="1" si="55"/>
        <v>5.3406576638448389E-4</v>
      </c>
      <c r="AE231" s="15">
        <f t="shared" ca="1" si="56"/>
        <v>0.10093842984666745</v>
      </c>
    </row>
    <row r="232" spans="12:31" x14ac:dyDescent="0.3">
      <c r="L232" s="15">
        <v>230</v>
      </c>
      <c r="M232" s="15">
        <f t="shared" si="46"/>
        <v>1</v>
      </c>
      <c r="N232" s="15">
        <f t="shared" ca="1" si="47"/>
        <v>5.3406576638448389E-4</v>
      </c>
      <c r="O232" s="15">
        <f t="shared" ca="1" si="44"/>
        <v>0.25156177640494293</v>
      </c>
      <c r="P232" s="15">
        <f t="shared" ca="1" si="57"/>
        <v>0.25024795910582132</v>
      </c>
      <c r="Q232" s="15">
        <v>0</v>
      </c>
      <c r="R232" s="15">
        <f t="shared" ca="1" si="48"/>
        <v>0.25024795910582132</v>
      </c>
      <c r="S232" s="15">
        <f t="shared" ca="1" si="45"/>
        <v>1.0008500348540263</v>
      </c>
      <c r="T232" s="15">
        <v>0</v>
      </c>
      <c r="U232" s="15">
        <f t="shared" ca="1" si="49"/>
        <v>1.0008500348540263</v>
      </c>
      <c r="V232" s="15">
        <f t="shared" ca="1" si="50"/>
        <v>0.99946593423361552</v>
      </c>
      <c r="X232" s="15">
        <f t="shared" si="51"/>
        <v>1.05</v>
      </c>
      <c r="Y232" s="15">
        <f t="shared" si="52"/>
        <v>0.95</v>
      </c>
      <c r="Z232" s="15">
        <f t="shared" ca="1" si="53"/>
        <v>1</v>
      </c>
      <c r="AC232" s="15">
        <f t="shared" ca="1" si="54"/>
        <v>2.852262428238461E-7</v>
      </c>
      <c r="AD232" s="15">
        <f t="shared" ca="1" si="55"/>
        <v>5.3406576638448389E-4</v>
      </c>
      <c r="AE232" s="15">
        <f t="shared" ca="1" si="56"/>
        <v>0.10147249561305194</v>
      </c>
    </row>
    <row r="233" spans="12:31" x14ac:dyDescent="0.3">
      <c r="L233" s="15">
        <v>231</v>
      </c>
      <c r="M233" s="15">
        <f t="shared" si="46"/>
        <v>1</v>
      </c>
      <c r="N233" s="15">
        <f t="shared" ca="1" si="47"/>
        <v>5.3406576638448389E-4</v>
      </c>
      <c r="O233" s="15">
        <f t="shared" ca="1" si="44"/>
        <v>0.25157187338289244</v>
      </c>
      <c r="P233" s="15">
        <f t="shared" ca="1" si="57"/>
        <v>0.25024795910582132</v>
      </c>
      <c r="Q233" s="15">
        <v>0</v>
      </c>
      <c r="R233" s="15">
        <f t="shared" ca="1" si="48"/>
        <v>0.25024795910582132</v>
      </c>
      <c r="S233" s="15">
        <f t="shared" ca="1" si="45"/>
        <v>1.0009429817391107</v>
      </c>
      <c r="T233" s="15">
        <v>0</v>
      </c>
      <c r="U233" s="15">
        <f t="shared" ca="1" si="49"/>
        <v>1.0009429817391107</v>
      </c>
      <c r="V233" s="15">
        <f t="shared" ca="1" si="50"/>
        <v>0.99946593423361552</v>
      </c>
      <c r="X233" s="15">
        <f t="shared" si="51"/>
        <v>1.05</v>
      </c>
      <c r="Y233" s="15">
        <f t="shared" si="52"/>
        <v>0.95</v>
      </c>
      <c r="Z233" s="15">
        <f t="shared" ca="1" si="53"/>
        <v>1</v>
      </c>
      <c r="AC233" s="15">
        <f t="shared" ca="1" si="54"/>
        <v>2.852262428238461E-7</v>
      </c>
      <c r="AD233" s="15">
        <f t="shared" ca="1" si="55"/>
        <v>5.3406576638448389E-4</v>
      </c>
      <c r="AE233" s="15">
        <f t="shared" ca="1" si="56"/>
        <v>0.10200656137943642</v>
      </c>
    </row>
    <row r="234" spans="12:31" x14ac:dyDescent="0.3">
      <c r="L234" s="15">
        <v>232</v>
      </c>
      <c r="M234" s="15">
        <f t="shared" si="46"/>
        <v>1</v>
      </c>
      <c r="N234" s="15">
        <f t="shared" ca="1" si="47"/>
        <v>-9.9183642328526389E-4</v>
      </c>
      <c r="O234" s="15">
        <f t="shared" ca="1" si="44"/>
        <v>0.25157187338289244</v>
      </c>
      <c r="P234" s="15">
        <f t="shared" ca="1" si="57"/>
        <v>0.25024795910582132</v>
      </c>
      <c r="Q234" s="15">
        <v>0</v>
      </c>
      <c r="R234" s="15">
        <f t="shared" ca="1" si="48"/>
        <v>0.25024795910582132</v>
      </c>
      <c r="S234" s="15">
        <f t="shared" ca="1" si="45"/>
        <v>1.0010243369391962</v>
      </c>
      <c r="T234" s="15">
        <v>0</v>
      </c>
      <c r="U234" s="15">
        <f t="shared" ca="1" si="49"/>
        <v>1.0010243369391962</v>
      </c>
      <c r="V234" s="15">
        <f t="shared" ca="1" si="50"/>
        <v>1.0009918364232853</v>
      </c>
      <c r="X234" s="15">
        <f t="shared" si="51"/>
        <v>1.05</v>
      </c>
      <c r="Y234" s="15">
        <f t="shared" si="52"/>
        <v>0.95</v>
      </c>
      <c r="Z234" s="15">
        <f t="shared" ca="1" si="53"/>
        <v>1</v>
      </c>
      <c r="AC234" s="15">
        <f t="shared" ca="1" si="54"/>
        <v>9.8373949055530516E-7</v>
      </c>
      <c r="AD234" s="15">
        <f t="shared" ca="1" si="55"/>
        <v>9.9183642328526389E-4</v>
      </c>
      <c r="AE234" s="15">
        <f t="shared" ca="1" si="56"/>
        <v>0.19043259327077067</v>
      </c>
    </row>
    <row r="235" spans="12:31" x14ac:dyDescent="0.3">
      <c r="L235" s="15">
        <v>233</v>
      </c>
      <c r="M235" s="15">
        <f t="shared" si="46"/>
        <v>1</v>
      </c>
      <c r="N235" s="15">
        <f t="shared" ca="1" si="47"/>
        <v>-9.9183642328526389E-4</v>
      </c>
      <c r="O235" s="15">
        <f t="shared" ref="O235:O298" ca="1" si="58">IF(MOD(L235,$B$11)=0,OFFSET(O235,-$B$11,0)+ $E$2*N235+$E$3*OFFSET(N235,-$B$11,0)+ $E$4*OFFSET(N235,-2* $B$11,0), O234)</f>
        <v>0.25157187338289244</v>
      </c>
      <c r="P235" s="15">
        <f t="shared" ca="1" si="57"/>
        <v>0.25024795910582132</v>
      </c>
      <c r="Q235" s="15">
        <v>0</v>
      </c>
      <c r="R235" s="15">
        <f t="shared" ca="1" si="48"/>
        <v>0.25024795910582132</v>
      </c>
      <c r="S235" s="15">
        <f t="shared" ca="1" si="45"/>
        <v>1.0010952277575087</v>
      </c>
      <c r="T235" s="15">
        <v>0</v>
      </c>
      <c r="U235" s="15">
        <f t="shared" ca="1" si="49"/>
        <v>1.0010952277575087</v>
      </c>
      <c r="V235" s="15">
        <f t="shared" ca="1" si="50"/>
        <v>1.0009918364232853</v>
      </c>
      <c r="X235" s="15">
        <f t="shared" si="51"/>
        <v>1.05</v>
      </c>
      <c r="Y235" s="15">
        <f t="shared" si="52"/>
        <v>0.95</v>
      </c>
      <c r="Z235" s="15">
        <f t="shared" ca="1" si="53"/>
        <v>1</v>
      </c>
      <c r="AC235" s="15">
        <f t="shared" ca="1" si="54"/>
        <v>9.8373949055530516E-7</v>
      </c>
      <c r="AD235" s="15">
        <f t="shared" ca="1" si="55"/>
        <v>9.9183642328526389E-4</v>
      </c>
      <c r="AE235" s="15">
        <f t="shared" ca="1" si="56"/>
        <v>0.19142442969405593</v>
      </c>
    </row>
    <row r="236" spans="12:31" x14ac:dyDescent="0.3">
      <c r="L236" s="15">
        <v>234</v>
      </c>
      <c r="M236" s="15">
        <f t="shared" si="46"/>
        <v>1</v>
      </c>
      <c r="N236" s="15">
        <f t="shared" ca="1" si="47"/>
        <v>-9.9183642328526389E-4</v>
      </c>
      <c r="O236" s="15">
        <f t="shared" ca="1" si="58"/>
        <v>0.24992556308991962</v>
      </c>
      <c r="P236" s="15">
        <f t="shared" ca="1" si="57"/>
        <v>0.24872205691615165</v>
      </c>
      <c r="Q236" s="15">
        <v>0</v>
      </c>
      <c r="R236" s="15">
        <f t="shared" ca="1" si="48"/>
        <v>0.24872205691615165</v>
      </c>
      <c r="S236" s="15">
        <f t="shared" ca="1" si="45"/>
        <v>1.0011698825960931</v>
      </c>
      <c r="T236" s="15">
        <v>0</v>
      </c>
      <c r="U236" s="15">
        <f t="shared" ca="1" si="49"/>
        <v>1.0011698825960931</v>
      </c>
      <c r="V236" s="15">
        <f t="shared" ca="1" si="50"/>
        <v>1.0009918364232853</v>
      </c>
      <c r="X236" s="15">
        <f t="shared" si="51"/>
        <v>1.05</v>
      </c>
      <c r="Y236" s="15">
        <f t="shared" si="52"/>
        <v>0.95</v>
      </c>
      <c r="Z236" s="15">
        <f t="shared" ca="1" si="53"/>
        <v>1</v>
      </c>
      <c r="AC236" s="15">
        <f t="shared" ca="1" si="54"/>
        <v>9.8373949055530516E-7</v>
      </c>
      <c r="AD236" s="15">
        <f t="shared" ca="1" si="55"/>
        <v>9.9183642328526389E-4</v>
      </c>
      <c r="AE236" s="15">
        <f t="shared" ca="1" si="56"/>
        <v>0.19241626611734119</v>
      </c>
    </row>
    <row r="237" spans="12:31" x14ac:dyDescent="0.3">
      <c r="L237" s="15">
        <v>235</v>
      </c>
      <c r="M237" s="15">
        <f t="shared" si="46"/>
        <v>1</v>
      </c>
      <c r="N237" s="15">
        <f t="shared" ca="1" si="47"/>
        <v>-9.9183642328526389E-4</v>
      </c>
      <c r="O237" s="15">
        <f t="shared" ca="1" si="58"/>
        <v>0.24992556308991962</v>
      </c>
      <c r="P237" s="15">
        <f t="shared" ca="1" si="57"/>
        <v>0.24872205691615165</v>
      </c>
      <c r="Q237" s="15">
        <v>0</v>
      </c>
      <c r="R237" s="15">
        <f t="shared" ca="1" si="48"/>
        <v>0.24872205691615165</v>
      </c>
      <c r="S237" s="15">
        <f t="shared" ref="S237:S300" ca="1" si="59">$I$1*S236-$I$2*S235+$I$3*R216+$I$4*R215</f>
        <v>1.0012601238592078</v>
      </c>
      <c r="T237" s="15">
        <v>0</v>
      </c>
      <c r="U237" s="15">
        <f t="shared" ca="1" si="49"/>
        <v>1.0012601238592078</v>
      </c>
      <c r="V237" s="15">
        <f t="shared" ca="1" si="50"/>
        <v>1.0009918364232853</v>
      </c>
      <c r="X237" s="15">
        <f t="shared" si="51"/>
        <v>1.05</v>
      </c>
      <c r="Y237" s="15">
        <f t="shared" si="52"/>
        <v>0.95</v>
      </c>
      <c r="Z237" s="15">
        <f t="shared" ca="1" si="53"/>
        <v>1</v>
      </c>
      <c r="AC237" s="15">
        <f t="shared" ca="1" si="54"/>
        <v>9.8373949055530516E-7</v>
      </c>
      <c r="AD237" s="15">
        <f t="shared" ca="1" si="55"/>
        <v>9.9183642328526389E-4</v>
      </c>
      <c r="AE237" s="15">
        <f t="shared" ca="1" si="56"/>
        <v>0.19340810254062646</v>
      </c>
    </row>
    <row r="238" spans="12:31" x14ac:dyDescent="0.3">
      <c r="L238" s="15">
        <v>236</v>
      </c>
      <c r="M238" s="15">
        <f t="shared" si="46"/>
        <v>1</v>
      </c>
      <c r="N238" s="15">
        <f t="shared" ca="1" si="47"/>
        <v>-9.9183642328526389E-4</v>
      </c>
      <c r="O238" s="15">
        <f t="shared" ca="1" si="58"/>
        <v>0.24992556308991962</v>
      </c>
      <c r="P238" s="15">
        <f t="shared" ca="1" si="57"/>
        <v>0.24872205691615165</v>
      </c>
      <c r="Q238" s="15">
        <v>0</v>
      </c>
      <c r="R238" s="15">
        <f t="shared" ca="1" si="48"/>
        <v>0.24872205691615165</v>
      </c>
      <c r="S238" s="15">
        <f t="shared" ca="1" si="59"/>
        <v>1.0013635913804488</v>
      </c>
      <c r="T238" s="15">
        <v>0</v>
      </c>
      <c r="U238" s="15">
        <f t="shared" ca="1" si="49"/>
        <v>1.0013635913804488</v>
      </c>
      <c r="V238" s="15">
        <f t="shared" ca="1" si="50"/>
        <v>1.0009918364232853</v>
      </c>
      <c r="X238" s="15">
        <f t="shared" si="51"/>
        <v>1.05</v>
      </c>
      <c r="Y238" s="15">
        <f t="shared" si="52"/>
        <v>0.95</v>
      </c>
      <c r="Z238" s="15">
        <f t="shared" ca="1" si="53"/>
        <v>1</v>
      </c>
      <c r="AC238" s="15">
        <f t="shared" ca="1" si="54"/>
        <v>9.8373949055530516E-7</v>
      </c>
      <c r="AD238" s="15">
        <f t="shared" ca="1" si="55"/>
        <v>9.9183642328526389E-4</v>
      </c>
      <c r="AE238" s="15">
        <f t="shared" ca="1" si="56"/>
        <v>0.19439993896391172</v>
      </c>
    </row>
    <row r="239" spans="12:31" x14ac:dyDescent="0.3">
      <c r="L239" s="15">
        <v>237</v>
      </c>
      <c r="M239" s="15">
        <f t="shared" si="46"/>
        <v>1</v>
      </c>
      <c r="N239" s="15">
        <f t="shared" ca="1" si="47"/>
        <v>-9.9183642328526389E-4</v>
      </c>
      <c r="O239" s="15">
        <f t="shared" ca="1" si="58"/>
        <v>0.25120084309984025</v>
      </c>
      <c r="P239" s="15">
        <f t="shared" ca="1" si="57"/>
        <v>0.25024795910582132</v>
      </c>
      <c r="Q239" s="15">
        <v>0</v>
      </c>
      <c r="R239" s="15">
        <f t="shared" ca="1" si="48"/>
        <v>0.25024795910582132</v>
      </c>
      <c r="S239" s="15">
        <f t="shared" ca="1" si="59"/>
        <v>1.0014649687078561</v>
      </c>
      <c r="T239" s="15">
        <v>0</v>
      </c>
      <c r="U239" s="15">
        <f t="shared" ca="1" si="49"/>
        <v>1.0014649687078561</v>
      </c>
      <c r="V239" s="15">
        <f t="shared" ca="1" si="50"/>
        <v>1.0009918364232853</v>
      </c>
      <c r="X239" s="15">
        <f t="shared" si="51"/>
        <v>1.05</v>
      </c>
      <c r="Y239" s="15">
        <f t="shared" si="52"/>
        <v>0.95</v>
      </c>
      <c r="Z239" s="15">
        <f t="shared" ca="1" si="53"/>
        <v>1</v>
      </c>
      <c r="AC239" s="15">
        <f t="shared" ca="1" si="54"/>
        <v>9.8373949055530516E-7</v>
      </c>
      <c r="AD239" s="15">
        <f t="shared" ca="1" si="55"/>
        <v>9.9183642328526389E-4</v>
      </c>
      <c r="AE239" s="15">
        <f t="shared" ca="1" si="56"/>
        <v>0.19539177538719699</v>
      </c>
    </row>
    <row r="240" spans="12:31" x14ac:dyDescent="0.3">
      <c r="L240" s="15">
        <v>238</v>
      </c>
      <c r="M240" s="15">
        <f t="shared" si="46"/>
        <v>1</v>
      </c>
      <c r="N240" s="15">
        <f t="shared" ca="1" si="47"/>
        <v>-9.9183642328526389E-4</v>
      </c>
      <c r="O240" s="15">
        <f t="shared" ca="1" si="58"/>
        <v>0.25120084309984025</v>
      </c>
      <c r="P240" s="15">
        <f t="shared" ca="1" si="57"/>
        <v>0.25024795910582132</v>
      </c>
      <c r="Q240" s="15">
        <v>0</v>
      </c>
      <c r="R240" s="15">
        <f t="shared" ca="1" si="48"/>
        <v>0.25024795910582132</v>
      </c>
      <c r="S240" s="15">
        <f t="shared" ca="1" si="59"/>
        <v>1.0015514764205071</v>
      </c>
      <c r="T240" s="15">
        <v>0</v>
      </c>
      <c r="U240" s="15">
        <f t="shared" ca="1" si="49"/>
        <v>1.0015514764205071</v>
      </c>
      <c r="V240" s="15">
        <f t="shared" ca="1" si="50"/>
        <v>1.0009918364232853</v>
      </c>
      <c r="X240" s="15">
        <f t="shared" si="51"/>
        <v>1.05</v>
      </c>
      <c r="Y240" s="15">
        <f t="shared" si="52"/>
        <v>0.95</v>
      </c>
      <c r="Z240" s="15">
        <f t="shared" ca="1" si="53"/>
        <v>1</v>
      </c>
      <c r="AC240" s="15">
        <f t="shared" ca="1" si="54"/>
        <v>9.8373949055530516E-7</v>
      </c>
      <c r="AD240" s="15">
        <f t="shared" ca="1" si="55"/>
        <v>9.9183642328526389E-4</v>
      </c>
      <c r="AE240" s="15">
        <f t="shared" ca="1" si="56"/>
        <v>0.19638361181048225</v>
      </c>
    </row>
    <row r="241" spans="12:31" x14ac:dyDescent="0.3">
      <c r="L241" s="15">
        <v>239</v>
      </c>
      <c r="M241" s="15">
        <f t="shared" si="46"/>
        <v>1</v>
      </c>
      <c r="N241" s="15">
        <f t="shared" ca="1" si="47"/>
        <v>-9.9183642328526389E-4</v>
      </c>
      <c r="O241" s="15">
        <f t="shared" ca="1" si="58"/>
        <v>0.25120084309984025</v>
      </c>
      <c r="P241" s="15">
        <f t="shared" ca="1" si="57"/>
        <v>0.25024795910582132</v>
      </c>
      <c r="Q241" s="15">
        <v>0</v>
      </c>
      <c r="R241" s="15">
        <f t="shared" ca="1" si="48"/>
        <v>0.25024795910582132</v>
      </c>
      <c r="S241" s="15">
        <f t="shared" ca="1" si="59"/>
        <v>1.0016246361163428</v>
      </c>
      <c r="T241" s="15">
        <v>0</v>
      </c>
      <c r="U241" s="15">
        <f t="shared" ca="1" si="49"/>
        <v>1.0016246361163428</v>
      </c>
      <c r="V241" s="15">
        <f t="shared" ca="1" si="50"/>
        <v>1.0009918364232853</v>
      </c>
      <c r="X241" s="15">
        <f t="shared" si="51"/>
        <v>1.05</v>
      </c>
      <c r="Y241" s="15">
        <f t="shared" si="52"/>
        <v>0.95</v>
      </c>
      <c r="Z241" s="15">
        <f t="shared" ca="1" si="53"/>
        <v>1</v>
      </c>
      <c r="AC241" s="15">
        <f t="shared" ca="1" si="54"/>
        <v>9.8373949055530516E-7</v>
      </c>
      <c r="AD241" s="15">
        <f t="shared" ca="1" si="55"/>
        <v>9.9183642328526389E-4</v>
      </c>
      <c r="AE241" s="15">
        <f t="shared" ca="1" si="56"/>
        <v>0.19737544823376751</v>
      </c>
    </row>
    <row r="242" spans="12:31" x14ac:dyDescent="0.3">
      <c r="L242" s="15">
        <v>240</v>
      </c>
      <c r="M242" s="15">
        <f t="shared" si="46"/>
        <v>1</v>
      </c>
      <c r="N242" s="15">
        <f t="shared" ca="1" si="47"/>
        <v>-9.9183642328526389E-4</v>
      </c>
      <c r="O242" s="15">
        <f t="shared" ca="1" si="58"/>
        <v>0.25118209156936255</v>
      </c>
      <c r="P242" s="15">
        <f t="shared" ca="1" si="57"/>
        <v>0.25024795910582132</v>
      </c>
      <c r="Q242" s="15">
        <v>0</v>
      </c>
      <c r="R242" s="15">
        <f t="shared" ca="1" si="48"/>
        <v>0.25024795910582132</v>
      </c>
      <c r="S242" s="15">
        <f t="shared" ca="1" si="59"/>
        <v>1.0016858327044103</v>
      </c>
      <c r="T242" s="15">
        <v>0</v>
      </c>
      <c r="U242" s="15">
        <f t="shared" ca="1" si="49"/>
        <v>1.0016858327044103</v>
      </c>
      <c r="V242" s="15">
        <f t="shared" ca="1" si="50"/>
        <v>1.0009918364232853</v>
      </c>
      <c r="X242" s="15">
        <f t="shared" si="51"/>
        <v>1.05</v>
      </c>
      <c r="Y242" s="15">
        <f t="shared" si="52"/>
        <v>0.95</v>
      </c>
      <c r="Z242" s="15">
        <f t="shared" ca="1" si="53"/>
        <v>1</v>
      </c>
      <c r="AC242" s="15">
        <f t="shared" ca="1" si="54"/>
        <v>9.8373949055530516E-7</v>
      </c>
      <c r="AD242" s="15">
        <f t="shared" ca="1" si="55"/>
        <v>9.9183642328526389E-4</v>
      </c>
      <c r="AE242" s="15">
        <f t="shared" ca="1" si="56"/>
        <v>0.19836728465705278</v>
      </c>
    </row>
    <row r="243" spans="12:31" x14ac:dyDescent="0.3">
      <c r="L243" s="15">
        <v>241</v>
      </c>
      <c r="M243" s="15">
        <f t="shared" si="46"/>
        <v>1</v>
      </c>
      <c r="N243" s="15">
        <f t="shared" ca="1" si="47"/>
        <v>-9.9183642328526389E-4</v>
      </c>
      <c r="O243" s="15">
        <f t="shared" ca="1" si="58"/>
        <v>0.25118209156936255</v>
      </c>
      <c r="P243" s="15">
        <f t="shared" ca="1" si="57"/>
        <v>0.25024795910582132</v>
      </c>
      <c r="Q243" s="15">
        <v>0</v>
      </c>
      <c r="R243" s="15">
        <f t="shared" ca="1" si="48"/>
        <v>0.25024795910582132</v>
      </c>
      <c r="S243" s="15">
        <f t="shared" ca="1" si="59"/>
        <v>1.001736325898001</v>
      </c>
      <c r="T243" s="15">
        <v>0</v>
      </c>
      <c r="U243" s="15">
        <f t="shared" ca="1" si="49"/>
        <v>1.001736325898001</v>
      </c>
      <c r="V243" s="15">
        <f t="shared" ca="1" si="50"/>
        <v>1.0009918364232853</v>
      </c>
      <c r="X243" s="15">
        <f t="shared" si="51"/>
        <v>1.05</v>
      </c>
      <c r="Y243" s="15">
        <f t="shared" si="52"/>
        <v>0.95</v>
      </c>
      <c r="Z243" s="15">
        <f t="shared" ca="1" si="53"/>
        <v>1</v>
      </c>
      <c r="AC243" s="15">
        <f t="shared" ca="1" si="54"/>
        <v>9.8373949055530516E-7</v>
      </c>
      <c r="AD243" s="15">
        <f t="shared" ca="1" si="55"/>
        <v>9.9183642328526389E-4</v>
      </c>
      <c r="AE243" s="15">
        <f t="shared" ca="1" si="56"/>
        <v>0.19935912108033804</v>
      </c>
    </row>
    <row r="244" spans="12:31" x14ac:dyDescent="0.3">
      <c r="L244" s="15">
        <v>242</v>
      </c>
      <c r="M244" s="15">
        <f t="shared" si="46"/>
        <v>1</v>
      </c>
      <c r="N244" s="15">
        <f t="shared" ca="1" si="47"/>
        <v>-9.9183642328526389E-4</v>
      </c>
      <c r="O244" s="15">
        <f t="shared" ca="1" si="58"/>
        <v>0.25118209156936255</v>
      </c>
      <c r="P244" s="15">
        <f t="shared" ca="1" si="57"/>
        <v>0.25024795910582132</v>
      </c>
      <c r="Q244" s="15">
        <v>0</v>
      </c>
      <c r="R244" s="15">
        <f t="shared" ca="1" si="48"/>
        <v>0.25024795910582132</v>
      </c>
      <c r="S244" s="15">
        <f t="shared" ca="1" si="59"/>
        <v>1.001777260778423</v>
      </c>
      <c r="T244" s="15">
        <v>0</v>
      </c>
      <c r="U244" s="15">
        <f t="shared" ca="1" si="49"/>
        <v>1.001777260778423</v>
      </c>
      <c r="V244" s="15">
        <f t="shared" ca="1" si="50"/>
        <v>1.0009918364232853</v>
      </c>
      <c r="X244" s="15">
        <f t="shared" si="51"/>
        <v>1.05</v>
      </c>
      <c r="Y244" s="15">
        <f t="shared" si="52"/>
        <v>0.95</v>
      </c>
      <c r="Z244" s="15">
        <f t="shared" ca="1" si="53"/>
        <v>1</v>
      </c>
      <c r="AC244" s="15">
        <f t="shared" ca="1" si="54"/>
        <v>9.8373949055530516E-7</v>
      </c>
      <c r="AD244" s="15">
        <f t="shared" ca="1" si="55"/>
        <v>9.9183642328526389E-4</v>
      </c>
      <c r="AE244" s="15">
        <f t="shared" ca="1" si="56"/>
        <v>0.20035095750362331</v>
      </c>
    </row>
    <row r="245" spans="12:31" x14ac:dyDescent="0.3">
      <c r="L245" s="15">
        <v>243</v>
      </c>
      <c r="M245" s="15">
        <f t="shared" si="46"/>
        <v>1</v>
      </c>
      <c r="N245" s="15">
        <f t="shared" ca="1" si="47"/>
        <v>-9.9183642328526389E-4</v>
      </c>
      <c r="O245" s="15">
        <f t="shared" ca="1" si="58"/>
        <v>0.25116334003888485</v>
      </c>
      <c r="P245" s="15">
        <f t="shared" ca="1" si="57"/>
        <v>0.25024795910582132</v>
      </c>
      <c r="Q245" s="15">
        <v>0</v>
      </c>
      <c r="R245" s="15">
        <f t="shared" ca="1" si="48"/>
        <v>0.25024795910582132</v>
      </c>
      <c r="S245" s="15">
        <f t="shared" ca="1" si="59"/>
        <v>1.0018096775026972</v>
      </c>
      <c r="T245" s="15">
        <v>0</v>
      </c>
      <c r="U245" s="15">
        <f t="shared" ca="1" si="49"/>
        <v>1.0018096775026972</v>
      </c>
      <c r="V245" s="15">
        <f t="shared" ca="1" si="50"/>
        <v>1.0009918364232853</v>
      </c>
      <c r="X245" s="15">
        <f t="shared" si="51"/>
        <v>1.05</v>
      </c>
      <c r="Y245" s="15">
        <f t="shared" si="52"/>
        <v>0.95</v>
      </c>
      <c r="Z245" s="15">
        <f t="shared" ca="1" si="53"/>
        <v>1</v>
      </c>
      <c r="AC245" s="15">
        <f t="shared" ca="1" si="54"/>
        <v>9.8373949055530516E-7</v>
      </c>
      <c r="AD245" s="15">
        <f t="shared" ca="1" si="55"/>
        <v>9.9183642328526389E-4</v>
      </c>
      <c r="AE245" s="15">
        <f t="shared" ca="1" si="56"/>
        <v>0.20134279392690857</v>
      </c>
    </row>
    <row r="246" spans="12:31" x14ac:dyDescent="0.3">
      <c r="L246" s="15">
        <v>244</v>
      </c>
      <c r="M246" s="15">
        <f t="shared" si="46"/>
        <v>1</v>
      </c>
      <c r="N246" s="15">
        <f t="shared" ca="1" si="47"/>
        <v>-9.9183642328526389E-4</v>
      </c>
      <c r="O246" s="15">
        <f t="shared" ca="1" si="58"/>
        <v>0.25116334003888485</v>
      </c>
      <c r="P246" s="15">
        <f t="shared" ca="1" si="57"/>
        <v>0.25024795910582132</v>
      </c>
      <c r="Q246" s="15">
        <v>0</v>
      </c>
      <c r="R246" s="15">
        <f t="shared" ca="1" si="48"/>
        <v>0.25024795910582132</v>
      </c>
      <c r="S246" s="15">
        <f t="shared" ca="1" si="59"/>
        <v>1.001834520222785</v>
      </c>
      <c r="T246" s="15">
        <v>0</v>
      </c>
      <c r="U246" s="15">
        <f t="shared" ca="1" si="49"/>
        <v>1.001834520222785</v>
      </c>
      <c r="V246" s="15">
        <f t="shared" ca="1" si="50"/>
        <v>1.0009918364232853</v>
      </c>
      <c r="X246" s="15">
        <f t="shared" si="51"/>
        <v>1.05</v>
      </c>
      <c r="Y246" s="15">
        <f t="shared" si="52"/>
        <v>0.95</v>
      </c>
      <c r="Z246" s="15">
        <f t="shared" ca="1" si="53"/>
        <v>1</v>
      </c>
      <c r="AC246" s="15">
        <f t="shared" ca="1" si="54"/>
        <v>9.8373949055530516E-7</v>
      </c>
      <c r="AD246" s="15">
        <f t="shared" ca="1" si="55"/>
        <v>9.9183642328526389E-4</v>
      </c>
      <c r="AE246" s="15">
        <f t="shared" ca="1" si="56"/>
        <v>0.20233463035019383</v>
      </c>
    </row>
    <row r="247" spans="12:31" x14ac:dyDescent="0.3">
      <c r="L247" s="15">
        <v>245</v>
      </c>
      <c r="M247" s="15">
        <f t="shared" si="46"/>
        <v>1</v>
      </c>
      <c r="N247" s="15">
        <f t="shared" ca="1" si="47"/>
        <v>-9.9183642328526389E-4</v>
      </c>
      <c r="O247" s="15">
        <f t="shared" ca="1" si="58"/>
        <v>0.25116334003888485</v>
      </c>
      <c r="P247" s="15">
        <f t="shared" ca="1" si="57"/>
        <v>0.25024795910582132</v>
      </c>
      <c r="Q247" s="15">
        <v>0</v>
      </c>
      <c r="R247" s="15">
        <f t="shared" ca="1" si="48"/>
        <v>0.25024795910582132</v>
      </c>
      <c r="S247" s="15">
        <f t="shared" ca="1" si="59"/>
        <v>1.0018526452787069</v>
      </c>
      <c r="T247" s="15">
        <v>0</v>
      </c>
      <c r="U247" s="15">
        <f t="shared" ca="1" si="49"/>
        <v>1.0018526452787069</v>
      </c>
      <c r="V247" s="15">
        <f t="shared" ca="1" si="50"/>
        <v>1.0009918364232853</v>
      </c>
      <c r="X247" s="15">
        <f t="shared" si="51"/>
        <v>1.05</v>
      </c>
      <c r="Y247" s="15">
        <f t="shared" si="52"/>
        <v>0.95</v>
      </c>
      <c r="Z247" s="15">
        <f t="shared" ca="1" si="53"/>
        <v>1</v>
      </c>
      <c r="AC247" s="15">
        <f t="shared" ca="1" si="54"/>
        <v>9.8373949055530516E-7</v>
      </c>
      <c r="AD247" s="15">
        <f t="shared" ca="1" si="55"/>
        <v>9.9183642328526389E-4</v>
      </c>
      <c r="AE247" s="15">
        <f t="shared" ca="1" si="56"/>
        <v>0.2033264667734791</v>
      </c>
    </row>
    <row r="248" spans="12:31" x14ac:dyDescent="0.3">
      <c r="L248" s="15">
        <v>246</v>
      </c>
      <c r="M248" s="15">
        <f t="shared" si="46"/>
        <v>1</v>
      </c>
      <c r="N248" s="15">
        <f t="shared" ca="1" si="47"/>
        <v>-9.9183642328526389E-4</v>
      </c>
      <c r="O248" s="15">
        <f t="shared" ca="1" si="58"/>
        <v>0.25114458850840715</v>
      </c>
      <c r="P248" s="15">
        <f t="shared" ca="1" si="57"/>
        <v>0.25024795910582132</v>
      </c>
      <c r="Q248" s="15">
        <v>0</v>
      </c>
      <c r="R248" s="15">
        <f t="shared" ca="1" si="48"/>
        <v>0.25024795910582132</v>
      </c>
      <c r="S248" s="15">
        <f t="shared" ca="1" si="59"/>
        <v>1.0018648287230689</v>
      </c>
      <c r="T248" s="15">
        <v>0</v>
      </c>
      <c r="U248" s="15">
        <f t="shared" ca="1" si="49"/>
        <v>1.0018648287230689</v>
      </c>
      <c r="V248" s="15">
        <f t="shared" ca="1" si="50"/>
        <v>1.0009918364232853</v>
      </c>
      <c r="X248" s="15">
        <f t="shared" si="51"/>
        <v>1.05</v>
      </c>
      <c r="Y248" s="15">
        <f t="shared" si="52"/>
        <v>0.95</v>
      </c>
      <c r="Z248" s="15">
        <f t="shared" ca="1" si="53"/>
        <v>1</v>
      </c>
      <c r="AC248" s="15">
        <f t="shared" ca="1" si="54"/>
        <v>9.8373949055530516E-7</v>
      </c>
      <c r="AD248" s="15">
        <f t="shared" ca="1" si="55"/>
        <v>9.9183642328526389E-4</v>
      </c>
      <c r="AE248" s="15">
        <f t="shared" ca="1" si="56"/>
        <v>0.20431830319676436</v>
      </c>
    </row>
    <row r="249" spans="12:31" x14ac:dyDescent="0.3">
      <c r="L249" s="15">
        <v>247</v>
      </c>
      <c r="M249" s="15">
        <f t="shared" si="46"/>
        <v>1</v>
      </c>
      <c r="N249" s="15">
        <f t="shared" ca="1" si="47"/>
        <v>-9.9183642328526389E-4</v>
      </c>
      <c r="O249" s="15">
        <f t="shared" ca="1" si="58"/>
        <v>0.25114458850840715</v>
      </c>
      <c r="P249" s="15">
        <f t="shared" ca="1" si="57"/>
        <v>0.25024795910582132</v>
      </c>
      <c r="Q249" s="15">
        <v>0</v>
      </c>
      <c r="R249" s="15">
        <f t="shared" ca="1" si="48"/>
        <v>0.25024795910582132</v>
      </c>
      <c r="S249" s="15">
        <f t="shared" ca="1" si="59"/>
        <v>1.0018717732300384</v>
      </c>
      <c r="T249" s="15">
        <v>0</v>
      </c>
      <c r="U249" s="15">
        <f t="shared" ca="1" si="49"/>
        <v>1.0018717732300384</v>
      </c>
      <c r="V249" s="15">
        <f t="shared" ca="1" si="50"/>
        <v>1.0009918364232853</v>
      </c>
      <c r="X249" s="15">
        <f t="shared" si="51"/>
        <v>1.05</v>
      </c>
      <c r="Y249" s="15">
        <f t="shared" si="52"/>
        <v>0.95</v>
      </c>
      <c r="Z249" s="15">
        <f t="shared" ca="1" si="53"/>
        <v>1</v>
      </c>
      <c r="AC249" s="15">
        <f t="shared" ca="1" si="54"/>
        <v>9.8373949055530516E-7</v>
      </c>
      <c r="AD249" s="15">
        <f t="shared" ca="1" si="55"/>
        <v>9.9183642328526389E-4</v>
      </c>
      <c r="AE249" s="15">
        <f t="shared" ca="1" si="56"/>
        <v>0.20531013962004963</v>
      </c>
    </row>
    <row r="250" spans="12:31" x14ac:dyDescent="0.3">
      <c r="L250" s="15">
        <v>248</v>
      </c>
      <c r="M250" s="15">
        <f t="shared" si="46"/>
        <v>1</v>
      </c>
      <c r="N250" s="15">
        <f t="shared" ca="1" si="47"/>
        <v>-9.9183642328526389E-4</v>
      </c>
      <c r="O250" s="15">
        <f t="shared" ca="1" si="58"/>
        <v>0.25114458850840715</v>
      </c>
      <c r="P250" s="15">
        <f t="shared" ca="1" si="57"/>
        <v>0.25024795910582132</v>
      </c>
      <c r="Q250" s="15">
        <v>0</v>
      </c>
      <c r="R250" s="15">
        <f t="shared" ca="1" si="48"/>
        <v>0.25024795910582132</v>
      </c>
      <c r="S250" s="15">
        <f t="shared" ca="1" si="59"/>
        <v>1.0018741144376837</v>
      </c>
      <c r="T250" s="15">
        <v>0</v>
      </c>
      <c r="U250" s="15">
        <f t="shared" ca="1" si="49"/>
        <v>1.0018741144376837</v>
      </c>
      <c r="V250" s="15">
        <f t="shared" ca="1" si="50"/>
        <v>1.0009918364232853</v>
      </c>
      <c r="X250" s="15">
        <f t="shared" si="51"/>
        <v>1.05</v>
      </c>
      <c r="Y250" s="15">
        <f t="shared" si="52"/>
        <v>0.95</v>
      </c>
      <c r="Z250" s="15">
        <f t="shared" ca="1" si="53"/>
        <v>1</v>
      </c>
      <c r="AC250" s="15">
        <f t="shared" ca="1" si="54"/>
        <v>9.8373949055530516E-7</v>
      </c>
      <c r="AD250" s="15">
        <f t="shared" ca="1" si="55"/>
        <v>9.9183642328526389E-4</v>
      </c>
      <c r="AE250" s="15">
        <f t="shared" ca="1" si="56"/>
        <v>0.20630197604333489</v>
      </c>
    </row>
    <row r="251" spans="12:31" x14ac:dyDescent="0.3">
      <c r="L251" s="15">
        <v>249</v>
      </c>
      <c r="M251" s="15">
        <f t="shared" si="46"/>
        <v>1</v>
      </c>
      <c r="N251" s="15">
        <f t="shared" ca="1" si="47"/>
        <v>-9.9183642328526389E-4</v>
      </c>
      <c r="O251" s="15">
        <f t="shared" ca="1" si="58"/>
        <v>0.25112583697792945</v>
      </c>
      <c r="P251" s="15">
        <f t="shared" ca="1" si="57"/>
        <v>0.25024795910582132</v>
      </c>
      <c r="Q251" s="15">
        <v>0</v>
      </c>
      <c r="R251" s="15">
        <f t="shared" ca="1" si="48"/>
        <v>0.25024795910582132</v>
      </c>
      <c r="S251" s="15">
        <f t="shared" ca="1" si="59"/>
        <v>1.001872426768778</v>
      </c>
      <c r="T251" s="15">
        <v>0</v>
      </c>
      <c r="U251" s="15">
        <f t="shared" ca="1" si="49"/>
        <v>1.001872426768778</v>
      </c>
      <c r="V251" s="15">
        <f t="shared" ca="1" si="50"/>
        <v>1.0009918364232853</v>
      </c>
      <c r="X251" s="15">
        <f t="shared" si="51"/>
        <v>1.05</v>
      </c>
      <c r="Y251" s="15">
        <f t="shared" si="52"/>
        <v>0.95</v>
      </c>
      <c r="Z251" s="15">
        <f t="shared" ca="1" si="53"/>
        <v>1</v>
      </c>
      <c r="AC251" s="15">
        <f t="shared" ca="1" si="54"/>
        <v>9.8373949055530516E-7</v>
      </c>
      <c r="AD251" s="15">
        <f t="shared" ca="1" si="55"/>
        <v>9.9183642328526389E-4</v>
      </c>
      <c r="AE251" s="15">
        <f t="shared" ca="1" si="56"/>
        <v>0.20729381246662015</v>
      </c>
    </row>
    <row r="252" spans="12:31" x14ac:dyDescent="0.3">
      <c r="L252" s="15">
        <v>250</v>
      </c>
      <c r="M252" s="15">
        <f t="shared" si="46"/>
        <v>1</v>
      </c>
      <c r="N252" s="15">
        <f t="shared" ca="1" si="47"/>
        <v>-9.9183642328526389E-4</v>
      </c>
      <c r="O252" s="15">
        <f t="shared" ca="1" si="58"/>
        <v>0.25112583697792945</v>
      </c>
      <c r="P252" s="15">
        <f t="shared" ca="1" si="57"/>
        <v>0.25024795910582132</v>
      </c>
      <c r="Q252" s="15">
        <v>0</v>
      </c>
      <c r="R252" s="15">
        <f t="shared" ca="1" si="48"/>
        <v>0.25024795910582132</v>
      </c>
      <c r="S252" s="15">
        <f t="shared" ca="1" si="59"/>
        <v>1.0018672287716492</v>
      </c>
      <c r="T252" s="15">
        <v>0</v>
      </c>
      <c r="U252" s="15">
        <f t="shared" ca="1" si="49"/>
        <v>1.0018672287716492</v>
      </c>
      <c r="V252" s="15">
        <f t="shared" ca="1" si="50"/>
        <v>1.0009918364232853</v>
      </c>
      <c r="X252" s="15">
        <f t="shared" si="51"/>
        <v>1.05</v>
      </c>
      <c r="Y252" s="15">
        <f t="shared" si="52"/>
        <v>0.95</v>
      </c>
      <c r="Z252" s="15">
        <f t="shared" ca="1" si="53"/>
        <v>1</v>
      </c>
      <c r="AC252" s="15">
        <f t="shared" ca="1" si="54"/>
        <v>9.8373949055530516E-7</v>
      </c>
      <c r="AD252" s="15">
        <f t="shared" ca="1" si="55"/>
        <v>9.9183642328526389E-4</v>
      </c>
      <c r="AE252" s="15">
        <f t="shared" ca="1" si="56"/>
        <v>0.20828564888990542</v>
      </c>
    </row>
    <row r="253" spans="12:31" x14ac:dyDescent="0.3">
      <c r="L253" s="15">
        <v>251</v>
      </c>
      <c r="M253" s="15">
        <f t="shared" si="46"/>
        <v>1</v>
      </c>
      <c r="N253" s="15">
        <f t="shared" ca="1" si="47"/>
        <v>-9.9183642328526389E-4</v>
      </c>
      <c r="O253" s="15">
        <f t="shared" ca="1" si="58"/>
        <v>0.25112583697792945</v>
      </c>
      <c r="P253" s="15">
        <f t="shared" ca="1" si="57"/>
        <v>0.25024795910582132</v>
      </c>
      <c r="Q253" s="15">
        <v>0</v>
      </c>
      <c r="R253" s="15">
        <f t="shared" ca="1" si="48"/>
        <v>0.25024795910582132</v>
      </c>
      <c r="S253" s="15">
        <f t="shared" ca="1" si="59"/>
        <v>1.0018589880194111</v>
      </c>
      <c r="T253" s="15">
        <v>0</v>
      </c>
      <c r="U253" s="15">
        <f t="shared" ca="1" si="49"/>
        <v>1.0018589880194111</v>
      </c>
      <c r="V253" s="15">
        <f t="shared" ca="1" si="50"/>
        <v>1.0009918364232853</v>
      </c>
      <c r="X253" s="15">
        <f t="shared" si="51"/>
        <v>1.05</v>
      </c>
      <c r="Y253" s="15">
        <f t="shared" si="52"/>
        <v>0.95</v>
      </c>
      <c r="Z253" s="15">
        <f t="shared" ca="1" si="53"/>
        <v>1</v>
      </c>
      <c r="AC253" s="15">
        <f t="shared" ca="1" si="54"/>
        <v>9.8373949055530516E-7</v>
      </c>
      <c r="AD253" s="15">
        <f t="shared" ca="1" si="55"/>
        <v>9.9183642328526389E-4</v>
      </c>
      <c r="AE253" s="15">
        <f t="shared" ca="1" si="56"/>
        <v>0.20927748531319068</v>
      </c>
    </row>
    <row r="254" spans="12:31" x14ac:dyDescent="0.3">
      <c r="L254" s="15">
        <v>252</v>
      </c>
      <c r="M254" s="15">
        <f t="shared" si="46"/>
        <v>1</v>
      </c>
      <c r="N254" s="15">
        <f t="shared" ca="1" si="47"/>
        <v>-9.9183642328526389E-4</v>
      </c>
      <c r="O254" s="15">
        <f t="shared" ca="1" si="58"/>
        <v>0.25110708544745175</v>
      </c>
      <c r="P254" s="15">
        <f t="shared" ca="1" si="57"/>
        <v>0.25024795910582132</v>
      </c>
      <c r="Q254" s="15">
        <v>0</v>
      </c>
      <c r="R254" s="15">
        <f t="shared" ca="1" si="48"/>
        <v>0.25024795910582132</v>
      </c>
      <c r="S254" s="15">
        <f t="shared" ca="1" si="59"/>
        <v>1.0018481256029079</v>
      </c>
      <c r="T254" s="15">
        <v>0</v>
      </c>
      <c r="U254" s="15">
        <f t="shared" ca="1" si="49"/>
        <v>1.0018481256029079</v>
      </c>
      <c r="V254" s="15">
        <f t="shared" ca="1" si="50"/>
        <v>1.0009918364232853</v>
      </c>
      <c r="X254" s="15">
        <f t="shared" si="51"/>
        <v>1.05</v>
      </c>
      <c r="Y254" s="15">
        <f t="shared" si="52"/>
        <v>0.95</v>
      </c>
      <c r="Z254" s="15">
        <f t="shared" ca="1" si="53"/>
        <v>1</v>
      </c>
      <c r="AC254" s="15">
        <f t="shared" ca="1" si="54"/>
        <v>9.8373949055530516E-7</v>
      </c>
      <c r="AD254" s="15">
        <f t="shared" ca="1" si="55"/>
        <v>9.9183642328526389E-4</v>
      </c>
      <c r="AE254" s="15">
        <f t="shared" ca="1" si="56"/>
        <v>0.21026932173647594</v>
      </c>
    </row>
    <row r="255" spans="12:31" x14ac:dyDescent="0.3">
      <c r="L255" s="15">
        <v>253</v>
      </c>
      <c r="M255" s="15">
        <f t="shared" si="46"/>
        <v>1</v>
      </c>
      <c r="N255" s="15">
        <f t="shared" ca="1" si="47"/>
        <v>-9.9183642328526389E-4</v>
      </c>
      <c r="O255" s="15">
        <f t="shared" ca="1" si="58"/>
        <v>0.25110708544745175</v>
      </c>
      <c r="P255" s="15">
        <f t="shared" ca="1" si="57"/>
        <v>0.25024795910582132</v>
      </c>
      <c r="Q255" s="15">
        <v>0</v>
      </c>
      <c r="R255" s="15">
        <f t="shared" ca="1" si="48"/>
        <v>0.25024795910582132</v>
      </c>
      <c r="S255" s="15">
        <f t="shared" ca="1" si="59"/>
        <v>1.001835020249946</v>
      </c>
      <c r="T255" s="15">
        <v>0</v>
      </c>
      <c r="U255" s="15">
        <f t="shared" ca="1" si="49"/>
        <v>1.001835020249946</v>
      </c>
      <c r="V255" s="15">
        <f t="shared" ca="1" si="50"/>
        <v>1.0009918364232853</v>
      </c>
      <c r="X255" s="15">
        <f t="shared" si="51"/>
        <v>1.05</v>
      </c>
      <c r="Y255" s="15">
        <f t="shared" si="52"/>
        <v>0.95</v>
      </c>
      <c r="Z255" s="15">
        <f t="shared" ca="1" si="53"/>
        <v>1</v>
      </c>
      <c r="AC255" s="15">
        <f t="shared" ca="1" si="54"/>
        <v>9.8373949055530516E-7</v>
      </c>
      <c r="AD255" s="15">
        <f t="shared" ca="1" si="55"/>
        <v>9.9183642328526389E-4</v>
      </c>
      <c r="AE255" s="15">
        <f t="shared" ca="1" si="56"/>
        <v>0.21126115815976121</v>
      </c>
    </row>
    <row r="256" spans="12:31" x14ac:dyDescent="0.3">
      <c r="L256" s="15">
        <v>254</v>
      </c>
      <c r="M256" s="15">
        <f t="shared" si="46"/>
        <v>1</v>
      </c>
      <c r="N256" s="15">
        <f t="shared" ca="1" si="47"/>
        <v>-9.9183642328526389E-4</v>
      </c>
      <c r="O256" s="15">
        <f t="shared" ca="1" si="58"/>
        <v>0.25110708544745175</v>
      </c>
      <c r="P256" s="15">
        <f t="shared" ca="1" si="57"/>
        <v>0.25024795910582132</v>
      </c>
      <c r="Q256" s="15">
        <v>0</v>
      </c>
      <c r="R256" s="15">
        <f t="shared" ca="1" si="48"/>
        <v>0.25024795910582132</v>
      </c>
      <c r="S256" s="15">
        <f t="shared" ca="1" si="59"/>
        <v>1.0018200121008243</v>
      </c>
      <c r="T256" s="15">
        <v>0</v>
      </c>
      <c r="U256" s="15">
        <f t="shared" ca="1" si="49"/>
        <v>1.0018200121008243</v>
      </c>
      <c r="V256" s="15">
        <f t="shared" ca="1" si="50"/>
        <v>1.0009918364232853</v>
      </c>
      <c r="X256" s="15">
        <f t="shared" si="51"/>
        <v>1.05</v>
      </c>
      <c r="Y256" s="15">
        <f t="shared" si="52"/>
        <v>0.95</v>
      </c>
      <c r="Z256" s="15">
        <f t="shared" ca="1" si="53"/>
        <v>1</v>
      </c>
      <c r="AC256" s="15">
        <f t="shared" ca="1" si="54"/>
        <v>9.8373949055530516E-7</v>
      </c>
      <c r="AD256" s="15">
        <f t="shared" ca="1" si="55"/>
        <v>9.9183642328526389E-4</v>
      </c>
      <c r="AE256" s="15">
        <f t="shared" ca="1" si="56"/>
        <v>0.21225299458304647</v>
      </c>
    </row>
    <row r="257" spans="12:31" x14ac:dyDescent="0.3">
      <c r="L257" s="15">
        <v>255</v>
      </c>
      <c r="M257" s="15">
        <f t="shared" si="46"/>
        <v>1</v>
      </c>
      <c r="N257" s="15">
        <f t="shared" ca="1" si="47"/>
        <v>-9.9183642328526389E-4</v>
      </c>
      <c r="O257" s="15">
        <f t="shared" ca="1" si="58"/>
        <v>0.25108833391697405</v>
      </c>
      <c r="P257" s="15">
        <f t="shared" ca="1" si="57"/>
        <v>0.25024795910582132</v>
      </c>
      <c r="Q257" s="15">
        <v>0</v>
      </c>
      <c r="R257" s="15">
        <f t="shared" ca="1" si="48"/>
        <v>0.25024795910582132</v>
      </c>
      <c r="S257" s="15">
        <f t="shared" ca="1" si="59"/>
        <v>1.0017902062337156</v>
      </c>
      <c r="T257" s="15">
        <v>0</v>
      </c>
      <c r="U257" s="15">
        <f t="shared" ca="1" si="49"/>
        <v>1.0017902062337156</v>
      </c>
      <c r="V257" s="15">
        <f t="shared" ca="1" si="50"/>
        <v>1.0009918364232853</v>
      </c>
      <c r="X257" s="15">
        <f t="shared" si="51"/>
        <v>1.05</v>
      </c>
      <c r="Y257" s="15">
        <f t="shared" si="52"/>
        <v>0.95</v>
      </c>
      <c r="Z257" s="15">
        <f t="shared" ca="1" si="53"/>
        <v>1</v>
      </c>
      <c r="AC257" s="15">
        <f t="shared" ca="1" si="54"/>
        <v>9.8373949055530516E-7</v>
      </c>
      <c r="AD257" s="15">
        <f t="shared" ca="1" si="55"/>
        <v>9.9183642328526389E-4</v>
      </c>
      <c r="AE257" s="15">
        <f t="shared" ca="1" si="56"/>
        <v>0.21324483100633174</v>
      </c>
    </row>
    <row r="258" spans="12:31" x14ac:dyDescent="0.3">
      <c r="L258" s="15">
        <v>256</v>
      </c>
      <c r="M258" s="15">
        <f t="shared" si="46"/>
        <v>1</v>
      </c>
      <c r="N258" s="15">
        <f t="shared" ca="1" si="47"/>
        <v>-9.9183642328526389E-4</v>
      </c>
      <c r="O258" s="15">
        <f t="shared" ca="1" si="58"/>
        <v>0.25108833391697405</v>
      </c>
      <c r="P258" s="15">
        <f t="shared" ca="1" si="57"/>
        <v>0.25024795910582132</v>
      </c>
      <c r="Q258" s="15">
        <v>0</v>
      </c>
      <c r="R258" s="15">
        <f t="shared" ca="1" si="48"/>
        <v>0.25024795910582132</v>
      </c>
      <c r="S258" s="15">
        <f t="shared" ca="1" si="59"/>
        <v>1.0017349911259592</v>
      </c>
      <c r="T258" s="15">
        <v>0</v>
      </c>
      <c r="U258" s="15">
        <f t="shared" ca="1" si="49"/>
        <v>1.0017349911259592</v>
      </c>
      <c r="V258" s="15">
        <f t="shared" ca="1" si="50"/>
        <v>1.0009918364232853</v>
      </c>
      <c r="X258" s="15">
        <f t="shared" si="51"/>
        <v>1.05</v>
      </c>
      <c r="Y258" s="15">
        <f t="shared" si="52"/>
        <v>0.95</v>
      </c>
      <c r="Z258" s="15">
        <f t="shared" ca="1" si="53"/>
        <v>1</v>
      </c>
      <c r="AC258" s="15">
        <f t="shared" ca="1" si="54"/>
        <v>9.8373949055530516E-7</v>
      </c>
      <c r="AD258" s="15">
        <f t="shared" ca="1" si="55"/>
        <v>9.9183642328526389E-4</v>
      </c>
      <c r="AE258" s="15">
        <f t="shared" ca="1" si="56"/>
        <v>0.214236667429617</v>
      </c>
    </row>
    <row r="259" spans="12:31" x14ac:dyDescent="0.3">
      <c r="L259" s="15">
        <v>257</v>
      </c>
      <c r="M259" s="15">
        <f t="shared" ref="M259:M322" si="60">IF(L259&lt;$D$16,$D$12,IF(L259&lt;$E$16,$E$12,$F$13))</f>
        <v>1</v>
      </c>
      <c r="N259" s="15">
        <f t="shared" ref="N259:N322" ca="1" si="61">M259-V259</f>
        <v>-9.9183642328526389E-4</v>
      </c>
      <c r="O259" s="15">
        <f t="shared" ca="1" si="58"/>
        <v>0.25108833391697405</v>
      </c>
      <c r="P259" s="15">
        <f t="shared" ca="1" si="57"/>
        <v>0.25024795910582132</v>
      </c>
      <c r="Q259" s="15">
        <v>0</v>
      </c>
      <c r="R259" s="15">
        <f t="shared" ref="R259:R322" ca="1" si="62">P259+Q259</f>
        <v>0.25024795910582132</v>
      </c>
      <c r="S259" s="15">
        <f t="shared" ca="1" si="59"/>
        <v>1.0016578256675781</v>
      </c>
      <c r="T259" s="15">
        <v>0</v>
      </c>
      <c r="U259" s="15">
        <f t="shared" ref="U259:U322" ca="1" si="63">S259+T259</f>
        <v>1.0016578256675781</v>
      </c>
      <c r="V259" s="15">
        <f t="shared" ref="V259:V322" ca="1" si="64">INT((2^$J$12-1)*U259/100)/(2^$J$12-1)*100</f>
        <v>1.0009918364232853</v>
      </c>
      <c r="X259" s="15">
        <f t="shared" ref="X259:X322" si="65">M259 * 1.05</f>
        <v>1.05</v>
      </c>
      <c r="Y259" s="15">
        <f t="shared" ref="Y259:Y322" si="66">M259 * 0.95</f>
        <v>0.95</v>
      </c>
      <c r="Z259" s="15">
        <f t="shared" ref="Z259:Z322" ca="1" si="67">IF(AND(V259 &lt;= X259, V259 &gt;= Y259), 1, 0)</f>
        <v>1</v>
      </c>
      <c r="AC259" s="15">
        <f t="shared" ref="AC259:AC322" ca="1" si="68">N259^2</f>
        <v>9.8373949055530516E-7</v>
      </c>
      <c r="AD259" s="15">
        <f t="shared" ref="AD259:AD322" ca="1" si="69">ABS(N259)</f>
        <v>9.9183642328526389E-4</v>
      </c>
      <c r="AE259" s="15">
        <f t="shared" ref="AE259:AE322" ca="1" si="70">IF(M259&gt;0, ABS(N259)*(L259-$D$16),0)</f>
        <v>0.21522850385290226</v>
      </c>
    </row>
    <row r="260" spans="12:31" x14ac:dyDescent="0.3">
      <c r="L260" s="15">
        <v>258</v>
      </c>
      <c r="M260" s="15">
        <f t="shared" si="60"/>
        <v>1</v>
      </c>
      <c r="N260" s="15">
        <f t="shared" ca="1" si="61"/>
        <v>-9.9183642328526389E-4</v>
      </c>
      <c r="O260" s="15">
        <f t="shared" ca="1" si="58"/>
        <v>0.25106958238649635</v>
      </c>
      <c r="P260" s="15">
        <f t="shared" ca="1" si="57"/>
        <v>0.25024795910582132</v>
      </c>
      <c r="Q260" s="15">
        <v>0</v>
      </c>
      <c r="R260" s="15">
        <f t="shared" ca="1" si="62"/>
        <v>0.25024795910582132</v>
      </c>
      <c r="S260" s="15">
        <f t="shared" ca="1" si="59"/>
        <v>1.0015750224659024</v>
      </c>
      <c r="T260" s="15">
        <v>0</v>
      </c>
      <c r="U260" s="15">
        <f t="shared" ca="1" si="63"/>
        <v>1.0015750224659024</v>
      </c>
      <c r="V260" s="15">
        <f t="shared" ca="1" si="64"/>
        <v>1.0009918364232853</v>
      </c>
      <c r="X260" s="15">
        <f t="shared" si="65"/>
        <v>1.05</v>
      </c>
      <c r="Y260" s="15">
        <f t="shared" si="66"/>
        <v>0.95</v>
      </c>
      <c r="Z260" s="15">
        <f t="shared" ca="1" si="67"/>
        <v>1</v>
      </c>
      <c r="AC260" s="15">
        <f t="shared" ca="1" si="68"/>
        <v>9.8373949055530516E-7</v>
      </c>
      <c r="AD260" s="15">
        <f t="shared" ca="1" si="69"/>
        <v>9.9183642328526389E-4</v>
      </c>
      <c r="AE260" s="15">
        <f t="shared" ca="1" si="70"/>
        <v>0.21622034027618753</v>
      </c>
    </row>
    <row r="261" spans="12:31" x14ac:dyDescent="0.3">
      <c r="L261" s="15">
        <v>259</v>
      </c>
      <c r="M261" s="15">
        <f t="shared" si="60"/>
        <v>1</v>
      </c>
      <c r="N261" s="15">
        <f t="shared" ca="1" si="61"/>
        <v>-9.9183642328526389E-4</v>
      </c>
      <c r="O261" s="15">
        <f t="shared" ca="1" si="58"/>
        <v>0.25106958238649635</v>
      </c>
      <c r="P261" s="15">
        <f t="shared" ca="1" si="57"/>
        <v>0.25024795910582132</v>
      </c>
      <c r="Q261" s="15">
        <v>0</v>
      </c>
      <c r="R261" s="15">
        <f t="shared" ca="1" si="62"/>
        <v>0.25024795910582132</v>
      </c>
      <c r="S261" s="15">
        <f t="shared" ca="1" si="59"/>
        <v>1.001500263335247</v>
      </c>
      <c r="T261" s="15">
        <v>0</v>
      </c>
      <c r="U261" s="15">
        <f t="shared" ca="1" si="63"/>
        <v>1.001500263335247</v>
      </c>
      <c r="V261" s="15">
        <f t="shared" ca="1" si="64"/>
        <v>1.0009918364232853</v>
      </c>
      <c r="X261" s="15">
        <f t="shared" si="65"/>
        <v>1.05</v>
      </c>
      <c r="Y261" s="15">
        <f t="shared" si="66"/>
        <v>0.95</v>
      </c>
      <c r="Z261" s="15">
        <f t="shared" ca="1" si="67"/>
        <v>1</v>
      </c>
      <c r="AC261" s="15">
        <f t="shared" ca="1" si="68"/>
        <v>9.8373949055530516E-7</v>
      </c>
      <c r="AD261" s="15">
        <f t="shared" ca="1" si="69"/>
        <v>9.9183642328526389E-4</v>
      </c>
      <c r="AE261" s="15">
        <f t="shared" ca="1" si="70"/>
        <v>0.21721217669947279</v>
      </c>
    </row>
    <row r="262" spans="12:31" x14ac:dyDescent="0.3">
      <c r="L262" s="15">
        <v>260</v>
      </c>
      <c r="M262" s="15">
        <f t="shared" si="60"/>
        <v>1</v>
      </c>
      <c r="N262" s="15">
        <f t="shared" ca="1" si="61"/>
        <v>-9.9183642328526389E-4</v>
      </c>
      <c r="O262" s="15">
        <f t="shared" ca="1" si="58"/>
        <v>0.25106958238649635</v>
      </c>
      <c r="P262" s="15">
        <f t="shared" ca="1" si="57"/>
        <v>0.25024795910582132</v>
      </c>
      <c r="Q262" s="15">
        <v>0</v>
      </c>
      <c r="R262" s="15">
        <f t="shared" ca="1" si="62"/>
        <v>0.25024795910582132</v>
      </c>
      <c r="S262" s="15">
        <f t="shared" ca="1" si="59"/>
        <v>1.0014328433940993</v>
      </c>
      <c r="T262" s="15">
        <v>0</v>
      </c>
      <c r="U262" s="15">
        <f t="shared" ca="1" si="63"/>
        <v>1.0014328433940993</v>
      </c>
      <c r="V262" s="15">
        <f t="shared" ca="1" si="64"/>
        <v>1.0009918364232853</v>
      </c>
      <c r="X262" s="15">
        <f t="shared" si="65"/>
        <v>1.05</v>
      </c>
      <c r="Y262" s="15">
        <f t="shared" si="66"/>
        <v>0.95</v>
      </c>
      <c r="Z262" s="15">
        <f t="shared" ca="1" si="67"/>
        <v>1</v>
      </c>
      <c r="AC262" s="15">
        <f t="shared" ca="1" si="68"/>
        <v>9.8373949055530516E-7</v>
      </c>
      <c r="AD262" s="15">
        <f t="shared" ca="1" si="69"/>
        <v>9.9183642328526389E-4</v>
      </c>
      <c r="AE262" s="15">
        <f t="shared" ca="1" si="70"/>
        <v>0.21820401312275806</v>
      </c>
    </row>
    <row r="263" spans="12:31" x14ac:dyDescent="0.3">
      <c r="L263" s="15">
        <v>261</v>
      </c>
      <c r="M263" s="15">
        <f t="shared" si="60"/>
        <v>1</v>
      </c>
      <c r="N263" s="15">
        <f t="shared" ca="1" si="61"/>
        <v>-9.9183642328526389E-4</v>
      </c>
      <c r="O263" s="15">
        <f t="shared" ca="1" si="58"/>
        <v>0.25105083085601865</v>
      </c>
      <c r="P263" s="15">
        <f t="shared" ca="1" si="57"/>
        <v>0.25024795910582132</v>
      </c>
      <c r="Q263" s="15">
        <v>0</v>
      </c>
      <c r="R263" s="15">
        <f t="shared" ca="1" si="62"/>
        <v>0.25024795910582132</v>
      </c>
      <c r="S263" s="15">
        <f t="shared" ca="1" si="59"/>
        <v>1.0013721161939884</v>
      </c>
      <c r="T263" s="15">
        <v>0</v>
      </c>
      <c r="U263" s="15">
        <f t="shared" ca="1" si="63"/>
        <v>1.0013721161939884</v>
      </c>
      <c r="V263" s="15">
        <f t="shared" ca="1" si="64"/>
        <v>1.0009918364232853</v>
      </c>
      <c r="X263" s="15">
        <f t="shared" si="65"/>
        <v>1.05</v>
      </c>
      <c r="Y263" s="15">
        <f t="shared" si="66"/>
        <v>0.95</v>
      </c>
      <c r="Z263" s="15">
        <f t="shared" ca="1" si="67"/>
        <v>1</v>
      </c>
      <c r="AC263" s="15">
        <f t="shared" ca="1" si="68"/>
        <v>9.8373949055530516E-7</v>
      </c>
      <c r="AD263" s="15">
        <f t="shared" ca="1" si="69"/>
        <v>9.9183642328526389E-4</v>
      </c>
      <c r="AE263" s="15">
        <f t="shared" ca="1" si="70"/>
        <v>0.21919584954604332</v>
      </c>
    </row>
    <row r="264" spans="12:31" x14ac:dyDescent="0.3">
      <c r="L264" s="15">
        <v>262</v>
      </c>
      <c r="M264" s="15">
        <f t="shared" si="60"/>
        <v>1</v>
      </c>
      <c r="N264" s="15">
        <f t="shared" ca="1" si="61"/>
        <v>-9.9183642328526389E-4</v>
      </c>
      <c r="O264" s="15">
        <f t="shared" ca="1" si="58"/>
        <v>0.25105083085601865</v>
      </c>
      <c r="P264" s="15">
        <f t="shared" ca="1" si="57"/>
        <v>0.25024795910582132</v>
      </c>
      <c r="Q264" s="15">
        <v>0</v>
      </c>
      <c r="R264" s="15">
        <f t="shared" ca="1" si="62"/>
        <v>0.25024795910582132</v>
      </c>
      <c r="S264" s="15">
        <f t="shared" ca="1" si="59"/>
        <v>1.0013174890364442</v>
      </c>
      <c r="T264" s="15">
        <v>0</v>
      </c>
      <c r="U264" s="15">
        <f t="shared" ca="1" si="63"/>
        <v>1.0013174890364442</v>
      </c>
      <c r="V264" s="15">
        <f t="shared" ca="1" si="64"/>
        <v>1.0009918364232853</v>
      </c>
      <c r="X264" s="15">
        <f t="shared" si="65"/>
        <v>1.05</v>
      </c>
      <c r="Y264" s="15">
        <f t="shared" si="66"/>
        <v>0.95</v>
      </c>
      <c r="Z264" s="15">
        <f t="shared" ca="1" si="67"/>
        <v>1</v>
      </c>
      <c r="AC264" s="15">
        <f t="shared" ca="1" si="68"/>
        <v>9.8373949055530516E-7</v>
      </c>
      <c r="AD264" s="15">
        <f t="shared" ca="1" si="69"/>
        <v>9.9183642328526389E-4</v>
      </c>
      <c r="AE264" s="15">
        <f t="shared" ca="1" si="70"/>
        <v>0.22018768596932858</v>
      </c>
    </row>
    <row r="265" spans="12:31" x14ac:dyDescent="0.3">
      <c r="L265" s="15">
        <v>263</v>
      </c>
      <c r="M265" s="15">
        <f t="shared" si="60"/>
        <v>1</v>
      </c>
      <c r="N265" s="15">
        <f t="shared" ca="1" si="61"/>
        <v>-9.9183642328526389E-4</v>
      </c>
      <c r="O265" s="15">
        <f t="shared" ca="1" si="58"/>
        <v>0.25105083085601865</v>
      </c>
      <c r="P265" s="15">
        <f t="shared" ca="1" si="57"/>
        <v>0.25024795910582132</v>
      </c>
      <c r="Q265" s="15">
        <v>0</v>
      </c>
      <c r="R265" s="15">
        <f t="shared" ca="1" si="62"/>
        <v>0.25024795910582132</v>
      </c>
      <c r="S265" s="15">
        <f t="shared" ca="1" si="59"/>
        <v>1.0012684186570631</v>
      </c>
      <c r="T265" s="15">
        <v>0</v>
      </c>
      <c r="U265" s="15">
        <f t="shared" ca="1" si="63"/>
        <v>1.0012684186570631</v>
      </c>
      <c r="V265" s="15">
        <f t="shared" ca="1" si="64"/>
        <v>1.0009918364232853</v>
      </c>
      <c r="X265" s="15">
        <f t="shared" si="65"/>
        <v>1.05</v>
      </c>
      <c r="Y265" s="15">
        <f t="shared" si="66"/>
        <v>0.95</v>
      </c>
      <c r="Z265" s="15">
        <f t="shared" ca="1" si="67"/>
        <v>1</v>
      </c>
      <c r="AC265" s="15">
        <f t="shared" ca="1" si="68"/>
        <v>9.8373949055530516E-7</v>
      </c>
      <c r="AD265" s="15">
        <f t="shared" ca="1" si="69"/>
        <v>9.9183642328526389E-4</v>
      </c>
      <c r="AE265" s="15">
        <f t="shared" ca="1" si="70"/>
        <v>0.22117952239261385</v>
      </c>
    </row>
    <row r="266" spans="12:31" x14ac:dyDescent="0.3">
      <c r="L266" s="15">
        <v>264</v>
      </c>
      <c r="M266" s="15">
        <f t="shared" si="60"/>
        <v>1</v>
      </c>
      <c r="N266" s="15">
        <f t="shared" ca="1" si="61"/>
        <v>-9.9183642328526389E-4</v>
      </c>
      <c r="O266" s="15">
        <f t="shared" ca="1" si="58"/>
        <v>0.25103207932554095</v>
      </c>
      <c r="P266" s="15">
        <f t="shared" ca="1" si="57"/>
        <v>0.25024795910582132</v>
      </c>
      <c r="Q266" s="15">
        <v>0</v>
      </c>
      <c r="R266" s="15">
        <f t="shared" ca="1" si="62"/>
        <v>0.25024795910582132</v>
      </c>
      <c r="S266" s="15">
        <f t="shared" ca="1" si="59"/>
        <v>1.0012244072483327</v>
      </c>
      <c r="T266" s="15">
        <v>0</v>
      </c>
      <c r="U266" s="15">
        <f t="shared" ca="1" si="63"/>
        <v>1.0012244072483327</v>
      </c>
      <c r="V266" s="15">
        <f t="shared" ca="1" si="64"/>
        <v>1.0009918364232853</v>
      </c>
      <c r="X266" s="15">
        <f t="shared" si="65"/>
        <v>1.05</v>
      </c>
      <c r="Y266" s="15">
        <f t="shared" si="66"/>
        <v>0.95</v>
      </c>
      <c r="Z266" s="15">
        <f t="shared" ca="1" si="67"/>
        <v>1</v>
      </c>
      <c r="AC266" s="15">
        <f t="shared" ca="1" si="68"/>
        <v>9.8373949055530516E-7</v>
      </c>
      <c r="AD266" s="15">
        <f t="shared" ca="1" si="69"/>
        <v>9.9183642328526389E-4</v>
      </c>
      <c r="AE266" s="15">
        <f t="shared" ca="1" si="70"/>
        <v>0.22217135881589911</v>
      </c>
    </row>
    <row r="267" spans="12:31" x14ac:dyDescent="0.3">
      <c r="L267" s="15">
        <v>265</v>
      </c>
      <c r="M267" s="15">
        <f t="shared" si="60"/>
        <v>1</v>
      </c>
      <c r="N267" s="15">
        <f t="shared" ca="1" si="61"/>
        <v>-9.9183642328526389E-4</v>
      </c>
      <c r="O267" s="15">
        <f t="shared" ca="1" si="58"/>
        <v>0.25103207932554095</v>
      </c>
      <c r="P267" s="15">
        <f t="shared" ca="1" si="57"/>
        <v>0.25024795910582132</v>
      </c>
      <c r="Q267" s="15">
        <v>0</v>
      </c>
      <c r="R267" s="15">
        <f t="shared" ca="1" si="62"/>
        <v>0.25024795910582132</v>
      </c>
      <c r="S267" s="15">
        <f t="shared" ca="1" si="59"/>
        <v>1.0011849987950416</v>
      </c>
      <c r="T267" s="15">
        <v>0</v>
      </c>
      <c r="U267" s="15">
        <f t="shared" ca="1" si="63"/>
        <v>1.0011849987950416</v>
      </c>
      <c r="V267" s="15">
        <f t="shared" ca="1" si="64"/>
        <v>1.0009918364232853</v>
      </c>
      <c r="X267" s="15">
        <f t="shared" si="65"/>
        <v>1.05</v>
      </c>
      <c r="Y267" s="15">
        <f t="shared" si="66"/>
        <v>0.95</v>
      </c>
      <c r="Z267" s="15">
        <f t="shared" ca="1" si="67"/>
        <v>1</v>
      </c>
      <c r="AC267" s="15">
        <f t="shared" ca="1" si="68"/>
        <v>9.8373949055530516E-7</v>
      </c>
      <c r="AD267" s="15">
        <f t="shared" ca="1" si="69"/>
        <v>9.9183642328526389E-4</v>
      </c>
      <c r="AE267" s="15">
        <f t="shared" ca="1" si="70"/>
        <v>0.22316319523918438</v>
      </c>
    </row>
    <row r="268" spans="12:31" x14ac:dyDescent="0.3">
      <c r="L268" s="15">
        <v>266</v>
      </c>
      <c r="M268" s="15">
        <f t="shared" si="60"/>
        <v>1</v>
      </c>
      <c r="N268" s="15">
        <f t="shared" ca="1" si="61"/>
        <v>-9.9183642328526389E-4</v>
      </c>
      <c r="O268" s="15">
        <f t="shared" ca="1" si="58"/>
        <v>0.25103207932554095</v>
      </c>
      <c r="P268" s="15">
        <f t="shared" ca="1" si="57"/>
        <v>0.25024795910582132</v>
      </c>
      <c r="Q268" s="15">
        <v>0</v>
      </c>
      <c r="R268" s="15">
        <f t="shared" ca="1" si="62"/>
        <v>0.25024795910582132</v>
      </c>
      <c r="S268" s="15">
        <f t="shared" ca="1" si="59"/>
        <v>1.0011497756980907</v>
      </c>
      <c r="T268" s="15">
        <v>0</v>
      </c>
      <c r="U268" s="15">
        <f t="shared" ca="1" si="63"/>
        <v>1.0011497756980907</v>
      </c>
      <c r="V268" s="15">
        <f t="shared" ca="1" si="64"/>
        <v>1.0009918364232853</v>
      </c>
      <c r="X268" s="15">
        <f t="shared" si="65"/>
        <v>1.05</v>
      </c>
      <c r="Y268" s="15">
        <f t="shared" si="66"/>
        <v>0.95</v>
      </c>
      <c r="Z268" s="15">
        <f t="shared" ca="1" si="67"/>
        <v>1</v>
      </c>
      <c r="AC268" s="15">
        <f t="shared" ca="1" si="68"/>
        <v>9.8373949055530516E-7</v>
      </c>
      <c r="AD268" s="15">
        <f t="shared" ca="1" si="69"/>
        <v>9.9183642328526389E-4</v>
      </c>
      <c r="AE268" s="15">
        <f t="shared" ca="1" si="70"/>
        <v>0.22415503166246964</v>
      </c>
    </row>
    <row r="269" spans="12:31" x14ac:dyDescent="0.3">
      <c r="L269" s="15">
        <v>267</v>
      </c>
      <c r="M269" s="15">
        <f t="shared" si="60"/>
        <v>1</v>
      </c>
      <c r="N269" s="15">
        <f t="shared" ca="1" si="61"/>
        <v>-9.9183642328526389E-4</v>
      </c>
      <c r="O269" s="15">
        <f t="shared" ca="1" si="58"/>
        <v>0.25101332779506325</v>
      </c>
      <c r="P269" s="15">
        <f t="shared" ref="P269:P332" ca="1" si="71">INT((2^$J$12-1)*O269/100)/(2^$J$12-1)*100</f>
        <v>0.25024795910582132</v>
      </c>
      <c r="Q269" s="15">
        <v>0</v>
      </c>
      <c r="R269" s="15">
        <f t="shared" ca="1" si="62"/>
        <v>0.25024795910582132</v>
      </c>
      <c r="S269" s="15">
        <f t="shared" ca="1" si="59"/>
        <v>1.0011183556643815</v>
      </c>
      <c r="T269" s="15">
        <v>0</v>
      </c>
      <c r="U269" s="15">
        <f t="shared" ca="1" si="63"/>
        <v>1.0011183556643815</v>
      </c>
      <c r="V269" s="15">
        <f t="shared" ca="1" si="64"/>
        <v>1.0009918364232853</v>
      </c>
      <c r="X269" s="15">
        <f t="shared" si="65"/>
        <v>1.05</v>
      </c>
      <c r="Y269" s="15">
        <f t="shared" si="66"/>
        <v>0.95</v>
      </c>
      <c r="Z269" s="15">
        <f t="shared" ca="1" si="67"/>
        <v>1</v>
      </c>
      <c r="AC269" s="15">
        <f t="shared" ca="1" si="68"/>
        <v>9.8373949055530516E-7</v>
      </c>
      <c r="AD269" s="15">
        <f t="shared" ca="1" si="69"/>
        <v>9.9183642328526389E-4</v>
      </c>
      <c r="AE269" s="15">
        <f t="shared" ca="1" si="70"/>
        <v>0.2251468680857549</v>
      </c>
    </row>
    <row r="270" spans="12:31" x14ac:dyDescent="0.3">
      <c r="L270" s="15">
        <v>268</v>
      </c>
      <c r="M270" s="15">
        <f t="shared" si="60"/>
        <v>1</v>
      </c>
      <c r="N270" s="15">
        <f t="shared" ca="1" si="61"/>
        <v>-9.9183642328526389E-4</v>
      </c>
      <c r="O270" s="15">
        <f t="shared" ca="1" si="58"/>
        <v>0.25101332779506325</v>
      </c>
      <c r="P270" s="15">
        <f t="shared" ca="1" si="71"/>
        <v>0.25024795910582132</v>
      </c>
      <c r="Q270" s="15">
        <v>0</v>
      </c>
      <c r="R270" s="15">
        <f t="shared" ca="1" si="62"/>
        <v>0.25024795910582132</v>
      </c>
      <c r="S270" s="15">
        <f t="shared" ca="1" si="59"/>
        <v>1.0010903888421585</v>
      </c>
      <c r="T270" s="15">
        <v>0</v>
      </c>
      <c r="U270" s="15">
        <f t="shared" ca="1" si="63"/>
        <v>1.0010903888421585</v>
      </c>
      <c r="V270" s="15">
        <f t="shared" ca="1" si="64"/>
        <v>1.0009918364232853</v>
      </c>
      <c r="X270" s="15">
        <f t="shared" si="65"/>
        <v>1.05</v>
      </c>
      <c r="Y270" s="15">
        <f t="shared" si="66"/>
        <v>0.95</v>
      </c>
      <c r="Z270" s="15">
        <f t="shared" ca="1" si="67"/>
        <v>1</v>
      </c>
      <c r="AC270" s="15">
        <f t="shared" ca="1" si="68"/>
        <v>9.8373949055530516E-7</v>
      </c>
      <c r="AD270" s="15">
        <f t="shared" ca="1" si="69"/>
        <v>9.9183642328526389E-4</v>
      </c>
      <c r="AE270" s="15">
        <f t="shared" ca="1" si="70"/>
        <v>0.22613870450904017</v>
      </c>
    </row>
    <row r="271" spans="12:31" x14ac:dyDescent="0.3">
      <c r="L271" s="15">
        <v>269</v>
      </c>
      <c r="M271" s="15">
        <f t="shared" si="60"/>
        <v>1</v>
      </c>
      <c r="N271" s="15">
        <f t="shared" ca="1" si="61"/>
        <v>-9.9183642328526389E-4</v>
      </c>
      <c r="O271" s="15">
        <f t="shared" ca="1" si="58"/>
        <v>0.25101332779506325</v>
      </c>
      <c r="P271" s="15">
        <f t="shared" ca="1" si="71"/>
        <v>0.25024795910582132</v>
      </c>
      <c r="Q271" s="15">
        <v>0</v>
      </c>
      <c r="R271" s="15">
        <f t="shared" ca="1" si="62"/>
        <v>0.25024795910582132</v>
      </c>
      <c r="S271" s="15">
        <f t="shared" ca="1" si="59"/>
        <v>1.0010655551827667</v>
      </c>
      <c r="T271" s="15">
        <v>0</v>
      </c>
      <c r="U271" s="15">
        <f t="shared" ca="1" si="63"/>
        <v>1.0010655551827667</v>
      </c>
      <c r="V271" s="15">
        <f t="shared" ca="1" si="64"/>
        <v>1.0009918364232853</v>
      </c>
      <c r="X271" s="15">
        <f t="shared" si="65"/>
        <v>1.05</v>
      </c>
      <c r="Y271" s="15">
        <f t="shared" si="66"/>
        <v>0.95</v>
      </c>
      <c r="Z271" s="15">
        <f t="shared" ca="1" si="67"/>
        <v>1</v>
      </c>
      <c r="AC271" s="15">
        <f t="shared" ca="1" si="68"/>
        <v>9.8373949055530516E-7</v>
      </c>
      <c r="AD271" s="15">
        <f t="shared" ca="1" si="69"/>
        <v>9.9183642328526389E-4</v>
      </c>
      <c r="AE271" s="15">
        <f t="shared" ca="1" si="70"/>
        <v>0.22713054093232543</v>
      </c>
    </row>
    <row r="272" spans="12:31" x14ac:dyDescent="0.3">
      <c r="L272" s="15">
        <v>270</v>
      </c>
      <c r="M272" s="15">
        <f t="shared" si="60"/>
        <v>1</v>
      </c>
      <c r="N272" s="15">
        <f t="shared" ca="1" si="61"/>
        <v>-9.9183642328526389E-4</v>
      </c>
      <c r="O272" s="15">
        <f t="shared" ca="1" si="58"/>
        <v>0.25099457626458554</v>
      </c>
      <c r="P272" s="15">
        <f t="shared" ca="1" si="71"/>
        <v>0.25024795910582132</v>
      </c>
      <c r="Q272" s="15">
        <v>0</v>
      </c>
      <c r="R272" s="15">
        <f t="shared" ca="1" si="62"/>
        <v>0.25024795910582132</v>
      </c>
      <c r="S272" s="15">
        <f t="shared" ca="1" si="59"/>
        <v>1.0010435620112408</v>
      </c>
      <c r="T272" s="15">
        <v>0</v>
      </c>
      <c r="U272" s="15">
        <f t="shared" ca="1" si="63"/>
        <v>1.0010435620112408</v>
      </c>
      <c r="V272" s="15">
        <f t="shared" ca="1" si="64"/>
        <v>1.0009918364232853</v>
      </c>
      <c r="X272" s="15">
        <f t="shared" si="65"/>
        <v>1.05</v>
      </c>
      <c r="Y272" s="15">
        <f t="shared" si="66"/>
        <v>0.95</v>
      </c>
      <c r="Z272" s="15">
        <f t="shared" ca="1" si="67"/>
        <v>1</v>
      </c>
      <c r="AC272" s="15">
        <f t="shared" ca="1" si="68"/>
        <v>9.8373949055530516E-7</v>
      </c>
      <c r="AD272" s="15">
        <f t="shared" ca="1" si="69"/>
        <v>9.9183642328526389E-4</v>
      </c>
      <c r="AE272" s="15">
        <f t="shared" ca="1" si="70"/>
        <v>0.22812237735561069</v>
      </c>
    </row>
    <row r="273" spans="12:31" x14ac:dyDescent="0.3">
      <c r="L273" s="15">
        <v>271</v>
      </c>
      <c r="M273" s="15">
        <f t="shared" si="60"/>
        <v>1</v>
      </c>
      <c r="N273" s="15">
        <f t="shared" ca="1" si="61"/>
        <v>-9.9183642328526389E-4</v>
      </c>
      <c r="O273" s="15">
        <f t="shared" ca="1" si="58"/>
        <v>0.25099457626458554</v>
      </c>
      <c r="P273" s="15">
        <f t="shared" ca="1" si="71"/>
        <v>0.25024795910582132</v>
      </c>
      <c r="Q273" s="15">
        <v>0</v>
      </c>
      <c r="R273" s="15">
        <f t="shared" ca="1" si="62"/>
        <v>0.25024795910582132</v>
      </c>
      <c r="S273" s="15">
        <f t="shared" ca="1" si="59"/>
        <v>1.0010241417894956</v>
      </c>
      <c r="T273" s="15">
        <v>0</v>
      </c>
      <c r="U273" s="15">
        <f t="shared" ca="1" si="63"/>
        <v>1.0010241417894956</v>
      </c>
      <c r="V273" s="15">
        <f t="shared" ca="1" si="64"/>
        <v>1.0009918364232853</v>
      </c>
      <c r="X273" s="15">
        <f t="shared" si="65"/>
        <v>1.05</v>
      </c>
      <c r="Y273" s="15">
        <f t="shared" si="66"/>
        <v>0.95</v>
      </c>
      <c r="Z273" s="15">
        <f t="shared" ca="1" si="67"/>
        <v>1</v>
      </c>
      <c r="AC273" s="15">
        <f t="shared" ca="1" si="68"/>
        <v>9.8373949055530516E-7</v>
      </c>
      <c r="AD273" s="15">
        <f t="shared" ca="1" si="69"/>
        <v>9.9183642328526389E-4</v>
      </c>
      <c r="AE273" s="15">
        <f t="shared" ca="1" si="70"/>
        <v>0.22911421377889596</v>
      </c>
    </row>
    <row r="274" spans="12:31" x14ac:dyDescent="0.3">
      <c r="L274" s="15">
        <v>272</v>
      </c>
      <c r="M274" s="15">
        <f t="shared" si="60"/>
        <v>1</v>
      </c>
      <c r="N274" s="15">
        <f t="shared" ca="1" si="61"/>
        <v>-9.9183642328526389E-4</v>
      </c>
      <c r="O274" s="15">
        <f t="shared" ca="1" si="58"/>
        <v>0.25099457626458554</v>
      </c>
      <c r="P274" s="15">
        <f t="shared" ca="1" si="71"/>
        <v>0.25024795910582132</v>
      </c>
      <c r="Q274" s="15">
        <v>0</v>
      </c>
      <c r="R274" s="15">
        <f t="shared" ca="1" si="62"/>
        <v>0.25024795910582132</v>
      </c>
      <c r="S274" s="15">
        <f t="shared" ca="1" si="59"/>
        <v>1.0010070500571286</v>
      </c>
      <c r="T274" s="15">
        <v>0</v>
      </c>
      <c r="U274" s="15">
        <f t="shared" ca="1" si="63"/>
        <v>1.0010070500571286</v>
      </c>
      <c r="V274" s="15">
        <f t="shared" ca="1" si="64"/>
        <v>1.0009918364232853</v>
      </c>
      <c r="X274" s="15">
        <f t="shared" si="65"/>
        <v>1.05</v>
      </c>
      <c r="Y274" s="15">
        <f t="shared" si="66"/>
        <v>0.95</v>
      </c>
      <c r="Z274" s="15">
        <f t="shared" ca="1" si="67"/>
        <v>1</v>
      </c>
      <c r="AC274" s="15">
        <f t="shared" ca="1" si="68"/>
        <v>9.8373949055530516E-7</v>
      </c>
      <c r="AD274" s="15">
        <f t="shared" ca="1" si="69"/>
        <v>9.9183642328526389E-4</v>
      </c>
      <c r="AE274" s="15">
        <f t="shared" ca="1" si="70"/>
        <v>0.23010605020218122</v>
      </c>
    </row>
    <row r="275" spans="12:31" x14ac:dyDescent="0.3">
      <c r="L275" s="15">
        <v>273</v>
      </c>
      <c r="M275" s="15">
        <f t="shared" si="60"/>
        <v>1</v>
      </c>
      <c r="N275" s="15">
        <f t="shared" ca="1" si="61"/>
        <v>-9.9183642328526389E-4</v>
      </c>
      <c r="O275" s="15">
        <f t="shared" ca="1" si="58"/>
        <v>0.25097582473410784</v>
      </c>
      <c r="P275" s="15">
        <f t="shared" ca="1" si="71"/>
        <v>0.25024795910582132</v>
      </c>
      <c r="Q275" s="15">
        <v>0</v>
      </c>
      <c r="R275" s="15">
        <f t="shared" ca="1" si="62"/>
        <v>0.25024795910582132</v>
      </c>
      <c r="S275" s="15">
        <f t="shared" ca="1" si="59"/>
        <v>1.0009920635360001</v>
      </c>
      <c r="T275" s="15">
        <v>0</v>
      </c>
      <c r="U275" s="15">
        <f t="shared" ca="1" si="63"/>
        <v>1.0009920635360001</v>
      </c>
      <c r="V275" s="15">
        <f t="shared" ca="1" si="64"/>
        <v>1.0009918364232853</v>
      </c>
      <c r="X275" s="15">
        <f t="shared" si="65"/>
        <v>1.05</v>
      </c>
      <c r="Y275" s="15">
        <f t="shared" si="66"/>
        <v>0.95</v>
      </c>
      <c r="Z275" s="15">
        <f t="shared" ca="1" si="67"/>
        <v>1</v>
      </c>
      <c r="AC275" s="15">
        <f t="shared" ca="1" si="68"/>
        <v>9.8373949055530516E-7</v>
      </c>
      <c r="AD275" s="15">
        <f t="shared" ca="1" si="69"/>
        <v>9.9183642328526389E-4</v>
      </c>
      <c r="AE275" s="15">
        <f t="shared" ca="1" si="70"/>
        <v>0.23109788662546649</v>
      </c>
    </row>
    <row r="276" spans="12:31" x14ac:dyDescent="0.3">
      <c r="L276" s="15">
        <v>274</v>
      </c>
      <c r="M276" s="15">
        <f t="shared" si="60"/>
        <v>1</v>
      </c>
      <c r="N276" s="15">
        <f t="shared" ca="1" si="61"/>
        <v>5.3406576638448389E-4</v>
      </c>
      <c r="O276" s="15">
        <f t="shared" ca="1" si="58"/>
        <v>0.25097582473410784</v>
      </c>
      <c r="P276" s="15">
        <f t="shared" ca="1" si="71"/>
        <v>0.25024795910582132</v>
      </c>
      <c r="Q276" s="15">
        <v>0</v>
      </c>
      <c r="R276" s="15">
        <f t="shared" ca="1" si="62"/>
        <v>0.25024795910582132</v>
      </c>
      <c r="S276" s="15">
        <f t="shared" ca="1" si="59"/>
        <v>1.000978978385817</v>
      </c>
      <c r="T276" s="15">
        <v>0</v>
      </c>
      <c r="U276" s="15">
        <f t="shared" ca="1" si="63"/>
        <v>1.000978978385817</v>
      </c>
      <c r="V276" s="15">
        <f t="shared" ca="1" si="64"/>
        <v>0.99946593423361552</v>
      </c>
      <c r="X276" s="15">
        <f t="shared" si="65"/>
        <v>1.05</v>
      </c>
      <c r="Y276" s="15">
        <f t="shared" si="66"/>
        <v>0.95</v>
      </c>
      <c r="Z276" s="15">
        <f t="shared" ca="1" si="67"/>
        <v>1</v>
      </c>
      <c r="AC276" s="15">
        <f t="shared" ca="1" si="68"/>
        <v>2.852262428238461E-7</v>
      </c>
      <c r="AD276" s="15">
        <f t="shared" ca="1" si="69"/>
        <v>5.3406576638448389E-4</v>
      </c>
      <c r="AE276" s="15">
        <f t="shared" ca="1" si="70"/>
        <v>0.12497138933396923</v>
      </c>
    </row>
    <row r="277" spans="12:31" x14ac:dyDescent="0.3">
      <c r="L277" s="15">
        <v>275</v>
      </c>
      <c r="M277" s="15">
        <f t="shared" si="60"/>
        <v>1</v>
      </c>
      <c r="N277" s="15">
        <f t="shared" ca="1" si="61"/>
        <v>5.3406576638448389E-4</v>
      </c>
      <c r="O277" s="15">
        <f t="shared" ca="1" si="58"/>
        <v>0.25097582473410784</v>
      </c>
      <c r="P277" s="15">
        <f t="shared" ca="1" si="71"/>
        <v>0.25024795910582132</v>
      </c>
      <c r="Q277" s="15">
        <v>0</v>
      </c>
      <c r="R277" s="15">
        <f t="shared" ca="1" si="62"/>
        <v>0.25024795910582132</v>
      </c>
      <c r="S277" s="15">
        <f t="shared" ca="1" si="59"/>
        <v>1.0009676085989325</v>
      </c>
      <c r="T277" s="15">
        <v>0</v>
      </c>
      <c r="U277" s="15">
        <f t="shared" ca="1" si="63"/>
        <v>1.0009676085989325</v>
      </c>
      <c r="V277" s="15">
        <f t="shared" ca="1" si="64"/>
        <v>0.99946593423361552</v>
      </c>
      <c r="X277" s="15">
        <f t="shared" si="65"/>
        <v>1.05</v>
      </c>
      <c r="Y277" s="15">
        <f t="shared" si="66"/>
        <v>0.95</v>
      </c>
      <c r="Z277" s="15">
        <f t="shared" ca="1" si="67"/>
        <v>1</v>
      </c>
      <c r="AC277" s="15">
        <f t="shared" ca="1" si="68"/>
        <v>2.852262428238461E-7</v>
      </c>
      <c r="AD277" s="15">
        <f t="shared" ca="1" si="69"/>
        <v>5.3406576638448389E-4</v>
      </c>
      <c r="AE277" s="15">
        <f t="shared" ca="1" si="70"/>
        <v>0.12550545510035371</v>
      </c>
    </row>
    <row r="278" spans="12:31" x14ac:dyDescent="0.3">
      <c r="L278" s="15">
        <v>276</v>
      </c>
      <c r="M278" s="15">
        <f t="shared" si="60"/>
        <v>1</v>
      </c>
      <c r="N278" s="15">
        <f t="shared" ca="1" si="61"/>
        <v>5.3406576638448389E-4</v>
      </c>
      <c r="O278" s="15">
        <f t="shared" ca="1" si="58"/>
        <v>0.25261348047455251</v>
      </c>
      <c r="P278" s="15">
        <f t="shared" ca="1" si="71"/>
        <v>0.25177386129549095</v>
      </c>
      <c r="Q278" s="15">
        <v>0</v>
      </c>
      <c r="R278" s="15">
        <f t="shared" ca="1" si="62"/>
        <v>0.25177386129549095</v>
      </c>
      <c r="S278" s="15">
        <f t="shared" ca="1" si="59"/>
        <v>1.0009577845234789</v>
      </c>
      <c r="T278" s="15">
        <v>0</v>
      </c>
      <c r="U278" s="15">
        <f t="shared" ca="1" si="63"/>
        <v>1.0009577845234789</v>
      </c>
      <c r="V278" s="15">
        <f t="shared" ca="1" si="64"/>
        <v>0.99946593423361552</v>
      </c>
      <c r="X278" s="15">
        <f t="shared" si="65"/>
        <v>1.05</v>
      </c>
      <c r="Y278" s="15">
        <f t="shared" si="66"/>
        <v>0.95</v>
      </c>
      <c r="Z278" s="15">
        <f t="shared" ca="1" si="67"/>
        <v>1</v>
      </c>
      <c r="AC278" s="15">
        <f t="shared" ca="1" si="68"/>
        <v>2.852262428238461E-7</v>
      </c>
      <c r="AD278" s="15">
        <f t="shared" ca="1" si="69"/>
        <v>5.3406576638448389E-4</v>
      </c>
      <c r="AE278" s="15">
        <f t="shared" ca="1" si="70"/>
        <v>0.1260395208667382</v>
      </c>
    </row>
    <row r="279" spans="12:31" x14ac:dyDescent="0.3">
      <c r="L279" s="15">
        <v>277</v>
      </c>
      <c r="M279" s="15">
        <f t="shared" si="60"/>
        <v>1</v>
      </c>
      <c r="N279" s="15">
        <f t="shared" ca="1" si="61"/>
        <v>5.3406576638448389E-4</v>
      </c>
      <c r="O279" s="15">
        <f t="shared" ca="1" si="58"/>
        <v>0.25261348047455251</v>
      </c>
      <c r="P279" s="15">
        <f t="shared" ca="1" si="71"/>
        <v>0.25177386129549095</v>
      </c>
      <c r="Q279" s="15">
        <v>0</v>
      </c>
      <c r="R279" s="15">
        <f t="shared" ca="1" si="62"/>
        <v>0.25177386129549095</v>
      </c>
      <c r="S279" s="15">
        <f t="shared" ca="1" si="59"/>
        <v>1.000949351504788</v>
      </c>
      <c r="T279" s="15">
        <v>0</v>
      </c>
      <c r="U279" s="15">
        <f t="shared" ca="1" si="63"/>
        <v>1.000949351504788</v>
      </c>
      <c r="V279" s="15">
        <f t="shared" ca="1" si="64"/>
        <v>0.99946593423361552</v>
      </c>
      <c r="X279" s="15">
        <f t="shared" si="65"/>
        <v>1.05</v>
      </c>
      <c r="Y279" s="15">
        <f t="shared" si="66"/>
        <v>0.95</v>
      </c>
      <c r="Z279" s="15">
        <f t="shared" ca="1" si="67"/>
        <v>1</v>
      </c>
      <c r="AC279" s="15">
        <f t="shared" ca="1" si="68"/>
        <v>2.852262428238461E-7</v>
      </c>
      <c r="AD279" s="15">
        <f t="shared" ca="1" si="69"/>
        <v>5.3406576638448389E-4</v>
      </c>
      <c r="AE279" s="15">
        <f t="shared" ca="1" si="70"/>
        <v>0.12657358663312268</v>
      </c>
    </row>
    <row r="280" spans="12:31" x14ac:dyDescent="0.3">
      <c r="L280" s="15">
        <v>278</v>
      </c>
      <c r="M280" s="15">
        <f t="shared" si="60"/>
        <v>1</v>
      </c>
      <c r="N280" s="15">
        <f t="shared" ca="1" si="61"/>
        <v>5.3406576638448389E-4</v>
      </c>
      <c r="O280" s="15">
        <f t="shared" ca="1" si="58"/>
        <v>0.25261348047455251</v>
      </c>
      <c r="P280" s="15">
        <f t="shared" ca="1" si="71"/>
        <v>0.25177386129549095</v>
      </c>
      <c r="Q280" s="15">
        <v>0</v>
      </c>
      <c r="R280" s="15">
        <f t="shared" ca="1" si="62"/>
        <v>0.25177386129549095</v>
      </c>
      <c r="S280" s="15">
        <f t="shared" ca="1" si="59"/>
        <v>1.0009421686358337</v>
      </c>
      <c r="T280" s="15">
        <v>0</v>
      </c>
      <c r="U280" s="15">
        <f t="shared" ca="1" si="63"/>
        <v>1.0009421686358337</v>
      </c>
      <c r="V280" s="15">
        <f t="shared" ca="1" si="64"/>
        <v>0.99946593423361552</v>
      </c>
      <c r="X280" s="15">
        <f t="shared" si="65"/>
        <v>1.05</v>
      </c>
      <c r="Y280" s="15">
        <f t="shared" si="66"/>
        <v>0.95</v>
      </c>
      <c r="Z280" s="15">
        <f t="shared" ca="1" si="67"/>
        <v>1</v>
      </c>
      <c r="AC280" s="15">
        <f t="shared" ca="1" si="68"/>
        <v>2.852262428238461E-7</v>
      </c>
      <c r="AD280" s="15">
        <f t="shared" ca="1" si="69"/>
        <v>5.3406576638448389E-4</v>
      </c>
      <c r="AE280" s="15">
        <f t="shared" ca="1" si="70"/>
        <v>0.12710765239950716</v>
      </c>
    </row>
    <row r="281" spans="12:31" x14ac:dyDescent="0.3">
      <c r="L281" s="15">
        <v>279</v>
      </c>
      <c r="M281" s="15">
        <f t="shared" si="60"/>
        <v>1</v>
      </c>
      <c r="N281" s="15">
        <f t="shared" ca="1" si="61"/>
        <v>5.3406576638448389E-4</v>
      </c>
      <c r="O281" s="15">
        <f t="shared" ca="1" si="58"/>
        <v>0.25132954591210371</v>
      </c>
      <c r="P281" s="15">
        <f t="shared" ca="1" si="71"/>
        <v>0.25024795910582132</v>
      </c>
      <c r="Q281" s="15">
        <v>0</v>
      </c>
      <c r="R281" s="15">
        <f t="shared" ca="1" si="62"/>
        <v>0.25024795910582132</v>
      </c>
      <c r="S281" s="15">
        <f t="shared" ca="1" si="59"/>
        <v>1.0009361076081407</v>
      </c>
      <c r="T281" s="15">
        <v>0</v>
      </c>
      <c r="U281" s="15">
        <f t="shared" ca="1" si="63"/>
        <v>1.0009361076081407</v>
      </c>
      <c r="V281" s="15">
        <f t="shared" ca="1" si="64"/>
        <v>0.99946593423361552</v>
      </c>
      <c r="X281" s="15">
        <f t="shared" si="65"/>
        <v>1.05</v>
      </c>
      <c r="Y281" s="15">
        <f t="shared" si="66"/>
        <v>0.95</v>
      </c>
      <c r="Z281" s="15">
        <f t="shared" ca="1" si="67"/>
        <v>1</v>
      </c>
      <c r="AC281" s="15">
        <f t="shared" ca="1" si="68"/>
        <v>2.852262428238461E-7</v>
      </c>
      <c r="AD281" s="15">
        <f t="shared" ca="1" si="69"/>
        <v>5.3406576638448389E-4</v>
      </c>
      <c r="AE281" s="15">
        <f t="shared" ca="1" si="70"/>
        <v>0.12764171816589165</v>
      </c>
    </row>
    <row r="282" spans="12:31" x14ac:dyDescent="0.3">
      <c r="L282" s="15">
        <v>280</v>
      </c>
      <c r="M282" s="15">
        <f t="shared" si="60"/>
        <v>1</v>
      </c>
      <c r="N282" s="15">
        <f t="shared" ca="1" si="61"/>
        <v>5.3406576638448389E-4</v>
      </c>
      <c r="O282" s="15">
        <f t="shared" ca="1" si="58"/>
        <v>0.25132954591210371</v>
      </c>
      <c r="P282" s="15">
        <f t="shared" ca="1" si="71"/>
        <v>0.25024795910582132</v>
      </c>
      <c r="Q282" s="15">
        <v>0</v>
      </c>
      <c r="R282" s="15">
        <f t="shared" ca="1" si="62"/>
        <v>0.25024795910582132</v>
      </c>
      <c r="S282" s="15">
        <f t="shared" ca="1" si="59"/>
        <v>1.0009310516552679</v>
      </c>
      <c r="T282" s="15">
        <v>0</v>
      </c>
      <c r="U282" s="15">
        <f t="shared" ca="1" si="63"/>
        <v>1.0009310516552679</v>
      </c>
      <c r="V282" s="15">
        <f t="shared" ca="1" si="64"/>
        <v>0.99946593423361552</v>
      </c>
      <c r="X282" s="15">
        <f t="shared" si="65"/>
        <v>1.05</v>
      </c>
      <c r="Y282" s="15">
        <f t="shared" si="66"/>
        <v>0.95</v>
      </c>
      <c r="Z282" s="15">
        <f t="shared" ca="1" si="67"/>
        <v>1</v>
      </c>
      <c r="AC282" s="15">
        <f t="shared" ca="1" si="68"/>
        <v>2.852262428238461E-7</v>
      </c>
      <c r="AD282" s="15">
        <f t="shared" ca="1" si="69"/>
        <v>5.3406576638448389E-4</v>
      </c>
      <c r="AE282" s="15">
        <f t="shared" ca="1" si="70"/>
        <v>0.12817578393227613</v>
      </c>
    </row>
    <row r="283" spans="12:31" x14ac:dyDescent="0.3">
      <c r="L283" s="15">
        <v>281</v>
      </c>
      <c r="M283" s="15">
        <f t="shared" si="60"/>
        <v>1</v>
      </c>
      <c r="N283" s="15">
        <f t="shared" ca="1" si="61"/>
        <v>5.3406576638448389E-4</v>
      </c>
      <c r="O283" s="15">
        <f t="shared" ca="1" si="58"/>
        <v>0.25132954591210371</v>
      </c>
      <c r="P283" s="15">
        <f t="shared" ca="1" si="71"/>
        <v>0.25024795910582132</v>
      </c>
      <c r="Q283" s="15">
        <v>0</v>
      </c>
      <c r="R283" s="15">
        <f t="shared" ca="1" si="62"/>
        <v>0.25024795910582132</v>
      </c>
      <c r="S283" s="15">
        <f t="shared" ca="1" si="59"/>
        <v>1.0009268945815832</v>
      </c>
      <c r="T283" s="15">
        <v>0</v>
      </c>
      <c r="U283" s="15">
        <f t="shared" ca="1" si="63"/>
        <v>1.0009268945815832</v>
      </c>
      <c r="V283" s="15">
        <f t="shared" ca="1" si="64"/>
        <v>0.99946593423361552</v>
      </c>
      <c r="X283" s="15">
        <f t="shared" si="65"/>
        <v>1.05</v>
      </c>
      <c r="Y283" s="15">
        <f t="shared" si="66"/>
        <v>0.95</v>
      </c>
      <c r="Z283" s="15">
        <f t="shared" ca="1" si="67"/>
        <v>1</v>
      </c>
      <c r="AC283" s="15">
        <f t="shared" ca="1" si="68"/>
        <v>2.852262428238461E-7</v>
      </c>
      <c r="AD283" s="15">
        <f t="shared" ca="1" si="69"/>
        <v>5.3406576638448389E-4</v>
      </c>
      <c r="AE283" s="15">
        <f t="shared" ca="1" si="70"/>
        <v>0.12870984969866062</v>
      </c>
    </row>
    <row r="284" spans="12:31" x14ac:dyDescent="0.3">
      <c r="L284" s="15">
        <v>282</v>
      </c>
      <c r="M284" s="15">
        <f t="shared" si="60"/>
        <v>1</v>
      </c>
      <c r="N284" s="15">
        <f t="shared" ca="1" si="61"/>
        <v>5.3406576638448389E-4</v>
      </c>
      <c r="O284" s="15">
        <f t="shared" ca="1" si="58"/>
        <v>0.25133964289005323</v>
      </c>
      <c r="P284" s="15">
        <f t="shared" ca="1" si="71"/>
        <v>0.25024795910582132</v>
      </c>
      <c r="Q284" s="15">
        <v>0</v>
      </c>
      <c r="R284" s="15">
        <f t="shared" ca="1" si="62"/>
        <v>0.25024795910582132</v>
      </c>
      <c r="S284" s="15">
        <f t="shared" ca="1" si="59"/>
        <v>1.0009235398696121</v>
      </c>
      <c r="T284" s="15">
        <v>0</v>
      </c>
      <c r="U284" s="15">
        <f t="shared" ca="1" si="63"/>
        <v>1.0009235398696121</v>
      </c>
      <c r="V284" s="15">
        <f t="shared" ca="1" si="64"/>
        <v>0.99946593423361552</v>
      </c>
      <c r="X284" s="15">
        <f t="shared" si="65"/>
        <v>1.05</v>
      </c>
      <c r="Y284" s="15">
        <f t="shared" si="66"/>
        <v>0.95</v>
      </c>
      <c r="Z284" s="15">
        <f t="shared" ca="1" si="67"/>
        <v>1</v>
      </c>
      <c r="AC284" s="15">
        <f t="shared" ca="1" si="68"/>
        <v>2.852262428238461E-7</v>
      </c>
      <c r="AD284" s="15">
        <f t="shared" ca="1" si="69"/>
        <v>5.3406576638448389E-4</v>
      </c>
      <c r="AE284" s="15">
        <f t="shared" ca="1" si="70"/>
        <v>0.1292439154650451</v>
      </c>
    </row>
    <row r="285" spans="12:31" x14ac:dyDescent="0.3">
      <c r="L285" s="15">
        <v>283</v>
      </c>
      <c r="M285" s="15">
        <f t="shared" si="60"/>
        <v>1</v>
      </c>
      <c r="N285" s="15">
        <f t="shared" ca="1" si="61"/>
        <v>5.3406576638448389E-4</v>
      </c>
      <c r="O285" s="15">
        <f t="shared" ca="1" si="58"/>
        <v>0.25133964289005323</v>
      </c>
      <c r="P285" s="15">
        <f t="shared" ca="1" si="71"/>
        <v>0.25024795910582132</v>
      </c>
      <c r="Q285" s="15">
        <v>0</v>
      </c>
      <c r="R285" s="15">
        <f t="shared" ca="1" si="62"/>
        <v>0.25024795910582132</v>
      </c>
      <c r="S285" s="15">
        <f t="shared" ca="1" si="59"/>
        <v>1.0009208998597605</v>
      </c>
      <c r="T285" s="15">
        <v>0</v>
      </c>
      <c r="U285" s="15">
        <f t="shared" ca="1" si="63"/>
        <v>1.0009208998597605</v>
      </c>
      <c r="V285" s="15">
        <f t="shared" ca="1" si="64"/>
        <v>0.99946593423361552</v>
      </c>
      <c r="X285" s="15">
        <f t="shared" si="65"/>
        <v>1.05</v>
      </c>
      <c r="Y285" s="15">
        <f t="shared" si="66"/>
        <v>0.95</v>
      </c>
      <c r="Z285" s="15">
        <f t="shared" ca="1" si="67"/>
        <v>1</v>
      </c>
      <c r="AC285" s="15">
        <f t="shared" ca="1" si="68"/>
        <v>2.852262428238461E-7</v>
      </c>
      <c r="AD285" s="15">
        <f t="shared" ca="1" si="69"/>
        <v>5.3406576638448389E-4</v>
      </c>
      <c r="AE285" s="15">
        <f t="shared" ca="1" si="70"/>
        <v>0.12977798123142958</v>
      </c>
    </row>
    <row r="286" spans="12:31" x14ac:dyDescent="0.3">
      <c r="L286" s="15">
        <v>284</v>
      </c>
      <c r="M286" s="15">
        <f t="shared" si="60"/>
        <v>1</v>
      </c>
      <c r="N286" s="15">
        <f t="shared" ca="1" si="61"/>
        <v>5.3406576638448389E-4</v>
      </c>
      <c r="O286" s="15">
        <f t="shared" ca="1" si="58"/>
        <v>0.25133964289005323</v>
      </c>
      <c r="P286" s="15">
        <f t="shared" ca="1" si="71"/>
        <v>0.25024795910582132</v>
      </c>
      <c r="Q286" s="15">
        <v>0</v>
      </c>
      <c r="R286" s="15">
        <f t="shared" ca="1" si="62"/>
        <v>0.25024795910582132</v>
      </c>
      <c r="S286" s="15">
        <f t="shared" ca="1" si="59"/>
        <v>1.000918894996695</v>
      </c>
      <c r="T286" s="15">
        <v>0</v>
      </c>
      <c r="U286" s="15">
        <f t="shared" ca="1" si="63"/>
        <v>1.000918894996695</v>
      </c>
      <c r="V286" s="15">
        <f t="shared" ca="1" si="64"/>
        <v>0.99946593423361552</v>
      </c>
      <c r="X286" s="15">
        <f t="shared" si="65"/>
        <v>1.05</v>
      </c>
      <c r="Y286" s="15">
        <f t="shared" si="66"/>
        <v>0.95</v>
      </c>
      <c r="Z286" s="15">
        <f t="shared" ca="1" si="67"/>
        <v>1</v>
      </c>
      <c r="AC286" s="15">
        <f t="shared" ca="1" si="68"/>
        <v>2.852262428238461E-7</v>
      </c>
      <c r="AD286" s="15">
        <f t="shared" ca="1" si="69"/>
        <v>5.3406576638448389E-4</v>
      </c>
      <c r="AE286" s="15">
        <f t="shared" ca="1" si="70"/>
        <v>0.13031204699781407</v>
      </c>
    </row>
    <row r="287" spans="12:31" x14ac:dyDescent="0.3">
      <c r="L287" s="15">
        <v>285</v>
      </c>
      <c r="M287" s="15">
        <f t="shared" si="60"/>
        <v>1</v>
      </c>
      <c r="N287" s="15">
        <f t="shared" ca="1" si="61"/>
        <v>5.3406576638448389E-4</v>
      </c>
      <c r="O287" s="15">
        <f t="shared" ca="1" si="58"/>
        <v>0.25134973986800274</v>
      </c>
      <c r="P287" s="15">
        <f t="shared" ca="1" si="71"/>
        <v>0.25024795910582132</v>
      </c>
      <c r="Q287" s="15">
        <v>0</v>
      </c>
      <c r="R287" s="15">
        <f t="shared" ca="1" si="62"/>
        <v>0.25024795910582132</v>
      </c>
      <c r="S287" s="15">
        <f t="shared" ca="1" si="59"/>
        <v>1.0009174531371077</v>
      </c>
      <c r="T287" s="15">
        <v>0</v>
      </c>
      <c r="U287" s="15">
        <f t="shared" ca="1" si="63"/>
        <v>1.0009174531371077</v>
      </c>
      <c r="V287" s="15">
        <f t="shared" ca="1" si="64"/>
        <v>0.99946593423361552</v>
      </c>
      <c r="X287" s="15">
        <f t="shared" si="65"/>
        <v>1.05</v>
      </c>
      <c r="Y287" s="15">
        <f t="shared" si="66"/>
        <v>0.95</v>
      </c>
      <c r="Z287" s="15">
        <f t="shared" ca="1" si="67"/>
        <v>1</v>
      </c>
      <c r="AC287" s="15">
        <f t="shared" ca="1" si="68"/>
        <v>2.852262428238461E-7</v>
      </c>
      <c r="AD287" s="15">
        <f t="shared" ca="1" si="69"/>
        <v>5.3406576638448389E-4</v>
      </c>
      <c r="AE287" s="15">
        <f t="shared" ca="1" si="70"/>
        <v>0.13084611276419855</v>
      </c>
    </row>
    <row r="288" spans="12:31" x14ac:dyDescent="0.3">
      <c r="L288" s="15">
        <v>286</v>
      </c>
      <c r="M288" s="15">
        <f t="shared" si="60"/>
        <v>1</v>
      </c>
      <c r="N288" s="15">
        <f t="shared" ca="1" si="61"/>
        <v>5.3406576638448389E-4</v>
      </c>
      <c r="O288" s="15">
        <f t="shared" ca="1" si="58"/>
        <v>0.25134973986800274</v>
      </c>
      <c r="P288" s="15">
        <f t="shared" ca="1" si="71"/>
        <v>0.25024795910582132</v>
      </c>
      <c r="Q288" s="15">
        <v>0</v>
      </c>
      <c r="R288" s="15">
        <f t="shared" ca="1" si="62"/>
        <v>0.25024795910582132</v>
      </c>
      <c r="S288" s="15">
        <f t="shared" ca="1" si="59"/>
        <v>1.0009165089140002</v>
      </c>
      <c r="T288" s="15">
        <v>0</v>
      </c>
      <c r="U288" s="15">
        <f t="shared" ca="1" si="63"/>
        <v>1.0009165089140002</v>
      </c>
      <c r="V288" s="15">
        <f t="shared" ca="1" si="64"/>
        <v>0.99946593423361552</v>
      </c>
      <c r="X288" s="15">
        <f t="shared" si="65"/>
        <v>1.05</v>
      </c>
      <c r="Y288" s="15">
        <f t="shared" si="66"/>
        <v>0.95</v>
      </c>
      <c r="Z288" s="15">
        <f t="shared" ca="1" si="67"/>
        <v>1</v>
      </c>
      <c r="AC288" s="15">
        <f t="shared" ca="1" si="68"/>
        <v>2.852262428238461E-7</v>
      </c>
      <c r="AD288" s="15">
        <f t="shared" ca="1" si="69"/>
        <v>5.3406576638448389E-4</v>
      </c>
      <c r="AE288" s="15">
        <f t="shared" ca="1" si="70"/>
        <v>0.13138017853058304</v>
      </c>
    </row>
    <row r="289" spans="12:31" x14ac:dyDescent="0.3">
      <c r="L289" s="15">
        <v>287</v>
      </c>
      <c r="M289" s="15">
        <f t="shared" si="60"/>
        <v>1</v>
      </c>
      <c r="N289" s="15">
        <f t="shared" ca="1" si="61"/>
        <v>5.3406576638448389E-4</v>
      </c>
      <c r="O289" s="15">
        <f t="shared" ca="1" si="58"/>
        <v>0.25134973986800274</v>
      </c>
      <c r="P289" s="15">
        <f t="shared" ca="1" si="71"/>
        <v>0.25024795910582132</v>
      </c>
      <c r="Q289" s="15">
        <v>0</v>
      </c>
      <c r="R289" s="15">
        <f t="shared" ca="1" si="62"/>
        <v>0.25024795910582132</v>
      </c>
      <c r="S289" s="15">
        <f t="shared" ca="1" si="59"/>
        <v>1.0009160031530016</v>
      </c>
      <c r="T289" s="15">
        <v>0</v>
      </c>
      <c r="U289" s="15">
        <f t="shared" ca="1" si="63"/>
        <v>1.0009160031530016</v>
      </c>
      <c r="V289" s="15">
        <f t="shared" ca="1" si="64"/>
        <v>0.99946593423361552</v>
      </c>
      <c r="X289" s="15">
        <f t="shared" si="65"/>
        <v>1.05</v>
      </c>
      <c r="Y289" s="15">
        <f t="shared" si="66"/>
        <v>0.95</v>
      </c>
      <c r="Z289" s="15">
        <f t="shared" ca="1" si="67"/>
        <v>1</v>
      </c>
      <c r="AC289" s="15">
        <f t="shared" ca="1" si="68"/>
        <v>2.852262428238461E-7</v>
      </c>
      <c r="AD289" s="15">
        <f t="shared" ca="1" si="69"/>
        <v>5.3406576638448389E-4</v>
      </c>
      <c r="AE289" s="15">
        <f t="shared" ca="1" si="70"/>
        <v>0.13191424429696752</v>
      </c>
    </row>
    <row r="290" spans="12:31" x14ac:dyDescent="0.3">
      <c r="L290" s="15">
        <v>288</v>
      </c>
      <c r="M290" s="15">
        <f t="shared" si="60"/>
        <v>1</v>
      </c>
      <c r="N290" s="15">
        <f t="shared" ca="1" si="61"/>
        <v>5.3406576638448389E-4</v>
      </c>
      <c r="O290" s="15">
        <f t="shared" ca="1" si="58"/>
        <v>0.25135983684595226</v>
      </c>
      <c r="P290" s="15">
        <f t="shared" ca="1" si="71"/>
        <v>0.25024795910582132</v>
      </c>
      <c r="Q290" s="15">
        <v>0</v>
      </c>
      <c r="R290" s="15">
        <f t="shared" ca="1" si="62"/>
        <v>0.25024795910582132</v>
      </c>
      <c r="S290" s="15">
        <f t="shared" ca="1" si="59"/>
        <v>1.0009158823365847</v>
      </c>
      <c r="T290" s="15">
        <v>0</v>
      </c>
      <c r="U290" s="15">
        <f t="shared" ca="1" si="63"/>
        <v>1.0009158823365847</v>
      </c>
      <c r="V290" s="15">
        <f t="shared" ca="1" si="64"/>
        <v>0.99946593423361552</v>
      </c>
      <c r="X290" s="15">
        <f t="shared" si="65"/>
        <v>1.05</v>
      </c>
      <c r="Y290" s="15">
        <f t="shared" si="66"/>
        <v>0.95</v>
      </c>
      <c r="Z290" s="15">
        <f t="shared" ca="1" si="67"/>
        <v>1</v>
      </c>
      <c r="AC290" s="15">
        <f t="shared" ca="1" si="68"/>
        <v>2.852262428238461E-7</v>
      </c>
      <c r="AD290" s="15">
        <f t="shared" ca="1" si="69"/>
        <v>5.3406576638448389E-4</v>
      </c>
      <c r="AE290" s="15">
        <f t="shared" ca="1" si="70"/>
        <v>0.132448310063352</v>
      </c>
    </row>
    <row r="291" spans="12:31" x14ac:dyDescent="0.3">
      <c r="L291" s="15">
        <v>289</v>
      </c>
      <c r="M291" s="15">
        <f t="shared" si="60"/>
        <v>1</v>
      </c>
      <c r="N291" s="15">
        <f t="shared" ca="1" si="61"/>
        <v>5.3406576638448389E-4</v>
      </c>
      <c r="O291" s="15">
        <f t="shared" ca="1" si="58"/>
        <v>0.25135983684595226</v>
      </c>
      <c r="P291" s="15">
        <f t="shared" ca="1" si="71"/>
        <v>0.25024795910582132</v>
      </c>
      <c r="Q291" s="15">
        <v>0</v>
      </c>
      <c r="R291" s="15">
        <f t="shared" ca="1" si="62"/>
        <v>0.25024795910582132</v>
      </c>
      <c r="S291" s="15">
        <f t="shared" ca="1" si="59"/>
        <v>1.0009160981123666</v>
      </c>
      <c r="T291" s="15">
        <v>0</v>
      </c>
      <c r="U291" s="15">
        <f t="shared" ca="1" si="63"/>
        <v>1.0009160981123666</v>
      </c>
      <c r="V291" s="15">
        <f t="shared" ca="1" si="64"/>
        <v>0.99946593423361552</v>
      </c>
      <c r="X291" s="15">
        <f t="shared" si="65"/>
        <v>1.05</v>
      </c>
      <c r="Y291" s="15">
        <f t="shared" si="66"/>
        <v>0.95</v>
      </c>
      <c r="Z291" s="15">
        <f t="shared" ca="1" si="67"/>
        <v>1</v>
      </c>
      <c r="AC291" s="15">
        <f t="shared" ca="1" si="68"/>
        <v>2.852262428238461E-7</v>
      </c>
      <c r="AD291" s="15">
        <f t="shared" ca="1" si="69"/>
        <v>5.3406576638448389E-4</v>
      </c>
      <c r="AE291" s="15">
        <f t="shared" ca="1" si="70"/>
        <v>0.13298237582973649</v>
      </c>
    </row>
    <row r="292" spans="12:31" x14ac:dyDescent="0.3">
      <c r="L292" s="15">
        <v>290</v>
      </c>
      <c r="M292" s="15">
        <f t="shared" si="60"/>
        <v>1</v>
      </c>
      <c r="N292" s="15">
        <f t="shared" ca="1" si="61"/>
        <v>5.3406576638448389E-4</v>
      </c>
      <c r="O292" s="15">
        <f t="shared" ca="1" si="58"/>
        <v>0.25135983684595226</v>
      </c>
      <c r="P292" s="15">
        <f t="shared" ca="1" si="71"/>
        <v>0.25024795910582132</v>
      </c>
      <c r="Q292" s="15">
        <v>0</v>
      </c>
      <c r="R292" s="15">
        <f t="shared" ca="1" si="62"/>
        <v>0.25024795910582132</v>
      </c>
      <c r="S292" s="15">
        <f t="shared" ca="1" si="59"/>
        <v>1.0009166068419761</v>
      </c>
      <c r="T292" s="15">
        <v>0</v>
      </c>
      <c r="U292" s="15">
        <f t="shared" ca="1" si="63"/>
        <v>1.0009166068419761</v>
      </c>
      <c r="V292" s="15">
        <f t="shared" ca="1" si="64"/>
        <v>0.99946593423361552</v>
      </c>
      <c r="X292" s="15">
        <f t="shared" si="65"/>
        <v>1.05</v>
      </c>
      <c r="Y292" s="15">
        <f t="shared" si="66"/>
        <v>0.95</v>
      </c>
      <c r="Z292" s="15">
        <f t="shared" ca="1" si="67"/>
        <v>1</v>
      </c>
      <c r="AC292" s="15">
        <f t="shared" ca="1" si="68"/>
        <v>2.852262428238461E-7</v>
      </c>
      <c r="AD292" s="15">
        <f t="shared" ca="1" si="69"/>
        <v>5.3406576638448389E-4</v>
      </c>
      <c r="AE292" s="15">
        <f t="shared" ca="1" si="70"/>
        <v>0.13351644159612097</v>
      </c>
    </row>
    <row r="293" spans="12:31" x14ac:dyDescent="0.3">
      <c r="L293" s="15">
        <v>291</v>
      </c>
      <c r="M293" s="15">
        <f t="shared" si="60"/>
        <v>1</v>
      </c>
      <c r="N293" s="15">
        <f t="shared" ca="1" si="61"/>
        <v>5.3406576638448389E-4</v>
      </c>
      <c r="O293" s="15">
        <f t="shared" ca="1" si="58"/>
        <v>0.25136993382390177</v>
      </c>
      <c r="P293" s="15">
        <f t="shared" ca="1" si="71"/>
        <v>0.25024795910582132</v>
      </c>
      <c r="Q293" s="15">
        <v>0</v>
      </c>
      <c r="R293" s="15">
        <f t="shared" ca="1" si="62"/>
        <v>0.25024795910582132</v>
      </c>
      <c r="S293" s="15">
        <f t="shared" ca="1" si="59"/>
        <v>1.0009173691872493</v>
      </c>
      <c r="T293" s="15">
        <v>0</v>
      </c>
      <c r="U293" s="15">
        <f t="shared" ca="1" si="63"/>
        <v>1.0009173691872493</v>
      </c>
      <c r="V293" s="15">
        <f t="shared" ca="1" si="64"/>
        <v>0.99946593423361552</v>
      </c>
      <c r="X293" s="15">
        <f t="shared" si="65"/>
        <v>1.05</v>
      </c>
      <c r="Y293" s="15">
        <f t="shared" si="66"/>
        <v>0.95</v>
      </c>
      <c r="Z293" s="15">
        <f t="shared" ca="1" si="67"/>
        <v>1</v>
      </c>
      <c r="AC293" s="15">
        <f t="shared" ca="1" si="68"/>
        <v>2.852262428238461E-7</v>
      </c>
      <c r="AD293" s="15">
        <f t="shared" ca="1" si="69"/>
        <v>5.3406576638448389E-4</v>
      </c>
      <c r="AE293" s="15">
        <f t="shared" ca="1" si="70"/>
        <v>0.13405050736250546</v>
      </c>
    </row>
    <row r="294" spans="12:31" x14ac:dyDescent="0.3">
      <c r="L294" s="15">
        <v>292</v>
      </c>
      <c r="M294" s="15">
        <f t="shared" si="60"/>
        <v>1</v>
      </c>
      <c r="N294" s="15">
        <f t="shared" ca="1" si="61"/>
        <v>5.3406576638448389E-4</v>
      </c>
      <c r="O294" s="15">
        <f t="shared" ca="1" si="58"/>
        <v>0.25136993382390177</v>
      </c>
      <c r="P294" s="15">
        <f t="shared" ca="1" si="71"/>
        <v>0.25024795910582132</v>
      </c>
      <c r="Q294" s="15">
        <v>0</v>
      </c>
      <c r="R294" s="15">
        <f t="shared" ca="1" si="62"/>
        <v>0.25024795910582132</v>
      </c>
      <c r="S294" s="15">
        <f t="shared" ca="1" si="59"/>
        <v>1.0009183497307619</v>
      </c>
      <c r="T294" s="15">
        <v>0</v>
      </c>
      <c r="U294" s="15">
        <f t="shared" ca="1" si="63"/>
        <v>1.0009183497307619</v>
      </c>
      <c r="V294" s="15">
        <f t="shared" ca="1" si="64"/>
        <v>0.99946593423361552</v>
      </c>
      <c r="X294" s="15">
        <f t="shared" si="65"/>
        <v>1.05</v>
      </c>
      <c r="Y294" s="15">
        <f t="shared" si="66"/>
        <v>0.95</v>
      </c>
      <c r="Z294" s="15">
        <f t="shared" ca="1" si="67"/>
        <v>1</v>
      </c>
      <c r="AC294" s="15">
        <f t="shared" ca="1" si="68"/>
        <v>2.852262428238461E-7</v>
      </c>
      <c r="AD294" s="15">
        <f t="shared" ca="1" si="69"/>
        <v>5.3406576638448389E-4</v>
      </c>
      <c r="AE294" s="15">
        <f t="shared" ca="1" si="70"/>
        <v>0.13458457312888994</v>
      </c>
    </row>
    <row r="295" spans="12:31" x14ac:dyDescent="0.3">
      <c r="L295" s="15">
        <v>293</v>
      </c>
      <c r="M295" s="15">
        <f t="shared" si="60"/>
        <v>1</v>
      </c>
      <c r="N295" s="15">
        <f t="shared" ca="1" si="61"/>
        <v>5.3406576638448389E-4</v>
      </c>
      <c r="O295" s="15">
        <f t="shared" ca="1" si="58"/>
        <v>0.25136993382390177</v>
      </c>
      <c r="P295" s="15">
        <f t="shared" ca="1" si="71"/>
        <v>0.25024795910582132</v>
      </c>
      <c r="Q295" s="15">
        <v>0</v>
      </c>
      <c r="R295" s="15">
        <f t="shared" ca="1" si="62"/>
        <v>0.25024795910582132</v>
      </c>
      <c r="S295" s="15">
        <f t="shared" ca="1" si="59"/>
        <v>1.0009195166279483</v>
      </c>
      <c r="T295" s="15">
        <v>0</v>
      </c>
      <c r="U295" s="15">
        <f t="shared" ca="1" si="63"/>
        <v>1.0009195166279483</v>
      </c>
      <c r="V295" s="15">
        <f t="shared" ca="1" si="64"/>
        <v>0.99946593423361552</v>
      </c>
      <c r="X295" s="15">
        <f t="shared" si="65"/>
        <v>1.05</v>
      </c>
      <c r="Y295" s="15">
        <f t="shared" si="66"/>
        <v>0.95</v>
      </c>
      <c r="Z295" s="15">
        <f t="shared" ca="1" si="67"/>
        <v>1</v>
      </c>
      <c r="AC295" s="15">
        <f t="shared" ca="1" si="68"/>
        <v>2.852262428238461E-7</v>
      </c>
      <c r="AD295" s="15">
        <f t="shared" ca="1" si="69"/>
        <v>5.3406576638448389E-4</v>
      </c>
      <c r="AE295" s="15">
        <f t="shared" ca="1" si="70"/>
        <v>0.13511863889527442</v>
      </c>
    </row>
    <row r="296" spans="12:31" x14ac:dyDescent="0.3">
      <c r="L296" s="15">
        <v>294</v>
      </c>
      <c r="M296" s="15">
        <f t="shared" si="60"/>
        <v>1</v>
      </c>
      <c r="N296" s="15">
        <f t="shared" ca="1" si="61"/>
        <v>5.3406576638448389E-4</v>
      </c>
      <c r="O296" s="15">
        <f t="shared" ca="1" si="58"/>
        <v>0.25138003080185128</v>
      </c>
      <c r="P296" s="15">
        <f t="shared" ca="1" si="71"/>
        <v>0.25024795910582132</v>
      </c>
      <c r="Q296" s="15">
        <v>0</v>
      </c>
      <c r="R296" s="15">
        <f t="shared" ca="1" si="62"/>
        <v>0.25024795910582132</v>
      </c>
      <c r="S296" s="15">
        <f t="shared" ca="1" si="59"/>
        <v>1.0009208412882669</v>
      </c>
      <c r="T296" s="15">
        <v>0</v>
      </c>
      <c r="U296" s="15">
        <f t="shared" ca="1" si="63"/>
        <v>1.0009208412882669</v>
      </c>
      <c r="V296" s="15">
        <f t="shared" ca="1" si="64"/>
        <v>0.99946593423361552</v>
      </c>
      <c r="X296" s="15">
        <f t="shared" si="65"/>
        <v>1.05</v>
      </c>
      <c r="Y296" s="15">
        <f t="shared" si="66"/>
        <v>0.95</v>
      </c>
      <c r="Z296" s="15">
        <f t="shared" ca="1" si="67"/>
        <v>1</v>
      </c>
      <c r="AC296" s="15">
        <f t="shared" ca="1" si="68"/>
        <v>2.852262428238461E-7</v>
      </c>
      <c r="AD296" s="15">
        <f t="shared" ca="1" si="69"/>
        <v>5.3406576638448389E-4</v>
      </c>
      <c r="AE296" s="15">
        <f t="shared" ca="1" si="70"/>
        <v>0.13565270466165891</v>
      </c>
    </row>
    <row r="297" spans="12:31" x14ac:dyDescent="0.3">
      <c r="L297" s="15">
        <v>295</v>
      </c>
      <c r="M297" s="15">
        <f t="shared" si="60"/>
        <v>1</v>
      </c>
      <c r="N297" s="15">
        <f t="shared" ca="1" si="61"/>
        <v>5.3406576638448389E-4</v>
      </c>
      <c r="O297" s="15">
        <f t="shared" ca="1" si="58"/>
        <v>0.25138003080185128</v>
      </c>
      <c r="P297" s="15">
        <f t="shared" ca="1" si="71"/>
        <v>0.25024795910582132</v>
      </c>
      <c r="Q297" s="15">
        <v>0</v>
      </c>
      <c r="R297" s="15">
        <f t="shared" ca="1" si="62"/>
        <v>0.25024795910582132</v>
      </c>
      <c r="S297" s="15">
        <f t="shared" ca="1" si="59"/>
        <v>1.0009222980830728</v>
      </c>
      <c r="T297" s="15">
        <v>0</v>
      </c>
      <c r="U297" s="15">
        <f t="shared" ca="1" si="63"/>
        <v>1.0009222980830728</v>
      </c>
      <c r="V297" s="15">
        <f t="shared" ca="1" si="64"/>
        <v>0.99946593423361552</v>
      </c>
      <c r="X297" s="15">
        <f t="shared" si="65"/>
        <v>1.05</v>
      </c>
      <c r="Y297" s="15">
        <f t="shared" si="66"/>
        <v>0.95</v>
      </c>
      <c r="Z297" s="15">
        <f t="shared" ca="1" si="67"/>
        <v>1</v>
      </c>
      <c r="AC297" s="15">
        <f t="shared" ca="1" si="68"/>
        <v>2.852262428238461E-7</v>
      </c>
      <c r="AD297" s="15">
        <f t="shared" ca="1" si="69"/>
        <v>5.3406576638448389E-4</v>
      </c>
      <c r="AE297" s="15">
        <f t="shared" ca="1" si="70"/>
        <v>0.13618677042804339</v>
      </c>
    </row>
    <row r="298" spans="12:31" x14ac:dyDescent="0.3">
      <c r="L298" s="15">
        <v>296</v>
      </c>
      <c r="M298" s="15">
        <f t="shared" si="60"/>
        <v>1</v>
      </c>
      <c r="N298" s="15">
        <f t="shared" ca="1" si="61"/>
        <v>5.3406576638448389E-4</v>
      </c>
      <c r="O298" s="15">
        <f t="shared" ca="1" si="58"/>
        <v>0.25138003080185128</v>
      </c>
      <c r="P298" s="15">
        <f t="shared" ca="1" si="71"/>
        <v>0.25024795910582132</v>
      </c>
      <c r="Q298" s="15">
        <v>0</v>
      </c>
      <c r="R298" s="15">
        <f t="shared" ca="1" si="62"/>
        <v>0.25024795910582132</v>
      </c>
      <c r="S298" s="15">
        <f t="shared" ca="1" si="59"/>
        <v>1.0009238640780456</v>
      </c>
      <c r="T298" s="15">
        <v>0</v>
      </c>
      <c r="U298" s="15">
        <f t="shared" ca="1" si="63"/>
        <v>1.0009238640780456</v>
      </c>
      <c r="V298" s="15">
        <f t="shared" ca="1" si="64"/>
        <v>0.99946593423361552</v>
      </c>
      <c r="X298" s="15">
        <f t="shared" si="65"/>
        <v>1.05</v>
      </c>
      <c r="Y298" s="15">
        <f t="shared" si="66"/>
        <v>0.95</v>
      </c>
      <c r="Z298" s="15">
        <f t="shared" ca="1" si="67"/>
        <v>1</v>
      </c>
      <c r="AC298" s="15">
        <f t="shared" ca="1" si="68"/>
        <v>2.852262428238461E-7</v>
      </c>
      <c r="AD298" s="15">
        <f t="shared" ca="1" si="69"/>
        <v>5.3406576638448389E-4</v>
      </c>
      <c r="AE298" s="15">
        <f t="shared" ca="1" si="70"/>
        <v>0.13672083619442787</v>
      </c>
    </row>
    <row r="299" spans="12:31" x14ac:dyDescent="0.3">
      <c r="L299" s="15">
        <v>297</v>
      </c>
      <c r="M299" s="15">
        <f t="shared" si="60"/>
        <v>1</v>
      </c>
      <c r="N299" s="15">
        <f t="shared" ca="1" si="61"/>
        <v>5.3406576638448389E-4</v>
      </c>
      <c r="O299" s="15">
        <f t="shared" ref="O299:O362" ca="1" si="72">IF(MOD(L299,$B$11)=0,OFFSET(O299,-$B$11,0)+ $E$2*N299+$E$3*OFFSET(N299,-$B$11,0)+ $E$4*OFFSET(N299,-2* $B$11,0), O298)</f>
        <v>0.2513901277798008</v>
      </c>
      <c r="P299" s="15">
        <f t="shared" ca="1" si="71"/>
        <v>0.25024795910582132</v>
      </c>
      <c r="Q299" s="15">
        <v>0</v>
      </c>
      <c r="R299" s="15">
        <f t="shared" ca="1" si="62"/>
        <v>0.25024795910582132</v>
      </c>
      <c r="S299" s="15">
        <f t="shared" ca="1" si="59"/>
        <v>1.0009387187222927</v>
      </c>
      <c r="T299" s="15">
        <v>0</v>
      </c>
      <c r="U299" s="15">
        <f t="shared" ca="1" si="63"/>
        <v>1.0009387187222927</v>
      </c>
      <c r="V299" s="15">
        <f t="shared" ca="1" si="64"/>
        <v>0.99946593423361552</v>
      </c>
      <c r="X299" s="15">
        <f t="shared" si="65"/>
        <v>1.05</v>
      </c>
      <c r="Y299" s="15">
        <f t="shared" si="66"/>
        <v>0.95</v>
      </c>
      <c r="Z299" s="15">
        <f t="shared" ca="1" si="67"/>
        <v>1</v>
      </c>
      <c r="AC299" s="15">
        <f t="shared" ca="1" si="68"/>
        <v>2.852262428238461E-7</v>
      </c>
      <c r="AD299" s="15">
        <f t="shared" ca="1" si="69"/>
        <v>5.3406576638448389E-4</v>
      </c>
      <c r="AE299" s="15">
        <f t="shared" ca="1" si="70"/>
        <v>0.13725490196081236</v>
      </c>
    </row>
    <row r="300" spans="12:31" x14ac:dyDescent="0.3">
      <c r="L300" s="15">
        <v>298</v>
      </c>
      <c r="M300" s="15">
        <f t="shared" si="60"/>
        <v>1</v>
      </c>
      <c r="N300" s="15">
        <f t="shared" ca="1" si="61"/>
        <v>5.3406576638448389E-4</v>
      </c>
      <c r="O300" s="15">
        <f t="shared" ca="1" si="72"/>
        <v>0.2513901277798008</v>
      </c>
      <c r="P300" s="15">
        <f t="shared" ca="1" si="71"/>
        <v>0.25024795910582132</v>
      </c>
      <c r="Q300" s="15">
        <v>0</v>
      </c>
      <c r="R300" s="15">
        <f t="shared" ca="1" si="62"/>
        <v>0.25024795910582132</v>
      </c>
      <c r="S300" s="15">
        <f t="shared" ca="1" si="59"/>
        <v>1.0009777283317263</v>
      </c>
      <c r="T300" s="15">
        <v>0</v>
      </c>
      <c r="U300" s="15">
        <f t="shared" ca="1" si="63"/>
        <v>1.0009777283317263</v>
      </c>
      <c r="V300" s="15">
        <f t="shared" ca="1" si="64"/>
        <v>0.99946593423361552</v>
      </c>
      <c r="X300" s="15">
        <f t="shared" si="65"/>
        <v>1.05</v>
      </c>
      <c r="Y300" s="15">
        <f t="shared" si="66"/>
        <v>0.95</v>
      </c>
      <c r="Z300" s="15">
        <f t="shared" ca="1" si="67"/>
        <v>1</v>
      </c>
      <c r="AC300" s="15">
        <f t="shared" ca="1" si="68"/>
        <v>2.852262428238461E-7</v>
      </c>
      <c r="AD300" s="15">
        <f t="shared" ca="1" si="69"/>
        <v>5.3406576638448389E-4</v>
      </c>
      <c r="AE300" s="15">
        <f t="shared" ca="1" si="70"/>
        <v>0.13778896772719684</v>
      </c>
    </row>
    <row r="301" spans="12:31" x14ac:dyDescent="0.3">
      <c r="L301" s="15">
        <v>299</v>
      </c>
      <c r="M301" s="15">
        <f t="shared" si="60"/>
        <v>1</v>
      </c>
      <c r="N301" s="15">
        <f t="shared" ca="1" si="61"/>
        <v>-9.9183642328526389E-4</v>
      </c>
      <c r="O301" s="15">
        <f t="shared" ca="1" si="72"/>
        <v>0.2513901277798008</v>
      </c>
      <c r="P301" s="15">
        <f t="shared" ca="1" si="71"/>
        <v>0.25024795910582132</v>
      </c>
      <c r="Q301" s="15">
        <v>0</v>
      </c>
      <c r="R301" s="15">
        <f t="shared" ca="1" si="62"/>
        <v>0.25024795910582132</v>
      </c>
      <c r="S301" s="15">
        <f t="shared" ref="S301:S364" ca="1" si="73">$I$1*S300-$I$2*S299+$I$3*R280+$I$4*R279</f>
        <v>1.0010376617721932</v>
      </c>
      <c r="T301" s="15">
        <v>0</v>
      </c>
      <c r="U301" s="15">
        <f t="shared" ca="1" si="63"/>
        <v>1.0010376617721932</v>
      </c>
      <c r="V301" s="15">
        <f t="shared" ca="1" si="64"/>
        <v>1.0009918364232853</v>
      </c>
      <c r="X301" s="15">
        <f t="shared" si="65"/>
        <v>1.05</v>
      </c>
      <c r="Y301" s="15">
        <f t="shared" si="66"/>
        <v>0.95</v>
      </c>
      <c r="Z301" s="15">
        <f t="shared" ca="1" si="67"/>
        <v>1</v>
      </c>
      <c r="AC301" s="15">
        <f t="shared" ca="1" si="68"/>
        <v>9.8373949055530516E-7</v>
      </c>
      <c r="AD301" s="15">
        <f t="shared" ca="1" si="69"/>
        <v>9.9183642328526389E-4</v>
      </c>
      <c r="AE301" s="15">
        <f t="shared" ca="1" si="70"/>
        <v>0.25688563363088335</v>
      </c>
    </row>
    <row r="302" spans="12:31" x14ac:dyDescent="0.3">
      <c r="L302" s="15">
        <v>300</v>
      </c>
      <c r="M302" s="15">
        <f t="shared" si="60"/>
        <v>1</v>
      </c>
      <c r="N302" s="15">
        <f t="shared" ca="1" si="61"/>
        <v>-9.9183642328526389E-4</v>
      </c>
      <c r="O302" s="15">
        <f t="shared" ca="1" si="72"/>
        <v>0.24974381748682797</v>
      </c>
      <c r="P302" s="15">
        <f t="shared" ca="1" si="71"/>
        <v>0.24872205691615165</v>
      </c>
      <c r="Q302" s="15">
        <v>0</v>
      </c>
      <c r="R302" s="15">
        <f t="shared" ca="1" si="62"/>
        <v>0.24872205691615165</v>
      </c>
      <c r="S302" s="15">
        <f t="shared" ca="1" si="73"/>
        <v>1.0011024096235548</v>
      </c>
      <c r="T302" s="15">
        <v>0</v>
      </c>
      <c r="U302" s="15">
        <f t="shared" ca="1" si="63"/>
        <v>1.0011024096235548</v>
      </c>
      <c r="V302" s="15">
        <f t="shared" ca="1" si="64"/>
        <v>1.0009918364232853</v>
      </c>
      <c r="X302" s="15">
        <f t="shared" si="65"/>
        <v>1.05</v>
      </c>
      <c r="Y302" s="15">
        <f t="shared" si="66"/>
        <v>0.95</v>
      </c>
      <c r="Z302" s="15">
        <f t="shared" ca="1" si="67"/>
        <v>1</v>
      </c>
      <c r="AC302" s="15">
        <f t="shared" ca="1" si="68"/>
        <v>9.8373949055530516E-7</v>
      </c>
      <c r="AD302" s="15">
        <f t="shared" ca="1" si="69"/>
        <v>9.9183642328526389E-4</v>
      </c>
      <c r="AE302" s="15">
        <f t="shared" ca="1" si="70"/>
        <v>0.25787747005416861</v>
      </c>
    </row>
    <row r="303" spans="12:31" x14ac:dyDescent="0.3">
      <c r="L303" s="15">
        <v>301</v>
      </c>
      <c r="M303" s="15">
        <f t="shared" si="60"/>
        <v>1</v>
      </c>
      <c r="N303" s="15">
        <f t="shared" ca="1" si="61"/>
        <v>-9.9183642328526389E-4</v>
      </c>
      <c r="O303" s="15">
        <f t="shared" ca="1" si="72"/>
        <v>0.24974381748682797</v>
      </c>
      <c r="P303" s="15">
        <f t="shared" ca="1" si="71"/>
        <v>0.24872205691615165</v>
      </c>
      <c r="Q303" s="15">
        <v>0</v>
      </c>
      <c r="R303" s="15">
        <f t="shared" ca="1" si="62"/>
        <v>0.24872205691615165</v>
      </c>
      <c r="S303" s="15">
        <f t="shared" ca="1" si="73"/>
        <v>1.0011584709492596</v>
      </c>
      <c r="T303" s="15">
        <v>0</v>
      </c>
      <c r="U303" s="15">
        <f t="shared" ca="1" si="63"/>
        <v>1.0011584709492596</v>
      </c>
      <c r="V303" s="15">
        <f t="shared" ca="1" si="64"/>
        <v>1.0009918364232853</v>
      </c>
      <c r="X303" s="15">
        <f t="shared" si="65"/>
        <v>1.05</v>
      </c>
      <c r="Y303" s="15">
        <f t="shared" si="66"/>
        <v>0.95</v>
      </c>
      <c r="Z303" s="15">
        <f t="shared" ca="1" si="67"/>
        <v>1</v>
      </c>
      <c r="AC303" s="15">
        <f t="shared" ca="1" si="68"/>
        <v>9.8373949055530516E-7</v>
      </c>
      <c r="AD303" s="15">
        <f t="shared" ca="1" si="69"/>
        <v>9.9183642328526389E-4</v>
      </c>
      <c r="AE303" s="15">
        <f t="shared" ca="1" si="70"/>
        <v>0.25886930647745388</v>
      </c>
    </row>
    <row r="304" spans="12:31" x14ac:dyDescent="0.3">
      <c r="L304" s="15">
        <v>302</v>
      </c>
      <c r="M304" s="15">
        <f t="shared" si="60"/>
        <v>1</v>
      </c>
      <c r="N304" s="15">
        <f t="shared" ca="1" si="61"/>
        <v>-9.9183642328526389E-4</v>
      </c>
      <c r="O304" s="15">
        <f t="shared" ca="1" si="72"/>
        <v>0.24974381748682797</v>
      </c>
      <c r="P304" s="15">
        <f t="shared" ca="1" si="71"/>
        <v>0.24872205691615165</v>
      </c>
      <c r="Q304" s="15">
        <v>0</v>
      </c>
      <c r="R304" s="15">
        <f t="shared" ca="1" si="62"/>
        <v>0.24872205691615165</v>
      </c>
      <c r="S304" s="15">
        <f t="shared" ca="1" si="73"/>
        <v>1.001206711265987</v>
      </c>
      <c r="T304" s="15">
        <v>0</v>
      </c>
      <c r="U304" s="15">
        <f t="shared" ca="1" si="63"/>
        <v>1.001206711265987</v>
      </c>
      <c r="V304" s="15">
        <f t="shared" ca="1" si="64"/>
        <v>1.0009918364232853</v>
      </c>
      <c r="X304" s="15">
        <f t="shared" si="65"/>
        <v>1.05</v>
      </c>
      <c r="Y304" s="15">
        <f t="shared" si="66"/>
        <v>0.95</v>
      </c>
      <c r="Z304" s="15">
        <f t="shared" ca="1" si="67"/>
        <v>1</v>
      </c>
      <c r="AC304" s="15">
        <f t="shared" ca="1" si="68"/>
        <v>9.8373949055530516E-7</v>
      </c>
      <c r="AD304" s="15">
        <f t="shared" ca="1" si="69"/>
        <v>9.9183642328526389E-4</v>
      </c>
      <c r="AE304" s="15">
        <f t="shared" ca="1" si="70"/>
        <v>0.25986114290073914</v>
      </c>
    </row>
    <row r="305" spans="12:31" x14ac:dyDescent="0.3">
      <c r="L305" s="15">
        <v>303</v>
      </c>
      <c r="M305" s="15">
        <f t="shared" si="60"/>
        <v>1</v>
      </c>
      <c r="N305" s="15">
        <f t="shared" ca="1" si="61"/>
        <v>-9.9183642328526389E-4</v>
      </c>
      <c r="O305" s="15">
        <f t="shared" ca="1" si="72"/>
        <v>0.25101909749674861</v>
      </c>
      <c r="P305" s="15">
        <f t="shared" ca="1" si="71"/>
        <v>0.25024795910582132</v>
      </c>
      <c r="Q305" s="15">
        <v>0</v>
      </c>
      <c r="R305" s="15">
        <f t="shared" ca="1" si="62"/>
        <v>0.25024795910582132</v>
      </c>
      <c r="S305" s="15">
        <f t="shared" ca="1" si="73"/>
        <v>1.0012479193048713</v>
      </c>
      <c r="T305" s="15">
        <v>0</v>
      </c>
      <c r="U305" s="15">
        <f t="shared" ca="1" si="63"/>
        <v>1.0012479193048713</v>
      </c>
      <c r="V305" s="15">
        <f t="shared" ca="1" si="64"/>
        <v>1.0009918364232853</v>
      </c>
      <c r="X305" s="15">
        <f t="shared" si="65"/>
        <v>1.05</v>
      </c>
      <c r="Y305" s="15">
        <f t="shared" si="66"/>
        <v>0.95</v>
      </c>
      <c r="Z305" s="15">
        <f t="shared" ca="1" si="67"/>
        <v>1</v>
      </c>
      <c r="AC305" s="15">
        <f t="shared" ca="1" si="68"/>
        <v>9.8373949055530516E-7</v>
      </c>
      <c r="AD305" s="15">
        <f t="shared" ca="1" si="69"/>
        <v>9.9183642328526389E-4</v>
      </c>
      <c r="AE305" s="15">
        <f t="shared" ca="1" si="70"/>
        <v>0.2608529793240244</v>
      </c>
    </row>
    <row r="306" spans="12:31" x14ac:dyDescent="0.3">
      <c r="L306" s="15">
        <v>304</v>
      </c>
      <c r="M306" s="15">
        <f t="shared" si="60"/>
        <v>1</v>
      </c>
      <c r="N306" s="15">
        <f t="shared" ca="1" si="61"/>
        <v>-9.9183642328526389E-4</v>
      </c>
      <c r="O306" s="15">
        <f t="shared" ca="1" si="72"/>
        <v>0.25101909749674861</v>
      </c>
      <c r="P306" s="15">
        <f t="shared" ca="1" si="71"/>
        <v>0.25024795910582132</v>
      </c>
      <c r="Q306" s="15">
        <v>0</v>
      </c>
      <c r="R306" s="15">
        <f t="shared" ca="1" si="62"/>
        <v>0.25024795910582132</v>
      </c>
      <c r="S306" s="15">
        <f t="shared" ca="1" si="73"/>
        <v>1.0012828134223382</v>
      </c>
      <c r="T306" s="15">
        <v>0</v>
      </c>
      <c r="U306" s="15">
        <f t="shared" ca="1" si="63"/>
        <v>1.0012828134223382</v>
      </c>
      <c r="V306" s="15">
        <f t="shared" ca="1" si="64"/>
        <v>1.0009918364232853</v>
      </c>
      <c r="X306" s="15">
        <f t="shared" si="65"/>
        <v>1.05</v>
      </c>
      <c r="Y306" s="15">
        <f t="shared" si="66"/>
        <v>0.95</v>
      </c>
      <c r="Z306" s="15">
        <f t="shared" ca="1" si="67"/>
        <v>1</v>
      </c>
      <c r="AC306" s="15">
        <f t="shared" ca="1" si="68"/>
        <v>9.8373949055530516E-7</v>
      </c>
      <c r="AD306" s="15">
        <f t="shared" ca="1" si="69"/>
        <v>9.9183642328526389E-4</v>
      </c>
      <c r="AE306" s="15">
        <f t="shared" ca="1" si="70"/>
        <v>0.26184481574730967</v>
      </c>
    </row>
    <row r="307" spans="12:31" x14ac:dyDescent="0.3">
      <c r="L307" s="15">
        <v>305</v>
      </c>
      <c r="M307" s="15">
        <f t="shared" si="60"/>
        <v>1</v>
      </c>
      <c r="N307" s="15">
        <f t="shared" ca="1" si="61"/>
        <v>-9.9183642328526389E-4</v>
      </c>
      <c r="O307" s="15">
        <f t="shared" ca="1" si="72"/>
        <v>0.25101909749674861</v>
      </c>
      <c r="P307" s="15">
        <f t="shared" ca="1" si="71"/>
        <v>0.25024795910582132</v>
      </c>
      <c r="Q307" s="15">
        <v>0</v>
      </c>
      <c r="R307" s="15">
        <f t="shared" ca="1" si="62"/>
        <v>0.25024795910582132</v>
      </c>
      <c r="S307" s="15">
        <f t="shared" ca="1" si="73"/>
        <v>1.0013120474948327</v>
      </c>
      <c r="T307" s="15">
        <v>0</v>
      </c>
      <c r="U307" s="15">
        <f t="shared" ca="1" si="63"/>
        <v>1.0013120474948327</v>
      </c>
      <c r="V307" s="15">
        <f t="shared" ca="1" si="64"/>
        <v>1.0009918364232853</v>
      </c>
      <c r="X307" s="15">
        <f t="shared" si="65"/>
        <v>1.05</v>
      </c>
      <c r="Y307" s="15">
        <f t="shared" si="66"/>
        <v>0.95</v>
      </c>
      <c r="Z307" s="15">
        <f t="shared" ca="1" si="67"/>
        <v>1</v>
      </c>
      <c r="AC307" s="15">
        <f t="shared" ca="1" si="68"/>
        <v>9.8373949055530516E-7</v>
      </c>
      <c r="AD307" s="15">
        <f t="shared" ca="1" si="69"/>
        <v>9.9183642328526389E-4</v>
      </c>
      <c r="AE307" s="15">
        <f t="shared" ca="1" si="70"/>
        <v>0.26283665217059493</v>
      </c>
    </row>
    <row r="308" spans="12:31" x14ac:dyDescent="0.3">
      <c r="L308" s="15">
        <v>306</v>
      </c>
      <c r="M308" s="15">
        <f t="shared" si="60"/>
        <v>1</v>
      </c>
      <c r="N308" s="15">
        <f t="shared" ca="1" si="61"/>
        <v>-9.9183642328526389E-4</v>
      </c>
      <c r="O308" s="15">
        <f t="shared" ca="1" si="72"/>
        <v>0.25100034596627091</v>
      </c>
      <c r="P308" s="15">
        <f t="shared" ca="1" si="71"/>
        <v>0.25024795910582132</v>
      </c>
      <c r="Q308" s="15">
        <v>0</v>
      </c>
      <c r="R308" s="15">
        <f t="shared" ca="1" si="62"/>
        <v>0.25024795910582132</v>
      </c>
      <c r="S308" s="15">
        <f t="shared" ca="1" si="73"/>
        <v>1.0013362163380182</v>
      </c>
      <c r="T308" s="15">
        <v>0</v>
      </c>
      <c r="U308" s="15">
        <f t="shared" ca="1" si="63"/>
        <v>1.0013362163380182</v>
      </c>
      <c r="V308" s="15">
        <f t="shared" ca="1" si="64"/>
        <v>1.0009918364232853</v>
      </c>
      <c r="X308" s="15">
        <f t="shared" si="65"/>
        <v>1.05</v>
      </c>
      <c r="Y308" s="15">
        <f t="shared" si="66"/>
        <v>0.95</v>
      </c>
      <c r="Z308" s="15">
        <f t="shared" ca="1" si="67"/>
        <v>1</v>
      </c>
      <c r="AC308" s="15">
        <f t="shared" ca="1" si="68"/>
        <v>9.8373949055530516E-7</v>
      </c>
      <c r="AD308" s="15">
        <f t="shared" ca="1" si="69"/>
        <v>9.9183642328526389E-4</v>
      </c>
      <c r="AE308" s="15">
        <f t="shared" ca="1" si="70"/>
        <v>0.26382848859388019</v>
      </c>
    </row>
    <row r="309" spans="12:31" x14ac:dyDescent="0.3">
      <c r="L309" s="15">
        <v>307</v>
      </c>
      <c r="M309" s="15">
        <f t="shared" si="60"/>
        <v>1</v>
      </c>
      <c r="N309" s="15">
        <f t="shared" ca="1" si="61"/>
        <v>-9.9183642328526389E-4</v>
      </c>
      <c r="O309" s="15">
        <f t="shared" ca="1" si="72"/>
        <v>0.25100034596627091</v>
      </c>
      <c r="P309" s="15">
        <f t="shared" ca="1" si="71"/>
        <v>0.25024795910582132</v>
      </c>
      <c r="Q309" s="15">
        <v>0</v>
      </c>
      <c r="R309" s="15">
        <f t="shared" ca="1" si="62"/>
        <v>0.25024795910582132</v>
      </c>
      <c r="S309" s="15">
        <f t="shared" ca="1" si="73"/>
        <v>1.0013558606878861</v>
      </c>
      <c r="T309" s="15">
        <v>0</v>
      </c>
      <c r="U309" s="15">
        <f t="shared" ca="1" si="63"/>
        <v>1.0013558606878861</v>
      </c>
      <c r="V309" s="15">
        <f t="shared" ca="1" si="64"/>
        <v>1.0009918364232853</v>
      </c>
      <c r="X309" s="15">
        <f t="shared" si="65"/>
        <v>1.05</v>
      </c>
      <c r="Y309" s="15">
        <f t="shared" si="66"/>
        <v>0.95</v>
      </c>
      <c r="Z309" s="15">
        <f t="shared" ca="1" si="67"/>
        <v>1</v>
      </c>
      <c r="AC309" s="15">
        <f t="shared" ca="1" si="68"/>
        <v>9.8373949055530516E-7</v>
      </c>
      <c r="AD309" s="15">
        <f t="shared" ca="1" si="69"/>
        <v>9.9183642328526389E-4</v>
      </c>
      <c r="AE309" s="15">
        <f t="shared" ca="1" si="70"/>
        <v>0.26482032501716546</v>
      </c>
    </row>
    <row r="310" spans="12:31" x14ac:dyDescent="0.3">
      <c r="L310" s="15">
        <v>308</v>
      </c>
      <c r="M310" s="15">
        <f t="shared" si="60"/>
        <v>1</v>
      </c>
      <c r="N310" s="15">
        <f t="shared" ca="1" si="61"/>
        <v>-9.9183642328526389E-4</v>
      </c>
      <c r="O310" s="15">
        <f t="shared" ca="1" si="72"/>
        <v>0.25100034596627091</v>
      </c>
      <c r="P310" s="15">
        <f t="shared" ca="1" si="71"/>
        <v>0.25024795910582132</v>
      </c>
      <c r="Q310" s="15">
        <v>0</v>
      </c>
      <c r="R310" s="15">
        <f t="shared" ca="1" si="62"/>
        <v>0.25024795910582132</v>
      </c>
      <c r="S310" s="15">
        <f t="shared" ca="1" si="73"/>
        <v>1.0013714717783198</v>
      </c>
      <c r="T310" s="15">
        <v>0</v>
      </c>
      <c r="U310" s="15">
        <f t="shared" ca="1" si="63"/>
        <v>1.0013714717783198</v>
      </c>
      <c r="V310" s="15">
        <f t="shared" ca="1" si="64"/>
        <v>1.0009918364232853</v>
      </c>
      <c r="X310" s="15">
        <f t="shared" si="65"/>
        <v>1.05</v>
      </c>
      <c r="Y310" s="15">
        <f t="shared" si="66"/>
        <v>0.95</v>
      </c>
      <c r="Z310" s="15">
        <f t="shared" ca="1" si="67"/>
        <v>1</v>
      </c>
      <c r="AC310" s="15">
        <f t="shared" ca="1" si="68"/>
        <v>9.8373949055530516E-7</v>
      </c>
      <c r="AD310" s="15">
        <f t="shared" ca="1" si="69"/>
        <v>9.9183642328526389E-4</v>
      </c>
      <c r="AE310" s="15">
        <f t="shared" ca="1" si="70"/>
        <v>0.26581216144045072</v>
      </c>
    </row>
    <row r="311" spans="12:31" x14ac:dyDescent="0.3">
      <c r="L311" s="15">
        <v>309</v>
      </c>
      <c r="M311" s="15">
        <f t="shared" si="60"/>
        <v>1</v>
      </c>
      <c r="N311" s="15">
        <f t="shared" ca="1" si="61"/>
        <v>-9.9183642328526389E-4</v>
      </c>
      <c r="O311" s="15">
        <f t="shared" ca="1" si="72"/>
        <v>0.25098159443579321</v>
      </c>
      <c r="P311" s="15">
        <f t="shared" ca="1" si="71"/>
        <v>0.25024795910582132</v>
      </c>
      <c r="Q311" s="15">
        <v>0</v>
      </c>
      <c r="R311" s="15">
        <f t="shared" ca="1" si="62"/>
        <v>0.25024795910582132</v>
      </c>
      <c r="S311" s="15">
        <f t="shared" ca="1" si="73"/>
        <v>1.0013834955469743</v>
      </c>
      <c r="T311" s="15">
        <v>0</v>
      </c>
      <c r="U311" s="15">
        <f t="shared" ca="1" si="63"/>
        <v>1.0013834955469743</v>
      </c>
      <c r="V311" s="15">
        <f t="shared" ca="1" si="64"/>
        <v>1.0009918364232853</v>
      </c>
      <c r="X311" s="15">
        <f t="shared" si="65"/>
        <v>1.05</v>
      </c>
      <c r="Y311" s="15">
        <f t="shared" si="66"/>
        <v>0.95</v>
      </c>
      <c r="Z311" s="15">
        <f t="shared" ca="1" si="67"/>
        <v>1</v>
      </c>
      <c r="AC311" s="15">
        <f t="shared" ca="1" si="68"/>
        <v>9.8373949055530516E-7</v>
      </c>
      <c r="AD311" s="15">
        <f t="shared" ca="1" si="69"/>
        <v>9.9183642328526389E-4</v>
      </c>
      <c r="AE311" s="15">
        <f t="shared" ca="1" si="70"/>
        <v>0.26680399786373599</v>
      </c>
    </row>
    <row r="312" spans="12:31" x14ac:dyDescent="0.3">
      <c r="L312" s="15">
        <v>310</v>
      </c>
      <c r="M312" s="15">
        <f t="shared" si="60"/>
        <v>1</v>
      </c>
      <c r="N312" s="15">
        <f t="shared" ca="1" si="61"/>
        <v>-9.9183642328526389E-4</v>
      </c>
      <c r="O312" s="15">
        <f t="shared" ca="1" si="72"/>
        <v>0.25098159443579321</v>
      </c>
      <c r="P312" s="15">
        <f t="shared" ca="1" si="71"/>
        <v>0.25024795910582132</v>
      </c>
      <c r="Q312" s="15">
        <v>0</v>
      </c>
      <c r="R312" s="15">
        <f t="shared" ca="1" si="62"/>
        <v>0.25024795910582132</v>
      </c>
      <c r="S312" s="15">
        <f t="shared" ca="1" si="73"/>
        <v>1.0013923364988631</v>
      </c>
      <c r="T312" s="15">
        <v>0</v>
      </c>
      <c r="U312" s="15">
        <f t="shared" ca="1" si="63"/>
        <v>1.0013923364988631</v>
      </c>
      <c r="V312" s="15">
        <f t="shared" ca="1" si="64"/>
        <v>1.0009918364232853</v>
      </c>
      <c r="X312" s="15">
        <f t="shared" si="65"/>
        <v>1.05</v>
      </c>
      <c r="Y312" s="15">
        <f t="shared" si="66"/>
        <v>0.95</v>
      </c>
      <c r="Z312" s="15">
        <f t="shared" ca="1" si="67"/>
        <v>1</v>
      </c>
      <c r="AC312" s="15">
        <f t="shared" ca="1" si="68"/>
        <v>9.8373949055530516E-7</v>
      </c>
      <c r="AD312" s="15">
        <f t="shared" ca="1" si="69"/>
        <v>9.9183642328526389E-4</v>
      </c>
      <c r="AE312" s="15">
        <f t="shared" ca="1" si="70"/>
        <v>0.26779583428702125</v>
      </c>
    </row>
    <row r="313" spans="12:31" x14ac:dyDescent="0.3">
      <c r="L313" s="15">
        <v>311</v>
      </c>
      <c r="M313" s="15">
        <f t="shared" si="60"/>
        <v>1</v>
      </c>
      <c r="N313" s="15">
        <f t="shared" ca="1" si="61"/>
        <v>-9.9183642328526389E-4</v>
      </c>
      <c r="O313" s="15">
        <f t="shared" ca="1" si="72"/>
        <v>0.25098159443579321</v>
      </c>
      <c r="P313" s="15">
        <f t="shared" ca="1" si="71"/>
        <v>0.25024795910582132</v>
      </c>
      <c r="Q313" s="15">
        <v>0</v>
      </c>
      <c r="R313" s="15">
        <f t="shared" ca="1" si="62"/>
        <v>0.25024795910582132</v>
      </c>
      <c r="S313" s="15">
        <f t="shared" ca="1" si="73"/>
        <v>1.0013983612547599</v>
      </c>
      <c r="T313" s="15">
        <v>0</v>
      </c>
      <c r="U313" s="15">
        <f t="shared" ca="1" si="63"/>
        <v>1.0013983612547599</v>
      </c>
      <c r="V313" s="15">
        <f t="shared" ca="1" si="64"/>
        <v>1.0009918364232853</v>
      </c>
      <c r="X313" s="15">
        <f t="shared" si="65"/>
        <v>1.05</v>
      </c>
      <c r="Y313" s="15">
        <f t="shared" si="66"/>
        <v>0.95</v>
      </c>
      <c r="Z313" s="15">
        <f t="shared" ca="1" si="67"/>
        <v>1</v>
      </c>
      <c r="AC313" s="15">
        <f t="shared" ca="1" si="68"/>
        <v>9.8373949055530516E-7</v>
      </c>
      <c r="AD313" s="15">
        <f t="shared" ca="1" si="69"/>
        <v>9.9183642328526389E-4</v>
      </c>
      <c r="AE313" s="15">
        <f t="shared" ca="1" si="70"/>
        <v>0.26878767071030651</v>
      </c>
    </row>
    <row r="314" spans="12:31" x14ac:dyDescent="0.3">
      <c r="L314" s="15">
        <v>312</v>
      </c>
      <c r="M314" s="15">
        <f t="shared" si="60"/>
        <v>1</v>
      </c>
      <c r="N314" s="15">
        <f t="shared" ca="1" si="61"/>
        <v>-9.9183642328526389E-4</v>
      </c>
      <c r="O314" s="15">
        <f t="shared" ca="1" si="72"/>
        <v>0.25096284290531551</v>
      </c>
      <c r="P314" s="15">
        <f t="shared" ca="1" si="71"/>
        <v>0.25024795910582132</v>
      </c>
      <c r="Q314" s="15">
        <v>0</v>
      </c>
      <c r="R314" s="15">
        <f t="shared" ca="1" si="62"/>
        <v>0.25024795910582132</v>
      </c>
      <c r="S314" s="15">
        <f t="shared" ca="1" si="73"/>
        <v>1.0014019018094162</v>
      </c>
      <c r="T314" s="15">
        <v>0</v>
      </c>
      <c r="U314" s="15">
        <f t="shared" ca="1" si="63"/>
        <v>1.0014019018094162</v>
      </c>
      <c r="V314" s="15">
        <f t="shared" ca="1" si="64"/>
        <v>1.0009918364232853</v>
      </c>
      <c r="X314" s="15">
        <f t="shared" si="65"/>
        <v>1.05</v>
      </c>
      <c r="Y314" s="15">
        <f t="shared" si="66"/>
        <v>0.95</v>
      </c>
      <c r="Z314" s="15">
        <f t="shared" ca="1" si="67"/>
        <v>1</v>
      </c>
      <c r="AC314" s="15">
        <f t="shared" ca="1" si="68"/>
        <v>9.8373949055530516E-7</v>
      </c>
      <c r="AD314" s="15">
        <f t="shared" ca="1" si="69"/>
        <v>9.9183642328526389E-4</v>
      </c>
      <c r="AE314" s="15">
        <f t="shared" ca="1" si="70"/>
        <v>0.26977950713359178</v>
      </c>
    </row>
    <row r="315" spans="12:31" x14ac:dyDescent="0.3">
      <c r="L315" s="15">
        <v>313</v>
      </c>
      <c r="M315" s="15">
        <f t="shared" si="60"/>
        <v>1</v>
      </c>
      <c r="N315" s="15">
        <f t="shared" ca="1" si="61"/>
        <v>-9.9183642328526389E-4</v>
      </c>
      <c r="O315" s="15">
        <f t="shared" ca="1" si="72"/>
        <v>0.25096284290531551</v>
      </c>
      <c r="P315" s="15">
        <f t="shared" ca="1" si="71"/>
        <v>0.25024795910582132</v>
      </c>
      <c r="Q315" s="15">
        <v>0</v>
      </c>
      <c r="R315" s="15">
        <f t="shared" ca="1" si="62"/>
        <v>0.25024795910582132</v>
      </c>
      <c r="S315" s="15">
        <f t="shared" ca="1" si="73"/>
        <v>1.0014032585226464</v>
      </c>
      <c r="T315" s="15">
        <v>0</v>
      </c>
      <c r="U315" s="15">
        <f t="shared" ca="1" si="63"/>
        <v>1.0014032585226464</v>
      </c>
      <c r="V315" s="15">
        <f t="shared" ca="1" si="64"/>
        <v>1.0009918364232853</v>
      </c>
      <c r="X315" s="15">
        <f t="shared" si="65"/>
        <v>1.05</v>
      </c>
      <c r="Y315" s="15">
        <f t="shared" si="66"/>
        <v>0.95</v>
      </c>
      <c r="Z315" s="15">
        <f t="shared" ca="1" si="67"/>
        <v>1</v>
      </c>
      <c r="AC315" s="15">
        <f t="shared" ca="1" si="68"/>
        <v>9.8373949055530516E-7</v>
      </c>
      <c r="AD315" s="15">
        <f t="shared" ca="1" si="69"/>
        <v>9.9183642328526389E-4</v>
      </c>
      <c r="AE315" s="15">
        <f t="shared" ca="1" si="70"/>
        <v>0.27077134355687704</v>
      </c>
    </row>
    <row r="316" spans="12:31" x14ac:dyDescent="0.3">
      <c r="L316" s="15">
        <v>314</v>
      </c>
      <c r="M316" s="15">
        <f t="shared" si="60"/>
        <v>1</v>
      </c>
      <c r="N316" s="15">
        <f t="shared" ca="1" si="61"/>
        <v>-9.9183642328526389E-4</v>
      </c>
      <c r="O316" s="15">
        <f t="shared" ca="1" si="72"/>
        <v>0.25096284290531551</v>
      </c>
      <c r="P316" s="15">
        <f t="shared" ca="1" si="71"/>
        <v>0.25024795910582132</v>
      </c>
      <c r="Q316" s="15">
        <v>0</v>
      </c>
      <c r="R316" s="15">
        <f t="shared" ca="1" si="62"/>
        <v>0.25024795910582132</v>
      </c>
      <c r="S316" s="15">
        <f t="shared" ca="1" si="73"/>
        <v>1.0014027028645409</v>
      </c>
      <c r="T316" s="15">
        <v>0</v>
      </c>
      <c r="U316" s="15">
        <f t="shared" ca="1" si="63"/>
        <v>1.0014027028645409</v>
      </c>
      <c r="V316" s="15">
        <f t="shared" ca="1" si="64"/>
        <v>1.0009918364232853</v>
      </c>
      <c r="X316" s="15">
        <f t="shared" si="65"/>
        <v>1.05</v>
      </c>
      <c r="Y316" s="15">
        <f t="shared" si="66"/>
        <v>0.95</v>
      </c>
      <c r="Z316" s="15">
        <f t="shared" ca="1" si="67"/>
        <v>1</v>
      </c>
      <c r="AC316" s="15">
        <f t="shared" ca="1" si="68"/>
        <v>9.8373949055530516E-7</v>
      </c>
      <c r="AD316" s="15">
        <f t="shared" ca="1" si="69"/>
        <v>9.9183642328526389E-4</v>
      </c>
      <c r="AE316" s="15">
        <f t="shared" ca="1" si="70"/>
        <v>0.27176317998016231</v>
      </c>
    </row>
    <row r="317" spans="12:31" x14ac:dyDescent="0.3">
      <c r="L317" s="15">
        <v>315</v>
      </c>
      <c r="M317" s="15">
        <f t="shared" si="60"/>
        <v>1</v>
      </c>
      <c r="N317" s="15">
        <f t="shared" ca="1" si="61"/>
        <v>-9.9183642328526389E-4</v>
      </c>
      <c r="O317" s="15">
        <f t="shared" ca="1" si="72"/>
        <v>0.25094409137483781</v>
      </c>
      <c r="P317" s="15">
        <f t="shared" ca="1" si="71"/>
        <v>0.25024795910582132</v>
      </c>
      <c r="Q317" s="15">
        <v>0</v>
      </c>
      <c r="R317" s="15">
        <f t="shared" ca="1" si="62"/>
        <v>0.25024795910582132</v>
      </c>
      <c r="S317" s="15">
        <f t="shared" ca="1" si="73"/>
        <v>1.0014004799344038</v>
      </c>
      <c r="T317" s="15">
        <v>0</v>
      </c>
      <c r="U317" s="15">
        <f t="shared" ca="1" si="63"/>
        <v>1.0014004799344038</v>
      </c>
      <c r="V317" s="15">
        <f t="shared" ca="1" si="64"/>
        <v>1.0009918364232853</v>
      </c>
      <c r="X317" s="15">
        <f t="shared" si="65"/>
        <v>1.05</v>
      </c>
      <c r="Y317" s="15">
        <f t="shared" si="66"/>
        <v>0.95</v>
      </c>
      <c r="Z317" s="15">
        <f t="shared" ca="1" si="67"/>
        <v>1</v>
      </c>
      <c r="AC317" s="15">
        <f t="shared" ca="1" si="68"/>
        <v>9.8373949055530516E-7</v>
      </c>
      <c r="AD317" s="15">
        <f t="shared" ca="1" si="69"/>
        <v>9.9183642328526389E-4</v>
      </c>
      <c r="AE317" s="15">
        <f t="shared" ca="1" si="70"/>
        <v>0.27275501640344757</v>
      </c>
    </row>
    <row r="318" spans="12:31" x14ac:dyDescent="0.3">
      <c r="L318" s="15">
        <v>316</v>
      </c>
      <c r="M318" s="15">
        <f t="shared" si="60"/>
        <v>1</v>
      </c>
      <c r="N318" s="15">
        <f t="shared" ca="1" si="61"/>
        <v>-9.9183642328526389E-4</v>
      </c>
      <c r="O318" s="15">
        <f t="shared" ca="1" si="72"/>
        <v>0.25094409137483781</v>
      </c>
      <c r="P318" s="15">
        <f t="shared" ca="1" si="71"/>
        <v>0.25024795910582132</v>
      </c>
      <c r="Q318" s="15">
        <v>0</v>
      </c>
      <c r="R318" s="15">
        <f t="shared" ca="1" si="62"/>
        <v>0.25024795910582132</v>
      </c>
      <c r="S318" s="15">
        <f t="shared" ca="1" si="73"/>
        <v>1.001396810771485</v>
      </c>
      <c r="T318" s="15">
        <v>0</v>
      </c>
      <c r="U318" s="15">
        <f t="shared" ca="1" si="63"/>
        <v>1.001396810771485</v>
      </c>
      <c r="V318" s="15">
        <f t="shared" ca="1" si="64"/>
        <v>1.0009918364232853</v>
      </c>
      <c r="X318" s="15">
        <f t="shared" si="65"/>
        <v>1.05</v>
      </c>
      <c r="Y318" s="15">
        <f t="shared" si="66"/>
        <v>0.95</v>
      </c>
      <c r="Z318" s="15">
        <f t="shared" ca="1" si="67"/>
        <v>1</v>
      </c>
      <c r="AC318" s="15">
        <f t="shared" ca="1" si="68"/>
        <v>9.8373949055530516E-7</v>
      </c>
      <c r="AD318" s="15">
        <f t="shared" ca="1" si="69"/>
        <v>9.9183642328526389E-4</v>
      </c>
      <c r="AE318" s="15">
        <f t="shared" ca="1" si="70"/>
        <v>0.27374685282673283</v>
      </c>
    </row>
    <row r="319" spans="12:31" x14ac:dyDescent="0.3">
      <c r="L319" s="15">
        <v>317</v>
      </c>
      <c r="M319" s="15">
        <f t="shared" si="60"/>
        <v>1</v>
      </c>
      <c r="N319" s="15">
        <f t="shared" ca="1" si="61"/>
        <v>-9.9183642328526389E-4</v>
      </c>
      <c r="O319" s="15">
        <f t="shared" ca="1" si="72"/>
        <v>0.25094409137483781</v>
      </c>
      <c r="P319" s="15">
        <f t="shared" ca="1" si="71"/>
        <v>0.25024795910582132</v>
      </c>
      <c r="Q319" s="15">
        <v>0</v>
      </c>
      <c r="R319" s="15">
        <f t="shared" ca="1" si="62"/>
        <v>0.25024795910582132</v>
      </c>
      <c r="S319" s="15">
        <f t="shared" ca="1" si="73"/>
        <v>1.0013918944741609</v>
      </c>
      <c r="T319" s="15">
        <v>0</v>
      </c>
      <c r="U319" s="15">
        <f t="shared" ca="1" si="63"/>
        <v>1.0013918944741609</v>
      </c>
      <c r="V319" s="15">
        <f t="shared" ca="1" si="64"/>
        <v>1.0009918364232853</v>
      </c>
      <c r="X319" s="15">
        <f t="shared" si="65"/>
        <v>1.05</v>
      </c>
      <c r="Y319" s="15">
        <f t="shared" si="66"/>
        <v>0.95</v>
      </c>
      <c r="Z319" s="15">
        <f t="shared" ca="1" si="67"/>
        <v>1</v>
      </c>
      <c r="AC319" s="15">
        <f t="shared" ca="1" si="68"/>
        <v>9.8373949055530516E-7</v>
      </c>
      <c r="AD319" s="15">
        <f t="shared" ca="1" si="69"/>
        <v>9.9183642328526389E-4</v>
      </c>
      <c r="AE319" s="15">
        <f t="shared" ca="1" si="70"/>
        <v>0.2747386892500181</v>
      </c>
    </row>
    <row r="320" spans="12:31" x14ac:dyDescent="0.3">
      <c r="L320" s="15">
        <v>318</v>
      </c>
      <c r="M320" s="15">
        <f t="shared" si="60"/>
        <v>1</v>
      </c>
      <c r="N320" s="15">
        <f t="shared" ca="1" si="61"/>
        <v>-9.9183642328526389E-4</v>
      </c>
      <c r="O320" s="15">
        <f t="shared" ca="1" si="72"/>
        <v>0.25092533984436011</v>
      </c>
      <c r="P320" s="15">
        <f t="shared" ca="1" si="71"/>
        <v>0.25024795910582132</v>
      </c>
      <c r="Q320" s="15">
        <v>0</v>
      </c>
      <c r="R320" s="15">
        <f t="shared" ca="1" si="62"/>
        <v>0.25024795910582132</v>
      </c>
      <c r="S320" s="15">
        <f t="shared" ca="1" si="73"/>
        <v>1.0013859101429166</v>
      </c>
      <c r="T320" s="15">
        <v>0</v>
      </c>
      <c r="U320" s="15">
        <f t="shared" ca="1" si="63"/>
        <v>1.0013859101429166</v>
      </c>
      <c r="V320" s="15">
        <f t="shared" ca="1" si="64"/>
        <v>1.0009918364232853</v>
      </c>
      <c r="X320" s="15">
        <f t="shared" si="65"/>
        <v>1.05</v>
      </c>
      <c r="Y320" s="15">
        <f t="shared" si="66"/>
        <v>0.95</v>
      </c>
      <c r="Z320" s="15">
        <f t="shared" ca="1" si="67"/>
        <v>1</v>
      </c>
      <c r="AC320" s="15">
        <f t="shared" ca="1" si="68"/>
        <v>9.8373949055530516E-7</v>
      </c>
      <c r="AD320" s="15">
        <f t="shared" ca="1" si="69"/>
        <v>9.9183642328526389E-4</v>
      </c>
      <c r="AE320" s="15">
        <f t="shared" ca="1" si="70"/>
        <v>0.27573052567330336</v>
      </c>
    </row>
    <row r="321" spans="12:31" x14ac:dyDescent="0.3">
      <c r="L321" s="15">
        <v>319</v>
      </c>
      <c r="M321" s="15">
        <f t="shared" si="60"/>
        <v>1</v>
      </c>
      <c r="N321" s="15">
        <f t="shared" ca="1" si="61"/>
        <v>-9.9183642328526389E-4</v>
      </c>
      <c r="O321" s="15">
        <f t="shared" ca="1" si="72"/>
        <v>0.25092533984436011</v>
      </c>
      <c r="P321" s="15">
        <f t="shared" ca="1" si="71"/>
        <v>0.25024795910582132</v>
      </c>
      <c r="Q321" s="15">
        <v>0</v>
      </c>
      <c r="R321" s="15">
        <f t="shared" ca="1" si="62"/>
        <v>0.25024795910582132</v>
      </c>
      <c r="S321" s="15">
        <f t="shared" ca="1" si="73"/>
        <v>1.0013790186612761</v>
      </c>
      <c r="T321" s="15">
        <v>0</v>
      </c>
      <c r="U321" s="15">
        <f t="shared" ca="1" si="63"/>
        <v>1.0013790186612761</v>
      </c>
      <c r="V321" s="15">
        <f t="shared" ca="1" si="64"/>
        <v>1.0009918364232853</v>
      </c>
      <c r="X321" s="15">
        <f t="shared" si="65"/>
        <v>1.05</v>
      </c>
      <c r="Y321" s="15">
        <f t="shared" si="66"/>
        <v>0.95</v>
      </c>
      <c r="Z321" s="15">
        <f t="shared" ca="1" si="67"/>
        <v>1</v>
      </c>
      <c r="AC321" s="15">
        <f t="shared" ca="1" si="68"/>
        <v>9.8373949055530516E-7</v>
      </c>
      <c r="AD321" s="15">
        <f t="shared" ca="1" si="69"/>
        <v>9.9183642328526389E-4</v>
      </c>
      <c r="AE321" s="15">
        <f t="shared" ca="1" si="70"/>
        <v>0.27672236209658863</v>
      </c>
    </row>
    <row r="322" spans="12:31" x14ac:dyDescent="0.3">
      <c r="L322" s="15">
        <v>320</v>
      </c>
      <c r="M322" s="15">
        <f t="shared" si="60"/>
        <v>1</v>
      </c>
      <c r="N322" s="15">
        <f t="shared" ca="1" si="61"/>
        <v>-9.9183642328526389E-4</v>
      </c>
      <c r="O322" s="15">
        <f t="shared" ca="1" si="72"/>
        <v>0.25092533984436011</v>
      </c>
      <c r="P322" s="15">
        <f t="shared" ca="1" si="71"/>
        <v>0.25024795910582132</v>
      </c>
      <c r="Q322" s="15">
        <v>0</v>
      </c>
      <c r="R322" s="15">
        <f t="shared" ca="1" si="62"/>
        <v>0.25024795910582132</v>
      </c>
      <c r="S322" s="15">
        <f t="shared" ca="1" si="73"/>
        <v>1.0013713643277184</v>
      </c>
      <c r="T322" s="15">
        <v>0</v>
      </c>
      <c r="U322" s="15">
        <f t="shared" ca="1" si="63"/>
        <v>1.0013713643277184</v>
      </c>
      <c r="V322" s="15">
        <f t="shared" ca="1" si="64"/>
        <v>1.0009918364232853</v>
      </c>
      <c r="X322" s="15">
        <f t="shared" si="65"/>
        <v>1.05</v>
      </c>
      <c r="Y322" s="15">
        <f t="shared" si="66"/>
        <v>0.95</v>
      </c>
      <c r="Z322" s="15">
        <f t="shared" ca="1" si="67"/>
        <v>1</v>
      </c>
      <c r="AC322" s="15">
        <f t="shared" ca="1" si="68"/>
        <v>9.8373949055530516E-7</v>
      </c>
      <c r="AD322" s="15">
        <f t="shared" ca="1" si="69"/>
        <v>9.9183642328526389E-4</v>
      </c>
      <c r="AE322" s="15">
        <f t="shared" ca="1" si="70"/>
        <v>0.27771419851987389</v>
      </c>
    </row>
    <row r="323" spans="12:31" x14ac:dyDescent="0.3">
      <c r="L323" s="15">
        <v>321</v>
      </c>
      <c r="M323" s="15">
        <f t="shared" ref="M323:M386" si="74">IF(L323&lt;$D$16,$D$12,IF(L323&lt;$E$16,$E$12,$F$13))</f>
        <v>1</v>
      </c>
      <c r="N323" s="15">
        <f t="shared" ref="N323:N386" ca="1" si="75">M323-V323</f>
        <v>-9.9183642328526389E-4</v>
      </c>
      <c r="O323" s="15">
        <f t="shared" ca="1" si="72"/>
        <v>0.25090658831388241</v>
      </c>
      <c r="P323" s="15">
        <f t="shared" ca="1" si="71"/>
        <v>0.25024795910582132</v>
      </c>
      <c r="Q323" s="15">
        <v>0</v>
      </c>
      <c r="R323" s="15">
        <f t="shared" ref="R323:R386" ca="1" si="76">P323+Q323</f>
        <v>0.25024795910582132</v>
      </c>
      <c r="S323" s="15">
        <f t="shared" ca="1" si="73"/>
        <v>1.0013498764164865</v>
      </c>
      <c r="T323" s="15">
        <v>0</v>
      </c>
      <c r="U323" s="15">
        <f t="shared" ref="U323:U386" ca="1" si="77">S323+T323</f>
        <v>1.0013498764164865</v>
      </c>
      <c r="V323" s="15">
        <f t="shared" ref="V323:V386" ca="1" si="78">INT((2^$J$12-1)*U323/100)/(2^$J$12-1)*100</f>
        <v>1.0009918364232853</v>
      </c>
      <c r="X323" s="15">
        <f t="shared" ref="X323:X386" si="79">M323 * 1.05</f>
        <v>1.05</v>
      </c>
      <c r="Y323" s="15">
        <f t="shared" ref="Y323:Y386" si="80">M323 * 0.95</f>
        <v>0.95</v>
      </c>
      <c r="Z323" s="15">
        <f t="shared" ref="Z323:Z386" ca="1" si="81">IF(AND(V323 &lt;= X323, V323 &gt;= Y323), 1, 0)</f>
        <v>1</v>
      </c>
      <c r="AC323" s="15">
        <f t="shared" ref="AC323:AC386" ca="1" si="82">N323^2</f>
        <v>9.8373949055530516E-7</v>
      </c>
      <c r="AD323" s="15">
        <f t="shared" ref="AD323:AD386" ca="1" si="83">ABS(N323)</f>
        <v>9.9183642328526389E-4</v>
      </c>
      <c r="AE323" s="15">
        <f t="shared" ref="AE323:AE386" ca="1" si="84">IF(M323&gt;0, ABS(N323)*(L323-$D$16),0)</f>
        <v>0.27870603494315915</v>
      </c>
    </row>
    <row r="324" spans="12:31" x14ac:dyDescent="0.3">
      <c r="L324" s="15">
        <v>322</v>
      </c>
      <c r="M324" s="15">
        <f t="shared" si="74"/>
        <v>1</v>
      </c>
      <c r="N324" s="15">
        <f t="shared" ca="1" si="75"/>
        <v>-9.9183642328526389E-4</v>
      </c>
      <c r="O324" s="15">
        <f t="shared" ca="1" si="72"/>
        <v>0.25090658831388241</v>
      </c>
      <c r="P324" s="15">
        <f t="shared" ca="1" si="71"/>
        <v>0.25024795910582132</v>
      </c>
      <c r="Q324" s="15">
        <v>0</v>
      </c>
      <c r="R324" s="15">
        <f t="shared" ca="1" si="76"/>
        <v>0.25024795910582132</v>
      </c>
      <c r="S324" s="15">
        <f t="shared" ca="1" si="73"/>
        <v>1.001303785838928</v>
      </c>
      <c r="T324" s="15">
        <v>0</v>
      </c>
      <c r="U324" s="15">
        <f t="shared" ca="1" si="77"/>
        <v>1.001303785838928</v>
      </c>
      <c r="V324" s="15">
        <f t="shared" ca="1" si="78"/>
        <v>1.0009918364232853</v>
      </c>
      <c r="X324" s="15">
        <f t="shared" si="79"/>
        <v>1.05</v>
      </c>
      <c r="Y324" s="15">
        <f t="shared" si="80"/>
        <v>0.95</v>
      </c>
      <c r="Z324" s="15">
        <f t="shared" ca="1" si="81"/>
        <v>1</v>
      </c>
      <c r="AC324" s="15">
        <f t="shared" ca="1" si="82"/>
        <v>9.8373949055530516E-7</v>
      </c>
      <c r="AD324" s="15">
        <f t="shared" ca="1" si="83"/>
        <v>9.9183642328526389E-4</v>
      </c>
      <c r="AE324" s="15">
        <f t="shared" ca="1" si="84"/>
        <v>0.27969787136644442</v>
      </c>
    </row>
    <row r="325" spans="12:31" x14ac:dyDescent="0.3">
      <c r="L325" s="15">
        <v>323</v>
      </c>
      <c r="M325" s="15">
        <f t="shared" si="74"/>
        <v>1</v>
      </c>
      <c r="N325" s="15">
        <f t="shared" ca="1" si="75"/>
        <v>-9.9183642328526389E-4</v>
      </c>
      <c r="O325" s="15">
        <f t="shared" ca="1" si="72"/>
        <v>0.25090658831388241</v>
      </c>
      <c r="P325" s="15">
        <f t="shared" ca="1" si="71"/>
        <v>0.25024795910582132</v>
      </c>
      <c r="Q325" s="15">
        <v>0</v>
      </c>
      <c r="R325" s="15">
        <f t="shared" ca="1" si="76"/>
        <v>0.25024795910582132</v>
      </c>
      <c r="S325" s="15">
        <f t="shared" ca="1" si="73"/>
        <v>1.0012364105084017</v>
      </c>
      <c r="T325" s="15">
        <v>0</v>
      </c>
      <c r="U325" s="15">
        <f t="shared" ca="1" si="77"/>
        <v>1.0012364105084017</v>
      </c>
      <c r="V325" s="15">
        <f t="shared" ca="1" si="78"/>
        <v>1.0009918364232853</v>
      </c>
      <c r="X325" s="15">
        <f t="shared" si="79"/>
        <v>1.05</v>
      </c>
      <c r="Y325" s="15">
        <f t="shared" si="80"/>
        <v>0.95</v>
      </c>
      <c r="Z325" s="15">
        <f t="shared" ca="1" si="81"/>
        <v>1</v>
      </c>
      <c r="AC325" s="15">
        <f t="shared" ca="1" si="82"/>
        <v>9.8373949055530516E-7</v>
      </c>
      <c r="AD325" s="15">
        <f t="shared" ca="1" si="83"/>
        <v>9.9183642328526389E-4</v>
      </c>
      <c r="AE325" s="15">
        <f t="shared" ca="1" si="84"/>
        <v>0.28068970778972968</v>
      </c>
    </row>
    <row r="326" spans="12:31" x14ac:dyDescent="0.3">
      <c r="L326" s="15">
        <v>324</v>
      </c>
      <c r="M326" s="15">
        <f t="shared" si="74"/>
        <v>1</v>
      </c>
      <c r="N326" s="15">
        <f t="shared" ca="1" si="75"/>
        <v>-9.9183642328526389E-4</v>
      </c>
      <c r="O326" s="15">
        <f t="shared" ca="1" si="72"/>
        <v>0.25088783678340471</v>
      </c>
      <c r="P326" s="15">
        <f t="shared" ca="1" si="71"/>
        <v>0.25024795910582132</v>
      </c>
      <c r="Q326" s="15">
        <v>0</v>
      </c>
      <c r="R326" s="15">
        <f t="shared" ca="1" si="76"/>
        <v>0.25024795910582132</v>
      </c>
      <c r="S326" s="15">
        <f t="shared" ca="1" si="73"/>
        <v>1.0011639371353922</v>
      </c>
      <c r="T326" s="15">
        <v>0</v>
      </c>
      <c r="U326" s="15">
        <f t="shared" ca="1" si="77"/>
        <v>1.0011639371353922</v>
      </c>
      <c r="V326" s="15">
        <f t="shared" ca="1" si="78"/>
        <v>1.0009918364232853</v>
      </c>
      <c r="X326" s="15">
        <f t="shared" si="79"/>
        <v>1.05</v>
      </c>
      <c r="Y326" s="15">
        <f t="shared" si="80"/>
        <v>0.95</v>
      </c>
      <c r="Z326" s="15">
        <f t="shared" ca="1" si="81"/>
        <v>1</v>
      </c>
      <c r="AC326" s="15">
        <f t="shared" ca="1" si="82"/>
        <v>9.8373949055530516E-7</v>
      </c>
      <c r="AD326" s="15">
        <f t="shared" ca="1" si="83"/>
        <v>9.9183642328526389E-4</v>
      </c>
      <c r="AE326" s="15">
        <f t="shared" ca="1" si="84"/>
        <v>0.28168154421301494</v>
      </c>
    </row>
    <row r="327" spans="12:31" x14ac:dyDescent="0.3">
      <c r="L327" s="15">
        <v>325</v>
      </c>
      <c r="M327" s="15">
        <f t="shared" si="74"/>
        <v>1</v>
      </c>
      <c r="N327" s="15">
        <f t="shared" ca="1" si="75"/>
        <v>-9.9183642328526389E-4</v>
      </c>
      <c r="O327" s="15">
        <f t="shared" ca="1" si="72"/>
        <v>0.25088783678340471</v>
      </c>
      <c r="P327" s="15">
        <f t="shared" ca="1" si="71"/>
        <v>0.25024795910582132</v>
      </c>
      <c r="Q327" s="15">
        <v>0</v>
      </c>
      <c r="R327" s="15">
        <f t="shared" ca="1" si="76"/>
        <v>0.25024795910582132</v>
      </c>
      <c r="S327" s="15">
        <f t="shared" ca="1" si="73"/>
        <v>1.0010999353355072</v>
      </c>
      <c r="T327" s="15">
        <v>0</v>
      </c>
      <c r="U327" s="15">
        <f t="shared" ca="1" si="77"/>
        <v>1.0010999353355072</v>
      </c>
      <c r="V327" s="15">
        <f t="shared" ca="1" si="78"/>
        <v>1.0009918364232853</v>
      </c>
      <c r="X327" s="15">
        <f t="shared" si="79"/>
        <v>1.05</v>
      </c>
      <c r="Y327" s="15">
        <f t="shared" si="80"/>
        <v>0.95</v>
      </c>
      <c r="Z327" s="15">
        <f t="shared" ca="1" si="81"/>
        <v>1</v>
      </c>
      <c r="AC327" s="15">
        <f t="shared" ca="1" si="82"/>
        <v>9.8373949055530516E-7</v>
      </c>
      <c r="AD327" s="15">
        <f t="shared" ca="1" si="83"/>
        <v>9.9183642328526389E-4</v>
      </c>
      <c r="AE327" s="15">
        <f t="shared" ca="1" si="84"/>
        <v>0.28267338063630021</v>
      </c>
    </row>
    <row r="328" spans="12:31" x14ac:dyDescent="0.3">
      <c r="L328" s="15">
        <v>326</v>
      </c>
      <c r="M328" s="15">
        <f t="shared" si="74"/>
        <v>1</v>
      </c>
      <c r="N328" s="15">
        <f t="shared" ca="1" si="75"/>
        <v>-9.9183642328526389E-4</v>
      </c>
      <c r="O328" s="15">
        <f t="shared" ca="1" si="72"/>
        <v>0.25088783678340471</v>
      </c>
      <c r="P328" s="15">
        <f t="shared" ca="1" si="71"/>
        <v>0.25024795910582132</v>
      </c>
      <c r="Q328" s="15">
        <v>0</v>
      </c>
      <c r="R328" s="15">
        <f t="shared" ca="1" si="76"/>
        <v>0.25024795910582132</v>
      </c>
      <c r="S328" s="15">
        <f t="shared" ca="1" si="73"/>
        <v>1.001043600462433</v>
      </c>
      <c r="T328" s="15">
        <v>0</v>
      </c>
      <c r="U328" s="15">
        <f t="shared" ca="1" si="77"/>
        <v>1.001043600462433</v>
      </c>
      <c r="V328" s="15">
        <f t="shared" ca="1" si="78"/>
        <v>1.0009918364232853</v>
      </c>
      <c r="X328" s="15">
        <f t="shared" si="79"/>
        <v>1.05</v>
      </c>
      <c r="Y328" s="15">
        <f t="shared" si="80"/>
        <v>0.95</v>
      </c>
      <c r="Z328" s="15">
        <f t="shared" ca="1" si="81"/>
        <v>1</v>
      </c>
      <c r="AC328" s="15">
        <f t="shared" ca="1" si="82"/>
        <v>9.8373949055530516E-7</v>
      </c>
      <c r="AD328" s="15">
        <f t="shared" ca="1" si="83"/>
        <v>9.9183642328526389E-4</v>
      </c>
      <c r="AE328" s="15">
        <f t="shared" ca="1" si="84"/>
        <v>0.28366521705958547</v>
      </c>
    </row>
    <row r="329" spans="12:31" x14ac:dyDescent="0.3">
      <c r="L329" s="15">
        <v>327</v>
      </c>
      <c r="M329" s="15">
        <f t="shared" si="74"/>
        <v>1</v>
      </c>
      <c r="N329" s="15">
        <f t="shared" ca="1" si="75"/>
        <v>-9.9183642328526389E-4</v>
      </c>
      <c r="O329" s="15">
        <f t="shared" ca="1" si="72"/>
        <v>0.250869085252927</v>
      </c>
      <c r="P329" s="15">
        <f t="shared" ca="1" si="71"/>
        <v>0.25024795910582132</v>
      </c>
      <c r="Q329" s="15">
        <v>0</v>
      </c>
      <c r="R329" s="15">
        <f t="shared" ca="1" si="76"/>
        <v>0.25024795910582132</v>
      </c>
      <c r="S329" s="15">
        <f t="shared" ca="1" si="73"/>
        <v>1.0009941975804582</v>
      </c>
      <c r="T329" s="15">
        <v>0</v>
      </c>
      <c r="U329" s="15">
        <f t="shared" ca="1" si="77"/>
        <v>1.0009941975804582</v>
      </c>
      <c r="V329" s="15">
        <f t="shared" ca="1" si="78"/>
        <v>1.0009918364232853</v>
      </c>
      <c r="X329" s="15">
        <f t="shared" si="79"/>
        <v>1.05</v>
      </c>
      <c r="Y329" s="15">
        <f t="shared" si="80"/>
        <v>0.95</v>
      </c>
      <c r="Z329" s="15">
        <f t="shared" ca="1" si="81"/>
        <v>1</v>
      </c>
      <c r="AC329" s="15">
        <f t="shared" ca="1" si="82"/>
        <v>9.8373949055530516E-7</v>
      </c>
      <c r="AD329" s="15">
        <f t="shared" ca="1" si="83"/>
        <v>9.9183642328526389E-4</v>
      </c>
      <c r="AE329" s="15">
        <f t="shared" ca="1" si="84"/>
        <v>0.28465705348287074</v>
      </c>
    </row>
    <row r="330" spans="12:31" x14ac:dyDescent="0.3">
      <c r="L330" s="15">
        <v>328</v>
      </c>
      <c r="M330" s="15">
        <f t="shared" si="74"/>
        <v>1</v>
      </c>
      <c r="N330" s="15">
        <f t="shared" ca="1" si="75"/>
        <v>5.3406576638448389E-4</v>
      </c>
      <c r="O330" s="15">
        <f t="shared" ca="1" si="72"/>
        <v>0.250869085252927</v>
      </c>
      <c r="P330" s="15">
        <f t="shared" ca="1" si="71"/>
        <v>0.25024795910582132</v>
      </c>
      <c r="Q330" s="15">
        <v>0</v>
      </c>
      <c r="R330" s="15">
        <f t="shared" ca="1" si="76"/>
        <v>0.25024795910582132</v>
      </c>
      <c r="S330" s="15">
        <f t="shared" ca="1" si="73"/>
        <v>1.0009510557241685</v>
      </c>
      <c r="T330" s="15">
        <v>0</v>
      </c>
      <c r="U330" s="15">
        <f t="shared" ca="1" si="77"/>
        <v>1.0009510557241685</v>
      </c>
      <c r="V330" s="15">
        <f t="shared" ca="1" si="78"/>
        <v>0.99946593423361552</v>
      </c>
      <c r="X330" s="15">
        <f t="shared" si="79"/>
        <v>1.05</v>
      </c>
      <c r="Y330" s="15">
        <f t="shared" si="80"/>
        <v>0.95</v>
      </c>
      <c r="Z330" s="15">
        <f t="shared" ca="1" si="81"/>
        <v>1</v>
      </c>
      <c r="AC330" s="15">
        <f t="shared" ca="1" si="82"/>
        <v>2.852262428238461E-7</v>
      </c>
      <c r="AD330" s="15">
        <f t="shared" ca="1" si="83"/>
        <v>5.3406576638448389E-4</v>
      </c>
      <c r="AE330" s="15">
        <f t="shared" ca="1" si="84"/>
        <v>0.15381094071873136</v>
      </c>
    </row>
    <row r="331" spans="12:31" x14ac:dyDescent="0.3">
      <c r="L331" s="15">
        <v>329</v>
      </c>
      <c r="M331" s="15">
        <f t="shared" si="74"/>
        <v>1</v>
      </c>
      <c r="N331" s="15">
        <f t="shared" ca="1" si="75"/>
        <v>5.3406576638448389E-4</v>
      </c>
      <c r="O331" s="15">
        <f t="shared" ca="1" si="72"/>
        <v>0.250869085252927</v>
      </c>
      <c r="P331" s="15">
        <f t="shared" ca="1" si="71"/>
        <v>0.25024795910582132</v>
      </c>
      <c r="Q331" s="15">
        <v>0</v>
      </c>
      <c r="R331" s="15">
        <f t="shared" ca="1" si="76"/>
        <v>0.25024795910582132</v>
      </c>
      <c r="S331" s="15">
        <f t="shared" ca="1" si="73"/>
        <v>1.000913562616226</v>
      </c>
      <c r="T331" s="15">
        <v>0</v>
      </c>
      <c r="U331" s="15">
        <f t="shared" ca="1" si="77"/>
        <v>1.000913562616226</v>
      </c>
      <c r="V331" s="15">
        <f t="shared" ca="1" si="78"/>
        <v>0.99946593423361552</v>
      </c>
      <c r="X331" s="15">
        <f t="shared" si="79"/>
        <v>1.05</v>
      </c>
      <c r="Y331" s="15">
        <f t="shared" si="80"/>
        <v>0.95</v>
      </c>
      <c r="Z331" s="15">
        <f t="shared" ca="1" si="81"/>
        <v>1</v>
      </c>
      <c r="AC331" s="15">
        <f t="shared" ca="1" si="82"/>
        <v>2.852262428238461E-7</v>
      </c>
      <c r="AD331" s="15">
        <f t="shared" ca="1" si="83"/>
        <v>5.3406576638448389E-4</v>
      </c>
      <c r="AE331" s="15">
        <f t="shared" ca="1" si="84"/>
        <v>0.15434500648511584</v>
      </c>
    </row>
    <row r="332" spans="12:31" x14ac:dyDescent="0.3">
      <c r="L332" s="15">
        <v>330</v>
      </c>
      <c r="M332" s="15">
        <f t="shared" si="74"/>
        <v>1</v>
      </c>
      <c r="N332" s="15">
        <f t="shared" ca="1" si="75"/>
        <v>5.3406576638448389E-4</v>
      </c>
      <c r="O332" s="15">
        <f t="shared" ca="1" si="72"/>
        <v>0.25250674099337167</v>
      </c>
      <c r="P332" s="15">
        <f t="shared" ca="1" si="71"/>
        <v>0.25177386129549095</v>
      </c>
      <c r="Q332" s="15">
        <v>0</v>
      </c>
      <c r="R332" s="15">
        <f t="shared" ca="1" si="76"/>
        <v>0.25177386129549095</v>
      </c>
      <c r="S332" s="15">
        <f t="shared" ca="1" si="73"/>
        <v>1.0008811598074232</v>
      </c>
      <c r="T332" s="15">
        <v>0</v>
      </c>
      <c r="U332" s="15">
        <f t="shared" ca="1" si="77"/>
        <v>1.0008811598074232</v>
      </c>
      <c r="V332" s="15">
        <f t="shared" ca="1" si="78"/>
        <v>0.99946593423361552</v>
      </c>
      <c r="X332" s="15">
        <f t="shared" si="79"/>
        <v>1.05</v>
      </c>
      <c r="Y332" s="15">
        <f t="shared" si="80"/>
        <v>0.95</v>
      </c>
      <c r="Z332" s="15">
        <f t="shared" ca="1" si="81"/>
        <v>1</v>
      </c>
      <c r="AC332" s="15">
        <f t="shared" ca="1" si="82"/>
        <v>2.852262428238461E-7</v>
      </c>
      <c r="AD332" s="15">
        <f t="shared" ca="1" si="83"/>
        <v>5.3406576638448389E-4</v>
      </c>
      <c r="AE332" s="15">
        <f t="shared" ca="1" si="84"/>
        <v>0.15487907225150033</v>
      </c>
    </row>
    <row r="333" spans="12:31" ht="13.8" customHeight="1" x14ac:dyDescent="0.3">
      <c r="L333" s="15">
        <v>331</v>
      </c>
      <c r="M333" s="15">
        <f t="shared" si="74"/>
        <v>1</v>
      </c>
      <c r="N333" s="15">
        <f t="shared" ca="1" si="75"/>
        <v>5.3406576638448389E-4</v>
      </c>
      <c r="O333" s="15">
        <f t="shared" ca="1" si="72"/>
        <v>0.25250674099337167</v>
      </c>
      <c r="P333" s="15">
        <f t="shared" ref="P333:P396" ca="1" si="85">INT((2^$J$12-1)*O333/100)/(2^$J$12-1)*100</f>
        <v>0.25177386129549095</v>
      </c>
      <c r="Q333" s="15">
        <v>0</v>
      </c>
      <c r="R333" s="15">
        <f t="shared" ca="1" si="76"/>
        <v>0.25177386129549095</v>
      </c>
      <c r="S333" s="15">
        <f t="shared" ca="1" si="73"/>
        <v>1.0008533382059703</v>
      </c>
      <c r="T333" s="15">
        <v>0</v>
      </c>
      <c r="U333" s="15">
        <f t="shared" ca="1" si="77"/>
        <v>1.0008533382059703</v>
      </c>
      <c r="V333" s="15">
        <f t="shared" ca="1" si="78"/>
        <v>0.99946593423361552</v>
      </c>
      <c r="X333" s="15">
        <f t="shared" si="79"/>
        <v>1.05</v>
      </c>
      <c r="Y333" s="15">
        <f t="shared" si="80"/>
        <v>0.95</v>
      </c>
      <c r="Z333" s="15">
        <f t="shared" ca="1" si="81"/>
        <v>1</v>
      </c>
      <c r="AC333" s="15">
        <f t="shared" ca="1" si="82"/>
        <v>2.852262428238461E-7</v>
      </c>
      <c r="AD333" s="15">
        <f t="shared" ca="1" si="83"/>
        <v>5.3406576638448389E-4</v>
      </c>
      <c r="AE333" s="15">
        <f t="shared" ca="1" si="84"/>
        <v>0.15541313801788481</v>
      </c>
    </row>
    <row r="334" spans="12:31" x14ac:dyDescent="0.3">
      <c r="L334" s="15">
        <v>332</v>
      </c>
      <c r="M334" s="15">
        <f t="shared" si="74"/>
        <v>1</v>
      </c>
      <c r="N334" s="15">
        <f t="shared" ca="1" si="75"/>
        <v>5.3406576638448389E-4</v>
      </c>
      <c r="O334" s="15">
        <f t="shared" ca="1" si="72"/>
        <v>0.25250674099337167</v>
      </c>
      <c r="P334" s="15">
        <f t="shared" ca="1" si="85"/>
        <v>0.25177386129549095</v>
      </c>
      <c r="Q334" s="15">
        <v>0</v>
      </c>
      <c r="R334" s="15">
        <f t="shared" ca="1" si="76"/>
        <v>0.25177386129549095</v>
      </c>
      <c r="S334" s="15">
        <f t="shared" ca="1" si="73"/>
        <v>1.0008296339655138</v>
      </c>
      <c r="T334" s="15">
        <v>0</v>
      </c>
      <c r="U334" s="15">
        <f t="shared" ca="1" si="77"/>
        <v>1.0008296339655138</v>
      </c>
      <c r="V334" s="15">
        <f t="shared" ca="1" si="78"/>
        <v>0.99946593423361552</v>
      </c>
      <c r="X334" s="15">
        <f t="shared" si="79"/>
        <v>1.05</v>
      </c>
      <c r="Y334" s="15">
        <f t="shared" si="80"/>
        <v>0.95</v>
      </c>
      <c r="Z334" s="15">
        <f t="shared" ca="1" si="81"/>
        <v>1</v>
      </c>
      <c r="AC334" s="15">
        <f t="shared" ca="1" si="82"/>
        <v>2.852262428238461E-7</v>
      </c>
      <c r="AD334" s="15">
        <f t="shared" ca="1" si="83"/>
        <v>5.3406576638448389E-4</v>
      </c>
      <c r="AE334" s="15">
        <f t="shared" ca="1" si="84"/>
        <v>0.15594720378426929</v>
      </c>
    </row>
    <row r="335" spans="12:31" x14ac:dyDescent="0.3">
      <c r="L335" s="15">
        <v>333</v>
      </c>
      <c r="M335" s="15">
        <f t="shared" si="74"/>
        <v>1</v>
      </c>
      <c r="N335" s="15">
        <f t="shared" ca="1" si="75"/>
        <v>5.3406576638448389E-4</v>
      </c>
      <c r="O335" s="15">
        <f t="shared" ca="1" si="72"/>
        <v>0.25122280643092287</v>
      </c>
      <c r="P335" s="15">
        <f t="shared" ca="1" si="85"/>
        <v>0.25024795910582132</v>
      </c>
      <c r="Q335" s="15">
        <v>0</v>
      </c>
      <c r="R335" s="15">
        <f t="shared" ca="1" si="76"/>
        <v>0.25024795910582132</v>
      </c>
      <c r="S335" s="15">
        <f t="shared" ca="1" si="73"/>
        <v>1.0008096247037435</v>
      </c>
      <c r="T335" s="15">
        <v>0</v>
      </c>
      <c r="U335" s="15">
        <f t="shared" ca="1" si="77"/>
        <v>1.0008096247037435</v>
      </c>
      <c r="V335" s="15">
        <f t="shared" ca="1" si="78"/>
        <v>0.99946593423361552</v>
      </c>
      <c r="X335" s="15">
        <f t="shared" si="79"/>
        <v>1.05</v>
      </c>
      <c r="Y335" s="15">
        <f t="shared" si="80"/>
        <v>0.95</v>
      </c>
      <c r="Z335" s="15">
        <f t="shared" ca="1" si="81"/>
        <v>1</v>
      </c>
      <c r="AC335" s="15">
        <f t="shared" ca="1" si="82"/>
        <v>2.852262428238461E-7</v>
      </c>
      <c r="AD335" s="15">
        <f t="shared" ca="1" si="83"/>
        <v>5.3406576638448389E-4</v>
      </c>
      <c r="AE335" s="15">
        <f t="shared" ca="1" si="84"/>
        <v>0.15648126955065378</v>
      </c>
    </row>
    <row r="336" spans="12:31" x14ac:dyDescent="0.3">
      <c r="L336" s="15">
        <v>334</v>
      </c>
      <c r="M336" s="15">
        <f t="shared" si="74"/>
        <v>1</v>
      </c>
      <c r="N336" s="15">
        <f t="shared" ca="1" si="75"/>
        <v>5.3406576638448389E-4</v>
      </c>
      <c r="O336" s="15">
        <f t="shared" ca="1" si="72"/>
        <v>0.25122280643092287</v>
      </c>
      <c r="P336" s="15">
        <f t="shared" ca="1" si="85"/>
        <v>0.25024795910582132</v>
      </c>
      <c r="Q336" s="15">
        <v>0</v>
      </c>
      <c r="R336" s="15">
        <f t="shared" ca="1" si="76"/>
        <v>0.25024795910582132</v>
      </c>
      <c r="S336" s="15">
        <f t="shared" ca="1" si="73"/>
        <v>1.000792926025619</v>
      </c>
      <c r="T336" s="15">
        <v>0</v>
      </c>
      <c r="U336" s="15">
        <f t="shared" ca="1" si="77"/>
        <v>1.000792926025619</v>
      </c>
      <c r="V336" s="15">
        <f t="shared" ca="1" si="78"/>
        <v>0.99946593423361552</v>
      </c>
      <c r="X336" s="15">
        <f t="shared" si="79"/>
        <v>1.05</v>
      </c>
      <c r="Y336" s="15">
        <f t="shared" si="80"/>
        <v>0.95</v>
      </c>
      <c r="Z336" s="15">
        <f t="shared" ca="1" si="81"/>
        <v>1</v>
      </c>
      <c r="AC336" s="15">
        <f t="shared" ca="1" si="82"/>
        <v>2.852262428238461E-7</v>
      </c>
      <c r="AD336" s="15">
        <f t="shared" ca="1" si="83"/>
        <v>5.3406576638448389E-4</v>
      </c>
      <c r="AE336" s="15">
        <f t="shared" ca="1" si="84"/>
        <v>0.15701533531703826</v>
      </c>
    </row>
    <row r="337" spans="12:31" x14ac:dyDescent="0.3">
      <c r="L337" s="15">
        <v>335</v>
      </c>
      <c r="M337" s="15">
        <f t="shared" si="74"/>
        <v>1</v>
      </c>
      <c r="N337" s="15">
        <f t="shared" ca="1" si="75"/>
        <v>5.3406576638448389E-4</v>
      </c>
      <c r="O337" s="15">
        <f t="shared" ca="1" si="72"/>
        <v>0.25122280643092287</v>
      </c>
      <c r="P337" s="15">
        <f t="shared" ca="1" si="85"/>
        <v>0.25024795910582132</v>
      </c>
      <c r="Q337" s="15">
        <v>0</v>
      </c>
      <c r="R337" s="15">
        <f t="shared" ca="1" si="76"/>
        <v>0.25024795910582132</v>
      </c>
      <c r="S337" s="15">
        <f t="shared" ca="1" si="73"/>
        <v>1.0007791883272523</v>
      </c>
      <c r="T337" s="15">
        <v>0</v>
      </c>
      <c r="U337" s="15">
        <f t="shared" ca="1" si="77"/>
        <v>1.0007791883272523</v>
      </c>
      <c r="V337" s="15">
        <f t="shared" ca="1" si="78"/>
        <v>0.99946593423361552</v>
      </c>
      <c r="X337" s="15">
        <f t="shared" si="79"/>
        <v>1.05</v>
      </c>
      <c r="Y337" s="15">
        <f t="shared" si="80"/>
        <v>0.95</v>
      </c>
      <c r="Z337" s="15">
        <f t="shared" ca="1" si="81"/>
        <v>1</v>
      </c>
      <c r="AC337" s="15">
        <f t="shared" ca="1" si="82"/>
        <v>2.852262428238461E-7</v>
      </c>
      <c r="AD337" s="15">
        <f t="shared" ca="1" si="83"/>
        <v>5.3406576638448389E-4</v>
      </c>
      <c r="AE337" s="15">
        <f t="shared" ca="1" si="84"/>
        <v>0.15754940108342275</v>
      </c>
    </row>
    <row r="338" spans="12:31" x14ac:dyDescent="0.3">
      <c r="L338" s="15">
        <v>336</v>
      </c>
      <c r="M338" s="15">
        <f t="shared" si="74"/>
        <v>1</v>
      </c>
      <c r="N338" s="15">
        <f t="shared" ca="1" si="75"/>
        <v>5.3406576638448389E-4</v>
      </c>
      <c r="O338" s="15">
        <f t="shared" ca="1" si="72"/>
        <v>0.25123290340887239</v>
      </c>
      <c r="P338" s="15">
        <f t="shared" ca="1" si="85"/>
        <v>0.25024795910582132</v>
      </c>
      <c r="Q338" s="15">
        <v>0</v>
      </c>
      <c r="R338" s="15">
        <f t="shared" ca="1" si="76"/>
        <v>0.25024795910582132</v>
      </c>
      <c r="S338" s="15">
        <f t="shared" ca="1" si="73"/>
        <v>1.000768093858341</v>
      </c>
      <c r="T338" s="15">
        <v>0</v>
      </c>
      <c r="U338" s="15">
        <f t="shared" ca="1" si="77"/>
        <v>1.000768093858341</v>
      </c>
      <c r="V338" s="15">
        <f t="shared" ca="1" si="78"/>
        <v>0.99946593423361552</v>
      </c>
      <c r="X338" s="15">
        <f t="shared" si="79"/>
        <v>1.05</v>
      </c>
      <c r="Y338" s="15">
        <f t="shared" si="80"/>
        <v>0.95</v>
      </c>
      <c r="Z338" s="15">
        <f t="shared" ca="1" si="81"/>
        <v>1</v>
      </c>
      <c r="AC338" s="15">
        <f t="shared" ca="1" si="82"/>
        <v>2.852262428238461E-7</v>
      </c>
      <c r="AD338" s="15">
        <f t="shared" ca="1" si="83"/>
        <v>5.3406576638448389E-4</v>
      </c>
      <c r="AE338" s="15">
        <f t="shared" ca="1" si="84"/>
        <v>0.15808346684980723</v>
      </c>
    </row>
    <row r="339" spans="12:31" x14ac:dyDescent="0.3">
      <c r="L339" s="15">
        <v>337</v>
      </c>
      <c r="M339" s="15">
        <f t="shared" si="74"/>
        <v>1</v>
      </c>
      <c r="N339" s="15">
        <f t="shared" ca="1" si="75"/>
        <v>5.3406576638448389E-4</v>
      </c>
      <c r="O339" s="15">
        <f t="shared" ca="1" si="72"/>
        <v>0.25123290340887239</v>
      </c>
      <c r="P339" s="15">
        <f t="shared" ca="1" si="85"/>
        <v>0.25024795910582132</v>
      </c>
      <c r="Q339" s="15">
        <v>0</v>
      </c>
      <c r="R339" s="15">
        <f t="shared" ca="1" si="76"/>
        <v>0.25024795910582132</v>
      </c>
      <c r="S339" s="15">
        <f t="shared" ca="1" si="73"/>
        <v>1.0007593540227555</v>
      </c>
      <c r="T339" s="15">
        <v>0</v>
      </c>
      <c r="U339" s="15">
        <f t="shared" ca="1" si="77"/>
        <v>1.0007593540227555</v>
      </c>
      <c r="V339" s="15">
        <f t="shared" ca="1" si="78"/>
        <v>0.99946593423361552</v>
      </c>
      <c r="X339" s="15">
        <f t="shared" si="79"/>
        <v>1.05</v>
      </c>
      <c r="Y339" s="15">
        <f t="shared" si="80"/>
        <v>0.95</v>
      </c>
      <c r="Z339" s="15">
        <f t="shared" ca="1" si="81"/>
        <v>1</v>
      </c>
      <c r="AC339" s="15">
        <f t="shared" ca="1" si="82"/>
        <v>2.852262428238461E-7</v>
      </c>
      <c r="AD339" s="15">
        <f t="shared" ca="1" si="83"/>
        <v>5.3406576638448389E-4</v>
      </c>
      <c r="AE339" s="15">
        <f t="shared" ca="1" si="84"/>
        <v>0.15861753261619171</v>
      </c>
    </row>
    <row r="340" spans="12:31" x14ac:dyDescent="0.3">
      <c r="L340" s="15">
        <v>338</v>
      </c>
      <c r="M340" s="15">
        <f t="shared" si="74"/>
        <v>1</v>
      </c>
      <c r="N340" s="15">
        <f t="shared" ca="1" si="75"/>
        <v>5.3406576638448389E-4</v>
      </c>
      <c r="O340" s="15">
        <f t="shared" ca="1" si="72"/>
        <v>0.25123290340887239</v>
      </c>
      <c r="P340" s="15">
        <f t="shared" ca="1" si="85"/>
        <v>0.25024795910582132</v>
      </c>
      <c r="Q340" s="15">
        <v>0</v>
      </c>
      <c r="R340" s="15">
        <f t="shared" ca="1" si="76"/>
        <v>0.25024795910582132</v>
      </c>
      <c r="S340" s="15">
        <f t="shared" ca="1" si="73"/>
        <v>1.0007527068984707</v>
      </c>
      <c r="T340" s="15">
        <v>0</v>
      </c>
      <c r="U340" s="15">
        <f t="shared" ca="1" si="77"/>
        <v>1.0007527068984707</v>
      </c>
      <c r="V340" s="15">
        <f t="shared" ca="1" si="78"/>
        <v>0.99946593423361552</v>
      </c>
      <c r="X340" s="15">
        <f t="shared" si="79"/>
        <v>1.05</v>
      </c>
      <c r="Y340" s="15">
        <f t="shared" si="80"/>
        <v>0.95</v>
      </c>
      <c r="Z340" s="15">
        <f t="shared" ca="1" si="81"/>
        <v>1</v>
      </c>
      <c r="AC340" s="15">
        <f t="shared" ca="1" si="82"/>
        <v>2.852262428238461E-7</v>
      </c>
      <c r="AD340" s="15">
        <f t="shared" ca="1" si="83"/>
        <v>5.3406576638448389E-4</v>
      </c>
      <c r="AE340" s="15">
        <f t="shared" ca="1" si="84"/>
        <v>0.1591515983825762</v>
      </c>
    </row>
    <row r="341" spans="12:31" x14ac:dyDescent="0.3">
      <c r="L341" s="15">
        <v>339</v>
      </c>
      <c r="M341" s="15">
        <f t="shared" si="74"/>
        <v>1</v>
      </c>
      <c r="N341" s="15">
        <f t="shared" ca="1" si="75"/>
        <v>5.3406576638448389E-4</v>
      </c>
      <c r="O341" s="15">
        <f t="shared" ca="1" si="72"/>
        <v>0.2512430003868219</v>
      </c>
      <c r="P341" s="15">
        <f t="shared" ca="1" si="85"/>
        <v>0.25024795910582132</v>
      </c>
      <c r="Q341" s="15">
        <v>0</v>
      </c>
      <c r="R341" s="15">
        <f t="shared" ca="1" si="76"/>
        <v>0.25024795910582132</v>
      </c>
      <c r="S341" s="15">
        <f t="shared" ca="1" si="73"/>
        <v>1.0007479149594849</v>
      </c>
      <c r="T341" s="15">
        <v>0</v>
      </c>
      <c r="U341" s="15">
        <f t="shared" ca="1" si="77"/>
        <v>1.0007479149594849</v>
      </c>
      <c r="V341" s="15">
        <f t="shared" ca="1" si="78"/>
        <v>0.99946593423361552</v>
      </c>
      <c r="X341" s="15">
        <f t="shared" si="79"/>
        <v>1.05</v>
      </c>
      <c r="Y341" s="15">
        <f t="shared" si="80"/>
        <v>0.95</v>
      </c>
      <c r="Z341" s="15">
        <f t="shared" ca="1" si="81"/>
        <v>1</v>
      </c>
      <c r="AC341" s="15">
        <f t="shared" ca="1" si="82"/>
        <v>2.852262428238461E-7</v>
      </c>
      <c r="AD341" s="15">
        <f t="shared" ca="1" si="83"/>
        <v>5.3406576638448389E-4</v>
      </c>
      <c r="AE341" s="15">
        <f t="shared" ca="1" si="84"/>
        <v>0.15968566414896068</v>
      </c>
    </row>
    <row r="342" spans="12:31" x14ac:dyDescent="0.3">
      <c r="L342" s="15">
        <v>340</v>
      </c>
      <c r="M342" s="15">
        <f t="shared" si="74"/>
        <v>1</v>
      </c>
      <c r="N342" s="15">
        <f t="shared" ca="1" si="75"/>
        <v>5.3406576638448389E-4</v>
      </c>
      <c r="O342" s="15">
        <f t="shared" ca="1" si="72"/>
        <v>0.2512430003868219</v>
      </c>
      <c r="P342" s="15">
        <f t="shared" ca="1" si="85"/>
        <v>0.25024795910582132</v>
      </c>
      <c r="Q342" s="15">
        <v>0</v>
      </c>
      <c r="R342" s="15">
        <f t="shared" ca="1" si="76"/>
        <v>0.25024795910582132</v>
      </c>
      <c r="S342" s="15">
        <f t="shared" ca="1" si="73"/>
        <v>1.0007447629837247</v>
      </c>
      <c r="T342" s="15">
        <v>0</v>
      </c>
      <c r="U342" s="15">
        <f t="shared" ca="1" si="77"/>
        <v>1.0007447629837247</v>
      </c>
      <c r="V342" s="15">
        <f t="shared" ca="1" si="78"/>
        <v>0.99946593423361552</v>
      </c>
      <c r="X342" s="15">
        <f t="shared" si="79"/>
        <v>1.05</v>
      </c>
      <c r="Y342" s="15">
        <f t="shared" si="80"/>
        <v>0.95</v>
      </c>
      <c r="Z342" s="15">
        <f t="shared" ca="1" si="81"/>
        <v>1</v>
      </c>
      <c r="AC342" s="15">
        <f t="shared" ca="1" si="82"/>
        <v>2.852262428238461E-7</v>
      </c>
      <c r="AD342" s="15">
        <f t="shared" ca="1" si="83"/>
        <v>5.3406576638448389E-4</v>
      </c>
      <c r="AE342" s="15">
        <f t="shared" ca="1" si="84"/>
        <v>0.16021972991534517</v>
      </c>
    </row>
    <row r="343" spans="12:31" x14ac:dyDescent="0.3">
      <c r="L343" s="15">
        <v>341</v>
      </c>
      <c r="M343" s="15">
        <f t="shared" si="74"/>
        <v>1</v>
      </c>
      <c r="N343" s="15">
        <f t="shared" ca="1" si="75"/>
        <v>5.3406576638448389E-4</v>
      </c>
      <c r="O343" s="15">
        <f t="shared" ca="1" si="72"/>
        <v>0.2512430003868219</v>
      </c>
      <c r="P343" s="15">
        <f t="shared" ca="1" si="85"/>
        <v>0.25024795910582132</v>
      </c>
      <c r="Q343" s="15">
        <v>0</v>
      </c>
      <c r="R343" s="15">
        <f t="shared" ca="1" si="76"/>
        <v>0.25024795910582132</v>
      </c>
      <c r="S343" s="15">
        <f t="shared" ca="1" si="73"/>
        <v>1.0007430561321753</v>
      </c>
      <c r="T343" s="15">
        <v>0</v>
      </c>
      <c r="U343" s="15">
        <f t="shared" ca="1" si="77"/>
        <v>1.0007430561321753</v>
      </c>
      <c r="V343" s="15">
        <f t="shared" ca="1" si="78"/>
        <v>0.99946593423361552</v>
      </c>
      <c r="X343" s="15">
        <f t="shared" si="79"/>
        <v>1.05</v>
      </c>
      <c r="Y343" s="15">
        <f t="shared" si="80"/>
        <v>0.95</v>
      </c>
      <c r="Z343" s="15">
        <f t="shared" ca="1" si="81"/>
        <v>1</v>
      </c>
      <c r="AC343" s="15">
        <f t="shared" ca="1" si="82"/>
        <v>2.852262428238461E-7</v>
      </c>
      <c r="AD343" s="15">
        <f t="shared" ca="1" si="83"/>
        <v>5.3406576638448389E-4</v>
      </c>
      <c r="AE343" s="15">
        <f t="shared" ca="1" si="84"/>
        <v>0.16075379568172965</v>
      </c>
    </row>
    <row r="344" spans="12:31" x14ac:dyDescent="0.3">
      <c r="L344" s="15">
        <v>342</v>
      </c>
      <c r="M344" s="15">
        <f t="shared" si="74"/>
        <v>1</v>
      </c>
      <c r="N344" s="15">
        <f t="shared" ca="1" si="75"/>
        <v>5.3406576638448389E-4</v>
      </c>
      <c r="O344" s="15">
        <f t="shared" ca="1" si="72"/>
        <v>0.25125309736477142</v>
      </c>
      <c r="P344" s="15">
        <f t="shared" ca="1" si="85"/>
        <v>0.25024795910582132</v>
      </c>
      <c r="Q344" s="15">
        <v>0</v>
      </c>
      <c r="R344" s="15">
        <f t="shared" ca="1" si="76"/>
        <v>0.25024795910582132</v>
      </c>
      <c r="S344" s="15">
        <f t="shared" ca="1" si="73"/>
        <v>1.0007426181856267</v>
      </c>
      <c r="T344" s="15">
        <v>0</v>
      </c>
      <c r="U344" s="15">
        <f t="shared" ca="1" si="77"/>
        <v>1.0007426181856267</v>
      </c>
      <c r="V344" s="15">
        <f t="shared" ca="1" si="78"/>
        <v>0.99946593423361552</v>
      </c>
      <c r="X344" s="15">
        <f t="shared" si="79"/>
        <v>1.05</v>
      </c>
      <c r="Y344" s="15">
        <f t="shared" si="80"/>
        <v>0.95</v>
      </c>
      <c r="Z344" s="15">
        <f t="shared" ca="1" si="81"/>
        <v>1</v>
      </c>
      <c r="AC344" s="15">
        <f t="shared" ca="1" si="82"/>
        <v>2.852262428238461E-7</v>
      </c>
      <c r="AD344" s="15">
        <f t="shared" ca="1" si="83"/>
        <v>5.3406576638448389E-4</v>
      </c>
      <c r="AE344" s="15">
        <f t="shared" ca="1" si="84"/>
        <v>0.16128786144811413</v>
      </c>
    </row>
    <row r="345" spans="12:31" x14ac:dyDescent="0.3">
      <c r="L345" s="15">
        <v>343</v>
      </c>
      <c r="M345" s="15">
        <f t="shared" si="74"/>
        <v>1</v>
      </c>
      <c r="N345" s="15">
        <f t="shared" ca="1" si="75"/>
        <v>5.3406576638448389E-4</v>
      </c>
      <c r="O345" s="15">
        <f t="shared" ca="1" si="72"/>
        <v>0.25125309736477142</v>
      </c>
      <c r="P345" s="15">
        <f t="shared" ca="1" si="85"/>
        <v>0.25024795910582132</v>
      </c>
      <c r="Q345" s="15">
        <v>0</v>
      </c>
      <c r="R345" s="15">
        <f t="shared" ca="1" si="76"/>
        <v>0.25024795910582132</v>
      </c>
      <c r="S345" s="15">
        <f t="shared" ca="1" si="73"/>
        <v>1.0007432899264859</v>
      </c>
      <c r="T345" s="15">
        <v>0</v>
      </c>
      <c r="U345" s="15">
        <f t="shared" ca="1" si="77"/>
        <v>1.0007432899264859</v>
      </c>
      <c r="V345" s="15">
        <f t="shared" ca="1" si="78"/>
        <v>0.99946593423361552</v>
      </c>
      <c r="X345" s="15">
        <f t="shared" si="79"/>
        <v>1.05</v>
      </c>
      <c r="Y345" s="15">
        <f t="shared" si="80"/>
        <v>0.95</v>
      </c>
      <c r="Z345" s="15">
        <f t="shared" ca="1" si="81"/>
        <v>1</v>
      </c>
      <c r="AC345" s="15">
        <f t="shared" ca="1" si="82"/>
        <v>2.852262428238461E-7</v>
      </c>
      <c r="AD345" s="15">
        <f t="shared" ca="1" si="83"/>
        <v>5.3406576638448389E-4</v>
      </c>
      <c r="AE345" s="15">
        <f t="shared" ca="1" si="84"/>
        <v>0.16182192721449862</v>
      </c>
    </row>
    <row r="346" spans="12:31" x14ac:dyDescent="0.3">
      <c r="L346" s="15">
        <v>344</v>
      </c>
      <c r="M346" s="15">
        <f t="shared" si="74"/>
        <v>1</v>
      </c>
      <c r="N346" s="15">
        <f t="shared" ca="1" si="75"/>
        <v>5.3406576638448389E-4</v>
      </c>
      <c r="O346" s="15">
        <f t="shared" ca="1" si="72"/>
        <v>0.25125309736477142</v>
      </c>
      <c r="P346" s="15">
        <f t="shared" ca="1" si="85"/>
        <v>0.25024795910582132</v>
      </c>
      <c r="Q346" s="15">
        <v>0</v>
      </c>
      <c r="R346" s="15">
        <f t="shared" ca="1" si="76"/>
        <v>0.25024795910582132</v>
      </c>
      <c r="S346" s="15">
        <f t="shared" ca="1" si="73"/>
        <v>1.0007449276540845</v>
      </c>
      <c r="T346" s="15">
        <v>0</v>
      </c>
      <c r="U346" s="15">
        <f t="shared" ca="1" si="77"/>
        <v>1.0007449276540845</v>
      </c>
      <c r="V346" s="15">
        <f t="shared" ca="1" si="78"/>
        <v>0.99946593423361552</v>
      </c>
      <c r="X346" s="15">
        <f t="shared" si="79"/>
        <v>1.05</v>
      </c>
      <c r="Y346" s="15">
        <f t="shared" si="80"/>
        <v>0.95</v>
      </c>
      <c r="Z346" s="15">
        <f t="shared" ca="1" si="81"/>
        <v>1</v>
      </c>
      <c r="AC346" s="15">
        <f t="shared" ca="1" si="82"/>
        <v>2.852262428238461E-7</v>
      </c>
      <c r="AD346" s="15">
        <f t="shared" ca="1" si="83"/>
        <v>5.3406576638448389E-4</v>
      </c>
      <c r="AE346" s="15">
        <f t="shared" ca="1" si="84"/>
        <v>0.1623559929808831</v>
      </c>
    </row>
    <row r="347" spans="12:31" x14ac:dyDescent="0.3">
      <c r="L347" s="15">
        <v>345</v>
      </c>
      <c r="M347" s="15">
        <f t="shared" si="74"/>
        <v>1</v>
      </c>
      <c r="N347" s="15">
        <f t="shared" ca="1" si="75"/>
        <v>5.3406576638448389E-4</v>
      </c>
      <c r="O347" s="15">
        <f t="shared" ca="1" si="72"/>
        <v>0.25126319434272093</v>
      </c>
      <c r="P347" s="15">
        <f t="shared" ca="1" si="85"/>
        <v>0.25024795910582132</v>
      </c>
      <c r="Q347" s="15">
        <v>0</v>
      </c>
      <c r="R347" s="15">
        <f t="shared" ca="1" si="76"/>
        <v>0.25024795910582132</v>
      </c>
      <c r="S347" s="15">
        <f t="shared" ca="1" si="73"/>
        <v>1.0007474018228184</v>
      </c>
      <c r="T347" s="15">
        <v>0</v>
      </c>
      <c r="U347" s="15">
        <f t="shared" ca="1" si="77"/>
        <v>1.0007474018228184</v>
      </c>
      <c r="V347" s="15">
        <f t="shared" ca="1" si="78"/>
        <v>0.99946593423361552</v>
      </c>
      <c r="X347" s="15">
        <f t="shared" si="79"/>
        <v>1.05</v>
      </c>
      <c r="Y347" s="15">
        <f t="shared" si="80"/>
        <v>0.95</v>
      </c>
      <c r="Z347" s="15">
        <f t="shared" ca="1" si="81"/>
        <v>1</v>
      </c>
      <c r="AC347" s="15">
        <f t="shared" ca="1" si="82"/>
        <v>2.852262428238461E-7</v>
      </c>
      <c r="AD347" s="15">
        <f t="shared" ca="1" si="83"/>
        <v>5.3406576638448389E-4</v>
      </c>
      <c r="AE347" s="15">
        <f t="shared" ca="1" si="84"/>
        <v>0.16289005874726759</v>
      </c>
    </row>
    <row r="348" spans="12:31" x14ac:dyDescent="0.3">
      <c r="L348" s="15">
        <v>346</v>
      </c>
      <c r="M348" s="15">
        <f t="shared" si="74"/>
        <v>1</v>
      </c>
      <c r="N348" s="15">
        <f t="shared" ca="1" si="75"/>
        <v>5.3406576638448389E-4</v>
      </c>
      <c r="O348" s="15">
        <f t="shared" ca="1" si="72"/>
        <v>0.25126319434272093</v>
      </c>
      <c r="P348" s="15">
        <f t="shared" ca="1" si="85"/>
        <v>0.25024795910582132</v>
      </c>
      <c r="Q348" s="15">
        <v>0</v>
      </c>
      <c r="R348" s="15">
        <f t="shared" ca="1" si="76"/>
        <v>0.25024795910582132</v>
      </c>
      <c r="S348" s="15">
        <f t="shared" ca="1" si="73"/>
        <v>1.0007505957932854</v>
      </c>
      <c r="T348" s="15">
        <v>0</v>
      </c>
      <c r="U348" s="15">
        <f t="shared" ca="1" si="77"/>
        <v>1.0007505957932854</v>
      </c>
      <c r="V348" s="15">
        <f t="shared" ca="1" si="78"/>
        <v>0.99946593423361552</v>
      </c>
      <c r="X348" s="15">
        <f t="shared" si="79"/>
        <v>1.05</v>
      </c>
      <c r="Y348" s="15">
        <f t="shared" si="80"/>
        <v>0.95</v>
      </c>
      <c r="Z348" s="15">
        <f t="shared" ca="1" si="81"/>
        <v>1</v>
      </c>
      <c r="AC348" s="15">
        <f t="shared" ca="1" si="82"/>
        <v>2.852262428238461E-7</v>
      </c>
      <c r="AD348" s="15">
        <f t="shared" ca="1" si="83"/>
        <v>5.3406576638448389E-4</v>
      </c>
      <c r="AE348" s="15">
        <f t="shared" ca="1" si="84"/>
        <v>0.16342412451365207</v>
      </c>
    </row>
    <row r="349" spans="12:31" x14ac:dyDescent="0.3">
      <c r="L349" s="15">
        <v>347</v>
      </c>
      <c r="M349" s="15">
        <f t="shared" si="74"/>
        <v>1</v>
      </c>
      <c r="N349" s="15">
        <f t="shared" ca="1" si="75"/>
        <v>5.3406576638448389E-4</v>
      </c>
      <c r="O349" s="15">
        <f t="shared" ca="1" si="72"/>
        <v>0.25126319434272093</v>
      </c>
      <c r="P349" s="15">
        <f t="shared" ca="1" si="85"/>
        <v>0.25024795910582132</v>
      </c>
      <c r="Q349" s="15">
        <v>0</v>
      </c>
      <c r="R349" s="15">
        <f t="shared" ca="1" si="76"/>
        <v>0.25024795910582132</v>
      </c>
      <c r="S349" s="15">
        <f t="shared" ca="1" si="73"/>
        <v>1.0007544046873609</v>
      </c>
      <c r="T349" s="15">
        <v>0</v>
      </c>
      <c r="U349" s="15">
        <f t="shared" ca="1" si="77"/>
        <v>1.0007544046873609</v>
      </c>
      <c r="V349" s="15">
        <f t="shared" ca="1" si="78"/>
        <v>0.99946593423361552</v>
      </c>
      <c r="X349" s="15">
        <f t="shared" si="79"/>
        <v>1.05</v>
      </c>
      <c r="Y349" s="15">
        <f t="shared" si="80"/>
        <v>0.95</v>
      </c>
      <c r="Z349" s="15">
        <f t="shared" ca="1" si="81"/>
        <v>1</v>
      </c>
      <c r="AC349" s="15">
        <f t="shared" ca="1" si="82"/>
        <v>2.852262428238461E-7</v>
      </c>
      <c r="AD349" s="15">
        <f t="shared" ca="1" si="83"/>
        <v>5.3406576638448389E-4</v>
      </c>
      <c r="AE349" s="15">
        <f t="shared" ca="1" si="84"/>
        <v>0.16395819028003655</v>
      </c>
    </row>
    <row r="350" spans="12:31" x14ac:dyDescent="0.3">
      <c r="L350" s="15">
        <v>348</v>
      </c>
      <c r="M350" s="15">
        <f t="shared" si="74"/>
        <v>1</v>
      </c>
      <c r="N350" s="15">
        <f t="shared" ca="1" si="75"/>
        <v>5.3406576638448389E-4</v>
      </c>
      <c r="O350" s="15">
        <f t="shared" ca="1" si="72"/>
        <v>0.25127329132067044</v>
      </c>
      <c r="P350" s="15">
        <f t="shared" ca="1" si="85"/>
        <v>0.25024795910582132</v>
      </c>
      <c r="Q350" s="15">
        <v>0</v>
      </c>
      <c r="R350" s="15">
        <f t="shared" ca="1" si="76"/>
        <v>0.25024795910582132</v>
      </c>
      <c r="S350" s="15">
        <f t="shared" ca="1" si="73"/>
        <v>1.0007587343388595</v>
      </c>
      <c r="T350" s="15">
        <v>0</v>
      </c>
      <c r="U350" s="15">
        <f t="shared" ca="1" si="77"/>
        <v>1.0007587343388595</v>
      </c>
      <c r="V350" s="15">
        <f t="shared" ca="1" si="78"/>
        <v>0.99946593423361552</v>
      </c>
      <c r="X350" s="15">
        <f t="shared" si="79"/>
        <v>1.05</v>
      </c>
      <c r="Y350" s="15">
        <f t="shared" si="80"/>
        <v>0.95</v>
      </c>
      <c r="Z350" s="15">
        <f t="shared" ca="1" si="81"/>
        <v>1</v>
      </c>
      <c r="AC350" s="15">
        <f t="shared" ca="1" si="82"/>
        <v>2.852262428238461E-7</v>
      </c>
      <c r="AD350" s="15">
        <f t="shared" ca="1" si="83"/>
        <v>5.3406576638448389E-4</v>
      </c>
      <c r="AE350" s="15">
        <f t="shared" ca="1" si="84"/>
        <v>0.16449225604642104</v>
      </c>
    </row>
    <row r="351" spans="12:31" x14ac:dyDescent="0.3">
      <c r="L351" s="15">
        <v>349</v>
      </c>
      <c r="M351" s="15">
        <f t="shared" si="74"/>
        <v>1</v>
      </c>
      <c r="N351" s="15">
        <f t="shared" ca="1" si="75"/>
        <v>5.3406576638448389E-4</v>
      </c>
      <c r="O351" s="15">
        <f t="shared" ca="1" si="72"/>
        <v>0.25127329132067044</v>
      </c>
      <c r="P351" s="15">
        <f t="shared" ca="1" si="85"/>
        <v>0.25024795910582132</v>
      </c>
      <c r="Q351" s="15">
        <v>0</v>
      </c>
      <c r="R351" s="15">
        <f t="shared" ca="1" si="76"/>
        <v>0.25024795910582132</v>
      </c>
      <c r="S351" s="15">
        <f t="shared" ca="1" si="73"/>
        <v>1.0007635003320894</v>
      </c>
      <c r="T351" s="15">
        <v>0</v>
      </c>
      <c r="U351" s="15">
        <f t="shared" ca="1" si="77"/>
        <v>1.0007635003320894</v>
      </c>
      <c r="V351" s="15">
        <f t="shared" ca="1" si="78"/>
        <v>0.99946593423361552</v>
      </c>
      <c r="X351" s="15">
        <f t="shared" si="79"/>
        <v>1.05</v>
      </c>
      <c r="Y351" s="15">
        <f t="shared" si="80"/>
        <v>0.95</v>
      </c>
      <c r="Z351" s="15">
        <f t="shared" ca="1" si="81"/>
        <v>1</v>
      </c>
      <c r="AC351" s="15">
        <f t="shared" ca="1" si="82"/>
        <v>2.852262428238461E-7</v>
      </c>
      <c r="AD351" s="15">
        <f t="shared" ca="1" si="83"/>
        <v>5.3406576638448389E-4</v>
      </c>
      <c r="AE351" s="15">
        <f t="shared" ca="1" si="84"/>
        <v>0.16502632181280552</v>
      </c>
    </row>
    <row r="352" spans="12:31" x14ac:dyDescent="0.3">
      <c r="L352" s="15">
        <v>350</v>
      </c>
      <c r="M352" s="15">
        <f t="shared" si="74"/>
        <v>1</v>
      </c>
      <c r="N352" s="15">
        <f t="shared" ca="1" si="75"/>
        <v>5.3406576638448389E-4</v>
      </c>
      <c r="O352" s="15">
        <f t="shared" ca="1" si="72"/>
        <v>0.25127329132067044</v>
      </c>
      <c r="P352" s="15">
        <f t="shared" ca="1" si="85"/>
        <v>0.25024795910582132</v>
      </c>
      <c r="Q352" s="15">
        <v>0</v>
      </c>
      <c r="R352" s="15">
        <f t="shared" ca="1" si="76"/>
        <v>0.25024795910582132</v>
      </c>
      <c r="S352" s="15">
        <f t="shared" ca="1" si="73"/>
        <v>1.0007686271212073</v>
      </c>
      <c r="T352" s="15">
        <v>0</v>
      </c>
      <c r="U352" s="15">
        <f t="shared" ca="1" si="77"/>
        <v>1.0007686271212073</v>
      </c>
      <c r="V352" s="15">
        <f t="shared" ca="1" si="78"/>
        <v>0.99946593423361552</v>
      </c>
      <c r="X352" s="15">
        <f t="shared" si="79"/>
        <v>1.05</v>
      </c>
      <c r="Y352" s="15">
        <f t="shared" si="80"/>
        <v>0.95</v>
      </c>
      <c r="Z352" s="15">
        <f t="shared" ca="1" si="81"/>
        <v>1</v>
      </c>
      <c r="AC352" s="15">
        <f t="shared" ca="1" si="82"/>
        <v>2.852262428238461E-7</v>
      </c>
      <c r="AD352" s="15">
        <f t="shared" ca="1" si="83"/>
        <v>5.3406576638448389E-4</v>
      </c>
      <c r="AE352" s="15">
        <f t="shared" ca="1" si="84"/>
        <v>0.16556038757919</v>
      </c>
    </row>
    <row r="353" spans="12:31" x14ac:dyDescent="0.3">
      <c r="L353" s="15">
        <v>351</v>
      </c>
      <c r="M353" s="15">
        <f t="shared" si="74"/>
        <v>1</v>
      </c>
      <c r="N353" s="15">
        <f t="shared" ca="1" si="75"/>
        <v>5.3406576638448389E-4</v>
      </c>
      <c r="O353" s="15">
        <f t="shared" ca="1" si="72"/>
        <v>0.25128338829861996</v>
      </c>
      <c r="P353" s="15">
        <f t="shared" ca="1" si="85"/>
        <v>0.25024795910582132</v>
      </c>
      <c r="Q353" s="15">
        <v>0</v>
      </c>
      <c r="R353" s="15">
        <f t="shared" ca="1" si="76"/>
        <v>0.25024795910582132</v>
      </c>
      <c r="S353" s="15">
        <f t="shared" ca="1" si="73"/>
        <v>1.0007872471579509</v>
      </c>
      <c r="T353" s="15">
        <v>0</v>
      </c>
      <c r="U353" s="15">
        <f t="shared" ca="1" si="77"/>
        <v>1.0007872471579509</v>
      </c>
      <c r="V353" s="15">
        <f t="shared" ca="1" si="78"/>
        <v>0.99946593423361552</v>
      </c>
      <c r="X353" s="15">
        <f t="shared" si="79"/>
        <v>1.05</v>
      </c>
      <c r="Y353" s="15">
        <f t="shared" si="80"/>
        <v>0.95</v>
      </c>
      <c r="Z353" s="15">
        <f t="shared" ca="1" si="81"/>
        <v>1</v>
      </c>
      <c r="AC353" s="15">
        <f t="shared" ca="1" si="82"/>
        <v>2.852262428238461E-7</v>
      </c>
      <c r="AD353" s="15">
        <f t="shared" ca="1" si="83"/>
        <v>5.3406576638448389E-4</v>
      </c>
      <c r="AE353" s="15">
        <f t="shared" ca="1" si="84"/>
        <v>0.16609445334557449</v>
      </c>
    </row>
    <row r="354" spans="12:31" x14ac:dyDescent="0.3">
      <c r="L354" s="15">
        <v>352</v>
      </c>
      <c r="M354" s="15">
        <f t="shared" si="74"/>
        <v>1</v>
      </c>
      <c r="N354" s="15">
        <f t="shared" ca="1" si="75"/>
        <v>5.3406576638448389E-4</v>
      </c>
      <c r="O354" s="15">
        <f t="shared" ca="1" si="72"/>
        <v>0.25128338829861996</v>
      </c>
      <c r="P354" s="15">
        <f t="shared" ca="1" si="85"/>
        <v>0.25024795910582132</v>
      </c>
      <c r="Q354" s="15">
        <v>0</v>
      </c>
      <c r="R354" s="15">
        <f t="shared" ca="1" si="76"/>
        <v>0.25024795910582132</v>
      </c>
      <c r="S354" s="15">
        <f t="shared" ca="1" si="73"/>
        <v>1.0008301848611572</v>
      </c>
      <c r="T354" s="15">
        <v>0</v>
      </c>
      <c r="U354" s="15">
        <f t="shared" ca="1" si="77"/>
        <v>1.0008301848611572</v>
      </c>
      <c r="V354" s="15">
        <f t="shared" ca="1" si="78"/>
        <v>0.99946593423361552</v>
      </c>
      <c r="X354" s="15">
        <f t="shared" si="79"/>
        <v>1.05</v>
      </c>
      <c r="Y354" s="15">
        <f t="shared" si="80"/>
        <v>0.95</v>
      </c>
      <c r="Z354" s="15">
        <f t="shared" ca="1" si="81"/>
        <v>1</v>
      </c>
      <c r="AC354" s="15">
        <f t="shared" ca="1" si="82"/>
        <v>2.852262428238461E-7</v>
      </c>
      <c r="AD354" s="15">
        <f t="shared" ca="1" si="83"/>
        <v>5.3406576638448389E-4</v>
      </c>
      <c r="AE354" s="15">
        <f t="shared" ca="1" si="84"/>
        <v>0.16662851911195897</v>
      </c>
    </row>
    <row r="355" spans="12:31" x14ac:dyDescent="0.3">
      <c r="L355" s="15">
        <v>353</v>
      </c>
      <c r="M355" s="15">
        <f t="shared" si="74"/>
        <v>1</v>
      </c>
      <c r="N355" s="15">
        <f t="shared" ca="1" si="75"/>
        <v>5.3406576638448389E-4</v>
      </c>
      <c r="O355" s="15">
        <f t="shared" ca="1" si="72"/>
        <v>0.25128338829861996</v>
      </c>
      <c r="P355" s="15">
        <f t="shared" ca="1" si="85"/>
        <v>0.25024795910582132</v>
      </c>
      <c r="Q355" s="15">
        <v>0</v>
      </c>
      <c r="R355" s="15">
        <f t="shared" ca="1" si="76"/>
        <v>0.25024795910582132</v>
      </c>
      <c r="S355" s="15">
        <f t="shared" ca="1" si="73"/>
        <v>1.0008941718296889</v>
      </c>
      <c r="T355" s="15">
        <v>0</v>
      </c>
      <c r="U355" s="15">
        <f t="shared" ca="1" si="77"/>
        <v>1.0008941718296889</v>
      </c>
      <c r="V355" s="15">
        <f t="shared" ca="1" si="78"/>
        <v>0.99946593423361552</v>
      </c>
      <c r="X355" s="15">
        <f t="shared" si="79"/>
        <v>1.05</v>
      </c>
      <c r="Y355" s="15">
        <f t="shared" si="80"/>
        <v>0.95</v>
      </c>
      <c r="Z355" s="15">
        <f t="shared" ca="1" si="81"/>
        <v>1</v>
      </c>
      <c r="AC355" s="15">
        <f t="shared" ca="1" si="82"/>
        <v>2.852262428238461E-7</v>
      </c>
      <c r="AD355" s="15">
        <f t="shared" ca="1" si="83"/>
        <v>5.3406576638448389E-4</v>
      </c>
      <c r="AE355" s="15">
        <f t="shared" ca="1" si="84"/>
        <v>0.16716258487834346</v>
      </c>
    </row>
    <row r="356" spans="12:31" x14ac:dyDescent="0.3">
      <c r="L356" s="15">
        <v>354</v>
      </c>
      <c r="M356" s="15">
        <f t="shared" si="74"/>
        <v>1</v>
      </c>
      <c r="N356" s="15">
        <f t="shared" ca="1" si="75"/>
        <v>5.3406576638448389E-4</v>
      </c>
      <c r="O356" s="15">
        <f t="shared" ca="1" si="72"/>
        <v>0.25129348527656947</v>
      </c>
      <c r="P356" s="15">
        <f t="shared" ca="1" si="85"/>
        <v>0.25024795910582132</v>
      </c>
      <c r="Q356" s="15">
        <v>0</v>
      </c>
      <c r="R356" s="15">
        <f t="shared" ca="1" si="76"/>
        <v>0.25024795910582132</v>
      </c>
      <c r="S356" s="15">
        <f t="shared" ca="1" si="73"/>
        <v>1.0009630655764128</v>
      </c>
      <c r="T356" s="15">
        <v>0</v>
      </c>
      <c r="U356" s="15">
        <f t="shared" ca="1" si="77"/>
        <v>1.0009630655764128</v>
      </c>
      <c r="V356" s="15">
        <f t="shared" ca="1" si="78"/>
        <v>0.99946593423361552</v>
      </c>
      <c r="X356" s="15">
        <f t="shared" si="79"/>
        <v>1.05</v>
      </c>
      <c r="Y356" s="15">
        <f t="shared" si="80"/>
        <v>0.95</v>
      </c>
      <c r="Z356" s="15">
        <f t="shared" ca="1" si="81"/>
        <v>1</v>
      </c>
      <c r="AC356" s="15">
        <f t="shared" ca="1" si="82"/>
        <v>2.852262428238461E-7</v>
      </c>
      <c r="AD356" s="15">
        <f t="shared" ca="1" si="83"/>
        <v>5.3406576638448389E-4</v>
      </c>
      <c r="AE356" s="15">
        <f t="shared" ca="1" si="84"/>
        <v>0.16769665064472794</v>
      </c>
    </row>
    <row r="357" spans="12:31" x14ac:dyDescent="0.3">
      <c r="L357" s="15">
        <v>355</v>
      </c>
      <c r="M357" s="15">
        <f t="shared" si="74"/>
        <v>1</v>
      </c>
      <c r="N357" s="15">
        <f t="shared" ca="1" si="75"/>
        <v>-9.9183642328526389E-4</v>
      </c>
      <c r="O357" s="15">
        <f t="shared" ca="1" si="72"/>
        <v>0.25129348527656947</v>
      </c>
      <c r="P357" s="15">
        <f t="shared" ca="1" si="85"/>
        <v>0.25024795910582132</v>
      </c>
      <c r="Q357" s="15">
        <v>0</v>
      </c>
      <c r="R357" s="15">
        <f t="shared" ca="1" si="76"/>
        <v>0.25024795910582132</v>
      </c>
      <c r="S357" s="15">
        <f t="shared" ca="1" si="73"/>
        <v>1.0010233359045031</v>
      </c>
      <c r="T357" s="15">
        <v>0</v>
      </c>
      <c r="U357" s="15">
        <f t="shared" ca="1" si="77"/>
        <v>1.0010233359045031</v>
      </c>
      <c r="V357" s="15">
        <f t="shared" ca="1" si="78"/>
        <v>1.0009918364232853</v>
      </c>
      <c r="X357" s="15">
        <f t="shared" si="79"/>
        <v>1.05</v>
      </c>
      <c r="Y357" s="15">
        <f t="shared" si="80"/>
        <v>0.95</v>
      </c>
      <c r="Z357" s="15">
        <f t="shared" ca="1" si="81"/>
        <v>1</v>
      </c>
      <c r="AC357" s="15">
        <f t="shared" ca="1" si="82"/>
        <v>9.8373949055530516E-7</v>
      </c>
      <c r="AD357" s="15">
        <f t="shared" ca="1" si="83"/>
        <v>9.9183642328526389E-4</v>
      </c>
      <c r="AE357" s="15">
        <f t="shared" ca="1" si="84"/>
        <v>0.31242847333485813</v>
      </c>
    </row>
    <row r="358" spans="12:31" x14ac:dyDescent="0.3">
      <c r="L358" s="15">
        <v>356</v>
      </c>
      <c r="M358" s="15">
        <f t="shared" si="74"/>
        <v>1</v>
      </c>
      <c r="N358" s="15">
        <f t="shared" ca="1" si="75"/>
        <v>-9.9183642328526389E-4</v>
      </c>
      <c r="O358" s="15">
        <f t="shared" ca="1" si="72"/>
        <v>0.25129348527656947</v>
      </c>
      <c r="P358" s="15">
        <f t="shared" ca="1" si="85"/>
        <v>0.25024795910582132</v>
      </c>
      <c r="Q358" s="15">
        <v>0</v>
      </c>
      <c r="R358" s="15">
        <f t="shared" ca="1" si="76"/>
        <v>0.25024795910582132</v>
      </c>
      <c r="S358" s="15">
        <f t="shared" ca="1" si="73"/>
        <v>1.0010758225176337</v>
      </c>
      <c r="T358" s="15">
        <v>0</v>
      </c>
      <c r="U358" s="15">
        <f t="shared" ca="1" si="77"/>
        <v>1.0010758225176337</v>
      </c>
      <c r="V358" s="15">
        <f t="shared" ca="1" si="78"/>
        <v>1.0009918364232853</v>
      </c>
      <c r="X358" s="15">
        <f t="shared" si="79"/>
        <v>1.05</v>
      </c>
      <c r="Y358" s="15">
        <f t="shared" si="80"/>
        <v>0.95</v>
      </c>
      <c r="Z358" s="15">
        <f t="shared" ca="1" si="81"/>
        <v>1</v>
      </c>
      <c r="AC358" s="15">
        <f t="shared" ca="1" si="82"/>
        <v>9.8373949055530516E-7</v>
      </c>
      <c r="AD358" s="15">
        <f t="shared" ca="1" si="83"/>
        <v>9.9183642328526389E-4</v>
      </c>
      <c r="AE358" s="15">
        <f t="shared" ca="1" si="84"/>
        <v>0.31342030975814339</v>
      </c>
    </row>
    <row r="359" spans="12:31" x14ac:dyDescent="0.3">
      <c r="L359" s="15">
        <v>357</v>
      </c>
      <c r="M359" s="15">
        <f t="shared" si="74"/>
        <v>1</v>
      </c>
      <c r="N359" s="15">
        <f t="shared" ca="1" si="75"/>
        <v>-9.9183642328526389E-4</v>
      </c>
      <c r="O359" s="15">
        <f t="shared" ca="1" si="72"/>
        <v>0.24964717498359665</v>
      </c>
      <c r="P359" s="15">
        <f t="shared" ca="1" si="85"/>
        <v>0.24872205691615165</v>
      </c>
      <c r="Q359" s="15">
        <v>0</v>
      </c>
      <c r="R359" s="15">
        <f t="shared" ca="1" si="76"/>
        <v>0.24872205691615165</v>
      </c>
      <c r="S359" s="15">
        <f t="shared" ca="1" si="73"/>
        <v>1.001121291452798</v>
      </c>
      <c r="T359" s="15">
        <v>0</v>
      </c>
      <c r="U359" s="15">
        <f t="shared" ca="1" si="77"/>
        <v>1.001121291452798</v>
      </c>
      <c r="V359" s="15">
        <f t="shared" ca="1" si="78"/>
        <v>1.0009918364232853</v>
      </c>
      <c r="X359" s="15">
        <f t="shared" si="79"/>
        <v>1.05</v>
      </c>
      <c r="Y359" s="15">
        <f t="shared" si="80"/>
        <v>0.95</v>
      </c>
      <c r="Z359" s="15">
        <f t="shared" ca="1" si="81"/>
        <v>1</v>
      </c>
      <c r="AC359" s="15">
        <f t="shared" ca="1" si="82"/>
        <v>9.8373949055530516E-7</v>
      </c>
      <c r="AD359" s="15">
        <f t="shared" ca="1" si="83"/>
        <v>9.9183642328526389E-4</v>
      </c>
      <c r="AE359" s="15">
        <f t="shared" ca="1" si="84"/>
        <v>0.31441214618142865</v>
      </c>
    </row>
    <row r="360" spans="12:31" x14ac:dyDescent="0.3">
      <c r="L360" s="15">
        <v>358</v>
      </c>
      <c r="M360" s="15">
        <f t="shared" si="74"/>
        <v>1</v>
      </c>
      <c r="N360" s="15">
        <f t="shared" ca="1" si="75"/>
        <v>-9.9183642328526389E-4</v>
      </c>
      <c r="O360" s="15">
        <f t="shared" ca="1" si="72"/>
        <v>0.24964717498359665</v>
      </c>
      <c r="P360" s="15">
        <f t="shared" ca="1" si="85"/>
        <v>0.24872205691615165</v>
      </c>
      <c r="Q360" s="15">
        <v>0</v>
      </c>
      <c r="R360" s="15">
        <f t="shared" ca="1" si="76"/>
        <v>0.24872205691615165</v>
      </c>
      <c r="S360" s="15">
        <f t="shared" ca="1" si="73"/>
        <v>1.0011604411912365</v>
      </c>
      <c r="T360" s="15">
        <v>0</v>
      </c>
      <c r="U360" s="15">
        <f t="shared" ca="1" si="77"/>
        <v>1.0011604411912365</v>
      </c>
      <c r="V360" s="15">
        <f t="shared" ca="1" si="78"/>
        <v>1.0009918364232853</v>
      </c>
      <c r="X360" s="15">
        <f t="shared" si="79"/>
        <v>1.05</v>
      </c>
      <c r="Y360" s="15">
        <f t="shared" si="80"/>
        <v>0.95</v>
      </c>
      <c r="Z360" s="15">
        <f t="shared" ca="1" si="81"/>
        <v>1</v>
      </c>
      <c r="AC360" s="15">
        <f t="shared" ca="1" si="82"/>
        <v>9.8373949055530516E-7</v>
      </c>
      <c r="AD360" s="15">
        <f t="shared" ca="1" si="83"/>
        <v>9.9183642328526389E-4</v>
      </c>
      <c r="AE360" s="15">
        <f t="shared" ca="1" si="84"/>
        <v>0.31540398260471392</v>
      </c>
    </row>
    <row r="361" spans="12:31" x14ac:dyDescent="0.3">
      <c r="L361" s="15">
        <v>359</v>
      </c>
      <c r="M361" s="15">
        <f t="shared" si="74"/>
        <v>1</v>
      </c>
      <c r="N361" s="15">
        <f t="shared" ca="1" si="75"/>
        <v>-9.9183642328526389E-4</v>
      </c>
      <c r="O361" s="15">
        <f t="shared" ca="1" si="72"/>
        <v>0.24964717498359665</v>
      </c>
      <c r="P361" s="15">
        <f t="shared" ca="1" si="85"/>
        <v>0.24872205691615165</v>
      </c>
      <c r="Q361" s="15">
        <v>0</v>
      </c>
      <c r="R361" s="15">
        <f t="shared" ca="1" si="76"/>
        <v>0.24872205691615165</v>
      </c>
      <c r="S361" s="15">
        <f t="shared" ca="1" si="73"/>
        <v>1.001193908279401</v>
      </c>
      <c r="T361" s="15">
        <v>0</v>
      </c>
      <c r="U361" s="15">
        <f t="shared" ca="1" si="77"/>
        <v>1.001193908279401</v>
      </c>
      <c r="V361" s="15">
        <f t="shared" ca="1" si="78"/>
        <v>1.0009918364232853</v>
      </c>
      <c r="X361" s="15">
        <f t="shared" si="79"/>
        <v>1.05</v>
      </c>
      <c r="Y361" s="15">
        <f t="shared" si="80"/>
        <v>0.95</v>
      </c>
      <c r="Z361" s="15">
        <f t="shared" ca="1" si="81"/>
        <v>1</v>
      </c>
      <c r="AC361" s="15">
        <f t="shared" ca="1" si="82"/>
        <v>9.8373949055530516E-7</v>
      </c>
      <c r="AD361" s="15">
        <f t="shared" ca="1" si="83"/>
        <v>9.9183642328526389E-4</v>
      </c>
      <c r="AE361" s="15">
        <f t="shared" ca="1" si="84"/>
        <v>0.31639581902799918</v>
      </c>
    </row>
    <row r="362" spans="12:31" x14ac:dyDescent="0.3">
      <c r="L362" s="15">
        <v>360</v>
      </c>
      <c r="M362" s="15">
        <f t="shared" si="74"/>
        <v>1</v>
      </c>
      <c r="N362" s="15">
        <f t="shared" ca="1" si="75"/>
        <v>-9.9183642328526389E-4</v>
      </c>
      <c r="O362" s="15">
        <f t="shared" ca="1" si="72"/>
        <v>0.25092245499351729</v>
      </c>
      <c r="P362" s="15">
        <f t="shared" ca="1" si="85"/>
        <v>0.25024795910582132</v>
      </c>
      <c r="Q362" s="15">
        <v>0</v>
      </c>
      <c r="R362" s="15">
        <f t="shared" ca="1" si="76"/>
        <v>0.25024795910582132</v>
      </c>
      <c r="S362" s="15">
        <f t="shared" ca="1" si="73"/>
        <v>1.0012222724983764</v>
      </c>
      <c r="T362" s="15">
        <v>0</v>
      </c>
      <c r="U362" s="15">
        <f t="shared" ca="1" si="77"/>
        <v>1.0012222724983764</v>
      </c>
      <c r="V362" s="15">
        <f t="shared" ca="1" si="78"/>
        <v>1.0009918364232853</v>
      </c>
      <c r="X362" s="15">
        <f t="shared" si="79"/>
        <v>1.05</v>
      </c>
      <c r="Y362" s="15">
        <f t="shared" si="80"/>
        <v>0.95</v>
      </c>
      <c r="Z362" s="15">
        <f t="shared" ca="1" si="81"/>
        <v>1</v>
      </c>
      <c r="AC362" s="15">
        <f t="shared" ca="1" si="82"/>
        <v>9.8373949055530516E-7</v>
      </c>
      <c r="AD362" s="15">
        <f t="shared" ca="1" si="83"/>
        <v>9.9183642328526389E-4</v>
      </c>
      <c r="AE362" s="15">
        <f t="shared" ca="1" si="84"/>
        <v>0.31738765545128445</v>
      </c>
    </row>
    <row r="363" spans="12:31" x14ac:dyDescent="0.3">
      <c r="L363" s="15">
        <v>361</v>
      </c>
      <c r="M363" s="15">
        <f t="shared" si="74"/>
        <v>1</v>
      </c>
      <c r="N363" s="15">
        <f t="shared" ca="1" si="75"/>
        <v>-9.9183642328526389E-4</v>
      </c>
      <c r="O363" s="15">
        <f t="shared" ref="O363:O426" ca="1" si="86">IF(MOD(L363,$B$11)=0,OFFSET(O363,-$B$11,0)+ $E$2*N363+$E$3*OFFSET(N363,-$B$11,0)+ $E$4*OFFSET(N363,-2* $B$11,0), O362)</f>
        <v>0.25092245499351729</v>
      </c>
      <c r="P363" s="15">
        <f t="shared" ca="1" si="85"/>
        <v>0.25024795910582132</v>
      </c>
      <c r="Q363" s="15">
        <v>0</v>
      </c>
      <c r="R363" s="15">
        <f t="shared" ca="1" si="76"/>
        <v>0.25024795910582132</v>
      </c>
      <c r="S363" s="15">
        <f t="shared" ca="1" si="73"/>
        <v>1.0012460616172094</v>
      </c>
      <c r="T363" s="15">
        <v>0</v>
      </c>
      <c r="U363" s="15">
        <f t="shared" ca="1" si="77"/>
        <v>1.0012460616172094</v>
      </c>
      <c r="V363" s="15">
        <f t="shared" ca="1" si="78"/>
        <v>1.0009918364232853</v>
      </c>
      <c r="X363" s="15">
        <f t="shared" si="79"/>
        <v>1.05</v>
      </c>
      <c r="Y363" s="15">
        <f t="shared" si="80"/>
        <v>0.95</v>
      </c>
      <c r="Z363" s="15">
        <f t="shared" ca="1" si="81"/>
        <v>1</v>
      </c>
      <c r="AC363" s="15">
        <f t="shared" ca="1" si="82"/>
        <v>9.8373949055530516E-7</v>
      </c>
      <c r="AD363" s="15">
        <f t="shared" ca="1" si="83"/>
        <v>9.9183642328526389E-4</v>
      </c>
      <c r="AE363" s="15">
        <f t="shared" ca="1" si="84"/>
        <v>0.31837949187456971</v>
      </c>
    </row>
    <row r="364" spans="12:31" x14ac:dyDescent="0.3">
      <c r="L364" s="15">
        <v>362</v>
      </c>
      <c r="M364" s="15">
        <f t="shared" si="74"/>
        <v>1</v>
      </c>
      <c r="N364" s="15">
        <f t="shared" ca="1" si="75"/>
        <v>-9.9183642328526389E-4</v>
      </c>
      <c r="O364" s="15">
        <f t="shared" ca="1" si="86"/>
        <v>0.25092245499351729</v>
      </c>
      <c r="P364" s="15">
        <f t="shared" ca="1" si="85"/>
        <v>0.25024795910582132</v>
      </c>
      <c r="Q364" s="15">
        <v>0</v>
      </c>
      <c r="R364" s="15">
        <f t="shared" ca="1" si="76"/>
        <v>0.25024795910582132</v>
      </c>
      <c r="S364" s="15">
        <f t="shared" ca="1" si="73"/>
        <v>1.0012657557628601</v>
      </c>
      <c r="T364" s="15">
        <v>0</v>
      </c>
      <c r="U364" s="15">
        <f t="shared" ca="1" si="77"/>
        <v>1.0012657557628601</v>
      </c>
      <c r="V364" s="15">
        <f t="shared" ca="1" si="78"/>
        <v>1.0009918364232853</v>
      </c>
      <c r="X364" s="15">
        <f t="shared" si="79"/>
        <v>1.05</v>
      </c>
      <c r="Y364" s="15">
        <f t="shared" si="80"/>
        <v>0.95</v>
      </c>
      <c r="Z364" s="15">
        <f t="shared" ca="1" si="81"/>
        <v>1</v>
      </c>
      <c r="AC364" s="15">
        <f t="shared" ca="1" si="82"/>
        <v>9.8373949055530516E-7</v>
      </c>
      <c r="AD364" s="15">
        <f t="shared" ca="1" si="83"/>
        <v>9.9183642328526389E-4</v>
      </c>
      <c r="AE364" s="15">
        <f t="shared" ca="1" si="84"/>
        <v>0.31937132829785497</v>
      </c>
    </row>
    <row r="365" spans="12:31" x14ac:dyDescent="0.3">
      <c r="L365" s="15">
        <v>363</v>
      </c>
      <c r="M365" s="15">
        <f t="shared" si="74"/>
        <v>1</v>
      </c>
      <c r="N365" s="15">
        <f t="shared" ca="1" si="75"/>
        <v>-9.9183642328526389E-4</v>
      </c>
      <c r="O365" s="15">
        <f t="shared" ca="1" si="86"/>
        <v>0.25090370346303958</v>
      </c>
      <c r="P365" s="15">
        <f t="shared" ca="1" si="85"/>
        <v>0.25024795910582132</v>
      </c>
      <c r="Q365" s="15">
        <v>0</v>
      </c>
      <c r="R365" s="15">
        <f t="shared" ca="1" si="76"/>
        <v>0.25024795910582132</v>
      </c>
      <c r="S365" s="15">
        <f t="shared" ref="S365:S428" ca="1" si="87">$I$1*S364-$I$2*S363+$I$3*R344+$I$4*R343</f>
        <v>1.0012817914369558</v>
      </c>
      <c r="T365" s="15">
        <v>0</v>
      </c>
      <c r="U365" s="15">
        <f t="shared" ca="1" si="77"/>
        <v>1.0012817914369558</v>
      </c>
      <c r="V365" s="15">
        <f t="shared" ca="1" si="78"/>
        <v>1.0009918364232853</v>
      </c>
      <c r="X365" s="15">
        <f t="shared" si="79"/>
        <v>1.05</v>
      </c>
      <c r="Y365" s="15">
        <f t="shared" si="80"/>
        <v>0.95</v>
      </c>
      <c r="Z365" s="15">
        <f t="shared" ca="1" si="81"/>
        <v>1</v>
      </c>
      <c r="AC365" s="15">
        <f t="shared" ca="1" si="82"/>
        <v>9.8373949055530516E-7</v>
      </c>
      <c r="AD365" s="15">
        <f t="shared" ca="1" si="83"/>
        <v>9.9183642328526389E-4</v>
      </c>
      <c r="AE365" s="15">
        <f t="shared" ca="1" si="84"/>
        <v>0.32036316472114024</v>
      </c>
    </row>
    <row r="366" spans="12:31" x14ac:dyDescent="0.3">
      <c r="L366" s="15">
        <v>364</v>
      </c>
      <c r="M366" s="15">
        <f t="shared" si="74"/>
        <v>1</v>
      </c>
      <c r="N366" s="15">
        <f t="shared" ca="1" si="75"/>
        <v>-9.9183642328526389E-4</v>
      </c>
      <c r="O366" s="15">
        <f t="shared" ca="1" si="86"/>
        <v>0.25090370346303958</v>
      </c>
      <c r="P366" s="15">
        <f t="shared" ca="1" si="85"/>
        <v>0.25024795910582132</v>
      </c>
      <c r="Q366" s="15">
        <v>0</v>
      </c>
      <c r="R366" s="15">
        <f t="shared" ca="1" si="76"/>
        <v>0.25024795910582132</v>
      </c>
      <c r="S366" s="15">
        <f t="shared" ca="1" si="87"/>
        <v>1.001294565207191</v>
      </c>
      <c r="T366" s="15">
        <v>0</v>
      </c>
      <c r="U366" s="15">
        <f t="shared" ca="1" si="77"/>
        <v>1.001294565207191</v>
      </c>
      <c r="V366" s="15">
        <f t="shared" ca="1" si="78"/>
        <v>1.0009918364232853</v>
      </c>
      <c r="X366" s="15">
        <f t="shared" si="79"/>
        <v>1.05</v>
      </c>
      <c r="Y366" s="15">
        <f t="shared" si="80"/>
        <v>0.95</v>
      </c>
      <c r="Z366" s="15">
        <f t="shared" ca="1" si="81"/>
        <v>1</v>
      </c>
      <c r="AC366" s="15">
        <f t="shared" ca="1" si="82"/>
        <v>9.8373949055530516E-7</v>
      </c>
      <c r="AD366" s="15">
        <f t="shared" ca="1" si="83"/>
        <v>9.9183642328526389E-4</v>
      </c>
      <c r="AE366" s="15">
        <f t="shared" ca="1" si="84"/>
        <v>0.3213550011444255</v>
      </c>
    </row>
    <row r="367" spans="12:31" x14ac:dyDescent="0.3">
      <c r="L367" s="15">
        <v>365</v>
      </c>
      <c r="M367" s="15">
        <f t="shared" si="74"/>
        <v>1</v>
      </c>
      <c r="N367" s="15">
        <f t="shared" ca="1" si="75"/>
        <v>-9.9183642328526389E-4</v>
      </c>
      <c r="O367" s="15">
        <f t="shared" ca="1" si="86"/>
        <v>0.25090370346303958</v>
      </c>
      <c r="P367" s="15">
        <f t="shared" ca="1" si="85"/>
        <v>0.25024795910582132</v>
      </c>
      <c r="Q367" s="15">
        <v>0</v>
      </c>
      <c r="R367" s="15">
        <f t="shared" ca="1" si="76"/>
        <v>0.25024795910582132</v>
      </c>
      <c r="S367" s="15">
        <f t="shared" ca="1" si="87"/>
        <v>1.0013044370990611</v>
      </c>
      <c r="T367" s="15">
        <v>0</v>
      </c>
      <c r="U367" s="15">
        <f t="shared" ca="1" si="77"/>
        <v>1.0013044370990611</v>
      </c>
      <c r="V367" s="15">
        <f t="shared" ca="1" si="78"/>
        <v>1.0009918364232853</v>
      </c>
      <c r="X367" s="15">
        <f t="shared" si="79"/>
        <v>1.05</v>
      </c>
      <c r="Y367" s="15">
        <f t="shared" si="80"/>
        <v>0.95</v>
      </c>
      <c r="Z367" s="15">
        <f t="shared" ca="1" si="81"/>
        <v>1</v>
      </c>
      <c r="AC367" s="15">
        <f t="shared" ca="1" si="82"/>
        <v>9.8373949055530516E-7</v>
      </c>
      <c r="AD367" s="15">
        <f t="shared" ca="1" si="83"/>
        <v>9.9183642328526389E-4</v>
      </c>
      <c r="AE367" s="15">
        <f t="shared" ca="1" si="84"/>
        <v>0.32234683756771076</v>
      </c>
    </row>
    <row r="368" spans="12:31" x14ac:dyDescent="0.3">
      <c r="L368" s="15">
        <v>366</v>
      </c>
      <c r="M368" s="15">
        <f t="shared" si="74"/>
        <v>1</v>
      </c>
      <c r="N368" s="15">
        <f t="shared" ca="1" si="75"/>
        <v>-9.9183642328526389E-4</v>
      </c>
      <c r="O368" s="15">
        <f t="shared" ca="1" si="86"/>
        <v>0.25088495193256188</v>
      </c>
      <c r="P368" s="15">
        <f t="shared" ca="1" si="85"/>
        <v>0.25024795910582132</v>
      </c>
      <c r="Q368" s="15">
        <v>0</v>
      </c>
      <c r="R368" s="15">
        <f t="shared" ca="1" si="76"/>
        <v>0.25024795910582132</v>
      </c>
      <c r="S368" s="15">
        <f t="shared" ca="1" si="87"/>
        <v>1.0013117337116217</v>
      </c>
      <c r="T368" s="15">
        <v>0</v>
      </c>
      <c r="U368" s="15">
        <f t="shared" ca="1" si="77"/>
        <v>1.0013117337116217</v>
      </c>
      <c r="V368" s="15">
        <f t="shared" ca="1" si="78"/>
        <v>1.0009918364232853</v>
      </c>
      <c r="X368" s="15">
        <f t="shared" si="79"/>
        <v>1.05</v>
      </c>
      <c r="Y368" s="15">
        <f t="shared" si="80"/>
        <v>0.95</v>
      </c>
      <c r="Z368" s="15">
        <f t="shared" ca="1" si="81"/>
        <v>1</v>
      </c>
      <c r="AC368" s="15">
        <f t="shared" ca="1" si="82"/>
        <v>9.8373949055530516E-7</v>
      </c>
      <c r="AD368" s="15">
        <f t="shared" ca="1" si="83"/>
        <v>9.9183642328526389E-4</v>
      </c>
      <c r="AE368" s="15">
        <f t="shared" ca="1" si="84"/>
        <v>0.32333867399099603</v>
      </c>
    </row>
    <row r="369" spans="12:31" x14ac:dyDescent="0.3">
      <c r="L369" s="15">
        <v>367</v>
      </c>
      <c r="M369" s="15">
        <f t="shared" si="74"/>
        <v>1</v>
      </c>
      <c r="N369" s="15">
        <f t="shared" ca="1" si="75"/>
        <v>-9.9183642328526389E-4</v>
      </c>
      <c r="O369" s="15">
        <f t="shared" ca="1" si="86"/>
        <v>0.25088495193256188</v>
      </c>
      <c r="P369" s="15">
        <f t="shared" ca="1" si="85"/>
        <v>0.25024795910582132</v>
      </c>
      <c r="Q369" s="15">
        <v>0</v>
      </c>
      <c r="R369" s="15">
        <f t="shared" ca="1" si="76"/>
        <v>0.25024795910582132</v>
      </c>
      <c r="S369" s="15">
        <f t="shared" ca="1" si="87"/>
        <v>1.001316751079125</v>
      </c>
      <c r="T369" s="15">
        <v>0</v>
      </c>
      <c r="U369" s="15">
        <f t="shared" ca="1" si="77"/>
        <v>1.001316751079125</v>
      </c>
      <c r="V369" s="15">
        <f t="shared" ca="1" si="78"/>
        <v>1.0009918364232853</v>
      </c>
      <c r="X369" s="15">
        <f t="shared" si="79"/>
        <v>1.05</v>
      </c>
      <c r="Y369" s="15">
        <f t="shared" si="80"/>
        <v>0.95</v>
      </c>
      <c r="Z369" s="15">
        <f t="shared" ca="1" si="81"/>
        <v>1</v>
      </c>
      <c r="AC369" s="15">
        <f t="shared" ca="1" si="82"/>
        <v>9.8373949055530516E-7</v>
      </c>
      <c r="AD369" s="15">
        <f t="shared" ca="1" si="83"/>
        <v>9.9183642328526389E-4</v>
      </c>
      <c r="AE369" s="15">
        <f t="shared" ca="1" si="84"/>
        <v>0.32433051041428129</v>
      </c>
    </row>
    <row r="370" spans="12:31" x14ac:dyDescent="0.3">
      <c r="L370" s="15">
        <v>368</v>
      </c>
      <c r="M370" s="15">
        <f t="shared" si="74"/>
        <v>1</v>
      </c>
      <c r="N370" s="15">
        <f t="shared" ca="1" si="75"/>
        <v>-9.9183642328526389E-4</v>
      </c>
      <c r="O370" s="15">
        <f t="shared" ca="1" si="86"/>
        <v>0.25088495193256188</v>
      </c>
      <c r="P370" s="15">
        <f t="shared" ca="1" si="85"/>
        <v>0.25024795910582132</v>
      </c>
      <c r="Q370" s="15">
        <v>0</v>
      </c>
      <c r="R370" s="15">
        <f t="shared" ca="1" si="76"/>
        <v>0.25024795910582132</v>
      </c>
      <c r="S370" s="15">
        <f t="shared" ca="1" si="87"/>
        <v>1.0013197572986896</v>
      </c>
      <c r="T370" s="15">
        <v>0</v>
      </c>
      <c r="U370" s="15">
        <f t="shared" ca="1" si="77"/>
        <v>1.0013197572986896</v>
      </c>
      <c r="V370" s="15">
        <f t="shared" ca="1" si="78"/>
        <v>1.0009918364232853</v>
      </c>
      <c r="X370" s="15">
        <f t="shared" si="79"/>
        <v>1.05</v>
      </c>
      <c r="Y370" s="15">
        <f t="shared" si="80"/>
        <v>0.95</v>
      </c>
      <c r="Z370" s="15">
        <f t="shared" ca="1" si="81"/>
        <v>1</v>
      </c>
      <c r="AC370" s="15">
        <f t="shared" ca="1" si="82"/>
        <v>9.8373949055530516E-7</v>
      </c>
      <c r="AD370" s="15">
        <f t="shared" ca="1" si="83"/>
        <v>9.9183642328526389E-4</v>
      </c>
      <c r="AE370" s="15">
        <f t="shared" ca="1" si="84"/>
        <v>0.32532234683756656</v>
      </c>
    </row>
    <row r="371" spans="12:31" x14ac:dyDescent="0.3">
      <c r="L371" s="15">
        <v>369</v>
      </c>
      <c r="M371" s="15">
        <f t="shared" si="74"/>
        <v>1</v>
      </c>
      <c r="N371" s="15">
        <f t="shared" ca="1" si="75"/>
        <v>-9.9183642328526389E-4</v>
      </c>
      <c r="O371" s="15">
        <f t="shared" ca="1" si="86"/>
        <v>0.25086620040208418</v>
      </c>
      <c r="P371" s="15">
        <f t="shared" ca="1" si="85"/>
        <v>0.25024795910582132</v>
      </c>
      <c r="Q371" s="15">
        <v>0</v>
      </c>
      <c r="R371" s="15">
        <f t="shared" ca="1" si="76"/>
        <v>0.25024795910582132</v>
      </c>
      <c r="S371" s="15">
        <f t="shared" ca="1" si="87"/>
        <v>1.001320994942587</v>
      </c>
      <c r="T371" s="15">
        <v>0</v>
      </c>
      <c r="U371" s="15">
        <f t="shared" ca="1" si="77"/>
        <v>1.001320994942587</v>
      </c>
      <c r="V371" s="15">
        <f t="shared" ca="1" si="78"/>
        <v>1.0009918364232853</v>
      </c>
      <c r="X371" s="15">
        <f t="shared" si="79"/>
        <v>1.05</v>
      </c>
      <c r="Y371" s="15">
        <f t="shared" si="80"/>
        <v>0.95</v>
      </c>
      <c r="Z371" s="15">
        <f t="shared" ca="1" si="81"/>
        <v>1</v>
      </c>
      <c r="AC371" s="15">
        <f t="shared" ca="1" si="82"/>
        <v>9.8373949055530516E-7</v>
      </c>
      <c r="AD371" s="15">
        <f t="shared" ca="1" si="83"/>
        <v>9.9183642328526389E-4</v>
      </c>
      <c r="AE371" s="15">
        <f t="shared" ca="1" si="84"/>
        <v>0.32631418326085182</v>
      </c>
    </row>
    <row r="372" spans="12:31" x14ac:dyDescent="0.3">
      <c r="L372" s="15">
        <v>370</v>
      </c>
      <c r="M372" s="15">
        <f t="shared" si="74"/>
        <v>1</v>
      </c>
      <c r="N372" s="15">
        <f t="shared" ca="1" si="75"/>
        <v>-9.9183642328526389E-4</v>
      </c>
      <c r="O372" s="15">
        <f t="shared" ca="1" si="86"/>
        <v>0.25086620040208418</v>
      </c>
      <c r="P372" s="15">
        <f t="shared" ca="1" si="85"/>
        <v>0.25024795910582132</v>
      </c>
      <c r="Q372" s="15">
        <v>0</v>
      </c>
      <c r="R372" s="15">
        <f t="shared" ca="1" si="76"/>
        <v>0.25024795910582132</v>
      </c>
      <c r="S372" s="15">
        <f t="shared" ca="1" si="87"/>
        <v>1.0013206832722805</v>
      </c>
      <c r="T372" s="15">
        <v>0</v>
      </c>
      <c r="U372" s="15">
        <f t="shared" ca="1" si="77"/>
        <v>1.0013206832722805</v>
      </c>
      <c r="V372" s="15">
        <f t="shared" ca="1" si="78"/>
        <v>1.0009918364232853</v>
      </c>
      <c r="X372" s="15">
        <f t="shared" si="79"/>
        <v>1.05</v>
      </c>
      <c r="Y372" s="15">
        <f t="shared" si="80"/>
        <v>0.95</v>
      </c>
      <c r="Z372" s="15">
        <f t="shared" ca="1" si="81"/>
        <v>1</v>
      </c>
      <c r="AC372" s="15">
        <f t="shared" ca="1" si="82"/>
        <v>9.8373949055530516E-7</v>
      </c>
      <c r="AD372" s="15">
        <f t="shared" ca="1" si="83"/>
        <v>9.9183642328526389E-4</v>
      </c>
      <c r="AE372" s="15">
        <f t="shared" ca="1" si="84"/>
        <v>0.32730601968413708</v>
      </c>
    </row>
    <row r="373" spans="12:31" x14ac:dyDescent="0.3">
      <c r="L373" s="15">
        <v>371</v>
      </c>
      <c r="M373" s="15">
        <f t="shared" si="74"/>
        <v>1</v>
      </c>
      <c r="N373" s="15">
        <f t="shared" ca="1" si="75"/>
        <v>-9.9183642328526389E-4</v>
      </c>
      <c r="O373" s="15">
        <f t="shared" ca="1" si="86"/>
        <v>0.25086620040208418</v>
      </c>
      <c r="P373" s="15">
        <f t="shared" ca="1" si="85"/>
        <v>0.25024795910582132</v>
      </c>
      <c r="Q373" s="15">
        <v>0</v>
      </c>
      <c r="R373" s="15">
        <f t="shared" ca="1" si="76"/>
        <v>0.25024795910582132</v>
      </c>
      <c r="S373" s="15">
        <f t="shared" ca="1" si="87"/>
        <v>1.0013190202700206</v>
      </c>
      <c r="T373" s="15">
        <v>0</v>
      </c>
      <c r="U373" s="15">
        <f t="shared" ca="1" si="77"/>
        <v>1.0013190202700206</v>
      </c>
      <c r="V373" s="15">
        <f t="shared" ca="1" si="78"/>
        <v>1.0009918364232853</v>
      </c>
      <c r="X373" s="15">
        <f t="shared" si="79"/>
        <v>1.05</v>
      </c>
      <c r="Y373" s="15">
        <f t="shared" si="80"/>
        <v>0.95</v>
      </c>
      <c r="Z373" s="15">
        <f t="shared" ca="1" si="81"/>
        <v>1</v>
      </c>
      <c r="AC373" s="15">
        <f t="shared" ca="1" si="82"/>
        <v>9.8373949055530516E-7</v>
      </c>
      <c r="AD373" s="15">
        <f t="shared" ca="1" si="83"/>
        <v>9.9183642328526389E-4</v>
      </c>
      <c r="AE373" s="15">
        <f t="shared" ca="1" si="84"/>
        <v>0.32829785610742235</v>
      </c>
    </row>
    <row r="374" spans="12:31" x14ac:dyDescent="0.3">
      <c r="L374" s="15">
        <v>372</v>
      </c>
      <c r="M374" s="15">
        <f t="shared" si="74"/>
        <v>1</v>
      </c>
      <c r="N374" s="15">
        <f t="shared" ca="1" si="75"/>
        <v>-9.9183642328526389E-4</v>
      </c>
      <c r="O374" s="15">
        <f t="shared" ca="1" si="86"/>
        <v>0.25084744887160648</v>
      </c>
      <c r="P374" s="15">
        <f t="shared" ca="1" si="85"/>
        <v>0.25024795910582132</v>
      </c>
      <c r="Q374" s="15">
        <v>0</v>
      </c>
      <c r="R374" s="15">
        <f t="shared" ca="1" si="76"/>
        <v>0.25024795910582132</v>
      </c>
      <c r="S374" s="15">
        <f t="shared" ca="1" si="87"/>
        <v>1.0013161845025575</v>
      </c>
      <c r="T374" s="15">
        <v>0</v>
      </c>
      <c r="U374" s="15">
        <f t="shared" ca="1" si="77"/>
        <v>1.0013161845025575</v>
      </c>
      <c r="V374" s="15">
        <f t="shared" ca="1" si="78"/>
        <v>1.0009918364232853</v>
      </c>
      <c r="X374" s="15">
        <f t="shared" si="79"/>
        <v>1.05</v>
      </c>
      <c r="Y374" s="15">
        <f t="shared" si="80"/>
        <v>0.95</v>
      </c>
      <c r="Z374" s="15">
        <f t="shared" ca="1" si="81"/>
        <v>1</v>
      </c>
      <c r="AC374" s="15">
        <f t="shared" ca="1" si="82"/>
        <v>9.8373949055530516E-7</v>
      </c>
      <c r="AD374" s="15">
        <f t="shared" ca="1" si="83"/>
        <v>9.9183642328526389E-4</v>
      </c>
      <c r="AE374" s="15">
        <f t="shared" ca="1" si="84"/>
        <v>0.32928969253070761</v>
      </c>
    </row>
    <row r="375" spans="12:31" x14ac:dyDescent="0.3">
      <c r="L375" s="15">
        <v>373</v>
      </c>
      <c r="M375" s="15">
        <f t="shared" si="74"/>
        <v>1</v>
      </c>
      <c r="N375" s="15">
        <f t="shared" ca="1" si="75"/>
        <v>-9.9183642328526389E-4</v>
      </c>
      <c r="O375" s="15">
        <f t="shared" ca="1" si="86"/>
        <v>0.25084744887160648</v>
      </c>
      <c r="P375" s="15">
        <f t="shared" ca="1" si="85"/>
        <v>0.25024795910582132</v>
      </c>
      <c r="Q375" s="15">
        <v>0</v>
      </c>
      <c r="R375" s="15">
        <f t="shared" ca="1" si="76"/>
        <v>0.25024795910582132</v>
      </c>
      <c r="S375" s="15">
        <f t="shared" ca="1" si="87"/>
        <v>1.0013123368304033</v>
      </c>
      <c r="T375" s="15">
        <v>0</v>
      </c>
      <c r="U375" s="15">
        <f t="shared" ca="1" si="77"/>
        <v>1.0013123368304033</v>
      </c>
      <c r="V375" s="15">
        <f t="shared" ca="1" si="78"/>
        <v>1.0009918364232853</v>
      </c>
      <c r="X375" s="15">
        <f t="shared" si="79"/>
        <v>1.05</v>
      </c>
      <c r="Y375" s="15">
        <f t="shared" si="80"/>
        <v>0.95</v>
      </c>
      <c r="Z375" s="15">
        <f t="shared" ca="1" si="81"/>
        <v>1</v>
      </c>
      <c r="AC375" s="15">
        <f t="shared" ca="1" si="82"/>
        <v>9.8373949055530516E-7</v>
      </c>
      <c r="AD375" s="15">
        <f t="shared" ca="1" si="83"/>
        <v>9.9183642328526389E-4</v>
      </c>
      <c r="AE375" s="15">
        <f t="shared" ca="1" si="84"/>
        <v>0.33028152895399288</v>
      </c>
    </row>
    <row r="376" spans="12:31" x14ac:dyDescent="0.3">
      <c r="L376" s="15">
        <v>374</v>
      </c>
      <c r="M376" s="15">
        <f t="shared" si="74"/>
        <v>1</v>
      </c>
      <c r="N376" s="15">
        <f t="shared" ca="1" si="75"/>
        <v>-9.9183642328526389E-4</v>
      </c>
      <c r="O376" s="15">
        <f t="shared" ca="1" si="86"/>
        <v>0.25084744887160648</v>
      </c>
      <c r="P376" s="15">
        <f t="shared" ca="1" si="85"/>
        <v>0.25024795910582132</v>
      </c>
      <c r="Q376" s="15">
        <v>0</v>
      </c>
      <c r="R376" s="15">
        <f t="shared" ca="1" si="76"/>
        <v>0.25024795910582132</v>
      </c>
      <c r="S376" s="15">
        <f t="shared" ca="1" si="87"/>
        <v>1.0013076219750163</v>
      </c>
      <c r="T376" s="15">
        <v>0</v>
      </c>
      <c r="U376" s="15">
        <f t="shared" ca="1" si="77"/>
        <v>1.0013076219750163</v>
      </c>
      <c r="V376" s="15">
        <f t="shared" ca="1" si="78"/>
        <v>1.0009918364232853</v>
      </c>
      <c r="X376" s="15">
        <f t="shared" si="79"/>
        <v>1.05</v>
      </c>
      <c r="Y376" s="15">
        <f t="shared" si="80"/>
        <v>0.95</v>
      </c>
      <c r="Z376" s="15">
        <f t="shared" ca="1" si="81"/>
        <v>1</v>
      </c>
      <c r="AC376" s="15">
        <f t="shared" ca="1" si="82"/>
        <v>9.8373949055530516E-7</v>
      </c>
      <c r="AD376" s="15">
        <f t="shared" ca="1" si="83"/>
        <v>9.9183642328526389E-4</v>
      </c>
      <c r="AE376" s="15">
        <f t="shared" ca="1" si="84"/>
        <v>0.33127336537727814</v>
      </c>
    </row>
    <row r="377" spans="12:31" x14ac:dyDescent="0.3">
      <c r="L377" s="15">
        <v>375</v>
      </c>
      <c r="M377" s="15">
        <f t="shared" si="74"/>
        <v>1</v>
      </c>
      <c r="N377" s="15">
        <f t="shared" ca="1" si="75"/>
        <v>-9.9183642328526389E-4</v>
      </c>
      <c r="O377" s="15">
        <f t="shared" ca="1" si="86"/>
        <v>0.25082869734112878</v>
      </c>
      <c r="P377" s="15">
        <f t="shared" ca="1" si="85"/>
        <v>0.25024795910582132</v>
      </c>
      <c r="Q377" s="15">
        <v>0</v>
      </c>
      <c r="R377" s="15">
        <f t="shared" ca="1" si="76"/>
        <v>0.25024795910582132</v>
      </c>
      <c r="S377" s="15">
        <f t="shared" ca="1" si="87"/>
        <v>1.0013021699553153</v>
      </c>
      <c r="T377" s="15">
        <v>0</v>
      </c>
      <c r="U377" s="15">
        <f t="shared" ca="1" si="77"/>
        <v>1.0013021699553153</v>
      </c>
      <c r="V377" s="15">
        <f t="shared" ca="1" si="78"/>
        <v>1.0009918364232853</v>
      </c>
      <c r="X377" s="15">
        <f t="shared" si="79"/>
        <v>1.05</v>
      </c>
      <c r="Y377" s="15">
        <f t="shared" si="80"/>
        <v>0.95</v>
      </c>
      <c r="Z377" s="15">
        <f t="shared" ca="1" si="81"/>
        <v>1</v>
      </c>
      <c r="AC377" s="15">
        <f t="shared" ca="1" si="82"/>
        <v>9.8373949055530516E-7</v>
      </c>
      <c r="AD377" s="15">
        <f t="shared" ca="1" si="83"/>
        <v>9.9183642328526389E-4</v>
      </c>
      <c r="AE377" s="15">
        <f t="shared" ca="1" si="84"/>
        <v>0.3322652018005634</v>
      </c>
    </row>
    <row r="378" spans="12:31" x14ac:dyDescent="0.3">
      <c r="L378" s="15">
        <v>376</v>
      </c>
      <c r="M378" s="15">
        <f t="shared" si="74"/>
        <v>1</v>
      </c>
      <c r="N378" s="15">
        <f t="shared" ca="1" si="75"/>
        <v>-9.9183642328526389E-4</v>
      </c>
      <c r="O378" s="15">
        <f t="shared" ca="1" si="86"/>
        <v>0.25082869734112878</v>
      </c>
      <c r="P378" s="15">
        <f t="shared" ca="1" si="85"/>
        <v>0.25024795910582132</v>
      </c>
      <c r="Q378" s="15">
        <v>0</v>
      </c>
      <c r="R378" s="15">
        <f t="shared" ca="1" si="76"/>
        <v>0.25024795910582132</v>
      </c>
      <c r="S378" s="15">
        <f t="shared" ca="1" si="87"/>
        <v>1.0012960974040339</v>
      </c>
      <c r="T378" s="15">
        <v>0</v>
      </c>
      <c r="U378" s="15">
        <f t="shared" ca="1" si="77"/>
        <v>1.0012960974040339</v>
      </c>
      <c r="V378" s="15">
        <f t="shared" ca="1" si="78"/>
        <v>1.0009918364232853</v>
      </c>
      <c r="X378" s="15">
        <f t="shared" si="79"/>
        <v>1.05</v>
      </c>
      <c r="Y378" s="15">
        <f t="shared" si="80"/>
        <v>0.95</v>
      </c>
      <c r="Z378" s="15">
        <f t="shared" ca="1" si="81"/>
        <v>1</v>
      </c>
      <c r="AC378" s="15">
        <f t="shared" ca="1" si="82"/>
        <v>9.8373949055530516E-7</v>
      </c>
      <c r="AD378" s="15">
        <f t="shared" ca="1" si="83"/>
        <v>9.9183642328526389E-4</v>
      </c>
      <c r="AE378" s="15">
        <f t="shared" ca="1" si="84"/>
        <v>0.33325703822384867</v>
      </c>
    </row>
    <row r="379" spans="12:31" x14ac:dyDescent="0.3">
      <c r="L379" s="15">
        <v>377</v>
      </c>
      <c r="M379" s="15">
        <f t="shared" si="74"/>
        <v>1</v>
      </c>
      <c r="N379" s="15">
        <f t="shared" ca="1" si="75"/>
        <v>-9.9183642328526389E-4</v>
      </c>
      <c r="O379" s="15">
        <f t="shared" ca="1" si="86"/>
        <v>0.25082869734112878</v>
      </c>
      <c r="P379" s="15">
        <f t="shared" ca="1" si="85"/>
        <v>0.25024795910582132</v>
      </c>
      <c r="Q379" s="15">
        <v>0</v>
      </c>
      <c r="R379" s="15">
        <f t="shared" ca="1" si="76"/>
        <v>0.25024795910582132</v>
      </c>
      <c r="S379" s="15">
        <f t="shared" ca="1" si="87"/>
        <v>1.0012895087736007</v>
      </c>
      <c r="T379" s="15">
        <v>0</v>
      </c>
      <c r="U379" s="15">
        <f t="shared" ca="1" si="77"/>
        <v>1.0012895087736007</v>
      </c>
      <c r="V379" s="15">
        <f t="shared" ca="1" si="78"/>
        <v>1.0009918364232853</v>
      </c>
      <c r="X379" s="15">
        <f t="shared" si="79"/>
        <v>1.05</v>
      </c>
      <c r="Y379" s="15">
        <f t="shared" si="80"/>
        <v>0.95</v>
      </c>
      <c r="Z379" s="15">
        <f t="shared" ca="1" si="81"/>
        <v>1</v>
      </c>
      <c r="AC379" s="15">
        <f t="shared" ca="1" si="82"/>
        <v>9.8373949055530516E-7</v>
      </c>
      <c r="AD379" s="15">
        <f t="shared" ca="1" si="83"/>
        <v>9.9183642328526389E-4</v>
      </c>
      <c r="AE379" s="15">
        <f t="shared" ca="1" si="84"/>
        <v>0.33424887464713393</v>
      </c>
    </row>
    <row r="380" spans="12:31" x14ac:dyDescent="0.3">
      <c r="L380" s="15">
        <v>378</v>
      </c>
      <c r="M380" s="15">
        <f t="shared" si="74"/>
        <v>1</v>
      </c>
      <c r="N380" s="15">
        <f t="shared" ca="1" si="75"/>
        <v>-9.9183642328526389E-4</v>
      </c>
      <c r="O380" s="15">
        <f t="shared" ca="1" si="86"/>
        <v>0.25080994581065108</v>
      </c>
      <c r="P380" s="15">
        <f t="shared" ca="1" si="85"/>
        <v>0.25024795910582132</v>
      </c>
      <c r="Q380" s="15">
        <v>0</v>
      </c>
      <c r="R380" s="15">
        <f t="shared" ca="1" si="76"/>
        <v>0.25024795910582132</v>
      </c>
      <c r="S380" s="15">
        <f t="shared" ca="1" si="87"/>
        <v>1.0012692975063602</v>
      </c>
      <c r="T380" s="15">
        <v>0</v>
      </c>
      <c r="U380" s="15">
        <f t="shared" ca="1" si="77"/>
        <v>1.0012692975063602</v>
      </c>
      <c r="V380" s="15">
        <f t="shared" ca="1" si="78"/>
        <v>1.0009918364232853</v>
      </c>
      <c r="X380" s="15">
        <f t="shared" si="79"/>
        <v>1.05</v>
      </c>
      <c r="Y380" s="15">
        <f t="shared" si="80"/>
        <v>0.95</v>
      </c>
      <c r="Z380" s="15">
        <f t="shared" ca="1" si="81"/>
        <v>1</v>
      </c>
      <c r="AC380" s="15">
        <f t="shared" ca="1" si="82"/>
        <v>9.8373949055530516E-7</v>
      </c>
      <c r="AD380" s="15">
        <f t="shared" ca="1" si="83"/>
        <v>9.9183642328526389E-4</v>
      </c>
      <c r="AE380" s="15">
        <f t="shared" ca="1" si="84"/>
        <v>0.3352407110704192</v>
      </c>
    </row>
    <row r="381" spans="12:31" x14ac:dyDescent="0.3">
      <c r="L381" s="15">
        <v>379</v>
      </c>
      <c r="M381" s="15">
        <f t="shared" si="74"/>
        <v>1</v>
      </c>
      <c r="N381" s="15">
        <f t="shared" ca="1" si="75"/>
        <v>-9.9183642328526389E-4</v>
      </c>
      <c r="O381" s="15">
        <f t="shared" ca="1" si="86"/>
        <v>0.25080994581065108</v>
      </c>
      <c r="P381" s="15">
        <f t="shared" ca="1" si="85"/>
        <v>0.25024795910582132</v>
      </c>
      <c r="Q381" s="15">
        <v>0</v>
      </c>
      <c r="R381" s="15">
        <f t="shared" ca="1" si="76"/>
        <v>0.25024795910582132</v>
      </c>
      <c r="S381" s="15">
        <f t="shared" ca="1" si="87"/>
        <v>1.001224662337928</v>
      </c>
      <c r="T381" s="15">
        <v>0</v>
      </c>
      <c r="U381" s="15">
        <f t="shared" ca="1" si="77"/>
        <v>1.001224662337928</v>
      </c>
      <c r="V381" s="15">
        <f t="shared" ca="1" si="78"/>
        <v>1.0009918364232853</v>
      </c>
      <c r="X381" s="15">
        <f t="shared" si="79"/>
        <v>1.05</v>
      </c>
      <c r="Y381" s="15">
        <f t="shared" si="80"/>
        <v>0.95</v>
      </c>
      <c r="Z381" s="15">
        <f t="shared" ca="1" si="81"/>
        <v>1</v>
      </c>
      <c r="AC381" s="15">
        <f t="shared" ca="1" si="82"/>
        <v>9.8373949055530516E-7</v>
      </c>
      <c r="AD381" s="15">
        <f t="shared" ca="1" si="83"/>
        <v>9.9183642328526389E-4</v>
      </c>
      <c r="AE381" s="15">
        <f t="shared" ca="1" si="84"/>
        <v>0.33623254749370446</v>
      </c>
    </row>
    <row r="382" spans="12:31" x14ac:dyDescent="0.3">
      <c r="L382" s="15">
        <v>380</v>
      </c>
      <c r="M382" s="15">
        <f t="shared" si="74"/>
        <v>1</v>
      </c>
      <c r="N382" s="15">
        <f t="shared" ca="1" si="75"/>
        <v>-9.9183642328526389E-4</v>
      </c>
      <c r="O382" s="15">
        <f t="shared" ca="1" si="86"/>
        <v>0.25080994581065108</v>
      </c>
      <c r="P382" s="15">
        <f t="shared" ca="1" si="85"/>
        <v>0.25024795910582132</v>
      </c>
      <c r="Q382" s="15">
        <v>0</v>
      </c>
      <c r="R382" s="15">
        <f t="shared" ca="1" si="76"/>
        <v>0.25024795910582132</v>
      </c>
      <c r="S382" s="15">
        <f t="shared" ca="1" si="87"/>
        <v>1.0011588923340877</v>
      </c>
      <c r="T382" s="15">
        <v>0</v>
      </c>
      <c r="U382" s="15">
        <f t="shared" ca="1" si="77"/>
        <v>1.0011588923340877</v>
      </c>
      <c r="V382" s="15">
        <f t="shared" ca="1" si="78"/>
        <v>1.0009918364232853</v>
      </c>
      <c r="X382" s="15">
        <f t="shared" si="79"/>
        <v>1.05</v>
      </c>
      <c r="Y382" s="15">
        <f t="shared" si="80"/>
        <v>0.95</v>
      </c>
      <c r="Z382" s="15">
        <f t="shared" ca="1" si="81"/>
        <v>1</v>
      </c>
      <c r="AC382" s="15">
        <f t="shared" ca="1" si="82"/>
        <v>9.8373949055530516E-7</v>
      </c>
      <c r="AD382" s="15">
        <f t="shared" ca="1" si="83"/>
        <v>9.9183642328526389E-4</v>
      </c>
      <c r="AE382" s="15">
        <f t="shared" ca="1" si="84"/>
        <v>0.33722438391698972</v>
      </c>
    </row>
    <row r="383" spans="12:31" x14ac:dyDescent="0.3">
      <c r="L383" s="15">
        <v>381</v>
      </c>
      <c r="M383" s="15">
        <f t="shared" si="74"/>
        <v>1</v>
      </c>
      <c r="N383" s="15">
        <f t="shared" ca="1" si="75"/>
        <v>-9.9183642328526389E-4</v>
      </c>
      <c r="O383" s="15">
        <f t="shared" ca="1" si="86"/>
        <v>0.25079119428017338</v>
      </c>
      <c r="P383" s="15">
        <f t="shared" ca="1" si="85"/>
        <v>0.25024795910582132</v>
      </c>
      <c r="Q383" s="15">
        <v>0</v>
      </c>
      <c r="R383" s="15">
        <f t="shared" ca="1" si="76"/>
        <v>0.25024795910582132</v>
      </c>
      <c r="S383" s="15">
        <f t="shared" ca="1" si="87"/>
        <v>1.0010881483854563</v>
      </c>
      <c r="T383" s="15">
        <v>0</v>
      </c>
      <c r="U383" s="15">
        <f t="shared" ca="1" si="77"/>
        <v>1.0010881483854563</v>
      </c>
      <c r="V383" s="15">
        <f t="shared" ca="1" si="78"/>
        <v>1.0009918364232853</v>
      </c>
      <c r="X383" s="15">
        <f t="shared" si="79"/>
        <v>1.05</v>
      </c>
      <c r="Y383" s="15">
        <f t="shared" si="80"/>
        <v>0.95</v>
      </c>
      <c r="Z383" s="15">
        <f t="shared" ca="1" si="81"/>
        <v>1</v>
      </c>
      <c r="AC383" s="15">
        <f t="shared" ca="1" si="82"/>
        <v>9.8373949055530516E-7</v>
      </c>
      <c r="AD383" s="15">
        <f t="shared" ca="1" si="83"/>
        <v>9.9183642328526389E-4</v>
      </c>
      <c r="AE383" s="15">
        <f t="shared" ca="1" si="84"/>
        <v>0.33821622034027499</v>
      </c>
    </row>
    <row r="384" spans="12:31" x14ac:dyDescent="0.3">
      <c r="L384" s="15">
        <v>382</v>
      </c>
      <c r="M384" s="15">
        <f t="shared" si="74"/>
        <v>1</v>
      </c>
      <c r="N384" s="15">
        <f t="shared" ca="1" si="75"/>
        <v>-9.9183642328526389E-4</v>
      </c>
      <c r="O384" s="15">
        <f t="shared" ca="1" si="86"/>
        <v>0.25079119428017338</v>
      </c>
      <c r="P384" s="15">
        <f t="shared" ca="1" si="85"/>
        <v>0.25024795910582132</v>
      </c>
      <c r="Q384" s="15">
        <v>0</v>
      </c>
      <c r="R384" s="15">
        <f t="shared" ca="1" si="76"/>
        <v>0.25024795910582132</v>
      </c>
      <c r="S384" s="15">
        <f t="shared" ca="1" si="87"/>
        <v>1.0010259770403644</v>
      </c>
      <c r="T384" s="15">
        <v>0</v>
      </c>
      <c r="U384" s="15">
        <f t="shared" ca="1" si="77"/>
        <v>1.0010259770403644</v>
      </c>
      <c r="V384" s="15">
        <f t="shared" ca="1" si="78"/>
        <v>1.0009918364232853</v>
      </c>
      <c r="X384" s="15">
        <f t="shared" si="79"/>
        <v>1.05</v>
      </c>
      <c r="Y384" s="15">
        <f t="shared" si="80"/>
        <v>0.95</v>
      </c>
      <c r="Z384" s="15">
        <f t="shared" ca="1" si="81"/>
        <v>1</v>
      </c>
      <c r="AC384" s="15">
        <f t="shared" ca="1" si="82"/>
        <v>9.8373949055530516E-7</v>
      </c>
      <c r="AD384" s="15">
        <f t="shared" ca="1" si="83"/>
        <v>9.9183642328526389E-4</v>
      </c>
      <c r="AE384" s="15">
        <f t="shared" ca="1" si="84"/>
        <v>0.33920805676356025</v>
      </c>
    </row>
    <row r="385" spans="12:31" x14ac:dyDescent="0.3">
      <c r="L385" s="15">
        <v>383</v>
      </c>
      <c r="M385" s="15">
        <f t="shared" si="74"/>
        <v>1</v>
      </c>
      <c r="N385" s="15">
        <f t="shared" ca="1" si="75"/>
        <v>5.3406576638448389E-4</v>
      </c>
      <c r="O385" s="15">
        <f t="shared" ca="1" si="86"/>
        <v>0.25079119428017338</v>
      </c>
      <c r="P385" s="15">
        <f t="shared" ca="1" si="85"/>
        <v>0.25024795910582132</v>
      </c>
      <c r="Q385" s="15">
        <v>0</v>
      </c>
      <c r="R385" s="15">
        <f t="shared" ca="1" si="76"/>
        <v>0.25024795910582132</v>
      </c>
      <c r="S385" s="15">
        <f t="shared" ca="1" si="87"/>
        <v>1.0009715530859733</v>
      </c>
      <c r="T385" s="15">
        <v>0</v>
      </c>
      <c r="U385" s="15">
        <f t="shared" ca="1" si="77"/>
        <v>1.0009715530859733</v>
      </c>
      <c r="V385" s="15">
        <f t="shared" ca="1" si="78"/>
        <v>0.99946593423361552</v>
      </c>
      <c r="X385" s="15">
        <f t="shared" si="79"/>
        <v>1.05</v>
      </c>
      <c r="Y385" s="15">
        <f t="shared" si="80"/>
        <v>0.95</v>
      </c>
      <c r="Z385" s="15">
        <f t="shared" ca="1" si="81"/>
        <v>1</v>
      </c>
      <c r="AC385" s="15">
        <f t="shared" ca="1" si="82"/>
        <v>2.852262428238461E-7</v>
      </c>
      <c r="AD385" s="15">
        <f t="shared" ca="1" si="83"/>
        <v>5.3406576638448389E-4</v>
      </c>
      <c r="AE385" s="15">
        <f t="shared" ca="1" si="84"/>
        <v>0.18318455786987797</v>
      </c>
    </row>
    <row r="386" spans="12:31" x14ac:dyDescent="0.3">
      <c r="L386" s="15">
        <v>384</v>
      </c>
      <c r="M386" s="15">
        <f t="shared" si="74"/>
        <v>1</v>
      </c>
      <c r="N386" s="15">
        <f t="shared" ca="1" si="75"/>
        <v>5.3406576638448389E-4</v>
      </c>
      <c r="O386" s="15">
        <f t="shared" ca="1" si="86"/>
        <v>0.25242885002061805</v>
      </c>
      <c r="P386" s="15">
        <f t="shared" ca="1" si="85"/>
        <v>0.25177386129549095</v>
      </c>
      <c r="Q386" s="15">
        <v>0</v>
      </c>
      <c r="R386" s="15">
        <f t="shared" ca="1" si="76"/>
        <v>0.25177386129549095</v>
      </c>
      <c r="S386" s="15">
        <f t="shared" ca="1" si="87"/>
        <v>1.0009241232903512</v>
      </c>
      <c r="T386" s="15">
        <v>0</v>
      </c>
      <c r="U386" s="15">
        <f t="shared" ca="1" si="77"/>
        <v>1.0009241232903512</v>
      </c>
      <c r="V386" s="15">
        <f t="shared" ca="1" si="78"/>
        <v>0.99946593423361552</v>
      </c>
      <c r="X386" s="15">
        <f t="shared" si="79"/>
        <v>1.05</v>
      </c>
      <c r="Y386" s="15">
        <f t="shared" si="80"/>
        <v>0.95</v>
      </c>
      <c r="Z386" s="15">
        <f t="shared" ca="1" si="81"/>
        <v>1</v>
      </c>
      <c r="AC386" s="15">
        <f t="shared" ca="1" si="82"/>
        <v>2.852262428238461E-7</v>
      </c>
      <c r="AD386" s="15">
        <f t="shared" ca="1" si="83"/>
        <v>5.3406576638448389E-4</v>
      </c>
      <c r="AE386" s="15">
        <f t="shared" ca="1" si="84"/>
        <v>0.18371862363626246</v>
      </c>
    </row>
    <row r="387" spans="12:31" x14ac:dyDescent="0.3">
      <c r="L387" s="15">
        <v>385</v>
      </c>
      <c r="M387" s="15">
        <f t="shared" ref="M387:M450" si="88">IF(L387&lt;$D$16,$D$12,IF(L387&lt;$E$16,$E$12,$F$13))</f>
        <v>1</v>
      </c>
      <c r="N387" s="15">
        <f t="shared" ref="N387:N450" ca="1" si="89">M387-V387</f>
        <v>5.3406576638448389E-4</v>
      </c>
      <c r="O387" s="15">
        <f t="shared" ca="1" si="86"/>
        <v>0.25242885002061805</v>
      </c>
      <c r="P387" s="15">
        <f t="shared" ca="1" si="85"/>
        <v>0.25177386129549095</v>
      </c>
      <c r="Q387" s="15">
        <v>0</v>
      </c>
      <c r="R387" s="15">
        <f t="shared" ref="R387:R450" ca="1" si="90">P387+Q387</f>
        <v>0.25177386129549095</v>
      </c>
      <c r="S387" s="15">
        <f t="shared" ca="1" si="87"/>
        <v>1.0008830004513711</v>
      </c>
      <c r="T387" s="15">
        <v>0</v>
      </c>
      <c r="U387" s="15">
        <f t="shared" ref="U387:U450" ca="1" si="91">S387+T387</f>
        <v>1.0008830004513711</v>
      </c>
      <c r="V387" s="15">
        <f t="shared" ref="V387:V450" ca="1" si="92">INT((2^$J$12-1)*U387/100)/(2^$J$12-1)*100</f>
        <v>0.99946593423361552</v>
      </c>
      <c r="X387" s="15">
        <f t="shared" ref="X387:X450" si="93">M387 * 1.05</f>
        <v>1.05</v>
      </c>
      <c r="Y387" s="15">
        <f t="shared" ref="Y387:Y450" si="94">M387 * 0.95</f>
        <v>0.95</v>
      </c>
      <c r="Z387" s="15">
        <f t="shared" ref="Z387:Z450" ca="1" si="95">IF(AND(V387 &lt;= X387, V387 &gt;= Y387), 1, 0)</f>
        <v>1</v>
      </c>
      <c r="AC387" s="15">
        <f t="shared" ref="AC387:AC450" ca="1" si="96">N387^2</f>
        <v>2.852262428238461E-7</v>
      </c>
      <c r="AD387" s="15">
        <f t="shared" ref="AD387:AD450" ca="1" si="97">ABS(N387)</f>
        <v>5.3406576638448389E-4</v>
      </c>
      <c r="AE387" s="15">
        <f t="shared" ref="AE387:AE450" ca="1" si="98">IF(M387&gt;0, ABS(N387)*(L387-$D$16),0)</f>
        <v>0.18425268940264694</v>
      </c>
    </row>
    <row r="388" spans="12:31" x14ac:dyDescent="0.3">
      <c r="L388" s="15">
        <v>386</v>
      </c>
      <c r="M388" s="15">
        <f t="shared" si="88"/>
        <v>1</v>
      </c>
      <c r="N388" s="15">
        <f t="shared" ca="1" si="89"/>
        <v>5.3406576638448389E-4</v>
      </c>
      <c r="O388" s="15">
        <f t="shared" ca="1" si="86"/>
        <v>0.25242885002061805</v>
      </c>
      <c r="P388" s="15">
        <f t="shared" ca="1" si="85"/>
        <v>0.25177386129549095</v>
      </c>
      <c r="Q388" s="15">
        <v>0</v>
      </c>
      <c r="R388" s="15">
        <f t="shared" ca="1" si="90"/>
        <v>0.25177386129549095</v>
      </c>
      <c r="S388" s="15">
        <f t="shared" ca="1" si="87"/>
        <v>1.0008475579217377</v>
      </c>
      <c r="T388" s="15">
        <v>0</v>
      </c>
      <c r="U388" s="15">
        <f t="shared" ca="1" si="91"/>
        <v>1.0008475579217377</v>
      </c>
      <c r="V388" s="15">
        <f t="shared" ca="1" si="92"/>
        <v>0.99946593423361552</v>
      </c>
      <c r="X388" s="15">
        <f t="shared" si="93"/>
        <v>1.05</v>
      </c>
      <c r="Y388" s="15">
        <f t="shared" si="94"/>
        <v>0.95</v>
      </c>
      <c r="Z388" s="15">
        <f t="shared" ca="1" si="95"/>
        <v>1</v>
      </c>
      <c r="AC388" s="15">
        <f t="shared" ca="1" si="96"/>
        <v>2.852262428238461E-7</v>
      </c>
      <c r="AD388" s="15">
        <f t="shared" ca="1" si="97"/>
        <v>5.3406576638448389E-4</v>
      </c>
      <c r="AE388" s="15">
        <f t="shared" ca="1" si="98"/>
        <v>0.18478675516903142</v>
      </c>
    </row>
    <row r="389" spans="12:31" x14ac:dyDescent="0.3">
      <c r="L389" s="15">
        <v>387</v>
      </c>
      <c r="M389" s="15">
        <f t="shared" si="88"/>
        <v>1</v>
      </c>
      <c r="N389" s="15">
        <f t="shared" ca="1" si="89"/>
        <v>5.3406576638448389E-4</v>
      </c>
      <c r="O389" s="15">
        <f t="shared" ca="1" si="86"/>
        <v>0.25114491545816925</v>
      </c>
      <c r="P389" s="15">
        <f t="shared" ca="1" si="85"/>
        <v>0.25024795910582132</v>
      </c>
      <c r="Q389" s="15">
        <v>0</v>
      </c>
      <c r="R389" s="15">
        <f t="shared" ca="1" si="90"/>
        <v>0.25024795910582132</v>
      </c>
      <c r="S389" s="15">
        <f t="shared" ca="1" si="87"/>
        <v>1.0008172245728635</v>
      </c>
      <c r="T389" s="15">
        <v>0</v>
      </c>
      <c r="U389" s="15">
        <f t="shared" ca="1" si="91"/>
        <v>1.0008172245728635</v>
      </c>
      <c r="V389" s="15">
        <f t="shared" ca="1" si="92"/>
        <v>0.99946593423361552</v>
      </c>
      <c r="X389" s="15">
        <f t="shared" si="93"/>
        <v>1.05</v>
      </c>
      <c r="Y389" s="15">
        <f t="shared" si="94"/>
        <v>0.95</v>
      </c>
      <c r="Z389" s="15">
        <f t="shared" ca="1" si="95"/>
        <v>1</v>
      </c>
      <c r="AC389" s="15">
        <f t="shared" ca="1" si="96"/>
        <v>2.852262428238461E-7</v>
      </c>
      <c r="AD389" s="15">
        <f t="shared" ca="1" si="97"/>
        <v>5.3406576638448389E-4</v>
      </c>
      <c r="AE389" s="15">
        <f t="shared" ca="1" si="98"/>
        <v>0.18532082093541591</v>
      </c>
    </row>
    <row r="390" spans="12:31" x14ac:dyDescent="0.3">
      <c r="L390" s="15">
        <v>388</v>
      </c>
      <c r="M390" s="15">
        <f t="shared" si="88"/>
        <v>1</v>
      </c>
      <c r="N390" s="15">
        <f t="shared" ca="1" si="89"/>
        <v>5.3406576638448389E-4</v>
      </c>
      <c r="O390" s="15">
        <f t="shared" ca="1" si="86"/>
        <v>0.25114491545816925</v>
      </c>
      <c r="P390" s="15">
        <f t="shared" ca="1" si="85"/>
        <v>0.25024795910582132</v>
      </c>
      <c r="Q390" s="15">
        <v>0</v>
      </c>
      <c r="R390" s="15">
        <f t="shared" ca="1" si="90"/>
        <v>0.25024795910582132</v>
      </c>
      <c r="S390" s="15">
        <f t="shared" ca="1" si="87"/>
        <v>1.0007914801631879</v>
      </c>
      <c r="T390" s="15">
        <v>0</v>
      </c>
      <c r="U390" s="15">
        <f t="shared" ca="1" si="91"/>
        <v>1.0007914801631879</v>
      </c>
      <c r="V390" s="15">
        <f t="shared" ca="1" si="92"/>
        <v>0.99946593423361552</v>
      </c>
      <c r="X390" s="15">
        <f t="shared" si="93"/>
        <v>1.05</v>
      </c>
      <c r="Y390" s="15">
        <f t="shared" si="94"/>
        <v>0.95</v>
      </c>
      <c r="Z390" s="15">
        <f t="shared" ca="1" si="95"/>
        <v>1</v>
      </c>
      <c r="AC390" s="15">
        <f t="shared" ca="1" si="96"/>
        <v>2.852262428238461E-7</v>
      </c>
      <c r="AD390" s="15">
        <f t="shared" ca="1" si="97"/>
        <v>5.3406576638448389E-4</v>
      </c>
      <c r="AE390" s="15">
        <f t="shared" ca="1" si="98"/>
        <v>0.18585488670180039</v>
      </c>
    </row>
    <row r="391" spans="12:31" x14ac:dyDescent="0.3">
      <c r="L391" s="15">
        <v>389</v>
      </c>
      <c r="M391" s="15">
        <f t="shared" si="88"/>
        <v>1</v>
      </c>
      <c r="N391" s="15">
        <f t="shared" ca="1" si="89"/>
        <v>5.3406576638448389E-4</v>
      </c>
      <c r="O391" s="15">
        <f t="shared" ca="1" si="86"/>
        <v>0.25114491545816925</v>
      </c>
      <c r="P391" s="15">
        <f t="shared" ca="1" si="85"/>
        <v>0.25024795910582132</v>
      </c>
      <c r="Q391" s="15">
        <v>0</v>
      </c>
      <c r="R391" s="15">
        <f t="shared" ca="1" si="90"/>
        <v>0.25024795910582132</v>
      </c>
      <c r="S391" s="15">
        <f t="shared" ca="1" si="87"/>
        <v>1.0007698510791934</v>
      </c>
      <c r="T391" s="15">
        <v>0</v>
      </c>
      <c r="U391" s="15">
        <f t="shared" ca="1" si="91"/>
        <v>1.0007698510791934</v>
      </c>
      <c r="V391" s="15">
        <f t="shared" ca="1" si="92"/>
        <v>0.99946593423361552</v>
      </c>
      <c r="X391" s="15">
        <f t="shared" si="93"/>
        <v>1.05</v>
      </c>
      <c r="Y391" s="15">
        <f t="shared" si="94"/>
        <v>0.95</v>
      </c>
      <c r="Z391" s="15">
        <f t="shared" ca="1" si="95"/>
        <v>1</v>
      </c>
      <c r="AC391" s="15">
        <f t="shared" ca="1" si="96"/>
        <v>2.852262428238461E-7</v>
      </c>
      <c r="AD391" s="15">
        <f t="shared" ca="1" si="97"/>
        <v>5.3406576638448389E-4</v>
      </c>
      <c r="AE391" s="15">
        <f t="shared" ca="1" si="98"/>
        <v>0.18638895246818488</v>
      </c>
    </row>
    <row r="392" spans="12:31" x14ac:dyDescent="0.3">
      <c r="L392" s="15">
        <v>390</v>
      </c>
      <c r="M392" s="15">
        <f t="shared" si="88"/>
        <v>1</v>
      </c>
      <c r="N392" s="15">
        <f t="shared" ca="1" si="89"/>
        <v>5.3406576638448389E-4</v>
      </c>
      <c r="O392" s="15">
        <f t="shared" ca="1" si="86"/>
        <v>0.25115501243611876</v>
      </c>
      <c r="P392" s="15">
        <f t="shared" ca="1" si="85"/>
        <v>0.25024795910582132</v>
      </c>
      <c r="Q392" s="15">
        <v>0</v>
      </c>
      <c r="R392" s="15">
        <f t="shared" ca="1" si="90"/>
        <v>0.25024795910582132</v>
      </c>
      <c r="S392" s="15">
        <f t="shared" ca="1" si="87"/>
        <v>1.0007519064198207</v>
      </c>
      <c r="T392" s="15">
        <v>0</v>
      </c>
      <c r="U392" s="15">
        <f t="shared" ca="1" si="91"/>
        <v>1.0007519064198207</v>
      </c>
      <c r="V392" s="15">
        <f t="shared" ca="1" si="92"/>
        <v>0.99946593423361552</v>
      </c>
      <c r="X392" s="15">
        <f t="shared" si="93"/>
        <v>1.05</v>
      </c>
      <c r="Y392" s="15">
        <f t="shared" si="94"/>
        <v>0.95</v>
      </c>
      <c r="Z392" s="15">
        <f t="shared" ca="1" si="95"/>
        <v>1</v>
      </c>
      <c r="AC392" s="15">
        <f t="shared" ca="1" si="96"/>
        <v>2.852262428238461E-7</v>
      </c>
      <c r="AD392" s="15">
        <f t="shared" ca="1" si="97"/>
        <v>5.3406576638448389E-4</v>
      </c>
      <c r="AE392" s="15">
        <f t="shared" ca="1" si="98"/>
        <v>0.18692301823456936</v>
      </c>
    </row>
    <row r="393" spans="12:31" x14ac:dyDescent="0.3">
      <c r="L393" s="15">
        <v>391</v>
      </c>
      <c r="M393" s="15">
        <f t="shared" si="88"/>
        <v>1</v>
      </c>
      <c r="N393" s="15">
        <f t="shared" ca="1" si="89"/>
        <v>5.3406576638448389E-4</v>
      </c>
      <c r="O393" s="15">
        <f t="shared" ca="1" si="86"/>
        <v>0.25115501243611876</v>
      </c>
      <c r="P393" s="15">
        <f t="shared" ca="1" si="85"/>
        <v>0.25024795910582132</v>
      </c>
      <c r="Q393" s="15">
        <v>0</v>
      </c>
      <c r="R393" s="15">
        <f t="shared" ca="1" si="90"/>
        <v>0.25024795910582132</v>
      </c>
      <c r="S393" s="15">
        <f t="shared" ca="1" si="87"/>
        <v>1.0007372543972575</v>
      </c>
      <c r="T393" s="15">
        <v>0</v>
      </c>
      <c r="U393" s="15">
        <f t="shared" ca="1" si="91"/>
        <v>1.0007372543972575</v>
      </c>
      <c r="V393" s="15">
        <f t="shared" ca="1" si="92"/>
        <v>0.99946593423361552</v>
      </c>
      <c r="X393" s="15">
        <f t="shared" si="93"/>
        <v>1.05</v>
      </c>
      <c r="Y393" s="15">
        <f t="shared" si="94"/>
        <v>0.95</v>
      </c>
      <c r="Z393" s="15">
        <f t="shared" ca="1" si="95"/>
        <v>1</v>
      </c>
      <c r="AC393" s="15">
        <f t="shared" ca="1" si="96"/>
        <v>2.852262428238461E-7</v>
      </c>
      <c r="AD393" s="15">
        <f t="shared" ca="1" si="97"/>
        <v>5.3406576638448389E-4</v>
      </c>
      <c r="AE393" s="15">
        <f t="shared" ca="1" si="98"/>
        <v>0.18745708400095384</v>
      </c>
    </row>
    <row r="394" spans="12:31" x14ac:dyDescent="0.3">
      <c r="L394" s="15">
        <v>392</v>
      </c>
      <c r="M394" s="15">
        <f t="shared" si="88"/>
        <v>1</v>
      </c>
      <c r="N394" s="15">
        <f t="shared" ca="1" si="89"/>
        <v>5.3406576638448389E-4</v>
      </c>
      <c r="O394" s="15">
        <f t="shared" ca="1" si="86"/>
        <v>0.25115501243611876</v>
      </c>
      <c r="P394" s="15">
        <f t="shared" ca="1" si="85"/>
        <v>0.25024795910582132</v>
      </c>
      <c r="Q394" s="15">
        <v>0</v>
      </c>
      <c r="R394" s="15">
        <f t="shared" ca="1" si="90"/>
        <v>0.25024795910582132</v>
      </c>
      <c r="S394" s="15">
        <f t="shared" ca="1" si="87"/>
        <v>1.0007255390291616</v>
      </c>
      <c r="T394" s="15">
        <v>0</v>
      </c>
      <c r="U394" s="15">
        <f t="shared" ca="1" si="91"/>
        <v>1.0007255390291616</v>
      </c>
      <c r="V394" s="15">
        <f t="shared" ca="1" si="92"/>
        <v>0.99946593423361552</v>
      </c>
      <c r="X394" s="15">
        <f t="shared" si="93"/>
        <v>1.05</v>
      </c>
      <c r="Y394" s="15">
        <f t="shared" si="94"/>
        <v>0.95</v>
      </c>
      <c r="Z394" s="15">
        <f t="shared" ca="1" si="95"/>
        <v>1</v>
      </c>
      <c r="AC394" s="15">
        <f t="shared" ca="1" si="96"/>
        <v>2.852262428238461E-7</v>
      </c>
      <c r="AD394" s="15">
        <f t="shared" ca="1" si="97"/>
        <v>5.3406576638448389E-4</v>
      </c>
      <c r="AE394" s="15">
        <f t="shared" ca="1" si="98"/>
        <v>0.18799114976733833</v>
      </c>
    </row>
    <row r="395" spans="12:31" x14ac:dyDescent="0.3">
      <c r="L395" s="15">
        <v>393</v>
      </c>
      <c r="M395" s="15">
        <f t="shared" si="88"/>
        <v>1</v>
      </c>
      <c r="N395" s="15">
        <f t="shared" ca="1" si="89"/>
        <v>5.3406576638448389E-4</v>
      </c>
      <c r="O395" s="15">
        <f t="shared" ca="1" si="86"/>
        <v>0.25116510941406828</v>
      </c>
      <c r="P395" s="15">
        <f t="shared" ca="1" si="85"/>
        <v>0.25024795910582132</v>
      </c>
      <c r="Q395" s="15">
        <v>0</v>
      </c>
      <c r="R395" s="15">
        <f t="shared" ca="1" si="90"/>
        <v>0.25024795910582132</v>
      </c>
      <c r="S395" s="15">
        <f t="shared" ca="1" si="87"/>
        <v>1.0007164370993198</v>
      </c>
      <c r="T395" s="15">
        <v>0</v>
      </c>
      <c r="U395" s="15">
        <f t="shared" ca="1" si="91"/>
        <v>1.0007164370993198</v>
      </c>
      <c r="V395" s="15">
        <f t="shared" ca="1" si="92"/>
        <v>0.99946593423361552</v>
      </c>
      <c r="X395" s="15">
        <f t="shared" si="93"/>
        <v>1.05</v>
      </c>
      <c r="Y395" s="15">
        <f t="shared" si="94"/>
        <v>0.95</v>
      </c>
      <c r="Z395" s="15">
        <f t="shared" ca="1" si="95"/>
        <v>1</v>
      </c>
      <c r="AC395" s="15">
        <f t="shared" ca="1" si="96"/>
        <v>2.852262428238461E-7</v>
      </c>
      <c r="AD395" s="15">
        <f t="shared" ca="1" si="97"/>
        <v>5.3406576638448389E-4</v>
      </c>
      <c r="AE395" s="15">
        <f t="shared" ca="1" si="98"/>
        <v>0.18852521553372281</v>
      </c>
    </row>
    <row r="396" spans="12:31" x14ac:dyDescent="0.3">
      <c r="L396" s="15">
        <v>394</v>
      </c>
      <c r="M396" s="15">
        <f t="shared" si="88"/>
        <v>1</v>
      </c>
      <c r="N396" s="15">
        <f t="shared" ca="1" si="89"/>
        <v>5.3406576638448389E-4</v>
      </c>
      <c r="O396" s="15">
        <f t="shared" ca="1" si="86"/>
        <v>0.25116510941406828</v>
      </c>
      <c r="P396" s="15">
        <f t="shared" ca="1" si="85"/>
        <v>0.25024795910582132</v>
      </c>
      <c r="Q396" s="15">
        <v>0</v>
      </c>
      <c r="R396" s="15">
        <f t="shared" ca="1" si="90"/>
        <v>0.25024795910582132</v>
      </c>
      <c r="S396" s="15">
        <f t="shared" ca="1" si="87"/>
        <v>1.0007096553655188</v>
      </c>
      <c r="T396" s="15">
        <v>0</v>
      </c>
      <c r="U396" s="15">
        <f t="shared" ca="1" si="91"/>
        <v>1.0007096553655188</v>
      </c>
      <c r="V396" s="15">
        <f t="shared" ca="1" si="92"/>
        <v>0.99946593423361552</v>
      </c>
      <c r="X396" s="15">
        <f t="shared" si="93"/>
        <v>1.05</v>
      </c>
      <c r="Y396" s="15">
        <f t="shared" si="94"/>
        <v>0.95</v>
      </c>
      <c r="Z396" s="15">
        <f t="shared" ca="1" si="95"/>
        <v>1</v>
      </c>
      <c r="AC396" s="15">
        <f t="shared" ca="1" si="96"/>
        <v>2.852262428238461E-7</v>
      </c>
      <c r="AD396" s="15">
        <f t="shared" ca="1" si="97"/>
        <v>5.3406576638448389E-4</v>
      </c>
      <c r="AE396" s="15">
        <f t="shared" ca="1" si="98"/>
        <v>0.1890592813001073</v>
      </c>
    </row>
    <row r="397" spans="12:31" x14ac:dyDescent="0.3">
      <c r="L397" s="15">
        <v>395</v>
      </c>
      <c r="M397" s="15">
        <f t="shared" si="88"/>
        <v>1</v>
      </c>
      <c r="N397" s="15">
        <f t="shared" ca="1" si="89"/>
        <v>5.3406576638448389E-4</v>
      </c>
      <c r="O397" s="15">
        <f t="shared" ca="1" si="86"/>
        <v>0.25116510941406828</v>
      </c>
      <c r="P397" s="15">
        <f t="shared" ref="P397:P460" ca="1" si="99">INT((2^$J$12-1)*O397/100)/(2^$J$12-1)*100</f>
        <v>0.25024795910582132</v>
      </c>
      <c r="Q397" s="15">
        <v>0</v>
      </c>
      <c r="R397" s="15">
        <f t="shared" ca="1" si="90"/>
        <v>0.25024795910582132</v>
      </c>
      <c r="S397" s="15">
        <f t="shared" ca="1" si="87"/>
        <v>1.0007049279950619</v>
      </c>
      <c r="T397" s="15">
        <v>0</v>
      </c>
      <c r="U397" s="15">
        <f t="shared" ca="1" si="91"/>
        <v>1.0007049279950619</v>
      </c>
      <c r="V397" s="15">
        <f t="shared" ca="1" si="92"/>
        <v>0.99946593423361552</v>
      </c>
      <c r="X397" s="15">
        <f t="shared" si="93"/>
        <v>1.05</v>
      </c>
      <c r="Y397" s="15">
        <f t="shared" si="94"/>
        <v>0.95</v>
      </c>
      <c r="Z397" s="15">
        <f t="shared" ca="1" si="95"/>
        <v>1</v>
      </c>
      <c r="AC397" s="15">
        <f t="shared" ca="1" si="96"/>
        <v>2.852262428238461E-7</v>
      </c>
      <c r="AD397" s="15">
        <f t="shared" ca="1" si="97"/>
        <v>5.3406576638448389E-4</v>
      </c>
      <c r="AE397" s="15">
        <f t="shared" ca="1" si="98"/>
        <v>0.18959334706649178</v>
      </c>
    </row>
    <row r="398" spans="12:31" x14ac:dyDescent="0.3">
      <c r="L398" s="15">
        <v>396</v>
      </c>
      <c r="M398" s="15">
        <f t="shared" si="88"/>
        <v>1</v>
      </c>
      <c r="N398" s="15">
        <f t="shared" ca="1" si="89"/>
        <v>5.3406576638448389E-4</v>
      </c>
      <c r="O398" s="15">
        <f t="shared" ca="1" si="86"/>
        <v>0.25117520639201779</v>
      </c>
      <c r="P398" s="15">
        <f t="shared" ca="1" si="99"/>
        <v>0.25024795910582132</v>
      </c>
      <c r="Q398" s="15">
        <v>0</v>
      </c>
      <c r="R398" s="15">
        <f t="shared" ca="1" si="90"/>
        <v>0.25024795910582132</v>
      </c>
      <c r="S398" s="15">
        <f t="shared" ca="1" si="87"/>
        <v>1.0007020142098784</v>
      </c>
      <c r="T398" s="15">
        <v>0</v>
      </c>
      <c r="U398" s="15">
        <f t="shared" ca="1" si="91"/>
        <v>1.0007020142098784</v>
      </c>
      <c r="V398" s="15">
        <f t="shared" ca="1" si="92"/>
        <v>0.99946593423361552</v>
      </c>
      <c r="X398" s="15">
        <f t="shared" si="93"/>
        <v>1.05</v>
      </c>
      <c r="Y398" s="15">
        <f t="shared" si="94"/>
        <v>0.95</v>
      </c>
      <c r="Z398" s="15">
        <f t="shared" ca="1" si="95"/>
        <v>1</v>
      </c>
      <c r="AC398" s="15">
        <f t="shared" ca="1" si="96"/>
        <v>2.852262428238461E-7</v>
      </c>
      <c r="AD398" s="15">
        <f t="shared" ca="1" si="97"/>
        <v>5.3406576638448389E-4</v>
      </c>
      <c r="AE398" s="15">
        <f t="shared" ca="1" si="98"/>
        <v>0.19012741283287626</v>
      </c>
    </row>
    <row r="399" spans="12:31" x14ac:dyDescent="0.3">
      <c r="L399" s="15">
        <v>397</v>
      </c>
      <c r="M399" s="15">
        <f t="shared" si="88"/>
        <v>1</v>
      </c>
      <c r="N399" s="15">
        <f t="shared" ca="1" si="89"/>
        <v>5.3406576638448389E-4</v>
      </c>
      <c r="O399" s="15">
        <f t="shared" ca="1" si="86"/>
        <v>0.25117520639201779</v>
      </c>
      <c r="P399" s="15">
        <f t="shared" ca="1" si="99"/>
        <v>0.25024795910582132</v>
      </c>
      <c r="Q399" s="15">
        <v>0</v>
      </c>
      <c r="R399" s="15">
        <f t="shared" ca="1" si="90"/>
        <v>0.25024795910582132</v>
      </c>
      <c r="S399" s="15">
        <f t="shared" ca="1" si="87"/>
        <v>1.000700696124583</v>
      </c>
      <c r="T399" s="15">
        <v>0</v>
      </c>
      <c r="U399" s="15">
        <f t="shared" ca="1" si="91"/>
        <v>1.000700696124583</v>
      </c>
      <c r="V399" s="15">
        <f t="shared" ca="1" si="92"/>
        <v>0.99946593423361552</v>
      </c>
      <c r="X399" s="15">
        <f t="shared" si="93"/>
        <v>1.05</v>
      </c>
      <c r="Y399" s="15">
        <f t="shared" si="94"/>
        <v>0.95</v>
      </c>
      <c r="Z399" s="15">
        <f t="shared" ca="1" si="95"/>
        <v>1</v>
      </c>
      <c r="AC399" s="15">
        <f t="shared" ca="1" si="96"/>
        <v>2.852262428238461E-7</v>
      </c>
      <c r="AD399" s="15">
        <f t="shared" ca="1" si="97"/>
        <v>5.3406576638448389E-4</v>
      </c>
      <c r="AE399" s="15">
        <f t="shared" ca="1" si="98"/>
        <v>0.19066147859926075</v>
      </c>
    </row>
    <row r="400" spans="12:31" x14ac:dyDescent="0.3">
      <c r="L400" s="15">
        <v>398</v>
      </c>
      <c r="M400" s="15">
        <f t="shared" si="88"/>
        <v>1</v>
      </c>
      <c r="N400" s="15">
        <f t="shared" ca="1" si="89"/>
        <v>5.3406576638448389E-4</v>
      </c>
      <c r="O400" s="15">
        <f t="shared" ca="1" si="86"/>
        <v>0.25117520639201779</v>
      </c>
      <c r="P400" s="15">
        <f t="shared" ca="1" si="99"/>
        <v>0.25024795910582132</v>
      </c>
      <c r="Q400" s="15">
        <v>0</v>
      </c>
      <c r="R400" s="15">
        <f t="shared" ca="1" si="90"/>
        <v>0.25024795910582132</v>
      </c>
      <c r="S400" s="15">
        <f t="shared" ca="1" si="87"/>
        <v>1.0007007767621368</v>
      </c>
      <c r="T400" s="15">
        <v>0</v>
      </c>
      <c r="U400" s="15">
        <f t="shared" ca="1" si="91"/>
        <v>1.0007007767621368</v>
      </c>
      <c r="V400" s="15">
        <f t="shared" ca="1" si="92"/>
        <v>0.99946593423361552</v>
      </c>
      <c r="X400" s="15">
        <f t="shared" si="93"/>
        <v>1.05</v>
      </c>
      <c r="Y400" s="15">
        <f t="shared" si="94"/>
        <v>0.95</v>
      </c>
      <c r="Z400" s="15">
        <f t="shared" ca="1" si="95"/>
        <v>1</v>
      </c>
      <c r="AC400" s="15">
        <f t="shared" ca="1" si="96"/>
        <v>2.852262428238461E-7</v>
      </c>
      <c r="AD400" s="15">
        <f t="shared" ca="1" si="97"/>
        <v>5.3406576638448389E-4</v>
      </c>
      <c r="AE400" s="15">
        <f t="shared" ca="1" si="98"/>
        <v>0.19119554436564523</v>
      </c>
    </row>
    <row r="401" spans="12:31" x14ac:dyDescent="0.3">
      <c r="L401" s="15">
        <v>399</v>
      </c>
      <c r="M401" s="15">
        <f t="shared" si="88"/>
        <v>1</v>
      </c>
      <c r="N401" s="15">
        <f t="shared" ca="1" si="89"/>
        <v>5.3406576638448389E-4</v>
      </c>
      <c r="O401" s="15">
        <f t="shared" ca="1" si="86"/>
        <v>0.25118530336996731</v>
      </c>
      <c r="P401" s="15">
        <f t="shared" ca="1" si="99"/>
        <v>0.25024795910582132</v>
      </c>
      <c r="Q401" s="15">
        <v>0</v>
      </c>
      <c r="R401" s="15">
        <f t="shared" ca="1" si="90"/>
        <v>0.25024795910582132</v>
      </c>
      <c r="S401" s="15">
        <f t="shared" ca="1" si="87"/>
        <v>1.0007020782329572</v>
      </c>
      <c r="T401" s="15">
        <v>0</v>
      </c>
      <c r="U401" s="15">
        <f t="shared" ca="1" si="91"/>
        <v>1.0007020782329572</v>
      </c>
      <c r="V401" s="15">
        <f t="shared" ca="1" si="92"/>
        <v>0.99946593423361552</v>
      </c>
      <c r="X401" s="15">
        <f t="shared" si="93"/>
        <v>1.05</v>
      </c>
      <c r="Y401" s="15">
        <f t="shared" si="94"/>
        <v>0.95</v>
      </c>
      <c r="Z401" s="15">
        <f t="shared" ca="1" si="95"/>
        <v>1</v>
      </c>
      <c r="AC401" s="15">
        <f t="shared" ca="1" si="96"/>
        <v>2.852262428238461E-7</v>
      </c>
      <c r="AD401" s="15">
        <f t="shared" ca="1" si="97"/>
        <v>5.3406576638448389E-4</v>
      </c>
      <c r="AE401" s="15">
        <f t="shared" ca="1" si="98"/>
        <v>0.19172961013202972</v>
      </c>
    </row>
    <row r="402" spans="12:31" x14ac:dyDescent="0.3">
      <c r="L402" s="15">
        <v>400</v>
      </c>
      <c r="M402" s="15">
        <f t="shared" si="88"/>
        <v>1</v>
      </c>
      <c r="N402" s="15">
        <f t="shared" ca="1" si="89"/>
        <v>5.3406576638448389E-4</v>
      </c>
      <c r="O402" s="15">
        <f t="shared" ca="1" si="86"/>
        <v>0.25118530336996731</v>
      </c>
      <c r="P402" s="15">
        <f t="shared" ca="1" si="99"/>
        <v>0.25024795910582132</v>
      </c>
      <c r="Q402" s="15">
        <v>0</v>
      </c>
      <c r="R402" s="15">
        <f t="shared" ca="1" si="90"/>
        <v>0.25024795910582132</v>
      </c>
      <c r="S402" s="15">
        <f t="shared" ca="1" si="87"/>
        <v>1.0007044400644343</v>
      </c>
      <c r="T402" s="15">
        <v>0</v>
      </c>
      <c r="U402" s="15">
        <f t="shared" ca="1" si="91"/>
        <v>1.0007044400644343</v>
      </c>
      <c r="V402" s="15">
        <f t="shared" ca="1" si="92"/>
        <v>0.99946593423361552</v>
      </c>
      <c r="X402" s="15">
        <f t="shared" si="93"/>
        <v>1.05</v>
      </c>
      <c r="Y402" s="15">
        <f t="shared" si="94"/>
        <v>0.95</v>
      </c>
      <c r="Z402" s="15">
        <f t="shared" ca="1" si="95"/>
        <v>1</v>
      </c>
      <c r="AC402" s="15">
        <f t="shared" ca="1" si="96"/>
        <v>2.852262428238461E-7</v>
      </c>
      <c r="AD402" s="15">
        <f t="shared" ca="1" si="97"/>
        <v>5.3406576638448389E-4</v>
      </c>
      <c r="AE402" s="15">
        <f t="shared" ca="1" si="98"/>
        <v>0.1922636758984142</v>
      </c>
    </row>
    <row r="403" spans="12:31" x14ac:dyDescent="0.3">
      <c r="L403" s="15">
        <v>401</v>
      </c>
      <c r="M403" s="15">
        <f t="shared" si="88"/>
        <v>1</v>
      </c>
      <c r="N403" s="15">
        <f t="shared" ca="1" si="89"/>
        <v>5.3406576638448389E-4</v>
      </c>
      <c r="O403" s="15">
        <f t="shared" ca="1" si="86"/>
        <v>0.25118530336996731</v>
      </c>
      <c r="P403" s="15">
        <f t="shared" ca="1" si="99"/>
        <v>0.25024795910582132</v>
      </c>
      <c r="Q403" s="15">
        <v>0</v>
      </c>
      <c r="R403" s="15">
        <f t="shared" ca="1" si="90"/>
        <v>0.25024795910582132</v>
      </c>
      <c r="S403" s="15">
        <f t="shared" ca="1" si="87"/>
        <v>1.0007077176688228</v>
      </c>
      <c r="T403" s="15">
        <v>0</v>
      </c>
      <c r="U403" s="15">
        <f t="shared" ca="1" si="91"/>
        <v>1.0007077176688228</v>
      </c>
      <c r="V403" s="15">
        <f t="shared" ca="1" si="92"/>
        <v>0.99946593423361552</v>
      </c>
      <c r="X403" s="15">
        <f t="shared" si="93"/>
        <v>1.05</v>
      </c>
      <c r="Y403" s="15">
        <f t="shared" si="94"/>
        <v>0.95</v>
      </c>
      <c r="Z403" s="15">
        <f t="shared" ca="1" si="95"/>
        <v>1</v>
      </c>
      <c r="AC403" s="15">
        <f t="shared" ca="1" si="96"/>
        <v>2.852262428238461E-7</v>
      </c>
      <c r="AD403" s="15">
        <f t="shared" ca="1" si="97"/>
        <v>5.3406576638448389E-4</v>
      </c>
      <c r="AE403" s="15">
        <f t="shared" ca="1" si="98"/>
        <v>0.19279774166479868</v>
      </c>
    </row>
    <row r="404" spans="12:31" x14ac:dyDescent="0.3">
      <c r="L404" s="15">
        <v>402</v>
      </c>
      <c r="M404" s="15">
        <f t="shared" si="88"/>
        <v>1</v>
      </c>
      <c r="N404" s="15">
        <f t="shared" ca="1" si="89"/>
        <v>5.3406576638448389E-4</v>
      </c>
      <c r="O404" s="15">
        <f t="shared" ca="1" si="86"/>
        <v>0.25119540034791682</v>
      </c>
      <c r="P404" s="15">
        <f t="shared" ca="1" si="99"/>
        <v>0.25024795910582132</v>
      </c>
      <c r="Q404" s="15">
        <v>0</v>
      </c>
      <c r="R404" s="15">
        <f t="shared" ca="1" si="90"/>
        <v>0.25024795910582132</v>
      </c>
      <c r="S404" s="15">
        <f t="shared" ca="1" si="87"/>
        <v>1.0007117809384289</v>
      </c>
      <c r="T404" s="15">
        <v>0</v>
      </c>
      <c r="U404" s="15">
        <f t="shared" ca="1" si="91"/>
        <v>1.0007117809384289</v>
      </c>
      <c r="V404" s="15">
        <f t="shared" ca="1" si="92"/>
        <v>0.99946593423361552</v>
      </c>
      <c r="X404" s="15">
        <f t="shared" si="93"/>
        <v>1.05</v>
      </c>
      <c r="Y404" s="15">
        <f t="shared" si="94"/>
        <v>0.95</v>
      </c>
      <c r="Z404" s="15">
        <f t="shared" ca="1" si="95"/>
        <v>1</v>
      </c>
      <c r="AC404" s="15">
        <f t="shared" ca="1" si="96"/>
        <v>2.852262428238461E-7</v>
      </c>
      <c r="AD404" s="15">
        <f t="shared" ca="1" si="97"/>
        <v>5.3406576638448389E-4</v>
      </c>
      <c r="AE404" s="15">
        <f t="shared" ca="1" si="98"/>
        <v>0.19333180743118317</v>
      </c>
    </row>
    <row r="405" spans="12:31" x14ac:dyDescent="0.3">
      <c r="L405" s="15">
        <v>403</v>
      </c>
      <c r="M405" s="15">
        <f t="shared" si="88"/>
        <v>1</v>
      </c>
      <c r="N405" s="15">
        <f t="shared" ca="1" si="89"/>
        <v>5.3406576638448389E-4</v>
      </c>
      <c r="O405" s="15">
        <f t="shared" ca="1" si="86"/>
        <v>0.25119540034791682</v>
      </c>
      <c r="P405" s="15">
        <f t="shared" ca="1" si="99"/>
        <v>0.25024795910582132</v>
      </c>
      <c r="Q405" s="15">
        <v>0</v>
      </c>
      <c r="R405" s="15">
        <f t="shared" ca="1" si="90"/>
        <v>0.25024795910582132</v>
      </c>
      <c r="S405" s="15">
        <f t="shared" ca="1" si="87"/>
        <v>1.0007165129578726</v>
      </c>
      <c r="T405" s="15">
        <v>0</v>
      </c>
      <c r="U405" s="15">
        <f t="shared" ca="1" si="91"/>
        <v>1.0007165129578726</v>
      </c>
      <c r="V405" s="15">
        <f t="shared" ca="1" si="92"/>
        <v>0.99946593423361552</v>
      </c>
      <c r="X405" s="15">
        <f t="shared" si="93"/>
        <v>1.05</v>
      </c>
      <c r="Y405" s="15">
        <f t="shared" si="94"/>
        <v>0.95</v>
      </c>
      <c r="Z405" s="15">
        <f t="shared" ca="1" si="95"/>
        <v>1</v>
      </c>
      <c r="AC405" s="15">
        <f t="shared" ca="1" si="96"/>
        <v>2.852262428238461E-7</v>
      </c>
      <c r="AD405" s="15">
        <f t="shared" ca="1" si="97"/>
        <v>5.3406576638448389E-4</v>
      </c>
      <c r="AE405" s="15">
        <f t="shared" ca="1" si="98"/>
        <v>0.19386587319756765</v>
      </c>
    </row>
    <row r="406" spans="12:31" x14ac:dyDescent="0.3">
      <c r="L406" s="15">
        <v>404</v>
      </c>
      <c r="M406" s="15">
        <f t="shared" si="88"/>
        <v>1</v>
      </c>
      <c r="N406" s="15">
        <f t="shared" ca="1" si="89"/>
        <v>5.3406576638448389E-4</v>
      </c>
      <c r="O406" s="15">
        <f t="shared" ca="1" si="86"/>
        <v>0.25119540034791682</v>
      </c>
      <c r="P406" s="15">
        <f t="shared" ca="1" si="99"/>
        <v>0.25024795910582132</v>
      </c>
      <c r="Q406" s="15">
        <v>0</v>
      </c>
      <c r="R406" s="15">
        <f t="shared" ca="1" si="90"/>
        <v>0.25024795910582132</v>
      </c>
      <c r="S406" s="15">
        <f t="shared" ca="1" si="87"/>
        <v>1.0007218088240124</v>
      </c>
      <c r="T406" s="15">
        <v>0</v>
      </c>
      <c r="U406" s="15">
        <f t="shared" ca="1" si="91"/>
        <v>1.0007218088240124</v>
      </c>
      <c r="V406" s="15">
        <f t="shared" ca="1" si="92"/>
        <v>0.99946593423361552</v>
      </c>
      <c r="X406" s="15">
        <f t="shared" si="93"/>
        <v>1.05</v>
      </c>
      <c r="Y406" s="15">
        <f t="shared" si="94"/>
        <v>0.95</v>
      </c>
      <c r="Z406" s="15">
        <f t="shared" ca="1" si="95"/>
        <v>1</v>
      </c>
      <c r="AC406" s="15">
        <f t="shared" ca="1" si="96"/>
        <v>2.852262428238461E-7</v>
      </c>
      <c r="AD406" s="15">
        <f t="shared" ca="1" si="97"/>
        <v>5.3406576638448389E-4</v>
      </c>
      <c r="AE406" s="15">
        <f t="shared" ca="1" si="98"/>
        <v>0.19439993896395213</v>
      </c>
    </row>
    <row r="407" spans="12:31" x14ac:dyDescent="0.3">
      <c r="L407" s="15">
        <v>405</v>
      </c>
      <c r="M407" s="15">
        <f t="shared" si="88"/>
        <v>1</v>
      </c>
      <c r="N407" s="15">
        <f t="shared" ca="1" si="89"/>
        <v>5.3406576638448389E-4</v>
      </c>
      <c r="O407" s="15">
        <f t="shared" ca="1" si="86"/>
        <v>0.25120549732586633</v>
      </c>
      <c r="P407" s="15">
        <f t="shared" ca="1" si="99"/>
        <v>0.25024795910582132</v>
      </c>
      <c r="Q407" s="15">
        <v>0</v>
      </c>
      <c r="R407" s="15">
        <f t="shared" ca="1" si="90"/>
        <v>0.25024795910582132</v>
      </c>
      <c r="S407" s="15">
        <f t="shared" ca="1" si="87"/>
        <v>1.0007407744989649</v>
      </c>
      <c r="T407" s="15">
        <v>0</v>
      </c>
      <c r="U407" s="15">
        <f t="shared" ca="1" si="91"/>
        <v>1.0007407744989649</v>
      </c>
      <c r="V407" s="15">
        <f t="shared" ca="1" si="92"/>
        <v>0.99946593423361552</v>
      </c>
      <c r="X407" s="15">
        <f t="shared" si="93"/>
        <v>1.05</v>
      </c>
      <c r="Y407" s="15">
        <f t="shared" si="94"/>
        <v>0.95</v>
      </c>
      <c r="Z407" s="15">
        <f t="shared" ca="1" si="95"/>
        <v>1</v>
      </c>
      <c r="AC407" s="15">
        <f t="shared" ca="1" si="96"/>
        <v>2.852262428238461E-7</v>
      </c>
      <c r="AD407" s="15">
        <f t="shared" ca="1" si="97"/>
        <v>5.3406576638448389E-4</v>
      </c>
      <c r="AE407" s="15">
        <f t="shared" ca="1" si="98"/>
        <v>0.19493400473033662</v>
      </c>
    </row>
    <row r="408" spans="12:31" x14ac:dyDescent="0.3">
      <c r="L408" s="15">
        <v>406</v>
      </c>
      <c r="M408" s="15">
        <f t="shared" si="88"/>
        <v>1</v>
      </c>
      <c r="N408" s="15">
        <f t="shared" ca="1" si="89"/>
        <v>5.3406576638448389E-4</v>
      </c>
      <c r="O408" s="15">
        <f t="shared" ca="1" si="86"/>
        <v>0.25120549732586633</v>
      </c>
      <c r="P408" s="15">
        <f t="shared" ca="1" si="99"/>
        <v>0.25024795910582132</v>
      </c>
      <c r="Q408" s="15">
        <v>0</v>
      </c>
      <c r="R408" s="15">
        <f t="shared" ca="1" si="90"/>
        <v>0.25024795910582132</v>
      </c>
      <c r="S408" s="15">
        <f t="shared" ca="1" si="87"/>
        <v>1.0007842105276519</v>
      </c>
      <c r="T408" s="15">
        <v>0</v>
      </c>
      <c r="U408" s="15">
        <f t="shared" ca="1" si="91"/>
        <v>1.0007842105276519</v>
      </c>
      <c r="V408" s="15">
        <f t="shared" ca="1" si="92"/>
        <v>0.99946593423361552</v>
      </c>
      <c r="X408" s="15">
        <f t="shared" si="93"/>
        <v>1.05</v>
      </c>
      <c r="Y408" s="15">
        <f t="shared" si="94"/>
        <v>0.95</v>
      </c>
      <c r="Z408" s="15">
        <f t="shared" ca="1" si="95"/>
        <v>1</v>
      </c>
      <c r="AC408" s="15">
        <f t="shared" ca="1" si="96"/>
        <v>2.852262428238461E-7</v>
      </c>
      <c r="AD408" s="15">
        <f t="shared" ca="1" si="97"/>
        <v>5.3406576638448389E-4</v>
      </c>
      <c r="AE408" s="15">
        <f t="shared" ca="1" si="98"/>
        <v>0.1954680704967211</v>
      </c>
    </row>
    <row r="409" spans="12:31" x14ac:dyDescent="0.3">
      <c r="L409" s="15">
        <v>407</v>
      </c>
      <c r="M409" s="15">
        <f t="shared" si="88"/>
        <v>1</v>
      </c>
      <c r="N409" s="15">
        <f t="shared" ca="1" si="89"/>
        <v>5.3406576638448389E-4</v>
      </c>
      <c r="O409" s="15">
        <f t="shared" ca="1" si="86"/>
        <v>0.25120549732586633</v>
      </c>
      <c r="P409" s="15">
        <f t="shared" ca="1" si="99"/>
        <v>0.25024795910582132</v>
      </c>
      <c r="Q409" s="15">
        <v>0</v>
      </c>
      <c r="R409" s="15">
        <f t="shared" ca="1" si="90"/>
        <v>0.25024795910582132</v>
      </c>
      <c r="S409" s="15">
        <f t="shared" ca="1" si="87"/>
        <v>1.0008488270196758</v>
      </c>
      <c r="T409" s="15">
        <v>0</v>
      </c>
      <c r="U409" s="15">
        <f t="shared" ca="1" si="91"/>
        <v>1.0008488270196758</v>
      </c>
      <c r="V409" s="15">
        <f t="shared" ca="1" si="92"/>
        <v>0.99946593423361552</v>
      </c>
      <c r="X409" s="15">
        <f t="shared" si="93"/>
        <v>1.05</v>
      </c>
      <c r="Y409" s="15">
        <f t="shared" si="94"/>
        <v>0.95</v>
      </c>
      <c r="Z409" s="15">
        <f t="shared" ca="1" si="95"/>
        <v>1</v>
      </c>
      <c r="AC409" s="15">
        <f t="shared" ca="1" si="96"/>
        <v>2.852262428238461E-7</v>
      </c>
      <c r="AD409" s="15">
        <f t="shared" ca="1" si="97"/>
        <v>5.3406576638448389E-4</v>
      </c>
      <c r="AE409" s="15">
        <f t="shared" ca="1" si="98"/>
        <v>0.19600213626310559</v>
      </c>
    </row>
    <row r="410" spans="12:31" x14ac:dyDescent="0.3">
      <c r="L410" s="15">
        <v>408</v>
      </c>
      <c r="M410" s="15">
        <f t="shared" si="88"/>
        <v>1</v>
      </c>
      <c r="N410" s="15">
        <f t="shared" ca="1" si="89"/>
        <v>5.3406576638448389E-4</v>
      </c>
      <c r="O410" s="15">
        <f t="shared" ca="1" si="86"/>
        <v>0.25121559430381585</v>
      </c>
      <c r="P410" s="15">
        <f t="shared" ca="1" si="99"/>
        <v>0.25024795910582132</v>
      </c>
      <c r="Q410" s="15">
        <v>0</v>
      </c>
      <c r="R410" s="15">
        <f t="shared" ca="1" si="90"/>
        <v>0.25024795910582132</v>
      </c>
      <c r="S410" s="15">
        <f t="shared" ca="1" si="87"/>
        <v>1.0009184621714917</v>
      </c>
      <c r="T410" s="15">
        <v>0</v>
      </c>
      <c r="U410" s="15">
        <f t="shared" ca="1" si="91"/>
        <v>1.0009184621714917</v>
      </c>
      <c r="V410" s="15">
        <f t="shared" ca="1" si="92"/>
        <v>0.99946593423361552</v>
      </c>
      <c r="X410" s="15">
        <f t="shared" si="93"/>
        <v>1.05</v>
      </c>
      <c r="Y410" s="15">
        <f t="shared" si="94"/>
        <v>0.95</v>
      </c>
      <c r="Z410" s="15">
        <f t="shared" ca="1" si="95"/>
        <v>1</v>
      </c>
      <c r="AC410" s="15">
        <f t="shared" ca="1" si="96"/>
        <v>2.852262428238461E-7</v>
      </c>
      <c r="AD410" s="15">
        <f t="shared" ca="1" si="97"/>
        <v>5.3406576638448389E-4</v>
      </c>
      <c r="AE410" s="15">
        <f t="shared" ca="1" si="98"/>
        <v>0.19653620202949007</v>
      </c>
    </row>
    <row r="411" spans="12:31" x14ac:dyDescent="0.3">
      <c r="L411" s="15">
        <v>409</v>
      </c>
      <c r="M411" s="15">
        <f t="shared" si="88"/>
        <v>1</v>
      </c>
      <c r="N411" s="15">
        <f t="shared" ca="1" si="89"/>
        <v>5.3406576638448389E-4</v>
      </c>
      <c r="O411" s="15">
        <f t="shared" ca="1" si="86"/>
        <v>0.25121559430381585</v>
      </c>
      <c r="P411" s="15">
        <f t="shared" ca="1" si="99"/>
        <v>0.25024795910582132</v>
      </c>
      <c r="Q411" s="15">
        <v>0</v>
      </c>
      <c r="R411" s="15">
        <f t="shared" ca="1" si="90"/>
        <v>0.25024795910582132</v>
      </c>
      <c r="S411" s="15">
        <f t="shared" ca="1" si="87"/>
        <v>1.0009795684485974</v>
      </c>
      <c r="T411" s="15">
        <v>0</v>
      </c>
      <c r="U411" s="15">
        <f t="shared" ca="1" si="91"/>
        <v>1.0009795684485974</v>
      </c>
      <c r="V411" s="15">
        <f t="shared" ca="1" si="92"/>
        <v>0.99946593423361552</v>
      </c>
      <c r="X411" s="15">
        <f t="shared" si="93"/>
        <v>1.05</v>
      </c>
      <c r="Y411" s="15">
        <f t="shared" si="94"/>
        <v>0.95</v>
      </c>
      <c r="Z411" s="15">
        <f t="shared" ca="1" si="95"/>
        <v>1</v>
      </c>
      <c r="AC411" s="15">
        <f t="shared" ca="1" si="96"/>
        <v>2.852262428238461E-7</v>
      </c>
      <c r="AD411" s="15">
        <f t="shared" ca="1" si="97"/>
        <v>5.3406576638448389E-4</v>
      </c>
      <c r="AE411" s="15">
        <f t="shared" ca="1" si="98"/>
        <v>0.19707026779587455</v>
      </c>
    </row>
    <row r="412" spans="12:31" x14ac:dyDescent="0.3">
      <c r="L412" s="15">
        <v>410</v>
      </c>
      <c r="M412" s="15">
        <f t="shared" si="88"/>
        <v>1</v>
      </c>
      <c r="N412" s="15">
        <f t="shared" ca="1" si="89"/>
        <v>-9.9183642328526389E-4</v>
      </c>
      <c r="O412" s="15">
        <f t="shared" ca="1" si="86"/>
        <v>0.25121559430381585</v>
      </c>
      <c r="P412" s="15">
        <f t="shared" ca="1" si="99"/>
        <v>0.25024795910582132</v>
      </c>
      <c r="Q412" s="15">
        <v>0</v>
      </c>
      <c r="R412" s="15">
        <f t="shared" ca="1" si="90"/>
        <v>0.25024795910582132</v>
      </c>
      <c r="S412" s="15">
        <f t="shared" ca="1" si="87"/>
        <v>1.0010329700178844</v>
      </c>
      <c r="T412" s="15">
        <v>0</v>
      </c>
      <c r="U412" s="15">
        <f t="shared" ca="1" si="91"/>
        <v>1.0010329700178844</v>
      </c>
      <c r="V412" s="15">
        <f t="shared" ca="1" si="92"/>
        <v>1.0009918364232853</v>
      </c>
      <c r="X412" s="15">
        <f t="shared" si="93"/>
        <v>1.05</v>
      </c>
      <c r="Y412" s="15">
        <f t="shared" si="94"/>
        <v>0.95</v>
      </c>
      <c r="Z412" s="15">
        <f t="shared" ca="1" si="95"/>
        <v>1</v>
      </c>
      <c r="AC412" s="15">
        <f t="shared" ca="1" si="96"/>
        <v>9.8373949055530516E-7</v>
      </c>
      <c r="AD412" s="15">
        <f t="shared" ca="1" si="97"/>
        <v>9.9183642328526389E-4</v>
      </c>
      <c r="AE412" s="15">
        <f t="shared" ca="1" si="98"/>
        <v>0.36697947661554764</v>
      </c>
    </row>
    <row r="413" spans="12:31" x14ac:dyDescent="0.3">
      <c r="L413" s="15">
        <v>411</v>
      </c>
      <c r="M413" s="15">
        <f t="shared" si="88"/>
        <v>1</v>
      </c>
      <c r="N413" s="15">
        <f t="shared" ca="1" si="89"/>
        <v>-9.9183642328526389E-4</v>
      </c>
      <c r="O413" s="15">
        <f t="shared" ca="1" si="86"/>
        <v>0.24956928401084302</v>
      </c>
      <c r="P413" s="15">
        <f t="shared" ca="1" si="99"/>
        <v>0.24872205691615165</v>
      </c>
      <c r="Q413" s="15">
        <v>0</v>
      </c>
      <c r="R413" s="15">
        <f t="shared" ca="1" si="90"/>
        <v>0.24872205691615165</v>
      </c>
      <c r="S413" s="15">
        <f t="shared" ca="1" si="87"/>
        <v>1.001079419017574</v>
      </c>
      <c r="T413" s="15">
        <v>0</v>
      </c>
      <c r="U413" s="15">
        <f t="shared" ca="1" si="91"/>
        <v>1.001079419017574</v>
      </c>
      <c r="V413" s="15">
        <f t="shared" ca="1" si="92"/>
        <v>1.0009918364232853</v>
      </c>
      <c r="X413" s="15">
        <f t="shared" si="93"/>
        <v>1.05</v>
      </c>
      <c r="Y413" s="15">
        <f t="shared" si="94"/>
        <v>0.95</v>
      </c>
      <c r="Z413" s="15">
        <f t="shared" ca="1" si="95"/>
        <v>1</v>
      </c>
      <c r="AC413" s="15">
        <f t="shared" ca="1" si="96"/>
        <v>9.8373949055530516E-7</v>
      </c>
      <c r="AD413" s="15">
        <f t="shared" ca="1" si="97"/>
        <v>9.9183642328526389E-4</v>
      </c>
      <c r="AE413" s="15">
        <f t="shared" ca="1" si="98"/>
        <v>0.3679713130388329</v>
      </c>
    </row>
    <row r="414" spans="12:31" x14ac:dyDescent="0.3">
      <c r="L414" s="15">
        <v>412</v>
      </c>
      <c r="M414" s="15">
        <f t="shared" si="88"/>
        <v>1</v>
      </c>
      <c r="N414" s="15">
        <f t="shared" ca="1" si="89"/>
        <v>-9.9183642328526389E-4</v>
      </c>
      <c r="O414" s="15">
        <f t="shared" ca="1" si="86"/>
        <v>0.24956928401084302</v>
      </c>
      <c r="P414" s="15">
        <f t="shared" ca="1" si="99"/>
        <v>0.24872205691615165</v>
      </c>
      <c r="Q414" s="15">
        <v>0</v>
      </c>
      <c r="R414" s="15">
        <f t="shared" ca="1" si="90"/>
        <v>0.24872205691615165</v>
      </c>
      <c r="S414" s="15">
        <f t="shared" ca="1" si="87"/>
        <v>1.0011196015190085</v>
      </c>
      <c r="T414" s="15">
        <v>0</v>
      </c>
      <c r="U414" s="15">
        <f t="shared" ca="1" si="91"/>
        <v>1.0011196015190085</v>
      </c>
      <c r="V414" s="15">
        <f t="shared" ca="1" si="92"/>
        <v>1.0009918364232853</v>
      </c>
      <c r="X414" s="15">
        <f t="shared" si="93"/>
        <v>1.05</v>
      </c>
      <c r="Y414" s="15">
        <f t="shared" si="94"/>
        <v>0.95</v>
      </c>
      <c r="Z414" s="15">
        <f t="shared" ca="1" si="95"/>
        <v>1</v>
      </c>
      <c r="AC414" s="15">
        <f t="shared" ca="1" si="96"/>
        <v>9.8373949055530516E-7</v>
      </c>
      <c r="AD414" s="15">
        <f t="shared" ca="1" si="97"/>
        <v>9.9183642328526389E-4</v>
      </c>
      <c r="AE414" s="15">
        <f t="shared" ca="1" si="98"/>
        <v>0.36896314946211817</v>
      </c>
    </row>
    <row r="415" spans="12:31" x14ac:dyDescent="0.3">
      <c r="L415" s="15">
        <v>413</v>
      </c>
      <c r="M415" s="15">
        <f t="shared" si="88"/>
        <v>1</v>
      </c>
      <c r="N415" s="15">
        <f t="shared" ca="1" si="89"/>
        <v>-9.9183642328526389E-4</v>
      </c>
      <c r="O415" s="15">
        <f t="shared" ca="1" si="86"/>
        <v>0.24956928401084302</v>
      </c>
      <c r="P415" s="15">
        <f t="shared" ca="1" si="99"/>
        <v>0.24872205691615165</v>
      </c>
      <c r="Q415" s="15">
        <v>0</v>
      </c>
      <c r="R415" s="15">
        <f t="shared" ca="1" si="90"/>
        <v>0.24872205691615165</v>
      </c>
      <c r="S415" s="15">
        <f t="shared" ca="1" si="87"/>
        <v>1.0011541430111124</v>
      </c>
      <c r="T415" s="15">
        <v>0</v>
      </c>
      <c r="U415" s="15">
        <f t="shared" ca="1" si="91"/>
        <v>1.0011541430111124</v>
      </c>
      <c r="V415" s="15">
        <f t="shared" ca="1" si="92"/>
        <v>1.0009918364232853</v>
      </c>
      <c r="X415" s="15">
        <f t="shared" si="93"/>
        <v>1.05</v>
      </c>
      <c r="Y415" s="15">
        <f t="shared" si="94"/>
        <v>0.95</v>
      </c>
      <c r="Z415" s="15">
        <f t="shared" ca="1" si="95"/>
        <v>1</v>
      </c>
      <c r="AC415" s="15">
        <f t="shared" ca="1" si="96"/>
        <v>9.8373949055530516E-7</v>
      </c>
      <c r="AD415" s="15">
        <f t="shared" ca="1" si="97"/>
        <v>9.9183642328526389E-4</v>
      </c>
      <c r="AE415" s="15">
        <f t="shared" ca="1" si="98"/>
        <v>0.36995498588540343</v>
      </c>
    </row>
    <row r="416" spans="12:31" x14ac:dyDescent="0.3">
      <c r="L416" s="15">
        <v>414</v>
      </c>
      <c r="M416" s="15">
        <f t="shared" si="88"/>
        <v>1</v>
      </c>
      <c r="N416" s="15">
        <f t="shared" ca="1" si="89"/>
        <v>-9.9183642328526389E-4</v>
      </c>
      <c r="O416" s="15">
        <f t="shared" ca="1" si="86"/>
        <v>0.25084456402076366</v>
      </c>
      <c r="P416" s="15">
        <f t="shared" ca="1" si="99"/>
        <v>0.25024795910582132</v>
      </c>
      <c r="Q416" s="15">
        <v>0</v>
      </c>
      <c r="R416" s="15">
        <f t="shared" ca="1" si="90"/>
        <v>0.25024795910582132</v>
      </c>
      <c r="S416" s="15">
        <f t="shared" ca="1" si="87"/>
        <v>1.0011836134449181</v>
      </c>
      <c r="T416" s="15">
        <v>0</v>
      </c>
      <c r="U416" s="15">
        <f t="shared" ca="1" si="91"/>
        <v>1.0011836134449181</v>
      </c>
      <c r="V416" s="15">
        <f t="shared" ca="1" si="92"/>
        <v>1.0009918364232853</v>
      </c>
      <c r="X416" s="15">
        <f t="shared" si="93"/>
        <v>1.05</v>
      </c>
      <c r="Y416" s="15">
        <f t="shared" si="94"/>
        <v>0.95</v>
      </c>
      <c r="Z416" s="15">
        <f t="shared" ca="1" si="95"/>
        <v>1</v>
      </c>
      <c r="AC416" s="15">
        <f t="shared" ca="1" si="96"/>
        <v>9.8373949055530516E-7</v>
      </c>
      <c r="AD416" s="15">
        <f t="shared" ca="1" si="97"/>
        <v>9.9183642328526389E-4</v>
      </c>
      <c r="AE416" s="15">
        <f t="shared" ca="1" si="98"/>
        <v>0.3709468223086887</v>
      </c>
    </row>
    <row r="417" spans="12:31" x14ac:dyDescent="0.3">
      <c r="L417" s="15">
        <v>415</v>
      </c>
      <c r="M417" s="15">
        <f t="shared" si="88"/>
        <v>1</v>
      </c>
      <c r="N417" s="15">
        <f t="shared" ca="1" si="89"/>
        <v>-9.9183642328526389E-4</v>
      </c>
      <c r="O417" s="15">
        <f t="shared" ca="1" si="86"/>
        <v>0.25084456402076366</v>
      </c>
      <c r="P417" s="15">
        <f t="shared" ca="1" si="99"/>
        <v>0.25024795910582132</v>
      </c>
      <c r="Q417" s="15">
        <v>0</v>
      </c>
      <c r="R417" s="15">
        <f t="shared" ca="1" si="90"/>
        <v>0.25024795910582132</v>
      </c>
      <c r="S417" s="15">
        <f t="shared" ca="1" si="87"/>
        <v>1.0012085318726618</v>
      </c>
      <c r="T417" s="15">
        <v>0</v>
      </c>
      <c r="U417" s="15">
        <f t="shared" ca="1" si="91"/>
        <v>1.0012085318726618</v>
      </c>
      <c r="V417" s="15">
        <f t="shared" ca="1" si="92"/>
        <v>1.0009918364232853</v>
      </c>
      <c r="X417" s="15">
        <f t="shared" si="93"/>
        <v>1.05</v>
      </c>
      <c r="Y417" s="15">
        <f t="shared" si="94"/>
        <v>0.95</v>
      </c>
      <c r="Z417" s="15">
        <f t="shared" ca="1" si="95"/>
        <v>1</v>
      </c>
      <c r="AC417" s="15">
        <f t="shared" ca="1" si="96"/>
        <v>9.8373949055530516E-7</v>
      </c>
      <c r="AD417" s="15">
        <f t="shared" ca="1" si="97"/>
        <v>9.9183642328526389E-4</v>
      </c>
      <c r="AE417" s="15">
        <f t="shared" ca="1" si="98"/>
        <v>0.37193865873197396</v>
      </c>
    </row>
    <row r="418" spans="12:31" x14ac:dyDescent="0.3">
      <c r="L418" s="15">
        <v>416</v>
      </c>
      <c r="M418" s="15">
        <f t="shared" si="88"/>
        <v>1</v>
      </c>
      <c r="N418" s="15">
        <f t="shared" ca="1" si="89"/>
        <v>-9.9183642328526389E-4</v>
      </c>
      <c r="O418" s="15">
        <f t="shared" ca="1" si="86"/>
        <v>0.25084456402076366</v>
      </c>
      <c r="P418" s="15">
        <f t="shared" ca="1" si="99"/>
        <v>0.25024795910582132</v>
      </c>
      <c r="Q418" s="15">
        <v>0</v>
      </c>
      <c r="R418" s="15">
        <f t="shared" ca="1" si="90"/>
        <v>0.25024795910582132</v>
      </c>
      <c r="S418" s="15">
        <f t="shared" ca="1" si="87"/>
        <v>1.0012293707132922</v>
      </c>
      <c r="T418" s="15">
        <v>0</v>
      </c>
      <c r="U418" s="15">
        <f t="shared" ca="1" si="91"/>
        <v>1.0012293707132922</v>
      </c>
      <c r="V418" s="15">
        <f t="shared" ca="1" si="92"/>
        <v>1.0009918364232853</v>
      </c>
      <c r="X418" s="15">
        <f t="shared" si="93"/>
        <v>1.05</v>
      </c>
      <c r="Y418" s="15">
        <f t="shared" si="94"/>
        <v>0.95</v>
      </c>
      <c r="Z418" s="15">
        <f t="shared" ca="1" si="95"/>
        <v>1</v>
      </c>
      <c r="AC418" s="15">
        <f t="shared" ca="1" si="96"/>
        <v>9.8373949055530516E-7</v>
      </c>
      <c r="AD418" s="15">
        <f t="shared" ca="1" si="97"/>
        <v>9.9183642328526389E-4</v>
      </c>
      <c r="AE418" s="15">
        <f t="shared" ca="1" si="98"/>
        <v>0.37293049515525922</v>
      </c>
    </row>
    <row r="419" spans="12:31" x14ac:dyDescent="0.3">
      <c r="L419" s="15">
        <v>417</v>
      </c>
      <c r="M419" s="15">
        <f t="shared" si="88"/>
        <v>1</v>
      </c>
      <c r="N419" s="15">
        <f t="shared" ca="1" si="89"/>
        <v>-9.9183642328526389E-4</v>
      </c>
      <c r="O419" s="15">
        <f t="shared" ca="1" si="86"/>
        <v>0.25082581249028596</v>
      </c>
      <c r="P419" s="15">
        <f t="shared" ca="1" si="99"/>
        <v>0.25024795910582132</v>
      </c>
      <c r="Q419" s="15">
        <v>0</v>
      </c>
      <c r="R419" s="15">
        <f t="shared" ca="1" si="90"/>
        <v>0.25024795910582132</v>
      </c>
      <c r="S419" s="15">
        <f t="shared" ca="1" si="87"/>
        <v>1.0012465596737739</v>
      </c>
      <c r="T419" s="15">
        <v>0</v>
      </c>
      <c r="U419" s="15">
        <f t="shared" ca="1" si="91"/>
        <v>1.0012465596737739</v>
      </c>
      <c r="V419" s="15">
        <f t="shared" ca="1" si="92"/>
        <v>1.0009918364232853</v>
      </c>
      <c r="X419" s="15">
        <f t="shared" si="93"/>
        <v>1.05</v>
      </c>
      <c r="Y419" s="15">
        <f t="shared" si="94"/>
        <v>0.95</v>
      </c>
      <c r="Z419" s="15">
        <f t="shared" ca="1" si="95"/>
        <v>1</v>
      </c>
      <c r="AC419" s="15">
        <f t="shared" ca="1" si="96"/>
        <v>9.8373949055530516E-7</v>
      </c>
      <c r="AD419" s="15">
        <f t="shared" ca="1" si="97"/>
        <v>9.9183642328526389E-4</v>
      </c>
      <c r="AE419" s="15">
        <f t="shared" ca="1" si="98"/>
        <v>0.37392233157854449</v>
      </c>
    </row>
    <row r="420" spans="12:31" x14ac:dyDescent="0.3">
      <c r="L420" s="15">
        <v>418</v>
      </c>
      <c r="M420" s="15">
        <f t="shared" si="88"/>
        <v>1</v>
      </c>
      <c r="N420" s="15">
        <f t="shared" ca="1" si="89"/>
        <v>-9.9183642328526389E-4</v>
      </c>
      <c r="O420" s="15">
        <f t="shared" ca="1" si="86"/>
        <v>0.25082581249028596</v>
      </c>
      <c r="P420" s="15">
        <f t="shared" ca="1" si="99"/>
        <v>0.25024795910582132</v>
      </c>
      <c r="Q420" s="15">
        <v>0</v>
      </c>
      <c r="R420" s="15">
        <f t="shared" ca="1" si="90"/>
        <v>0.25024795910582132</v>
      </c>
      <c r="S420" s="15">
        <f t="shared" ca="1" si="87"/>
        <v>1.0012604893532886</v>
      </c>
      <c r="T420" s="15">
        <v>0</v>
      </c>
      <c r="U420" s="15">
        <f t="shared" ca="1" si="91"/>
        <v>1.0012604893532886</v>
      </c>
      <c r="V420" s="15">
        <f t="shared" ca="1" si="92"/>
        <v>1.0009918364232853</v>
      </c>
      <c r="X420" s="15">
        <f t="shared" si="93"/>
        <v>1.05</v>
      </c>
      <c r="Y420" s="15">
        <f t="shared" si="94"/>
        <v>0.95</v>
      </c>
      <c r="Z420" s="15">
        <f t="shared" ca="1" si="95"/>
        <v>1</v>
      </c>
      <c r="AC420" s="15">
        <f t="shared" ca="1" si="96"/>
        <v>9.8373949055530516E-7</v>
      </c>
      <c r="AD420" s="15">
        <f t="shared" ca="1" si="97"/>
        <v>9.9183642328526389E-4</v>
      </c>
      <c r="AE420" s="15">
        <f t="shared" ca="1" si="98"/>
        <v>0.37491416800182975</v>
      </c>
    </row>
    <row r="421" spans="12:31" x14ac:dyDescent="0.3">
      <c r="L421" s="15">
        <v>419</v>
      </c>
      <c r="M421" s="15">
        <f t="shared" si="88"/>
        <v>1</v>
      </c>
      <c r="N421" s="15">
        <f t="shared" ca="1" si="89"/>
        <v>-9.9183642328526389E-4</v>
      </c>
      <c r="O421" s="15">
        <f t="shared" ca="1" si="86"/>
        <v>0.25082581249028596</v>
      </c>
      <c r="P421" s="15">
        <f t="shared" ca="1" si="99"/>
        <v>0.25024795910582132</v>
      </c>
      <c r="Q421" s="15">
        <v>0</v>
      </c>
      <c r="R421" s="15">
        <f t="shared" ca="1" si="90"/>
        <v>0.25024795910582132</v>
      </c>
      <c r="S421" s="15">
        <f t="shared" ca="1" si="87"/>
        <v>1.0012715145553455</v>
      </c>
      <c r="T421" s="15">
        <v>0</v>
      </c>
      <c r="U421" s="15">
        <f t="shared" ca="1" si="91"/>
        <v>1.0012715145553455</v>
      </c>
      <c r="V421" s="15">
        <f t="shared" ca="1" si="92"/>
        <v>1.0009918364232853</v>
      </c>
      <c r="X421" s="15">
        <f t="shared" si="93"/>
        <v>1.05</v>
      </c>
      <c r="Y421" s="15">
        <f t="shared" si="94"/>
        <v>0.95</v>
      </c>
      <c r="Z421" s="15">
        <f t="shared" ca="1" si="95"/>
        <v>1</v>
      </c>
      <c r="AC421" s="15">
        <f t="shared" ca="1" si="96"/>
        <v>9.8373949055530516E-7</v>
      </c>
      <c r="AD421" s="15">
        <f t="shared" ca="1" si="97"/>
        <v>9.9183642328526389E-4</v>
      </c>
      <c r="AE421" s="15">
        <f t="shared" ca="1" si="98"/>
        <v>0.37590600442511501</v>
      </c>
    </row>
    <row r="422" spans="12:31" x14ac:dyDescent="0.3">
      <c r="L422" s="15">
        <v>420</v>
      </c>
      <c r="M422" s="15">
        <f t="shared" si="88"/>
        <v>1</v>
      </c>
      <c r="N422" s="15">
        <f t="shared" ca="1" si="89"/>
        <v>-9.9183642328526389E-4</v>
      </c>
      <c r="O422" s="15">
        <f t="shared" ca="1" si="86"/>
        <v>0.25080706095980826</v>
      </c>
      <c r="P422" s="15">
        <f t="shared" ca="1" si="99"/>
        <v>0.25024795910582132</v>
      </c>
      <c r="Q422" s="15">
        <v>0</v>
      </c>
      <c r="R422" s="15">
        <f t="shared" ca="1" si="90"/>
        <v>0.25024795910582132</v>
      </c>
      <c r="S422" s="15">
        <f t="shared" ca="1" si="87"/>
        <v>1.0012799573308653</v>
      </c>
      <c r="T422" s="15">
        <v>0</v>
      </c>
      <c r="U422" s="15">
        <f t="shared" ca="1" si="91"/>
        <v>1.0012799573308653</v>
      </c>
      <c r="V422" s="15">
        <f t="shared" ca="1" si="92"/>
        <v>1.0009918364232853</v>
      </c>
      <c r="X422" s="15">
        <f t="shared" si="93"/>
        <v>1.05</v>
      </c>
      <c r="Y422" s="15">
        <f t="shared" si="94"/>
        <v>0.95</v>
      </c>
      <c r="Z422" s="15">
        <f t="shared" ca="1" si="95"/>
        <v>1</v>
      </c>
      <c r="AC422" s="15">
        <f t="shared" ca="1" si="96"/>
        <v>9.8373949055530516E-7</v>
      </c>
      <c r="AD422" s="15">
        <f t="shared" ca="1" si="97"/>
        <v>9.9183642328526389E-4</v>
      </c>
      <c r="AE422" s="15">
        <f t="shared" ca="1" si="98"/>
        <v>0.37689784084840028</v>
      </c>
    </row>
    <row r="423" spans="12:31" x14ac:dyDescent="0.3">
      <c r="L423" s="15">
        <v>421</v>
      </c>
      <c r="M423" s="15">
        <f t="shared" si="88"/>
        <v>1</v>
      </c>
      <c r="N423" s="15">
        <f t="shared" ca="1" si="89"/>
        <v>-9.9183642328526389E-4</v>
      </c>
      <c r="O423" s="15">
        <f t="shared" ca="1" si="86"/>
        <v>0.25080706095980826</v>
      </c>
      <c r="P423" s="15">
        <f t="shared" ca="1" si="99"/>
        <v>0.25024795910582132</v>
      </c>
      <c r="Q423" s="15">
        <v>0</v>
      </c>
      <c r="R423" s="15">
        <f t="shared" ca="1" si="90"/>
        <v>0.25024795910582132</v>
      </c>
      <c r="S423" s="15">
        <f t="shared" ca="1" si="87"/>
        <v>1.0012861097735188</v>
      </c>
      <c r="T423" s="15">
        <v>0</v>
      </c>
      <c r="U423" s="15">
        <f t="shared" ca="1" si="91"/>
        <v>1.0012861097735188</v>
      </c>
      <c r="V423" s="15">
        <f t="shared" ca="1" si="92"/>
        <v>1.0009918364232853</v>
      </c>
      <c r="X423" s="15">
        <f t="shared" si="93"/>
        <v>1.05</v>
      </c>
      <c r="Y423" s="15">
        <f t="shared" si="94"/>
        <v>0.95</v>
      </c>
      <c r="Z423" s="15">
        <f t="shared" ca="1" si="95"/>
        <v>1</v>
      </c>
      <c r="AC423" s="15">
        <f t="shared" ca="1" si="96"/>
        <v>9.8373949055530516E-7</v>
      </c>
      <c r="AD423" s="15">
        <f t="shared" ca="1" si="97"/>
        <v>9.9183642328526389E-4</v>
      </c>
      <c r="AE423" s="15">
        <f t="shared" ca="1" si="98"/>
        <v>0.37788967727168554</v>
      </c>
    </row>
    <row r="424" spans="12:31" x14ac:dyDescent="0.3">
      <c r="L424" s="15">
        <v>422</v>
      </c>
      <c r="M424" s="15">
        <f t="shared" si="88"/>
        <v>1</v>
      </c>
      <c r="N424" s="15">
        <f t="shared" ca="1" si="89"/>
        <v>-9.9183642328526389E-4</v>
      </c>
      <c r="O424" s="15">
        <f t="shared" ca="1" si="86"/>
        <v>0.25080706095980826</v>
      </c>
      <c r="P424" s="15">
        <f t="shared" ca="1" si="99"/>
        <v>0.25024795910582132</v>
      </c>
      <c r="Q424" s="15">
        <v>0</v>
      </c>
      <c r="R424" s="15">
        <f t="shared" ca="1" si="90"/>
        <v>0.25024795910582132</v>
      </c>
      <c r="S424" s="15">
        <f t="shared" ca="1" si="87"/>
        <v>1.0012902365869427</v>
      </c>
      <c r="T424" s="15">
        <v>0</v>
      </c>
      <c r="U424" s="15">
        <f t="shared" ca="1" si="91"/>
        <v>1.0012902365869427</v>
      </c>
      <c r="V424" s="15">
        <f t="shared" ca="1" si="92"/>
        <v>1.0009918364232853</v>
      </c>
      <c r="X424" s="15">
        <f t="shared" si="93"/>
        <v>1.05</v>
      </c>
      <c r="Y424" s="15">
        <f t="shared" si="94"/>
        <v>0.95</v>
      </c>
      <c r="Z424" s="15">
        <f t="shared" ca="1" si="95"/>
        <v>1</v>
      </c>
      <c r="AC424" s="15">
        <f t="shared" ca="1" si="96"/>
        <v>9.8373949055530516E-7</v>
      </c>
      <c r="AD424" s="15">
        <f t="shared" ca="1" si="97"/>
        <v>9.9183642328526389E-4</v>
      </c>
      <c r="AE424" s="15">
        <f t="shared" ca="1" si="98"/>
        <v>0.37888151369497081</v>
      </c>
    </row>
    <row r="425" spans="12:31" x14ac:dyDescent="0.3">
      <c r="L425" s="15">
        <v>423</v>
      </c>
      <c r="M425" s="15">
        <f t="shared" si="88"/>
        <v>1</v>
      </c>
      <c r="N425" s="15">
        <f t="shared" ca="1" si="89"/>
        <v>-9.9183642328526389E-4</v>
      </c>
      <c r="O425" s="15">
        <f t="shared" ca="1" si="86"/>
        <v>0.25078830942933056</v>
      </c>
      <c r="P425" s="15">
        <f t="shared" ca="1" si="99"/>
        <v>0.25024795910582132</v>
      </c>
      <c r="Q425" s="15">
        <v>0</v>
      </c>
      <c r="R425" s="15">
        <f t="shared" ca="1" si="90"/>
        <v>0.25024795910582132</v>
      </c>
      <c r="S425" s="15">
        <f t="shared" ca="1" si="87"/>
        <v>1.0012925774419317</v>
      </c>
      <c r="T425" s="15">
        <v>0</v>
      </c>
      <c r="U425" s="15">
        <f t="shared" ca="1" si="91"/>
        <v>1.0012925774419317</v>
      </c>
      <c r="V425" s="15">
        <f t="shared" ca="1" si="92"/>
        <v>1.0009918364232853</v>
      </c>
      <c r="X425" s="15">
        <f t="shared" si="93"/>
        <v>1.05</v>
      </c>
      <c r="Y425" s="15">
        <f t="shared" si="94"/>
        <v>0.95</v>
      </c>
      <c r="Z425" s="15">
        <f t="shared" ca="1" si="95"/>
        <v>1</v>
      </c>
      <c r="AC425" s="15">
        <f t="shared" ca="1" si="96"/>
        <v>9.8373949055530516E-7</v>
      </c>
      <c r="AD425" s="15">
        <f t="shared" ca="1" si="97"/>
        <v>9.9183642328526389E-4</v>
      </c>
      <c r="AE425" s="15">
        <f t="shared" ca="1" si="98"/>
        <v>0.37987335011825607</v>
      </c>
    </row>
    <row r="426" spans="12:31" x14ac:dyDescent="0.3">
      <c r="L426" s="15">
        <v>424</v>
      </c>
      <c r="M426" s="15">
        <f t="shared" si="88"/>
        <v>1</v>
      </c>
      <c r="N426" s="15">
        <f t="shared" ca="1" si="89"/>
        <v>-9.9183642328526389E-4</v>
      </c>
      <c r="O426" s="15">
        <f t="shared" ca="1" si="86"/>
        <v>0.25078830942933056</v>
      </c>
      <c r="P426" s="15">
        <f t="shared" ca="1" si="99"/>
        <v>0.25024795910582132</v>
      </c>
      <c r="Q426" s="15">
        <v>0</v>
      </c>
      <c r="R426" s="15">
        <f t="shared" ca="1" si="90"/>
        <v>0.25024795910582132</v>
      </c>
      <c r="S426" s="15">
        <f t="shared" ca="1" si="87"/>
        <v>1.001293349140298</v>
      </c>
      <c r="T426" s="15">
        <v>0</v>
      </c>
      <c r="U426" s="15">
        <f t="shared" ca="1" si="91"/>
        <v>1.001293349140298</v>
      </c>
      <c r="V426" s="15">
        <f t="shared" ca="1" si="92"/>
        <v>1.0009918364232853</v>
      </c>
      <c r="X426" s="15">
        <f t="shared" si="93"/>
        <v>1.05</v>
      </c>
      <c r="Y426" s="15">
        <f t="shared" si="94"/>
        <v>0.95</v>
      </c>
      <c r="Z426" s="15">
        <f t="shared" ca="1" si="95"/>
        <v>1</v>
      </c>
      <c r="AC426" s="15">
        <f t="shared" ca="1" si="96"/>
        <v>9.8373949055530516E-7</v>
      </c>
      <c r="AD426" s="15">
        <f t="shared" ca="1" si="97"/>
        <v>9.9183642328526389E-4</v>
      </c>
      <c r="AE426" s="15">
        <f t="shared" ca="1" si="98"/>
        <v>0.38086518654154133</v>
      </c>
    </row>
    <row r="427" spans="12:31" x14ac:dyDescent="0.3">
      <c r="L427" s="15">
        <v>425</v>
      </c>
      <c r="M427" s="15">
        <f t="shared" si="88"/>
        <v>1</v>
      </c>
      <c r="N427" s="15">
        <f t="shared" ca="1" si="89"/>
        <v>-9.9183642328526389E-4</v>
      </c>
      <c r="O427" s="15">
        <f t="shared" ref="O427:O490" ca="1" si="100">IF(MOD(L427,$B$11)=0,OFFSET(O427,-$B$11,0)+ $E$2*N427+$E$3*OFFSET(N427,-$B$11,0)+ $E$4*OFFSET(N427,-2* $B$11,0), O426)</f>
        <v>0.25078830942933056</v>
      </c>
      <c r="P427" s="15">
        <f t="shared" ca="1" si="99"/>
        <v>0.25024795910582132</v>
      </c>
      <c r="Q427" s="15">
        <v>0</v>
      </c>
      <c r="R427" s="15">
        <f t="shared" ca="1" si="90"/>
        <v>0.25024795910582132</v>
      </c>
      <c r="S427" s="15">
        <f t="shared" ca="1" si="87"/>
        <v>1.0012927476007845</v>
      </c>
      <c r="T427" s="15">
        <v>0</v>
      </c>
      <c r="U427" s="15">
        <f t="shared" ca="1" si="91"/>
        <v>1.0012927476007845</v>
      </c>
      <c r="V427" s="15">
        <f t="shared" ca="1" si="92"/>
        <v>1.0009918364232853</v>
      </c>
      <c r="X427" s="15">
        <f t="shared" si="93"/>
        <v>1.05</v>
      </c>
      <c r="Y427" s="15">
        <f t="shared" si="94"/>
        <v>0.95</v>
      </c>
      <c r="Z427" s="15">
        <f t="shared" ca="1" si="95"/>
        <v>1</v>
      </c>
      <c r="AC427" s="15">
        <f t="shared" ca="1" si="96"/>
        <v>9.8373949055530516E-7</v>
      </c>
      <c r="AD427" s="15">
        <f t="shared" ca="1" si="97"/>
        <v>9.9183642328526389E-4</v>
      </c>
      <c r="AE427" s="15">
        <f t="shared" ca="1" si="98"/>
        <v>0.3818570229648266</v>
      </c>
    </row>
    <row r="428" spans="12:31" x14ac:dyDescent="0.3">
      <c r="L428" s="15">
        <v>426</v>
      </c>
      <c r="M428" s="15">
        <f t="shared" si="88"/>
        <v>1</v>
      </c>
      <c r="N428" s="15">
        <f t="shared" ca="1" si="89"/>
        <v>-9.9183642328526389E-4</v>
      </c>
      <c r="O428" s="15">
        <f t="shared" ca="1" si="100"/>
        <v>0.25076955789885286</v>
      </c>
      <c r="P428" s="15">
        <f t="shared" ca="1" si="99"/>
        <v>0.25024795910582132</v>
      </c>
      <c r="Q428" s="15">
        <v>0</v>
      </c>
      <c r="R428" s="15">
        <f t="shared" ca="1" si="90"/>
        <v>0.25024795910582132</v>
      </c>
      <c r="S428" s="15">
        <f t="shared" ca="1" si="87"/>
        <v>1.0012909496812217</v>
      </c>
      <c r="T428" s="15">
        <v>0</v>
      </c>
      <c r="U428" s="15">
        <f t="shared" ca="1" si="91"/>
        <v>1.0012909496812217</v>
      </c>
      <c r="V428" s="15">
        <f t="shared" ca="1" si="92"/>
        <v>1.0009918364232853</v>
      </c>
      <c r="X428" s="15">
        <f t="shared" si="93"/>
        <v>1.05</v>
      </c>
      <c r="Y428" s="15">
        <f t="shared" si="94"/>
        <v>0.95</v>
      </c>
      <c r="Z428" s="15">
        <f t="shared" ca="1" si="95"/>
        <v>1</v>
      </c>
      <c r="AC428" s="15">
        <f t="shared" ca="1" si="96"/>
        <v>9.8373949055530516E-7</v>
      </c>
      <c r="AD428" s="15">
        <f t="shared" ca="1" si="97"/>
        <v>9.9183642328526389E-4</v>
      </c>
      <c r="AE428" s="15">
        <f t="shared" ca="1" si="98"/>
        <v>0.38284885938811186</v>
      </c>
    </row>
    <row r="429" spans="12:31" x14ac:dyDescent="0.3">
      <c r="L429" s="15">
        <v>427</v>
      </c>
      <c r="M429" s="15">
        <f t="shared" si="88"/>
        <v>1</v>
      </c>
      <c r="N429" s="15">
        <f t="shared" ca="1" si="89"/>
        <v>-9.9183642328526389E-4</v>
      </c>
      <c r="O429" s="15">
        <f t="shared" ca="1" si="100"/>
        <v>0.25076955789885286</v>
      </c>
      <c r="P429" s="15">
        <f t="shared" ca="1" si="99"/>
        <v>0.25024795910582132</v>
      </c>
      <c r="Q429" s="15">
        <v>0</v>
      </c>
      <c r="R429" s="15">
        <f t="shared" ca="1" si="90"/>
        <v>0.25024795910582132</v>
      </c>
      <c r="S429" s="15">
        <f t="shared" ref="S429:S492" ca="1" si="101">$I$1*S428-$I$2*S427+$I$3*R408+$I$4*R407</f>
        <v>1.001288114850007</v>
      </c>
      <c r="T429" s="15">
        <v>0</v>
      </c>
      <c r="U429" s="15">
        <f t="shared" ca="1" si="91"/>
        <v>1.001288114850007</v>
      </c>
      <c r="V429" s="15">
        <f t="shared" ca="1" si="92"/>
        <v>1.0009918364232853</v>
      </c>
      <c r="X429" s="15">
        <f t="shared" si="93"/>
        <v>1.05</v>
      </c>
      <c r="Y429" s="15">
        <f t="shared" si="94"/>
        <v>0.95</v>
      </c>
      <c r="Z429" s="15">
        <f t="shared" ca="1" si="95"/>
        <v>1</v>
      </c>
      <c r="AC429" s="15">
        <f t="shared" ca="1" si="96"/>
        <v>9.8373949055530516E-7</v>
      </c>
      <c r="AD429" s="15">
        <f t="shared" ca="1" si="97"/>
        <v>9.9183642328526389E-4</v>
      </c>
      <c r="AE429" s="15">
        <f t="shared" ca="1" si="98"/>
        <v>0.38384069581139713</v>
      </c>
    </row>
    <row r="430" spans="12:31" x14ac:dyDescent="0.3">
      <c r="L430" s="15">
        <v>428</v>
      </c>
      <c r="M430" s="15">
        <f t="shared" si="88"/>
        <v>1</v>
      </c>
      <c r="N430" s="15">
        <f t="shared" ca="1" si="89"/>
        <v>-9.9183642328526389E-4</v>
      </c>
      <c r="O430" s="15">
        <f t="shared" ca="1" si="100"/>
        <v>0.25076955789885286</v>
      </c>
      <c r="P430" s="15">
        <f t="shared" ca="1" si="99"/>
        <v>0.25024795910582132</v>
      </c>
      <c r="Q430" s="15">
        <v>0</v>
      </c>
      <c r="R430" s="15">
        <f t="shared" ca="1" si="90"/>
        <v>0.25024795910582132</v>
      </c>
      <c r="S430" s="15">
        <f t="shared" ca="1" si="101"/>
        <v>1.0012843867189634</v>
      </c>
      <c r="T430" s="15">
        <v>0</v>
      </c>
      <c r="U430" s="15">
        <f t="shared" ca="1" si="91"/>
        <v>1.0012843867189634</v>
      </c>
      <c r="V430" s="15">
        <f t="shared" ca="1" si="92"/>
        <v>1.0009918364232853</v>
      </c>
      <c r="X430" s="15">
        <f t="shared" si="93"/>
        <v>1.05</v>
      </c>
      <c r="Y430" s="15">
        <f t="shared" si="94"/>
        <v>0.95</v>
      </c>
      <c r="Z430" s="15">
        <f t="shared" ca="1" si="95"/>
        <v>1</v>
      </c>
      <c r="AC430" s="15">
        <f t="shared" ca="1" si="96"/>
        <v>9.8373949055530516E-7</v>
      </c>
      <c r="AD430" s="15">
        <f t="shared" ca="1" si="97"/>
        <v>9.9183642328526389E-4</v>
      </c>
      <c r="AE430" s="15">
        <f t="shared" ca="1" si="98"/>
        <v>0.38483253223468239</v>
      </c>
    </row>
    <row r="431" spans="12:31" x14ac:dyDescent="0.3">
      <c r="L431" s="15">
        <v>429</v>
      </c>
      <c r="M431" s="15">
        <f t="shared" si="88"/>
        <v>1</v>
      </c>
      <c r="N431" s="15">
        <f t="shared" ca="1" si="89"/>
        <v>-9.9183642328526389E-4</v>
      </c>
      <c r="O431" s="15">
        <f t="shared" ca="1" si="100"/>
        <v>0.25075080636837516</v>
      </c>
      <c r="P431" s="15">
        <f t="shared" ca="1" si="99"/>
        <v>0.25024795910582132</v>
      </c>
      <c r="Q431" s="15">
        <v>0</v>
      </c>
      <c r="R431" s="15">
        <f t="shared" ca="1" si="90"/>
        <v>0.25024795910582132</v>
      </c>
      <c r="S431" s="15">
        <f t="shared" ca="1" si="101"/>
        <v>1.0012798944486903</v>
      </c>
      <c r="T431" s="15">
        <v>0</v>
      </c>
      <c r="U431" s="15">
        <f t="shared" ca="1" si="91"/>
        <v>1.0012798944486903</v>
      </c>
      <c r="V431" s="15">
        <f t="shared" ca="1" si="92"/>
        <v>1.0009918364232853</v>
      </c>
      <c r="X431" s="15">
        <f t="shared" si="93"/>
        <v>1.05</v>
      </c>
      <c r="Y431" s="15">
        <f t="shared" si="94"/>
        <v>0.95</v>
      </c>
      <c r="Z431" s="15">
        <f t="shared" ca="1" si="95"/>
        <v>1</v>
      </c>
      <c r="AC431" s="15">
        <f t="shared" ca="1" si="96"/>
        <v>9.8373949055530516E-7</v>
      </c>
      <c r="AD431" s="15">
        <f t="shared" ca="1" si="97"/>
        <v>9.9183642328526389E-4</v>
      </c>
      <c r="AE431" s="15">
        <f t="shared" ca="1" si="98"/>
        <v>0.38582436865796765</v>
      </c>
    </row>
    <row r="432" spans="12:31" x14ac:dyDescent="0.3">
      <c r="L432" s="15">
        <v>430</v>
      </c>
      <c r="M432" s="15">
        <f t="shared" si="88"/>
        <v>1</v>
      </c>
      <c r="N432" s="15">
        <f t="shared" ca="1" si="89"/>
        <v>-9.9183642328526389E-4</v>
      </c>
      <c r="O432" s="15">
        <f t="shared" ca="1" si="100"/>
        <v>0.25075080636837516</v>
      </c>
      <c r="P432" s="15">
        <f t="shared" ca="1" si="99"/>
        <v>0.25024795910582132</v>
      </c>
      <c r="Q432" s="15">
        <v>0</v>
      </c>
      <c r="R432" s="15">
        <f t="shared" ca="1" si="90"/>
        <v>0.25024795910582132</v>
      </c>
      <c r="S432" s="15">
        <f t="shared" ca="1" si="101"/>
        <v>1.0012747540366471</v>
      </c>
      <c r="T432" s="15">
        <v>0</v>
      </c>
      <c r="U432" s="15">
        <f t="shared" ca="1" si="91"/>
        <v>1.0012747540366471</v>
      </c>
      <c r="V432" s="15">
        <f t="shared" ca="1" si="92"/>
        <v>1.0009918364232853</v>
      </c>
      <c r="X432" s="15">
        <f t="shared" si="93"/>
        <v>1.05</v>
      </c>
      <c r="Y432" s="15">
        <f t="shared" si="94"/>
        <v>0.95</v>
      </c>
      <c r="Z432" s="15">
        <f t="shared" ca="1" si="95"/>
        <v>1</v>
      </c>
      <c r="AC432" s="15">
        <f t="shared" ca="1" si="96"/>
        <v>9.8373949055530516E-7</v>
      </c>
      <c r="AD432" s="15">
        <f t="shared" ca="1" si="97"/>
        <v>9.9183642328526389E-4</v>
      </c>
      <c r="AE432" s="15">
        <f t="shared" ca="1" si="98"/>
        <v>0.38681620508125292</v>
      </c>
    </row>
    <row r="433" spans="12:31" x14ac:dyDescent="0.3">
      <c r="L433" s="15">
        <v>431</v>
      </c>
      <c r="M433" s="15">
        <f t="shared" si="88"/>
        <v>1</v>
      </c>
      <c r="N433" s="15">
        <f t="shared" ca="1" si="89"/>
        <v>-9.9183642328526389E-4</v>
      </c>
      <c r="O433" s="15">
        <f t="shared" ca="1" si="100"/>
        <v>0.25075080636837516</v>
      </c>
      <c r="P433" s="15">
        <f t="shared" ca="1" si="99"/>
        <v>0.25024795910582132</v>
      </c>
      <c r="Q433" s="15">
        <v>0</v>
      </c>
      <c r="R433" s="15">
        <f t="shared" ca="1" si="90"/>
        <v>0.25024795910582132</v>
      </c>
      <c r="S433" s="15">
        <f t="shared" ca="1" si="101"/>
        <v>1.001269069497408</v>
      </c>
      <c r="T433" s="15">
        <v>0</v>
      </c>
      <c r="U433" s="15">
        <f t="shared" ca="1" si="91"/>
        <v>1.001269069497408</v>
      </c>
      <c r="V433" s="15">
        <f t="shared" ca="1" si="92"/>
        <v>1.0009918364232853</v>
      </c>
      <c r="X433" s="15">
        <f t="shared" si="93"/>
        <v>1.05</v>
      </c>
      <c r="Y433" s="15">
        <f t="shared" si="94"/>
        <v>0.95</v>
      </c>
      <c r="Z433" s="15">
        <f t="shared" ca="1" si="95"/>
        <v>1</v>
      </c>
      <c r="AC433" s="15">
        <f t="shared" ca="1" si="96"/>
        <v>9.8373949055530516E-7</v>
      </c>
      <c r="AD433" s="15">
        <f t="shared" ca="1" si="97"/>
        <v>9.9183642328526389E-4</v>
      </c>
      <c r="AE433" s="15">
        <f t="shared" ca="1" si="98"/>
        <v>0.38780804150453818</v>
      </c>
    </row>
    <row r="434" spans="12:31" x14ac:dyDescent="0.3">
      <c r="L434" s="15">
        <v>432</v>
      </c>
      <c r="M434" s="15">
        <f t="shared" si="88"/>
        <v>1</v>
      </c>
      <c r="N434" s="15">
        <f t="shared" ca="1" si="89"/>
        <v>-9.9183642328526389E-4</v>
      </c>
      <c r="O434" s="15">
        <f t="shared" ca="1" si="100"/>
        <v>0.25073205483789746</v>
      </c>
      <c r="P434" s="15">
        <f t="shared" ca="1" si="99"/>
        <v>0.25024795910582132</v>
      </c>
      <c r="Q434" s="15">
        <v>0</v>
      </c>
      <c r="R434" s="15">
        <f t="shared" ca="1" si="90"/>
        <v>0.25024795910582132</v>
      </c>
      <c r="S434" s="15">
        <f t="shared" ca="1" si="101"/>
        <v>1.0012497340096747</v>
      </c>
      <c r="T434" s="15">
        <v>0</v>
      </c>
      <c r="U434" s="15">
        <f t="shared" ca="1" si="91"/>
        <v>1.0012497340096747</v>
      </c>
      <c r="V434" s="15">
        <f t="shared" ca="1" si="92"/>
        <v>1.0009918364232853</v>
      </c>
      <c r="X434" s="15">
        <f t="shared" si="93"/>
        <v>1.05</v>
      </c>
      <c r="Y434" s="15">
        <f t="shared" si="94"/>
        <v>0.95</v>
      </c>
      <c r="Z434" s="15">
        <f t="shared" ca="1" si="95"/>
        <v>1</v>
      </c>
      <c r="AC434" s="15">
        <f t="shared" ca="1" si="96"/>
        <v>9.8373949055530516E-7</v>
      </c>
      <c r="AD434" s="15">
        <f t="shared" ca="1" si="97"/>
        <v>9.9183642328526389E-4</v>
      </c>
      <c r="AE434" s="15">
        <f t="shared" ca="1" si="98"/>
        <v>0.38879987792782345</v>
      </c>
    </row>
    <row r="435" spans="12:31" x14ac:dyDescent="0.3">
      <c r="L435" s="15">
        <v>433</v>
      </c>
      <c r="M435" s="15">
        <f t="shared" si="88"/>
        <v>1</v>
      </c>
      <c r="N435" s="15">
        <f t="shared" ca="1" si="89"/>
        <v>-9.9183642328526389E-4</v>
      </c>
      <c r="O435" s="15">
        <f t="shared" ca="1" si="100"/>
        <v>0.25073205483789746</v>
      </c>
      <c r="P435" s="15">
        <f t="shared" ca="1" si="99"/>
        <v>0.25024795910582132</v>
      </c>
      <c r="Q435" s="15">
        <v>0</v>
      </c>
      <c r="R435" s="15">
        <f t="shared" ca="1" si="90"/>
        <v>0.25024795910582132</v>
      </c>
      <c r="S435" s="15">
        <f t="shared" ca="1" si="101"/>
        <v>1.0012059461986329</v>
      </c>
      <c r="T435" s="15">
        <v>0</v>
      </c>
      <c r="U435" s="15">
        <f t="shared" ca="1" si="91"/>
        <v>1.0012059461986329</v>
      </c>
      <c r="V435" s="15">
        <f t="shared" ca="1" si="92"/>
        <v>1.0009918364232853</v>
      </c>
      <c r="X435" s="15">
        <f t="shared" si="93"/>
        <v>1.05</v>
      </c>
      <c r="Y435" s="15">
        <f t="shared" si="94"/>
        <v>0.95</v>
      </c>
      <c r="Z435" s="15">
        <f t="shared" ca="1" si="95"/>
        <v>1</v>
      </c>
      <c r="AC435" s="15">
        <f t="shared" ca="1" si="96"/>
        <v>9.8373949055530516E-7</v>
      </c>
      <c r="AD435" s="15">
        <f t="shared" ca="1" si="97"/>
        <v>9.9183642328526389E-4</v>
      </c>
      <c r="AE435" s="15">
        <f t="shared" ca="1" si="98"/>
        <v>0.38979171435110871</v>
      </c>
    </row>
    <row r="436" spans="12:31" x14ac:dyDescent="0.3">
      <c r="L436" s="15">
        <v>434</v>
      </c>
      <c r="M436" s="15">
        <f t="shared" si="88"/>
        <v>1</v>
      </c>
      <c r="N436" s="15">
        <f t="shared" ca="1" si="89"/>
        <v>-9.9183642328526389E-4</v>
      </c>
      <c r="O436" s="15">
        <f t="shared" ca="1" si="100"/>
        <v>0.25073205483789746</v>
      </c>
      <c r="P436" s="15">
        <f t="shared" ca="1" si="99"/>
        <v>0.25024795910582132</v>
      </c>
      <c r="Q436" s="15">
        <v>0</v>
      </c>
      <c r="R436" s="15">
        <f t="shared" ca="1" si="90"/>
        <v>0.25024795910582132</v>
      </c>
      <c r="S436" s="15">
        <f t="shared" ca="1" si="101"/>
        <v>1.001140995153869</v>
      </c>
      <c r="T436" s="15">
        <v>0</v>
      </c>
      <c r="U436" s="15">
        <f t="shared" ca="1" si="91"/>
        <v>1.001140995153869</v>
      </c>
      <c r="V436" s="15">
        <f t="shared" ca="1" si="92"/>
        <v>1.0009918364232853</v>
      </c>
      <c r="X436" s="15">
        <f t="shared" si="93"/>
        <v>1.05</v>
      </c>
      <c r="Y436" s="15">
        <f t="shared" si="94"/>
        <v>0.95</v>
      </c>
      <c r="Z436" s="15">
        <f t="shared" ca="1" si="95"/>
        <v>1</v>
      </c>
      <c r="AC436" s="15">
        <f t="shared" ca="1" si="96"/>
        <v>9.8373949055530516E-7</v>
      </c>
      <c r="AD436" s="15">
        <f t="shared" ca="1" si="97"/>
        <v>9.9183642328526389E-4</v>
      </c>
      <c r="AE436" s="15">
        <f t="shared" ca="1" si="98"/>
        <v>0.39078355077439397</v>
      </c>
    </row>
    <row r="437" spans="12:31" x14ac:dyDescent="0.3">
      <c r="L437" s="15">
        <v>435</v>
      </c>
      <c r="M437" s="15">
        <f t="shared" si="88"/>
        <v>1</v>
      </c>
      <c r="N437" s="15">
        <f t="shared" ca="1" si="89"/>
        <v>-9.9183642328526389E-4</v>
      </c>
      <c r="O437" s="15">
        <f t="shared" ca="1" si="100"/>
        <v>0.25071330330741975</v>
      </c>
      <c r="P437" s="15">
        <f t="shared" ca="1" si="99"/>
        <v>0.25024795910582132</v>
      </c>
      <c r="Q437" s="15">
        <v>0</v>
      </c>
      <c r="R437" s="15">
        <f t="shared" ca="1" si="90"/>
        <v>0.25024795910582132</v>
      </c>
      <c r="S437" s="15">
        <f t="shared" ca="1" si="101"/>
        <v>1.0010710419068949</v>
      </c>
      <c r="T437" s="15">
        <v>0</v>
      </c>
      <c r="U437" s="15">
        <f t="shared" ca="1" si="91"/>
        <v>1.0010710419068949</v>
      </c>
      <c r="V437" s="15">
        <f t="shared" ca="1" si="92"/>
        <v>1.0009918364232853</v>
      </c>
      <c r="X437" s="15">
        <f t="shared" si="93"/>
        <v>1.05</v>
      </c>
      <c r="Y437" s="15">
        <f t="shared" si="94"/>
        <v>0.95</v>
      </c>
      <c r="Z437" s="15">
        <f t="shared" ca="1" si="95"/>
        <v>1</v>
      </c>
      <c r="AC437" s="15">
        <f t="shared" ca="1" si="96"/>
        <v>9.8373949055530516E-7</v>
      </c>
      <c r="AD437" s="15">
        <f t="shared" ca="1" si="97"/>
        <v>9.9183642328526389E-4</v>
      </c>
      <c r="AE437" s="15">
        <f t="shared" ca="1" si="98"/>
        <v>0.39177538719767924</v>
      </c>
    </row>
    <row r="438" spans="12:31" x14ac:dyDescent="0.3">
      <c r="L438" s="15">
        <v>436</v>
      </c>
      <c r="M438" s="15">
        <f t="shared" si="88"/>
        <v>1</v>
      </c>
      <c r="N438" s="15">
        <f t="shared" ca="1" si="89"/>
        <v>-9.9183642328526389E-4</v>
      </c>
      <c r="O438" s="15">
        <f t="shared" ca="1" si="100"/>
        <v>0.25071330330741975</v>
      </c>
      <c r="P438" s="15">
        <f t="shared" ca="1" si="99"/>
        <v>0.25024795910582132</v>
      </c>
      <c r="Q438" s="15">
        <v>0</v>
      </c>
      <c r="R438" s="15">
        <f t="shared" ca="1" si="90"/>
        <v>0.25024795910582132</v>
      </c>
      <c r="S438" s="15">
        <f t="shared" ca="1" si="101"/>
        <v>1.0010096332485696</v>
      </c>
      <c r="T438" s="15">
        <v>0</v>
      </c>
      <c r="U438" s="15">
        <f t="shared" ca="1" si="91"/>
        <v>1.0010096332485696</v>
      </c>
      <c r="V438" s="15">
        <f t="shared" ca="1" si="92"/>
        <v>1.0009918364232853</v>
      </c>
      <c r="X438" s="15">
        <f t="shared" si="93"/>
        <v>1.05</v>
      </c>
      <c r="Y438" s="15">
        <f t="shared" si="94"/>
        <v>0.95</v>
      </c>
      <c r="Z438" s="15">
        <f t="shared" ca="1" si="95"/>
        <v>1</v>
      </c>
      <c r="AC438" s="15">
        <f t="shared" ca="1" si="96"/>
        <v>9.8373949055530516E-7</v>
      </c>
      <c r="AD438" s="15">
        <f t="shared" ca="1" si="97"/>
        <v>9.9183642328526389E-4</v>
      </c>
      <c r="AE438" s="15">
        <f t="shared" ca="1" si="98"/>
        <v>0.3927672236209645</v>
      </c>
    </row>
    <row r="439" spans="12:31" x14ac:dyDescent="0.3">
      <c r="L439" s="15">
        <v>437</v>
      </c>
      <c r="M439" s="15">
        <f t="shared" si="88"/>
        <v>1</v>
      </c>
      <c r="N439" s="15">
        <f t="shared" ca="1" si="89"/>
        <v>5.3406576638448389E-4</v>
      </c>
      <c r="O439" s="15">
        <f t="shared" ca="1" si="100"/>
        <v>0.25071330330741975</v>
      </c>
      <c r="P439" s="15">
        <f t="shared" ca="1" si="99"/>
        <v>0.25024795910582132</v>
      </c>
      <c r="Q439" s="15">
        <v>0</v>
      </c>
      <c r="R439" s="15">
        <f t="shared" ca="1" si="90"/>
        <v>0.25024795910582132</v>
      </c>
      <c r="S439" s="15">
        <f t="shared" ca="1" si="101"/>
        <v>1.000955944296289</v>
      </c>
      <c r="T439" s="15">
        <v>0</v>
      </c>
      <c r="U439" s="15">
        <f t="shared" ca="1" si="91"/>
        <v>1.000955944296289</v>
      </c>
      <c r="V439" s="15">
        <f t="shared" ca="1" si="92"/>
        <v>0.99946593423361552</v>
      </c>
      <c r="X439" s="15">
        <f t="shared" si="93"/>
        <v>1.05</v>
      </c>
      <c r="Y439" s="15">
        <f t="shared" si="94"/>
        <v>0.95</v>
      </c>
      <c r="Z439" s="15">
        <f t="shared" ca="1" si="95"/>
        <v>1</v>
      </c>
      <c r="AC439" s="15">
        <f t="shared" ca="1" si="96"/>
        <v>2.852262428238461E-7</v>
      </c>
      <c r="AD439" s="15">
        <f t="shared" ca="1" si="97"/>
        <v>5.3406576638448389E-4</v>
      </c>
      <c r="AE439" s="15">
        <f t="shared" ca="1" si="98"/>
        <v>0.2120241092546401</v>
      </c>
    </row>
    <row r="440" spans="12:31" x14ac:dyDescent="0.3">
      <c r="L440" s="15">
        <v>438</v>
      </c>
      <c r="M440" s="15">
        <f t="shared" si="88"/>
        <v>1</v>
      </c>
      <c r="N440" s="15">
        <f t="shared" ca="1" si="89"/>
        <v>5.3406576638448389E-4</v>
      </c>
      <c r="O440" s="15">
        <f t="shared" ca="1" si="100"/>
        <v>0.25235095904786442</v>
      </c>
      <c r="P440" s="15">
        <f t="shared" ca="1" si="99"/>
        <v>0.25177386129549095</v>
      </c>
      <c r="Q440" s="15">
        <v>0</v>
      </c>
      <c r="R440" s="15">
        <f t="shared" ca="1" si="90"/>
        <v>0.25177386129549095</v>
      </c>
      <c r="S440" s="15">
        <f t="shared" ca="1" si="101"/>
        <v>1.0009092222235327</v>
      </c>
      <c r="T440" s="15">
        <v>0</v>
      </c>
      <c r="U440" s="15">
        <f t="shared" ca="1" si="91"/>
        <v>1.0009092222235327</v>
      </c>
      <c r="V440" s="15">
        <f t="shared" ca="1" si="92"/>
        <v>0.99946593423361552</v>
      </c>
      <c r="X440" s="15">
        <f t="shared" si="93"/>
        <v>1.05</v>
      </c>
      <c r="Y440" s="15">
        <f t="shared" si="94"/>
        <v>0.95</v>
      </c>
      <c r="Z440" s="15">
        <f t="shared" ca="1" si="95"/>
        <v>1</v>
      </c>
      <c r="AC440" s="15">
        <f t="shared" ca="1" si="96"/>
        <v>2.852262428238461E-7</v>
      </c>
      <c r="AD440" s="15">
        <f t="shared" ca="1" si="97"/>
        <v>5.3406576638448389E-4</v>
      </c>
      <c r="AE440" s="15">
        <f t="shared" ca="1" si="98"/>
        <v>0.21255817502102459</v>
      </c>
    </row>
    <row r="441" spans="12:31" x14ac:dyDescent="0.3">
      <c r="L441" s="15">
        <v>439</v>
      </c>
      <c r="M441" s="15">
        <f t="shared" si="88"/>
        <v>1</v>
      </c>
      <c r="N441" s="15">
        <f t="shared" ca="1" si="89"/>
        <v>5.3406576638448389E-4</v>
      </c>
      <c r="O441" s="15">
        <f t="shared" ca="1" si="100"/>
        <v>0.25235095904786442</v>
      </c>
      <c r="P441" s="15">
        <f t="shared" ca="1" si="99"/>
        <v>0.25177386129549095</v>
      </c>
      <c r="Q441" s="15">
        <v>0</v>
      </c>
      <c r="R441" s="15">
        <f t="shared" ca="1" si="90"/>
        <v>0.25177386129549095</v>
      </c>
      <c r="S441" s="15">
        <f t="shared" ca="1" si="101"/>
        <v>1.0008687802975043</v>
      </c>
      <c r="T441" s="15">
        <v>0</v>
      </c>
      <c r="U441" s="15">
        <f t="shared" ca="1" si="91"/>
        <v>1.0008687802975043</v>
      </c>
      <c r="V441" s="15">
        <f t="shared" ca="1" si="92"/>
        <v>0.99946593423361552</v>
      </c>
      <c r="X441" s="15">
        <f t="shared" si="93"/>
        <v>1.05</v>
      </c>
      <c r="Y441" s="15">
        <f t="shared" si="94"/>
        <v>0.95</v>
      </c>
      <c r="Z441" s="15">
        <f t="shared" ca="1" si="95"/>
        <v>1</v>
      </c>
      <c r="AC441" s="15">
        <f t="shared" ca="1" si="96"/>
        <v>2.852262428238461E-7</v>
      </c>
      <c r="AD441" s="15">
        <f t="shared" ca="1" si="97"/>
        <v>5.3406576638448389E-4</v>
      </c>
      <c r="AE441" s="15">
        <f t="shared" ca="1" si="98"/>
        <v>0.21309224078740907</v>
      </c>
    </row>
    <row r="442" spans="12:31" x14ac:dyDescent="0.3">
      <c r="L442" s="15">
        <v>440</v>
      </c>
      <c r="M442" s="15">
        <f t="shared" si="88"/>
        <v>1</v>
      </c>
      <c r="N442" s="15">
        <f t="shared" ca="1" si="89"/>
        <v>5.3406576638448389E-4</v>
      </c>
      <c r="O442" s="15">
        <f t="shared" ca="1" si="100"/>
        <v>0.25235095904786442</v>
      </c>
      <c r="P442" s="15">
        <f t="shared" ca="1" si="99"/>
        <v>0.25177386129549095</v>
      </c>
      <c r="Q442" s="15">
        <v>0</v>
      </c>
      <c r="R442" s="15">
        <f t="shared" ca="1" si="90"/>
        <v>0.25177386129549095</v>
      </c>
      <c r="S442" s="15">
        <f t="shared" ca="1" si="101"/>
        <v>1.0008339923940588</v>
      </c>
      <c r="T442" s="15">
        <v>0</v>
      </c>
      <c r="U442" s="15">
        <f t="shared" ca="1" si="91"/>
        <v>1.0008339923940588</v>
      </c>
      <c r="V442" s="15">
        <f t="shared" ca="1" si="92"/>
        <v>0.99946593423361552</v>
      </c>
      <c r="X442" s="15">
        <f t="shared" si="93"/>
        <v>1.05</v>
      </c>
      <c r="Y442" s="15">
        <f t="shared" si="94"/>
        <v>0.95</v>
      </c>
      <c r="Z442" s="15">
        <f t="shared" ca="1" si="95"/>
        <v>1</v>
      </c>
      <c r="AC442" s="15">
        <f t="shared" ca="1" si="96"/>
        <v>2.852262428238461E-7</v>
      </c>
      <c r="AD442" s="15">
        <f t="shared" ca="1" si="97"/>
        <v>5.3406576638448389E-4</v>
      </c>
      <c r="AE442" s="15">
        <f t="shared" ca="1" si="98"/>
        <v>0.21362630655379355</v>
      </c>
    </row>
    <row r="443" spans="12:31" x14ac:dyDescent="0.3">
      <c r="L443" s="15">
        <v>441</v>
      </c>
      <c r="M443" s="15">
        <f t="shared" si="88"/>
        <v>1</v>
      </c>
      <c r="N443" s="15">
        <f t="shared" ca="1" si="89"/>
        <v>5.3406576638448389E-4</v>
      </c>
      <c r="O443" s="15">
        <f t="shared" ca="1" si="100"/>
        <v>0.25106702448541562</v>
      </c>
      <c r="P443" s="15">
        <f t="shared" ca="1" si="99"/>
        <v>0.25024795910582132</v>
      </c>
      <c r="Q443" s="15">
        <v>0</v>
      </c>
      <c r="R443" s="15">
        <f t="shared" ca="1" si="90"/>
        <v>0.25024795910582132</v>
      </c>
      <c r="S443" s="15">
        <f t="shared" ca="1" si="101"/>
        <v>1.0008042879525358</v>
      </c>
      <c r="T443" s="15">
        <v>0</v>
      </c>
      <c r="U443" s="15">
        <f t="shared" ca="1" si="91"/>
        <v>1.0008042879525358</v>
      </c>
      <c r="V443" s="15">
        <f t="shared" ca="1" si="92"/>
        <v>0.99946593423361552</v>
      </c>
      <c r="X443" s="15">
        <f t="shared" si="93"/>
        <v>1.05</v>
      </c>
      <c r="Y443" s="15">
        <f t="shared" si="94"/>
        <v>0.95</v>
      </c>
      <c r="Z443" s="15">
        <f t="shared" ca="1" si="95"/>
        <v>1</v>
      </c>
      <c r="AC443" s="15">
        <f t="shared" ca="1" si="96"/>
        <v>2.852262428238461E-7</v>
      </c>
      <c r="AD443" s="15">
        <f t="shared" ca="1" si="97"/>
        <v>5.3406576638448389E-4</v>
      </c>
      <c r="AE443" s="15">
        <f t="shared" ca="1" si="98"/>
        <v>0.21416037232017804</v>
      </c>
    </row>
    <row r="444" spans="12:31" x14ac:dyDescent="0.3">
      <c r="L444" s="15">
        <v>442</v>
      </c>
      <c r="M444" s="15">
        <f t="shared" si="88"/>
        <v>1</v>
      </c>
      <c r="N444" s="15">
        <f t="shared" ca="1" si="89"/>
        <v>5.3406576638448389E-4</v>
      </c>
      <c r="O444" s="15">
        <f t="shared" ca="1" si="100"/>
        <v>0.25106702448541562</v>
      </c>
      <c r="P444" s="15">
        <f t="shared" ca="1" si="99"/>
        <v>0.25024795910582132</v>
      </c>
      <c r="Q444" s="15">
        <v>0</v>
      </c>
      <c r="R444" s="15">
        <f t="shared" ca="1" si="90"/>
        <v>0.25024795910582132</v>
      </c>
      <c r="S444" s="15">
        <f t="shared" ca="1" si="101"/>
        <v>1.0007791473359926</v>
      </c>
      <c r="T444" s="15">
        <v>0</v>
      </c>
      <c r="U444" s="15">
        <f t="shared" ca="1" si="91"/>
        <v>1.0007791473359926</v>
      </c>
      <c r="V444" s="15">
        <f t="shared" ca="1" si="92"/>
        <v>0.99946593423361552</v>
      </c>
      <c r="X444" s="15">
        <f t="shared" si="93"/>
        <v>1.05</v>
      </c>
      <c r="Y444" s="15">
        <f t="shared" si="94"/>
        <v>0.95</v>
      </c>
      <c r="Z444" s="15">
        <f t="shared" ca="1" si="95"/>
        <v>1</v>
      </c>
      <c r="AC444" s="15">
        <f t="shared" ca="1" si="96"/>
        <v>2.852262428238461E-7</v>
      </c>
      <c r="AD444" s="15">
        <f t="shared" ca="1" si="97"/>
        <v>5.3406576638448389E-4</v>
      </c>
      <c r="AE444" s="15">
        <f t="shared" ca="1" si="98"/>
        <v>0.21469443808656252</v>
      </c>
    </row>
    <row r="445" spans="12:31" x14ac:dyDescent="0.3">
      <c r="L445" s="15">
        <v>443</v>
      </c>
      <c r="M445" s="15">
        <f t="shared" si="88"/>
        <v>1</v>
      </c>
      <c r="N445" s="15">
        <f t="shared" ca="1" si="89"/>
        <v>5.3406576638448389E-4</v>
      </c>
      <c r="O445" s="15">
        <f t="shared" ca="1" si="100"/>
        <v>0.25106702448541562</v>
      </c>
      <c r="P445" s="15">
        <f t="shared" ca="1" si="99"/>
        <v>0.25024795910582132</v>
      </c>
      <c r="Q445" s="15">
        <v>0</v>
      </c>
      <c r="R445" s="15">
        <f t="shared" ca="1" si="90"/>
        <v>0.25024795910582132</v>
      </c>
      <c r="S445" s="15">
        <f t="shared" ca="1" si="101"/>
        <v>1.0007580975650041</v>
      </c>
      <c r="T445" s="15">
        <v>0</v>
      </c>
      <c r="U445" s="15">
        <f t="shared" ca="1" si="91"/>
        <v>1.0007580975650041</v>
      </c>
      <c r="V445" s="15">
        <f t="shared" ca="1" si="92"/>
        <v>0.99946593423361552</v>
      </c>
      <c r="X445" s="15">
        <f t="shared" si="93"/>
        <v>1.05</v>
      </c>
      <c r="Y445" s="15">
        <f t="shared" si="94"/>
        <v>0.95</v>
      </c>
      <c r="Z445" s="15">
        <f t="shared" ca="1" si="95"/>
        <v>1</v>
      </c>
      <c r="AC445" s="15">
        <f t="shared" ca="1" si="96"/>
        <v>2.852262428238461E-7</v>
      </c>
      <c r="AD445" s="15">
        <f t="shared" ca="1" si="97"/>
        <v>5.3406576638448389E-4</v>
      </c>
      <c r="AE445" s="15">
        <f t="shared" ca="1" si="98"/>
        <v>0.21522850385294701</v>
      </c>
    </row>
    <row r="446" spans="12:31" x14ac:dyDescent="0.3">
      <c r="L446" s="15">
        <v>444</v>
      </c>
      <c r="M446" s="15">
        <f t="shared" si="88"/>
        <v>1</v>
      </c>
      <c r="N446" s="15">
        <f t="shared" ca="1" si="89"/>
        <v>5.3406576638448389E-4</v>
      </c>
      <c r="O446" s="15">
        <f t="shared" ca="1" si="100"/>
        <v>0.25107712146336514</v>
      </c>
      <c r="P446" s="15">
        <f t="shared" ca="1" si="99"/>
        <v>0.25024795910582132</v>
      </c>
      <c r="Q446" s="15">
        <v>0</v>
      </c>
      <c r="R446" s="15">
        <f t="shared" ca="1" si="90"/>
        <v>0.25024795910582132</v>
      </c>
      <c r="S446" s="15">
        <f t="shared" ca="1" si="101"/>
        <v>1.0007407083956559</v>
      </c>
      <c r="T446" s="15">
        <v>0</v>
      </c>
      <c r="U446" s="15">
        <f t="shared" ca="1" si="91"/>
        <v>1.0007407083956559</v>
      </c>
      <c r="V446" s="15">
        <f t="shared" ca="1" si="92"/>
        <v>0.99946593423361552</v>
      </c>
      <c r="X446" s="15">
        <f t="shared" si="93"/>
        <v>1.05</v>
      </c>
      <c r="Y446" s="15">
        <f t="shared" si="94"/>
        <v>0.95</v>
      </c>
      <c r="Z446" s="15">
        <f t="shared" ca="1" si="95"/>
        <v>1</v>
      </c>
      <c r="AC446" s="15">
        <f t="shared" ca="1" si="96"/>
        <v>2.852262428238461E-7</v>
      </c>
      <c r="AD446" s="15">
        <f t="shared" ca="1" si="97"/>
        <v>5.3406576638448389E-4</v>
      </c>
      <c r="AE446" s="15">
        <f t="shared" ca="1" si="98"/>
        <v>0.21576256961933149</v>
      </c>
    </row>
    <row r="447" spans="12:31" x14ac:dyDescent="0.3">
      <c r="L447" s="15">
        <v>445</v>
      </c>
      <c r="M447" s="15">
        <f t="shared" si="88"/>
        <v>1</v>
      </c>
      <c r="N447" s="15">
        <f t="shared" ca="1" si="89"/>
        <v>5.3406576638448389E-4</v>
      </c>
      <c r="O447" s="15">
        <f t="shared" ca="1" si="100"/>
        <v>0.25107712146336514</v>
      </c>
      <c r="P447" s="15">
        <f t="shared" ca="1" si="99"/>
        <v>0.25024795910582132</v>
      </c>
      <c r="Q447" s="15">
        <v>0</v>
      </c>
      <c r="R447" s="15">
        <f t="shared" ca="1" si="90"/>
        <v>0.25024795910582132</v>
      </c>
      <c r="S447" s="15">
        <f t="shared" ca="1" si="101"/>
        <v>1.0007265887146266</v>
      </c>
      <c r="T447" s="15">
        <v>0</v>
      </c>
      <c r="U447" s="15">
        <f t="shared" ca="1" si="91"/>
        <v>1.0007265887146266</v>
      </c>
      <c r="V447" s="15">
        <f t="shared" ca="1" si="92"/>
        <v>0.99946593423361552</v>
      </c>
      <c r="X447" s="15">
        <f t="shared" si="93"/>
        <v>1.05</v>
      </c>
      <c r="Y447" s="15">
        <f t="shared" si="94"/>
        <v>0.95</v>
      </c>
      <c r="Z447" s="15">
        <f t="shared" ca="1" si="95"/>
        <v>1</v>
      </c>
      <c r="AC447" s="15">
        <f t="shared" ca="1" si="96"/>
        <v>2.852262428238461E-7</v>
      </c>
      <c r="AD447" s="15">
        <f t="shared" ca="1" si="97"/>
        <v>5.3406576638448389E-4</v>
      </c>
      <c r="AE447" s="15">
        <f t="shared" ca="1" si="98"/>
        <v>0.21629663538571597</v>
      </c>
    </row>
    <row r="448" spans="12:31" x14ac:dyDescent="0.3">
      <c r="L448" s="15">
        <v>446</v>
      </c>
      <c r="M448" s="15">
        <f t="shared" si="88"/>
        <v>1</v>
      </c>
      <c r="N448" s="15">
        <f t="shared" ca="1" si="89"/>
        <v>5.3406576638448389E-4</v>
      </c>
      <c r="O448" s="15">
        <f t="shared" ca="1" si="100"/>
        <v>0.25107712146336514</v>
      </c>
      <c r="P448" s="15">
        <f t="shared" ca="1" si="99"/>
        <v>0.25024795910582132</v>
      </c>
      <c r="Q448" s="15">
        <v>0</v>
      </c>
      <c r="R448" s="15">
        <f t="shared" ca="1" si="90"/>
        <v>0.25024795910582132</v>
      </c>
      <c r="S448" s="15">
        <f t="shared" ca="1" si="101"/>
        <v>1.0007153832263576</v>
      </c>
      <c r="T448" s="15">
        <v>0</v>
      </c>
      <c r="U448" s="15">
        <f t="shared" ca="1" si="91"/>
        <v>1.0007153832263576</v>
      </c>
      <c r="V448" s="15">
        <f t="shared" ca="1" si="92"/>
        <v>0.99946593423361552</v>
      </c>
      <c r="X448" s="15">
        <f t="shared" si="93"/>
        <v>1.05</v>
      </c>
      <c r="Y448" s="15">
        <f t="shared" si="94"/>
        <v>0.95</v>
      </c>
      <c r="Z448" s="15">
        <f t="shared" ca="1" si="95"/>
        <v>1</v>
      </c>
      <c r="AC448" s="15">
        <f t="shared" ca="1" si="96"/>
        <v>2.852262428238461E-7</v>
      </c>
      <c r="AD448" s="15">
        <f t="shared" ca="1" si="97"/>
        <v>5.3406576638448389E-4</v>
      </c>
      <c r="AE448" s="15">
        <f t="shared" ca="1" si="98"/>
        <v>0.21683070115210046</v>
      </c>
    </row>
    <row r="449" spans="12:31" x14ac:dyDescent="0.3">
      <c r="L449" s="15">
        <v>447</v>
      </c>
      <c r="M449" s="15">
        <f t="shared" si="88"/>
        <v>1</v>
      </c>
      <c r="N449" s="15">
        <f t="shared" ca="1" si="89"/>
        <v>5.3406576638448389E-4</v>
      </c>
      <c r="O449" s="15">
        <f t="shared" ca="1" si="100"/>
        <v>0.25108721844131465</v>
      </c>
      <c r="P449" s="15">
        <f t="shared" ca="1" si="99"/>
        <v>0.25024795910582132</v>
      </c>
      <c r="Q449" s="15">
        <v>0</v>
      </c>
      <c r="R449" s="15">
        <f t="shared" ca="1" si="90"/>
        <v>0.25024795910582132</v>
      </c>
      <c r="S449" s="15">
        <f t="shared" ca="1" si="101"/>
        <v>1.0007067694092451</v>
      </c>
      <c r="T449" s="15">
        <v>0</v>
      </c>
      <c r="U449" s="15">
        <f t="shared" ca="1" si="91"/>
        <v>1.0007067694092451</v>
      </c>
      <c r="V449" s="15">
        <f t="shared" ca="1" si="92"/>
        <v>0.99946593423361552</v>
      </c>
      <c r="X449" s="15">
        <f t="shared" si="93"/>
        <v>1.05</v>
      </c>
      <c r="Y449" s="15">
        <f t="shared" si="94"/>
        <v>0.95</v>
      </c>
      <c r="Z449" s="15">
        <f t="shared" ca="1" si="95"/>
        <v>1</v>
      </c>
      <c r="AC449" s="15">
        <f t="shared" ca="1" si="96"/>
        <v>2.852262428238461E-7</v>
      </c>
      <c r="AD449" s="15">
        <f t="shared" ca="1" si="97"/>
        <v>5.3406576638448389E-4</v>
      </c>
      <c r="AE449" s="15">
        <f t="shared" ca="1" si="98"/>
        <v>0.21736476691848494</v>
      </c>
    </row>
    <row r="450" spans="12:31" x14ac:dyDescent="0.3">
      <c r="L450" s="15">
        <v>448</v>
      </c>
      <c r="M450" s="15">
        <f t="shared" si="88"/>
        <v>1</v>
      </c>
      <c r="N450" s="15">
        <f t="shared" ca="1" si="89"/>
        <v>5.3406576638448389E-4</v>
      </c>
      <c r="O450" s="15">
        <f t="shared" ca="1" si="100"/>
        <v>0.25108721844131465</v>
      </c>
      <c r="P450" s="15">
        <f t="shared" ca="1" si="99"/>
        <v>0.25024795910582132</v>
      </c>
      <c r="Q450" s="15">
        <v>0</v>
      </c>
      <c r="R450" s="15">
        <f t="shared" ca="1" si="90"/>
        <v>0.25024795910582132</v>
      </c>
      <c r="S450" s="15">
        <f t="shared" ca="1" si="101"/>
        <v>1.0007004547195812</v>
      </c>
      <c r="T450" s="15">
        <v>0</v>
      </c>
      <c r="U450" s="15">
        <f t="shared" ca="1" si="91"/>
        <v>1.0007004547195812</v>
      </c>
      <c r="V450" s="15">
        <f t="shared" ca="1" si="92"/>
        <v>0.99946593423361552</v>
      </c>
      <c r="X450" s="15">
        <f t="shared" si="93"/>
        <v>1.05</v>
      </c>
      <c r="Y450" s="15">
        <f t="shared" si="94"/>
        <v>0.95</v>
      </c>
      <c r="Z450" s="15">
        <f t="shared" ca="1" si="95"/>
        <v>1</v>
      </c>
      <c r="AC450" s="15">
        <f t="shared" ca="1" si="96"/>
        <v>2.852262428238461E-7</v>
      </c>
      <c r="AD450" s="15">
        <f t="shared" ca="1" si="97"/>
        <v>5.3406576638448389E-4</v>
      </c>
      <c r="AE450" s="15">
        <f t="shared" ca="1" si="98"/>
        <v>0.21789883268486943</v>
      </c>
    </row>
    <row r="451" spans="12:31" x14ac:dyDescent="0.3">
      <c r="L451" s="15">
        <v>449</v>
      </c>
      <c r="M451" s="15">
        <f t="shared" ref="M451:M514" si="102">IF(L451&lt;$D$16,$D$12,IF(L451&lt;$E$16,$E$12,$F$13))</f>
        <v>1</v>
      </c>
      <c r="N451" s="15">
        <f t="shared" ref="N451:N514" ca="1" si="103">M451-V451</f>
        <v>5.3406576638448389E-4</v>
      </c>
      <c r="O451" s="15">
        <f t="shared" ca="1" si="100"/>
        <v>0.25108721844131465</v>
      </c>
      <c r="P451" s="15">
        <f t="shared" ca="1" si="99"/>
        <v>0.25024795910582132</v>
      </c>
      <c r="Q451" s="15">
        <v>0</v>
      </c>
      <c r="R451" s="15">
        <f t="shared" ref="R451:R514" ca="1" si="104">P451+Q451</f>
        <v>0.25024795910582132</v>
      </c>
      <c r="S451" s="15">
        <f t="shared" ca="1" si="101"/>
        <v>1.0006961740236207</v>
      </c>
      <c r="T451" s="15">
        <v>0</v>
      </c>
      <c r="U451" s="15">
        <f t="shared" ref="U451:U514" ca="1" si="105">S451+T451</f>
        <v>1.0006961740236207</v>
      </c>
      <c r="V451" s="15">
        <f t="shared" ref="V451:V514" ca="1" si="106">INT((2^$J$12-1)*U451/100)/(2^$J$12-1)*100</f>
        <v>0.99946593423361552</v>
      </c>
      <c r="X451" s="15">
        <f t="shared" ref="X451:X514" si="107">M451 * 1.05</f>
        <v>1.05</v>
      </c>
      <c r="Y451" s="15">
        <f t="shared" ref="Y451:Y514" si="108">M451 * 0.95</f>
        <v>0.95</v>
      </c>
      <c r="Z451" s="15">
        <f t="shared" ref="Z451:Z514" ca="1" si="109">IF(AND(V451 &lt;= X451, V451 &gt;= Y451), 1, 0)</f>
        <v>1</v>
      </c>
      <c r="AC451" s="15">
        <f t="shared" ref="AC451:AC514" ca="1" si="110">N451^2</f>
        <v>2.852262428238461E-7</v>
      </c>
      <c r="AD451" s="15">
        <f t="shared" ref="AD451:AD514" ca="1" si="111">ABS(N451)</f>
        <v>5.3406576638448389E-4</v>
      </c>
      <c r="AE451" s="15">
        <f t="shared" ref="AE451:AE514" ca="1" si="112">IF(M451&gt;0, ABS(N451)*(L451-$D$16),0)</f>
        <v>0.21843289845125391</v>
      </c>
    </row>
    <row r="452" spans="12:31" x14ac:dyDescent="0.3">
      <c r="L452" s="15">
        <v>450</v>
      </c>
      <c r="M452" s="15">
        <f t="shared" si="102"/>
        <v>1</v>
      </c>
      <c r="N452" s="15">
        <f t="shared" ca="1" si="103"/>
        <v>5.3406576638448389E-4</v>
      </c>
      <c r="O452" s="15">
        <f t="shared" ca="1" si="100"/>
        <v>0.25109731541926417</v>
      </c>
      <c r="P452" s="15">
        <f t="shared" ca="1" si="99"/>
        <v>0.25024795910582132</v>
      </c>
      <c r="Q452" s="15">
        <v>0</v>
      </c>
      <c r="R452" s="15">
        <f t="shared" ca="1" si="104"/>
        <v>0.25024795910582132</v>
      </c>
      <c r="S452" s="15">
        <f t="shared" ca="1" si="101"/>
        <v>1.0006936872396772</v>
      </c>
      <c r="T452" s="15">
        <v>0</v>
      </c>
      <c r="U452" s="15">
        <f t="shared" ca="1" si="105"/>
        <v>1.0006936872396772</v>
      </c>
      <c r="V452" s="15">
        <f t="shared" ca="1" si="106"/>
        <v>0.99946593423361552</v>
      </c>
      <c r="X452" s="15">
        <f t="shared" si="107"/>
        <v>1.05</v>
      </c>
      <c r="Y452" s="15">
        <f t="shared" si="108"/>
        <v>0.95</v>
      </c>
      <c r="Z452" s="15">
        <f t="shared" ca="1" si="109"/>
        <v>1</v>
      </c>
      <c r="AC452" s="15">
        <f t="shared" ca="1" si="110"/>
        <v>2.852262428238461E-7</v>
      </c>
      <c r="AD452" s="15">
        <f t="shared" ca="1" si="111"/>
        <v>5.3406576638448389E-4</v>
      </c>
      <c r="AE452" s="15">
        <f t="shared" ca="1" si="112"/>
        <v>0.21896696421763839</v>
      </c>
    </row>
    <row r="453" spans="12:31" x14ac:dyDescent="0.3">
      <c r="L453" s="15">
        <v>451</v>
      </c>
      <c r="M453" s="15">
        <f t="shared" si="102"/>
        <v>1</v>
      </c>
      <c r="N453" s="15">
        <f t="shared" ca="1" si="103"/>
        <v>5.3406576638448389E-4</v>
      </c>
      <c r="O453" s="15">
        <f t="shared" ca="1" si="100"/>
        <v>0.25109731541926417</v>
      </c>
      <c r="P453" s="15">
        <f t="shared" ca="1" si="99"/>
        <v>0.25024795910582132</v>
      </c>
      <c r="Q453" s="15">
        <v>0</v>
      </c>
      <c r="R453" s="15">
        <f t="shared" ca="1" si="104"/>
        <v>0.25024795910582132</v>
      </c>
      <c r="S453" s="15">
        <f t="shared" ca="1" si="101"/>
        <v>1.0006927771735645</v>
      </c>
      <c r="T453" s="15">
        <v>0</v>
      </c>
      <c r="U453" s="15">
        <f t="shared" ca="1" si="105"/>
        <v>1.0006927771735645</v>
      </c>
      <c r="V453" s="15">
        <f t="shared" ca="1" si="106"/>
        <v>0.99946593423361552</v>
      </c>
      <c r="X453" s="15">
        <f t="shared" si="107"/>
        <v>1.05</v>
      </c>
      <c r="Y453" s="15">
        <f t="shared" si="108"/>
        <v>0.95</v>
      </c>
      <c r="Z453" s="15">
        <f t="shared" ca="1" si="109"/>
        <v>1</v>
      </c>
      <c r="AC453" s="15">
        <f t="shared" ca="1" si="110"/>
        <v>2.852262428238461E-7</v>
      </c>
      <c r="AD453" s="15">
        <f t="shared" ca="1" si="111"/>
        <v>5.3406576638448389E-4</v>
      </c>
      <c r="AE453" s="15">
        <f t="shared" ca="1" si="112"/>
        <v>0.21950102998402288</v>
      </c>
    </row>
    <row r="454" spans="12:31" x14ac:dyDescent="0.3">
      <c r="L454" s="15">
        <v>452</v>
      </c>
      <c r="M454" s="15">
        <f t="shared" si="102"/>
        <v>1</v>
      </c>
      <c r="N454" s="15">
        <f t="shared" ca="1" si="103"/>
        <v>5.3406576638448389E-4</v>
      </c>
      <c r="O454" s="15">
        <f t="shared" ca="1" si="100"/>
        <v>0.25109731541926417</v>
      </c>
      <c r="P454" s="15">
        <f t="shared" ca="1" si="99"/>
        <v>0.25024795910582132</v>
      </c>
      <c r="Q454" s="15">
        <v>0</v>
      </c>
      <c r="R454" s="15">
        <f t="shared" ca="1" si="104"/>
        <v>0.25024795910582132</v>
      </c>
      <c r="S454" s="15">
        <f t="shared" ca="1" si="101"/>
        <v>1.0006932475319905</v>
      </c>
      <c r="T454" s="15">
        <v>0</v>
      </c>
      <c r="U454" s="15">
        <f t="shared" ca="1" si="105"/>
        <v>1.0006932475319905</v>
      </c>
      <c r="V454" s="15">
        <f t="shared" ca="1" si="106"/>
        <v>0.99946593423361552</v>
      </c>
      <c r="X454" s="15">
        <f t="shared" si="107"/>
        <v>1.05</v>
      </c>
      <c r="Y454" s="15">
        <f t="shared" si="108"/>
        <v>0.95</v>
      </c>
      <c r="Z454" s="15">
        <f t="shared" ca="1" si="109"/>
        <v>1</v>
      </c>
      <c r="AC454" s="15">
        <f t="shared" ca="1" si="110"/>
        <v>2.852262428238461E-7</v>
      </c>
      <c r="AD454" s="15">
        <f t="shared" ca="1" si="111"/>
        <v>5.3406576638448389E-4</v>
      </c>
      <c r="AE454" s="15">
        <f t="shared" ca="1" si="112"/>
        <v>0.22003509575040736</v>
      </c>
    </row>
    <row r="455" spans="12:31" x14ac:dyDescent="0.3">
      <c r="L455" s="15">
        <v>453</v>
      </c>
      <c r="M455" s="15">
        <f t="shared" si="102"/>
        <v>1</v>
      </c>
      <c r="N455" s="15">
        <f t="shared" ca="1" si="103"/>
        <v>5.3406576638448389E-4</v>
      </c>
      <c r="O455" s="15">
        <f t="shared" ca="1" si="100"/>
        <v>0.25110741239721368</v>
      </c>
      <c r="P455" s="15">
        <f t="shared" ca="1" si="99"/>
        <v>0.25024795910582132</v>
      </c>
      <c r="Q455" s="15">
        <v>0</v>
      </c>
      <c r="R455" s="15">
        <f t="shared" ca="1" si="104"/>
        <v>0.25024795910582132</v>
      </c>
      <c r="S455" s="15">
        <f t="shared" ca="1" si="101"/>
        <v>1.0006949210997227</v>
      </c>
      <c r="T455" s="15">
        <v>0</v>
      </c>
      <c r="U455" s="15">
        <f t="shared" ca="1" si="105"/>
        <v>1.0006949210997227</v>
      </c>
      <c r="V455" s="15">
        <f t="shared" ca="1" si="106"/>
        <v>0.99946593423361552</v>
      </c>
      <c r="X455" s="15">
        <f t="shared" si="107"/>
        <v>1.05</v>
      </c>
      <c r="Y455" s="15">
        <f t="shared" si="108"/>
        <v>0.95</v>
      </c>
      <c r="Z455" s="15">
        <f t="shared" ca="1" si="109"/>
        <v>1</v>
      </c>
      <c r="AC455" s="15">
        <f t="shared" ca="1" si="110"/>
        <v>2.852262428238461E-7</v>
      </c>
      <c r="AD455" s="15">
        <f t="shared" ca="1" si="111"/>
        <v>5.3406576638448389E-4</v>
      </c>
      <c r="AE455" s="15">
        <f t="shared" ca="1" si="112"/>
        <v>0.22056916151679185</v>
      </c>
    </row>
    <row r="456" spans="12:31" x14ac:dyDescent="0.3">
      <c r="L456" s="15">
        <v>454</v>
      </c>
      <c r="M456" s="15">
        <f t="shared" si="102"/>
        <v>1</v>
      </c>
      <c r="N456" s="15">
        <f t="shared" ca="1" si="103"/>
        <v>5.3406576638448389E-4</v>
      </c>
      <c r="O456" s="15">
        <f t="shared" ca="1" si="100"/>
        <v>0.25110741239721368</v>
      </c>
      <c r="P456" s="15">
        <f t="shared" ca="1" si="99"/>
        <v>0.25024795910582132</v>
      </c>
      <c r="Q456" s="15">
        <v>0</v>
      </c>
      <c r="R456" s="15">
        <f t="shared" ca="1" si="104"/>
        <v>0.25024795910582132</v>
      </c>
      <c r="S456" s="15">
        <f t="shared" ca="1" si="101"/>
        <v>1.0006976380674439</v>
      </c>
      <c r="T456" s="15">
        <v>0</v>
      </c>
      <c r="U456" s="15">
        <f t="shared" ca="1" si="105"/>
        <v>1.0006976380674439</v>
      </c>
      <c r="V456" s="15">
        <f t="shared" ca="1" si="106"/>
        <v>0.99946593423361552</v>
      </c>
      <c r="X456" s="15">
        <f t="shared" si="107"/>
        <v>1.05</v>
      </c>
      <c r="Y456" s="15">
        <f t="shared" si="108"/>
        <v>0.95</v>
      </c>
      <c r="Z456" s="15">
        <f t="shared" ca="1" si="109"/>
        <v>1</v>
      </c>
      <c r="AC456" s="15">
        <f t="shared" ca="1" si="110"/>
        <v>2.852262428238461E-7</v>
      </c>
      <c r="AD456" s="15">
        <f t="shared" ca="1" si="111"/>
        <v>5.3406576638448389E-4</v>
      </c>
      <c r="AE456" s="15">
        <f t="shared" ca="1" si="112"/>
        <v>0.22110322728317633</v>
      </c>
    </row>
    <row r="457" spans="12:31" x14ac:dyDescent="0.3">
      <c r="L457" s="15">
        <v>455</v>
      </c>
      <c r="M457" s="15">
        <f t="shared" si="102"/>
        <v>1</v>
      </c>
      <c r="N457" s="15">
        <f t="shared" ca="1" si="103"/>
        <v>5.3406576638448389E-4</v>
      </c>
      <c r="O457" s="15">
        <f t="shared" ca="1" si="100"/>
        <v>0.25110741239721368</v>
      </c>
      <c r="P457" s="15">
        <f t="shared" ca="1" si="99"/>
        <v>0.25024795910582132</v>
      </c>
      <c r="Q457" s="15">
        <v>0</v>
      </c>
      <c r="R457" s="15">
        <f t="shared" ca="1" si="104"/>
        <v>0.25024795910582132</v>
      </c>
      <c r="S457" s="15">
        <f t="shared" ca="1" si="101"/>
        <v>1.0007012544982432</v>
      </c>
      <c r="T457" s="15">
        <v>0</v>
      </c>
      <c r="U457" s="15">
        <f t="shared" ca="1" si="105"/>
        <v>1.0007012544982432</v>
      </c>
      <c r="V457" s="15">
        <f t="shared" ca="1" si="106"/>
        <v>0.99946593423361552</v>
      </c>
      <c r="X457" s="15">
        <f t="shared" si="107"/>
        <v>1.05</v>
      </c>
      <c r="Y457" s="15">
        <f t="shared" si="108"/>
        <v>0.95</v>
      </c>
      <c r="Z457" s="15">
        <f t="shared" ca="1" si="109"/>
        <v>1</v>
      </c>
      <c r="AC457" s="15">
        <f t="shared" ca="1" si="110"/>
        <v>2.852262428238461E-7</v>
      </c>
      <c r="AD457" s="15">
        <f t="shared" ca="1" si="111"/>
        <v>5.3406576638448389E-4</v>
      </c>
      <c r="AE457" s="15">
        <f t="shared" ca="1" si="112"/>
        <v>0.22163729304956081</v>
      </c>
    </row>
    <row r="458" spans="12:31" x14ac:dyDescent="0.3">
      <c r="L458" s="15">
        <v>456</v>
      </c>
      <c r="M458" s="15">
        <f t="shared" si="102"/>
        <v>1</v>
      </c>
      <c r="N458" s="15">
        <f t="shared" ca="1" si="103"/>
        <v>5.3406576638448389E-4</v>
      </c>
      <c r="O458" s="15">
        <f t="shared" ca="1" si="100"/>
        <v>0.25111750937516319</v>
      </c>
      <c r="P458" s="15">
        <f t="shared" ca="1" si="99"/>
        <v>0.25024795910582132</v>
      </c>
      <c r="Q458" s="15">
        <v>0</v>
      </c>
      <c r="R458" s="15">
        <f t="shared" ca="1" si="104"/>
        <v>0.25024795910582132</v>
      </c>
      <c r="S458" s="15">
        <f t="shared" ca="1" si="101"/>
        <v>1.0007056409216306</v>
      </c>
      <c r="T458" s="15">
        <v>0</v>
      </c>
      <c r="U458" s="15">
        <f t="shared" ca="1" si="105"/>
        <v>1.0007056409216306</v>
      </c>
      <c r="V458" s="15">
        <f t="shared" ca="1" si="106"/>
        <v>0.99946593423361552</v>
      </c>
      <c r="X458" s="15">
        <f t="shared" si="107"/>
        <v>1.05</v>
      </c>
      <c r="Y458" s="15">
        <f t="shared" si="108"/>
        <v>0.95</v>
      </c>
      <c r="Z458" s="15">
        <f t="shared" ca="1" si="109"/>
        <v>1</v>
      </c>
      <c r="AC458" s="15">
        <f t="shared" ca="1" si="110"/>
        <v>2.852262428238461E-7</v>
      </c>
      <c r="AD458" s="15">
        <f t="shared" ca="1" si="111"/>
        <v>5.3406576638448389E-4</v>
      </c>
      <c r="AE458" s="15">
        <f t="shared" ca="1" si="112"/>
        <v>0.2221713588159453</v>
      </c>
    </row>
    <row r="459" spans="12:31" x14ac:dyDescent="0.3">
      <c r="L459" s="15">
        <v>457</v>
      </c>
      <c r="M459" s="15">
        <f t="shared" si="102"/>
        <v>1</v>
      </c>
      <c r="N459" s="15">
        <f t="shared" ca="1" si="103"/>
        <v>5.3406576638448389E-4</v>
      </c>
      <c r="O459" s="15">
        <f t="shared" ca="1" si="100"/>
        <v>0.25111750937516319</v>
      </c>
      <c r="P459" s="15">
        <f t="shared" ca="1" si="99"/>
        <v>0.25024795910582132</v>
      </c>
      <c r="Q459" s="15">
        <v>0</v>
      </c>
      <c r="R459" s="15">
        <f t="shared" ca="1" si="104"/>
        <v>0.25024795910582132</v>
      </c>
      <c r="S459" s="15">
        <f t="shared" ca="1" si="101"/>
        <v>1.0007106810448347</v>
      </c>
      <c r="T459" s="15">
        <v>0</v>
      </c>
      <c r="U459" s="15">
        <f t="shared" ca="1" si="105"/>
        <v>1.0007106810448347</v>
      </c>
      <c r="V459" s="15">
        <f t="shared" ca="1" si="106"/>
        <v>0.99946593423361552</v>
      </c>
      <c r="X459" s="15">
        <f t="shared" si="107"/>
        <v>1.05</v>
      </c>
      <c r="Y459" s="15">
        <f t="shared" si="108"/>
        <v>0.95</v>
      </c>
      <c r="Z459" s="15">
        <f t="shared" ca="1" si="109"/>
        <v>1</v>
      </c>
      <c r="AC459" s="15">
        <f t="shared" ca="1" si="110"/>
        <v>2.852262428238461E-7</v>
      </c>
      <c r="AD459" s="15">
        <f t="shared" ca="1" si="111"/>
        <v>5.3406576638448389E-4</v>
      </c>
      <c r="AE459" s="15">
        <f t="shared" ca="1" si="112"/>
        <v>0.22270542458232978</v>
      </c>
    </row>
    <row r="460" spans="12:31" x14ac:dyDescent="0.3">
      <c r="L460" s="15">
        <v>458</v>
      </c>
      <c r="M460" s="15">
        <f t="shared" si="102"/>
        <v>1</v>
      </c>
      <c r="N460" s="15">
        <f t="shared" ca="1" si="103"/>
        <v>5.3406576638448389E-4</v>
      </c>
      <c r="O460" s="15">
        <f t="shared" ca="1" si="100"/>
        <v>0.25111750937516319</v>
      </c>
      <c r="P460" s="15">
        <f t="shared" ca="1" si="99"/>
        <v>0.25024795910582132</v>
      </c>
      <c r="Q460" s="15">
        <v>0</v>
      </c>
      <c r="R460" s="15">
        <f t="shared" ca="1" si="104"/>
        <v>0.25024795910582132</v>
      </c>
      <c r="S460" s="15">
        <f t="shared" ca="1" si="101"/>
        <v>1.0007162705719472</v>
      </c>
      <c r="T460" s="15">
        <v>0</v>
      </c>
      <c r="U460" s="15">
        <f t="shared" ca="1" si="105"/>
        <v>1.0007162705719472</v>
      </c>
      <c r="V460" s="15">
        <f t="shared" ca="1" si="106"/>
        <v>0.99946593423361552</v>
      </c>
      <c r="X460" s="15">
        <f t="shared" si="107"/>
        <v>1.05</v>
      </c>
      <c r="Y460" s="15">
        <f t="shared" si="108"/>
        <v>0.95</v>
      </c>
      <c r="Z460" s="15">
        <f t="shared" ca="1" si="109"/>
        <v>1</v>
      </c>
      <c r="AC460" s="15">
        <f t="shared" ca="1" si="110"/>
        <v>2.852262428238461E-7</v>
      </c>
      <c r="AD460" s="15">
        <f t="shared" ca="1" si="111"/>
        <v>5.3406576638448389E-4</v>
      </c>
      <c r="AE460" s="15">
        <f t="shared" ca="1" si="112"/>
        <v>0.22323949034871426</v>
      </c>
    </row>
    <row r="461" spans="12:31" x14ac:dyDescent="0.3">
      <c r="L461" s="15">
        <v>459</v>
      </c>
      <c r="M461" s="15">
        <f t="shared" si="102"/>
        <v>1</v>
      </c>
      <c r="N461" s="15">
        <f t="shared" ca="1" si="103"/>
        <v>5.3406576638448389E-4</v>
      </c>
      <c r="O461" s="15">
        <f t="shared" ca="1" si="100"/>
        <v>0.25112760635311271</v>
      </c>
      <c r="P461" s="15">
        <f t="shared" ref="P461:P524" ca="1" si="113">INT((2^$J$12-1)*O461/100)/(2^$J$12-1)*100</f>
        <v>0.25024795910582132</v>
      </c>
      <c r="Q461" s="15">
        <v>0</v>
      </c>
      <c r="R461" s="15">
        <f t="shared" ca="1" si="104"/>
        <v>0.25024795910582132</v>
      </c>
      <c r="S461" s="15">
        <f t="shared" ca="1" si="101"/>
        <v>1.0007355160563249</v>
      </c>
      <c r="T461" s="15">
        <v>0</v>
      </c>
      <c r="U461" s="15">
        <f t="shared" ca="1" si="105"/>
        <v>1.0007355160563249</v>
      </c>
      <c r="V461" s="15">
        <f t="shared" ca="1" si="106"/>
        <v>0.99946593423361552</v>
      </c>
      <c r="X461" s="15">
        <f t="shared" si="107"/>
        <v>1.05</v>
      </c>
      <c r="Y461" s="15">
        <f t="shared" si="108"/>
        <v>0.95</v>
      </c>
      <c r="Z461" s="15">
        <f t="shared" ca="1" si="109"/>
        <v>1</v>
      </c>
      <c r="AC461" s="15">
        <f t="shared" ca="1" si="110"/>
        <v>2.852262428238461E-7</v>
      </c>
      <c r="AD461" s="15">
        <f t="shared" ca="1" si="111"/>
        <v>5.3406576638448389E-4</v>
      </c>
      <c r="AE461" s="15">
        <f t="shared" ca="1" si="112"/>
        <v>0.22377355611509875</v>
      </c>
    </row>
    <row r="462" spans="12:31" x14ac:dyDescent="0.3">
      <c r="L462" s="15">
        <v>460</v>
      </c>
      <c r="M462" s="15">
        <f t="shared" si="102"/>
        <v>1</v>
      </c>
      <c r="N462" s="15">
        <f t="shared" ca="1" si="103"/>
        <v>5.3406576638448389E-4</v>
      </c>
      <c r="O462" s="15">
        <f t="shared" ca="1" si="100"/>
        <v>0.25112760635311271</v>
      </c>
      <c r="P462" s="15">
        <f t="shared" ca="1" si="113"/>
        <v>0.25024795910582132</v>
      </c>
      <c r="Q462" s="15">
        <v>0</v>
      </c>
      <c r="R462" s="15">
        <f t="shared" ca="1" si="104"/>
        <v>0.25024795910582132</v>
      </c>
      <c r="S462" s="15">
        <f t="shared" ca="1" si="101"/>
        <v>1.0007792186176667</v>
      </c>
      <c r="T462" s="15">
        <v>0</v>
      </c>
      <c r="U462" s="15">
        <f t="shared" ca="1" si="105"/>
        <v>1.0007792186176667</v>
      </c>
      <c r="V462" s="15">
        <f t="shared" ca="1" si="106"/>
        <v>0.99946593423361552</v>
      </c>
      <c r="X462" s="15">
        <f t="shared" si="107"/>
        <v>1.05</v>
      </c>
      <c r="Y462" s="15">
        <f t="shared" si="108"/>
        <v>0.95</v>
      </c>
      <c r="Z462" s="15">
        <f t="shared" ca="1" si="109"/>
        <v>1</v>
      </c>
      <c r="AC462" s="15">
        <f t="shared" ca="1" si="110"/>
        <v>2.852262428238461E-7</v>
      </c>
      <c r="AD462" s="15">
        <f t="shared" ca="1" si="111"/>
        <v>5.3406576638448389E-4</v>
      </c>
      <c r="AE462" s="15">
        <f t="shared" ca="1" si="112"/>
        <v>0.22430762188148323</v>
      </c>
    </row>
    <row r="463" spans="12:31" x14ac:dyDescent="0.3">
      <c r="L463" s="15">
        <v>461</v>
      </c>
      <c r="M463" s="15">
        <f t="shared" si="102"/>
        <v>1</v>
      </c>
      <c r="N463" s="15">
        <f t="shared" ca="1" si="103"/>
        <v>5.3406576638448389E-4</v>
      </c>
      <c r="O463" s="15">
        <f t="shared" ca="1" si="100"/>
        <v>0.25112760635311271</v>
      </c>
      <c r="P463" s="15">
        <f t="shared" ca="1" si="113"/>
        <v>0.25024795910582132</v>
      </c>
      <c r="Q463" s="15">
        <v>0</v>
      </c>
      <c r="R463" s="15">
        <f t="shared" ca="1" si="104"/>
        <v>0.25024795910582132</v>
      </c>
      <c r="S463" s="15">
        <f t="shared" ca="1" si="101"/>
        <v>1.0008440889235486</v>
      </c>
      <c r="T463" s="15">
        <v>0</v>
      </c>
      <c r="U463" s="15">
        <f t="shared" ca="1" si="105"/>
        <v>1.0008440889235486</v>
      </c>
      <c r="V463" s="15">
        <f t="shared" ca="1" si="106"/>
        <v>0.99946593423361552</v>
      </c>
      <c r="X463" s="15">
        <f t="shared" si="107"/>
        <v>1.05</v>
      </c>
      <c r="Y463" s="15">
        <f t="shared" si="108"/>
        <v>0.95</v>
      </c>
      <c r="Z463" s="15">
        <f t="shared" ca="1" si="109"/>
        <v>1</v>
      </c>
      <c r="AC463" s="15">
        <f t="shared" ca="1" si="110"/>
        <v>2.852262428238461E-7</v>
      </c>
      <c r="AD463" s="15">
        <f t="shared" ca="1" si="111"/>
        <v>5.3406576638448389E-4</v>
      </c>
      <c r="AE463" s="15">
        <f t="shared" ca="1" si="112"/>
        <v>0.22484168764786772</v>
      </c>
    </row>
    <row r="464" spans="12:31" x14ac:dyDescent="0.3">
      <c r="L464" s="15">
        <v>462</v>
      </c>
      <c r="M464" s="15">
        <f t="shared" si="102"/>
        <v>1</v>
      </c>
      <c r="N464" s="15">
        <f t="shared" ca="1" si="103"/>
        <v>5.3406576638448389E-4</v>
      </c>
      <c r="O464" s="15">
        <f t="shared" ca="1" si="100"/>
        <v>0.25113770333106222</v>
      </c>
      <c r="P464" s="15">
        <f t="shared" ca="1" si="113"/>
        <v>0.25024795910582132</v>
      </c>
      <c r="Q464" s="15">
        <v>0</v>
      </c>
      <c r="R464" s="15">
        <f t="shared" ca="1" si="104"/>
        <v>0.25024795910582132</v>
      </c>
      <c r="S464" s="15">
        <f t="shared" ca="1" si="101"/>
        <v>1.0009139657113668</v>
      </c>
      <c r="T464" s="15">
        <v>0</v>
      </c>
      <c r="U464" s="15">
        <f t="shared" ca="1" si="105"/>
        <v>1.0009139657113668</v>
      </c>
      <c r="V464" s="15">
        <f t="shared" ca="1" si="106"/>
        <v>0.99946593423361552</v>
      </c>
      <c r="X464" s="15">
        <f t="shared" si="107"/>
        <v>1.05</v>
      </c>
      <c r="Y464" s="15">
        <f t="shared" si="108"/>
        <v>0.95</v>
      </c>
      <c r="Z464" s="15">
        <f t="shared" ca="1" si="109"/>
        <v>1</v>
      </c>
      <c r="AC464" s="15">
        <f t="shared" ca="1" si="110"/>
        <v>2.852262428238461E-7</v>
      </c>
      <c r="AD464" s="15">
        <f t="shared" ca="1" si="111"/>
        <v>5.3406576638448389E-4</v>
      </c>
      <c r="AE464" s="15">
        <f t="shared" ca="1" si="112"/>
        <v>0.2253757534142522</v>
      </c>
    </row>
    <row r="465" spans="12:31" x14ac:dyDescent="0.3">
      <c r="L465" s="15">
        <v>463</v>
      </c>
      <c r="M465" s="15">
        <f t="shared" si="102"/>
        <v>1</v>
      </c>
      <c r="N465" s="15">
        <f t="shared" ca="1" si="103"/>
        <v>5.3406576638448389E-4</v>
      </c>
      <c r="O465" s="15">
        <f t="shared" ca="1" si="100"/>
        <v>0.25113770333106222</v>
      </c>
      <c r="P465" s="15">
        <f t="shared" ca="1" si="113"/>
        <v>0.25024795910582132</v>
      </c>
      <c r="Q465" s="15">
        <v>0</v>
      </c>
      <c r="R465" s="15">
        <f t="shared" ca="1" si="104"/>
        <v>0.25024795910582132</v>
      </c>
      <c r="S465" s="15">
        <f t="shared" ca="1" si="101"/>
        <v>1.0009753019704031</v>
      </c>
      <c r="T465" s="15">
        <v>0</v>
      </c>
      <c r="U465" s="15">
        <f t="shared" ca="1" si="105"/>
        <v>1.0009753019704031</v>
      </c>
      <c r="V465" s="15">
        <f t="shared" ca="1" si="106"/>
        <v>0.99946593423361552</v>
      </c>
      <c r="X465" s="15">
        <f t="shared" si="107"/>
        <v>1.05</v>
      </c>
      <c r="Y465" s="15">
        <f t="shared" si="108"/>
        <v>0.95</v>
      </c>
      <c r="Z465" s="15">
        <f t="shared" ca="1" si="109"/>
        <v>1</v>
      </c>
      <c r="AC465" s="15">
        <f t="shared" ca="1" si="110"/>
        <v>2.852262428238461E-7</v>
      </c>
      <c r="AD465" s="15">
        <f t="shared" ca="1" si="111"/>
        <v>5.3406576638448389E-4</v>
      </c>
      <c r="AE465" s="15">
        <f t="shared" ca="1" si="112"/>
        <v>0.22590981918063668</v>
      </c>
    </row>
    <row r="466" spans="12:31" x14ac:dyDescent="0.3">
      <c r="L466" s="15">
        <v>464</v>
      </c>
      <c r="M466" s="15">
        <f t="shared" si="102"/>
        <v>1</v>
      </c>
      <c r="N466" s="15">
        <f t="shared" ca="1" si="103"/>
        <v>-9.9183642328526389E-4</v>
      </c>
      <c r="O466" s="15">
        <f t="shared" ca="1" si="100"/>
        <v>0.25113770333106222</v>
      </c>
      <c r="P466" s="15">
        <f t="shared" ca="1" si="113"/>
        <v>0.25024795910582132</v>
      </c>
      <c r="Q466" s="15">
        <v>0</v>
      </c>
      <c r="R466" s="15">
        <f t="shared" ca="1" si="104"/>
        <v>0.25024795910582132</v>
      </c>
      <c r="S466" s="15">
        <f t="shared" ca="1" si="101"/>
        <v>1.0010289223741382</v>
      </c>
      <c r="T466" s="15">
        <v>0</v>
      </c>
      <c r="U466" s="15">
        <f t="shared" ca="1" si="105"/>
        <v>1.0010289223741382</v>
      </c>
      <c r="V466" s="15">
        <f t="shared" ca="1" si="106"/>
        <v>1.0009918364232853</v>
      </c>
      <c r="X466" s="15">
        <f t="shared" si="107"/>
        <v>1.05</v>
      </c>
      <c r="Y466" s="15">
        <f t="shared" si="108"/>
        <v>0.95</v>
      </c>
      <c r="Z466" s="15">
        <f t="shared" ca="1" si="109"/>
        <v>1</v>
      </c>
      <c r="AC466" s="15">
        <f t="shared" ca="1" si="110"/>
        <v>9.8373949055530516E-7</v>
      </c>
      <c r="AD466" s="15">
        <f t="shared" ca="1" si="111"/>
        <v>9.9183642328526389E-4</v>
      </c>
      <c r="AE466" s="15">
        <f t="shared" ca="1" si="112"/>
        <v>0.42053864347295189</v>
      </c>
    </row>
    <row r="467" spans="12:31" x14ac:dyDescent="0.3">
      <c r="L467" s="15">
        <v>465</v>
      </c>
      <c r="M467" s="15">
        <f t="shared" si="102"/>
        <v>1</v>
      </c>
      <c r="N467" s="15">
        <f t="shared" ca="1" si="103"/>
        <v>-9.9183642328526389E-4</v>
      </c>
      <c r="O467" s="15">
        <f t="shared" ca="1" si="100"/>
        <v>0.2494913930380894</v>
      </c>
      <c r="P467" s="15">
        <f t="shared" ca="1" si="113"/>
        <v>0.24872205691615165</v>
      </c>
      <c r="Q467" s="15">
        <v>0</v>
      </c>
      <c r="R467" s="15">
        <f t="shared" ca="1" si="104"/>
        <v>0.24872205691615165</v>
      </c>
      <c r="S467" s="15">
        <f t="shared" ca="1" si="101"/>
        <v>1.0010755795502277</v>
      </c>
      <c r="T467" s="15">
        <v>0</v>
      </c>
      <c r="U467" s="15">
        <f t="shared" ca="1" si="105"/>
        <v>1.0010755795502277</v>
      </c>
      <c r="V467" s="15">
        <f t="shared" ca="1" si="106"/>
        <v>1.0009918364232853</v>
      </c>
      <c r="X467" s="15">
        <f t="shared" si="107"/>
        <v>1.05</v>
      </c>
      <c r="Y467" s="15">
        <f t="shared" si="108"/>
        <v>0.95</v>
      </c>
      <c r="Z467" s="15">
        <f t="shared" ca="1" si="109"/>
        <v>1</v>
      </c>
      <c r="AC467" s="15">
        <f t="shared" ca="1" si="110"/>
        <v>9.8373949055530516E-7</v>
      </c>
      <c r="AD467" s="15">
        <f t="shared" ca="1" si="111"/>
        <v>9.9183642328526389E-4</v>
      </c>
      <c r="AE467" s="15">
        <f t="shared" ca="1" si="112"/>
        <v>0.42153047989623715</v>
      </c>
    </row>
    <row r="468" spans="12:31" x14ac:dyDescent="0.3">
      <c r="L468" s="15">
        <v>466</v>
      </c>
      <c r="M468" s="15">
        <f t="shared" si="102"/>
        <v>1</v>
      </c>
      <c r="N468" s="15">
        <f t="shared" ca="1" si="103"/>
        <v>-9.9183642328526389E-4</v>
      </c>
      <c r="O468" s="15">
        <f t="shared" ca="1" si="100"/>
        <v>0.2494913930380894</v>
      </c>
      <c r="P468" s="15">
        <f t="shared" ca="1" si="113"/>
        <v>0.24872205691615165</v>
      </c>
      <c r="Q468" s="15">
        <v>0</v>
      </c>
      <c r="R468" s="15">
        <f t="shared" ca="1" si="104"/>
        <v>0.24872205691615165</v>
      </c>
      <c r="S468" s="15">
        <f t="shared" ca="1" si="101"/>
        <v>1.0011159600424004</v>
      </c>
      <c r="T468" s="15">
        <v>0</v>
      </c>
      <c r="U468" s="15">
        <f t="shared" ca="1" si="105"/>
        <v>1.0011159600424004</v>
      </c>
      <c r="V468" s="15">
        <f t="shared" ca="1" si="106"/>
        <v>1.0009918364232853</v>
      </c>
      <c r="X468" s="15">
        <f t="shared" si="107"/>
        <v>1.05</v>
      </c>
      <c r="Y468" s="15">
        <f t="shared" si="108"/>
        <v>0.95</v>
      </c>
      <c r="Z468" s="15">
        <f t="shared" ca="1" si="109"/>
        <v>1</v>
      </c>
      <c r="AC468" s="15">
        <f t="shared" ca="1" si="110"/>
        <v>9.8373949055530516E-7</v>
      </c>
      <c r="AD468" s="15">
        <f t="shared" ca="1" si="111"/>
        <v>9.9183642328526389E-4</v>
      </c>
      <c r="AE468" s="15">
        <f t="shared" ca="1" si="112"/>
        <v>0.42252231631952242</v>
      </c>
    </row>
    <row r="469" spans="12:31" x14ac:dyDescent="0.3">
      <c r="L469" s="15">
        <v>467</v>
      </c>
      <c r="M469" s="15">
        <f t="shared" si="102"/>
        <v>1</v>
      </c>
      <c r="N469" s="15">
        <f t="shared" ca="1" si="103"/>
        <v>-9.9183642328526389E-4</v>
      </c>
      <c r="O469" s="15">
        <f t="shared" ca="1" si="100"/>
        <v>0.2494913930380894</v>
      </c>
      <c r="P469" s="15">
        <f t="shared" ca="1" si="113"/>
        <v>0.24872205691615165</v>
      </c>
      <c r="Q469" s="15">
        <v>0</v>
      </c>
      <c r="R469" s="15">
        <f t="shared" ca="1" si="104"/>
        <v>0.24872205691615165</v>
      </c>
      <c r="S469" s="15">
        <f t="shared" ca="1" si="101"/>
        <v>1.0011506897950861</v>
      </c>
      <c r="T469" s="15">
        <v>0</v>
      </c>
      <c r="U469" s="15">
        <f t="shared" ca="1" si="105"/>
        <v>1.0011506897950861</v>
      </c>
      <c r="V469" s="15">
        <f t="shared" ca="1" si="106"/>
        <v>1.0009918364232853</v>
      </c>
      <c r="X469" s="15">
        <f t="shared" si="107"/>
        <v>1.05</v>
      </c>
      <c r="Y469" s="15">
        <f t="shared" si="108"/>
        <v>0.95</v>
      </c>
      <c r="Z469" s="15">
        <f t="shared" ca="1" si="109"/>
        <v>1</v>
      </c>
      <c r="AC469" s="15">
        <f t="shared" ca="1" si="110"/>
        <v>9.8373949055530516E-7</v>
      </c>
      <c r="AD469" s="15">
        <f t="shared" ca="1" si="111"/>
        <v>9.9183642328526389E-4</v>
      </c>
      <c r="AE469" s="15">
        <f t="shared" ca="1" si="112"/>
        <v>0.42351415274280768</v>
      </c>
    </row>
    <row r="470" spans="12:31" x14ac:dyDescent="0.3">
      <c r="L470" s="15">
        <v>468</v>
      </c>
      <c r="M470" s="15">
        <f t="shared" si="102"/>
        <v>1</v>
      </c>
      <c r="N470" s="15">
        <f t="shared" ca="1" si="103"/>
        <v>-9.9183642328526389E-4</v>
      </c>
      <c r="O470" s="15">
        <f t="shared" ca="1" si="100"/>
        <v>0.25076667304801004</v>
      </c>
      <c r="P470" s="15">
        <f t="shared" ca="1" si="113"/>
        <v>0.25024795910582132</v>
      </c>
      <c r="Q470" s="15">
        <v>0</v>
      </c>
      <c r="R470" s="15">
        <f t="shared" ca="1" si="104"/>
        <v>0.25024795910582132</v>
      </c>
      <c r="S470" s="15">
        <f t="shared" ca="1" si="101"/>
        <v>1.0011803391981569</v>
      </c>
      <c r="T470" s="15">
        <v>0</v>
      </c>
      <c r="U470" s="15">
        <f t="shared" ca="1" si="105"/>
        <v>1.0011803391981569</v>
      </c>
      <c r="V470" s="15">
        <f t="shared" ca="1" si="106"/>
        <v>1.0009918364232853</v>
      </c>
      <c r="X470" s="15">
        <f t="shared" si="107"/>
        <v>1.05</v>
      </c>
      <c r="Y470" s="15">
        <f t="shared" si="108"/>
        <v>0.95</v>
      </c>
      <c r="Z470" s="15">
        <f t="shared" ca="1" si="109"/>
        <v>1</v>
      </c>
      <c r="AC470" s="15">
        <f t="shared" ca="1" si="110"/>
        <v>9.8373949055530516E-7</v>
      </c>
      <c r="AD470" s="15">
        <f t="shared" ca="1" si="111"/>
        <v>9.9183642328526389E-4</v>
      </c>
      <c r="AE470" s="15">
        <f t="shared" ca="1" si="112"/>
        <v>0.42450598916609295</v>
      </c>
    </row>
    <row r="471" spans="12:31" x14ac:dyDescent="0.3">
      <c r="L471" s="15">
        <v>469</v>
      </c>
      <c r="M471" s="15">
        <f t="shared" si="102"/>
        <v>1</v>
      </c>
      <c r="N471" s="15">
        <f t="shared" ca="1" si="103"/>
        <v>-9.9183642328526389E-4</v>
      </c>
      <c r="O471" s="15">
        <f t="shared" ca="1" si="100"/>
        <v>0.25076667304801004</v>
      </c>
      <c r="P471" s="15">
        <f t="shared" ca="1" si="113"/>
        <v>0.25024795910582132</v>
      </c>
      <c r="Q471" s="15">
        <v>0</v>
      </c>
      <c r="R471" s="15">
        <f t="shared" ca="1" si="104"/>
        <v>0.25024795910582132</v>
      </c>
      <c r="S471" s="15">
        <f t="shared" ca="1" si="101"/>
        <v>1.0012054277262825</v>
      </c>
      <c r="T471" s="15">
        <v>0</v>
      </c>
      <c r="U471" s="15">
        <f t="shared" ca="1" si="105"/>
        <v>1.0012054277262825</v>
      </c>
      <c r="V471" s="15">
        <f t="shared" ca="1" si="106"/>
        <v>1.0009918364232853</v>
      </c>
      <c r="X471" s="15">
        <f t="shared" si="107"/>
        <v>1.05</v>
      </c>
      <c r="Y471" s="15">
        <f t="shared" si="108"/>
        <v>0.95</v>
      </c>
      <c r="Z471" s="15">
        <f t="shared" ca="1" si="109"/>
        <v>1</v>
      </c>
      <c r="AC471" s="15">
        <f t="shared" ca="1" si="110"/>
        <v>9.8373949055530516E-7</v>
      </c>
      <c r="AD471" s="15">
        <f t="shared" ca="1" si="111"/>
        <v>9.9183642328526389E-4</v>
      </c>
      <c r="AE471" s="15">
        <f t="shared" ca="1" si="112"/>
        <v>0.42549782558937821</v>
      </c>
    </row>
    <row r="472" spans="12:31" x14ac:dyDescent="0.3">
      <c r="L472" s="15">
        <v>470</v>
      </c>
      <c r="M472" s="15">
        <f t="shared" si="102"/>
        <v>1</v>
      </c>
      <c r="N472" s="15">
        <f t="shared" ca="1" si="103"/>
        <v>-9.9183642328526389E-4</v>
      </c>
      <c r="O472" s="15">
        <f t="shared" ca="1" si="100"/>
        <v>0.25076667304801004</v>
      </c>
      <c r="P472" s="15">
        <f t="shared" ca="1" si="113"/>
        <v>0.25024795910582132</v>
      </c>
      <c r="Q472" s="15">
        <v>0</v>
      </c>
      <c r="R472" s="15">
        <f t="shared" ca="1" si="104"/>
        <v>0.25024795910582132</v>
      </c>
      <c r="S472" s="15">
        <f t="shared" ca="1" si="101"/>
        <v>1.0012264282047356</v>
      </c>
      <c r="T472" s="15">
        <v>0</v>
      </c>
      <c r="U472" s="15">
        <f t="shared" ca="1" si="105"/>
        <v>1.0012264282047356</v>
      </c>
      <c r="V472" s="15">
        <f t="shared" ca="1" si="106"/>
        <v>1.0009918364232853</v>
      </c>
      <c r="X472" s="15">
        <f t="shared" si="107"/>
        <v>1.05</v>
      </c>
      <c r="Y472" s="15">
        <f t="shared" si="108"/>
        <v>0.95</v>
      </c>
      <c r="Z472" s="15">
        <f t="shared" ca="1" si="109"/>
        <v>1</v>
      </c>
      <c r="AC472" s="15">
        <f t="shared" ca="1" si="110"/>
        <v>9.8373949055530516E-7</v>
      </c>
      <c r="AD472" s="15">
        <f t="shared" ca="1" si="111"/>
        <v>9.9183642328526389E-4</v>
      </c>
      <c r="AE472" s="15">
        <f t="shared" ca="1" si="112"/>
        <v>0.42648966201266347</v>
      </c>
    </row>
    <row r="473" spans="12:31" x14ac:dyDescent="0.3">
      <c r="L473" s="15">
        <v>471</v>
      </c>
      <c r="M473" s="15">
        <f t="shared" si="102"/>
        <v>1</v>
      </c>
      <c r="N473" s="15">
        <f t="shared" ca="1" si="103"/>
        <v>-9.9183642328526389E-4</v>
      </c>
      <c r="O473" s="15">
        <f t="shared" ca="1" si="100"/>
        <v>0.25074792151753234</v>
      </c>
      <c r="P473" s="15">
        <f t="shared" ca="1" si="113"/>
        <v>0.25024795910582132</v>
      </c>
      <c r="Q473" s="15">
        <v>0</v>
      </c>
      <c r="R473" s="15">
        <f t="shared" ca="1" si="104"/>
        <v>0.25024795910582132</v>
      </c>
      <c r="S473" s="15">
        <f t="shared" ca="1" si="101"/>
        <v>1.0012437707310202</v>
      </c>
      <c r="T473" s="15">
        <v>0</v>
      </c>
      <c r="U473" s="15">
        <f t="shared" ca="1" si="105"/>
        <v>1.0012437707310202</v>
      </c>
      <c r="V473" s="15">
        <f t="shared" ca="1" si="106"/>
        <v>1.0009918364232853</v>
      </c>
      <c r="X473" s="15">
        <f t="shared" si="107"/>
        <v>1.05</v>
      </c>
      <c r="Y473" s="15">
        <f t="shared" si="108"/>
        <v>0.95</v>
      </c>
      <c r="Z473" s="15">
        <f t="shared" ca="1" si="109"/>
        <v>1</v>
      </c>
      <c r="AC473" s="15">
        <f t="shared" ca="1" si="110"/>
        <v>9.8373949055530516E-7</v>
      </c>
      <c r="AD473" s="15">
        <f t="shared" ca="1" si="111"/>
        <v>9.9183642328526389E-4</v>
      </c>
      <c r="AE473" s="15">
        <f t="shared" ca="1" si="112"/>
        <v>0.42748149843594874</v>
      </c>
    </row>
    <row r="474" spans="12:31" x14ac:dyDescent="0.3">
      <c r="L474" s="15">
        <v>472</v>
      </c>
      <c r="M474" s="15">
        <f t="shared" si="102"/>
        <v>1</v>
      </c>
      <c r="N474" s="15">
        <f t="shared" ca="1" si="103"/>
        <v>-9.9183642328526389E-4</v>
      </c>
      <c r="O474" s="15">
        <f t="shared" ca="1" si="100"/>
        <v>0.25074792151753234</v>
      </c>
      <c r="P474" s="15">
        <f t="shared" ca="1" si="113"/>
        <v>0.25024795910582132</v>
      </c>
      <c r="Q474" s="15">
        <v>0</v>
      </c>
      <c r="R474" s="15">
        <f t="shared" ca="1" si="104"/>
        <v>0.25024795910582132</v>
      </c>
      <c r="S474" s="15">
        <f t="shared" ca="1" si="101"/>
        <v>1.0012578462794259</v>
      </c>
      <c r="T474" s="15">
        <v>0</v>
      </c>
      <c r="U474" s="15">
        <f t="shared" ca="1" si="105"/>
        <v>1.0012578462794259</v>
      </c>
      <c r="V474" s="15">
        <f t="shared" ca="1" si="106"/>
        <v>1.0009918364232853</v>
      </c>
      <c r="X474" s="15">
        <f t="shared" si="107"/>
        <v>1.05</v>
      </c>
      <c r="Y474" s="15">
        <f t="shared" si="108"/>
        <v>0.95</v>
      </c>
      <c r="Z474" s="15">
        <f t="shared" ca="1" si="109"/>
        <v>1</v>
      </c>
      <c r="AC474" s="15">
        <f t="shared" ca="1" si="110"/>
        <v>9.8373949055530516E-7</v>
      </c>
      <c r="AD474" s="15">
        <f t="shared" ca="1" si="111"/>
        <v>9.9183642328526389E-4</v>
      </c>
      <c r="AE474" s="15">
        <f t="shared" ca="1" si="112"/>
        <v>0.428473334859234</v>
      </c>
    </row>
    <row r="475" spans="12:31" x14ac:dyDescent="0.3">
      <c r="L475" s="15">
        <v>473</v>
      </c>
      <c r="M475" s="15">
        <f t="shared" si="102"/>
        <v>1</v>
      </c>
      <c r="N475" s="15">
        <f t="shared" ca="1" si="103"/>
        <v>-9.9183642328526389E-4</v>
      </c>
      <c r="O475" s="15">
        <f t="shared" ca="1" si="100"/>
        <v>0.25074792151753234</v>
      </c>
      <c r="P475" s="15">
        <f t="shared" ca="1" si="113"/>
        <v>0.25024795910582132</v>
      </c>
      <c r="Q475" s="15">
        <v>0</v>
      </c>
      <c r="R475" s="15">
        <f t="shared" ca="1" si="104"/>
        <v>0.25024795910582132</v>
      </c>
      <c r="S475" s="15">
        <f t="shared" ca="1" si="101"/>
        <v>1.0012690100135095</v>
      </c>
      <c r="T475" s="15">
        <v>0</v>
      </c>
      <c r="U475" s="15">
        <f t="shared" ca="1" si="105"/>
        <v>1.0012690100135095</v>
      </c>
      <c r="V475" s="15">
        <f t="shared" ca="1" si="106"/>
        <v>1.0009918364232853</v>
      </c>
      <c r="X475" s="15">
        <f t="shared" si="107"/>
        <v>1.05</v>
      </c>
      <c r="Y475" s="15">
        <f t="shared" si="108"/>
        <v>0.95</v>
      </c>
      <c r="Z475" s="15">
        <f t="shared" ca="1" si="109"/>
        <v>1</v>
      </c>
      <c r="AC475" s="15">
        <f t="shared" ca="1" si="110"/>
        <v>9.8373949055530516E-7</v>
      </c>
      <c r="AD475" s="15">
        <f t="shared" ca="1" si="111"/>
        <v>9.9183642328526389E-4</v>
      </c>
      <c r="AE475" s="15">
        <f t="shared" ca="1" si="112"/>
        <v>0.42946517128251926</v>
      </c>
    </row>
    <row r="476" spans="12:31" x14ac:dyDescent="0.3">
      <c r="L476" s="15">
        <v>474</v>
      </c>
      <c r="M476" s="15">
        <f t="shared" si="102"/>
        <v>1</v>
      </c>
      <c r="N476" s="15">
        <f t="shared" ca="1" si="103"/>
        <v>-9.9183642328526389E-4</v>
      </c>
      <c r="O476" s="15">
        <f t="shared" ca="1" si="100"/>
        <v>0.25072916998705463</v>
      </c>
      <c r="P476" s="15">
        <f t="shared" ca="1" si="113"/>
        <v>0.25024795910582132</v>
      </c>
      <c r="Q476" s="15">
        <v>0</v>
      </c>
      <c r="R476" s="15">
        <f t="shared" ca="1" si="104"/>
        <v>0.25024795910582132</v>
      </c>
      <c r="S476" s="15">
        <f t="shared" ca="1" si="101"/>
        <v>1.0012775843295689</v>
      </c>
      <c r="T476" s="15">
        <v>0</v>
      </c>
      <c r="U476" s="15">
        <f t="shared" ca="1" si="105"/>
        <v>1.0012775843295689</v>
      </c>
      <c r="V476" s="15">
        <f t="shared" ca="1" si="106"/>
        <v>1.0009918364232853</v>
      </c>
      <c r="X476" s="15">
        <f t="shared" si="107"/>
        <v>1.05</v>
      </c>
      <c r="Y476" s="15">
        <f t="shared" si="108"/>
        <v>0.95</v>
      </c>
      <c r="Z476" s="15">
        <f t="shared" ca="1" si="109"/>
        <v>1</v>
      </c>
      <c r="AC476" s="15">
        <f t="shared" ca="1" si="110"/>
        <v>9.8373949055530516E-7</v>
      </c>
      <c r="AD476" s="15">
        <f t="shared" ca="1" si="111"/>
        <v>9.9183642328526389E-4</v>
      </c>
      <c r="AE476" s="15">
        <f t="shared" ca="1" si="112"/>
        <v>0.43045700770580453</v>
      </c>
    </row>
    <row r="477" spans="12:31" x14ac:dyDescent="0.3">
      <c r="L477" s="15">
        <v>475</v>
      </c>
      <c r="M477" s="15">
        <f t="shared" si="102"/>
        <v>1</v>
      </c>
      <c r="N477" s="15">
        <f t="shared" ca="1" si="103"/>
        <v>-9.9183642328526389E-4</v>
      </c>
      <c r="O477" s="15">
        <f t="shared" ca="1" si="100"/>
        <v>0.25072916998705463</v>
      </c>
      <c r="P477" s="15">
        <f t="shared" ca="1" si="113"/>
        <v>0.25024795910582132</v>
      </c>
      <c r="Q477" s="15">
        <v>0</v>
      </c>
      <c r="R477" s="15">
        <f t="shared" ca="1" si="104"/>
        <v>0.25024795910582132</v>
      </c>
      <c r="S477" s="15">
        <f t="shared" ca="1" si="101"/>
        <v>1.0012838616523823</v>
      </c>
      <c r="T477" s="15">
        <v>0</v>
      </c>
      <c r="U477" s="15">
        <f t="shared" ca="1" si="105"/>
        <v>1.0012838616523823</v>
      </c>
      <c r="V477" s="15">
        <f t="shared" ca="1" si="106"/>
        <v>1.0009918364232853</v>
      </c>
      <c r="X477" s="15">
        <f t="shared" si="107"/>
        <v>1.05</v>
      </c>
      <c r="Y477" s="15">
        <f t="shared" si="108"/>
        <v>0.95</v>
      </c>
      <c r="Z477" s="15">
        <f t="shared" ca="1" si="109"/>
        <v>1</v>
      </c>
      <c r="AC477" s="15">
        <f t="shared" ca="1" si="110"/>
        <v>9.8373949055530516E-7</v>
      </c>
      <c r="AD477" s="15">
        <f t="shared" ca="1" si="111"/>
        <v>9.9183642328526389E-4</v>
      </c>
      <c r="AE477" s="15">
        <f t="shared" ca="1" si="112"/>
        <v>0.43144884412908979</v>
      </c>
    </row>
    <row r="478" spans="12:31" x14ac:dyDescent="0.3">
      <c r="L478" s="15">
        <v>476</v>
      </c>
      <c r="M478" s="15">
        <f t="shared" si="102"/>
        <v>1</v>
      </c>
      <c r="N478" s="15">
        <f t="shared" ca="1" si="103"/>
        <v>-9.9183642328526389E-4</v>
      </c>
      <c r="O478" s="15">
        <f t="shared" ca="1" si="100"/>
        <v>0.25072916998705463</v>
      </c>
      <c r="P478" s="15">
        <f t="shared" ca="1" si="113"/>
        <v>0.25024795910582132</v>
      </c>
      <c r="Q478" s="15">
        <v>0</v>
      </c>
      <c r="R478" s="15">
        <f t="shared" ca="1" si="104"/>
        <v>0.25024795910582132</v>
      </c>
      <c r="S478" s="15">
        <f t="shared" ca="1" si="101"/>
        <v>1.0012881070028345</v>
      </c>
      <c r="T478" s="15">
        <v>0</v>
      </c>
      <c r="U478" s="15">
        <f t="shared" ca="1" si="105"/>
        <v>1.0012881070028345</v>
      </c>
      <c r="V478" s="15">
        <f t="shared" ca="1" si="106"/>
        <v>1.0009918364232853</v>
      </c>
      <c r="X478" s="15">
        <f t="shared" si="107"/>
        <v>1.05</v>
      </c>
      <c r="Y478" s="15">
        <f t="shared" si="108"/>
        <v>0.95</v>
      </c>
      <c r="Z478" s="15">
        <f t="shared" ca="1" si="109"/>
        <v>1</v>
      </c>
      <c r="AC478" s="15">
        <f t="shared" ca="1" si="110"/>
        <v>9.8373949055530516E-7</v>
      </c>
      <c r="AD478" s="15">
        <f t="shared" ca="1" si="111"/>
        <v>9.9183642328526389E-4</v>
      </c>
      <c r="AE478" s="15">
        <f t="shared" ca="1" si="112"/>
        <v>0.43244068055237506</v>
      </c>
    </row>
    <row r="479" spans="12:31" x14ac:dyDescent="0.3">
      <c r="L479" s="15">
        <v>477</v>
      </c>
      <c r="M479" s="15">
        <f t="shared" si="102"/>
        <v>1</v>
      </c>
      <c r="N479" s="15">
        <f t="shared" ca="1" si="103"/>
        <v>-9.9183642328526389E-4</v>
      </c>
      <c r="O479" s="15">
        <f t="shared" ca="1" si="100"/>
        <v>0.25071041845657693</v>
      </c>
      <c r="P479" s="15">
        <f t="shared" ca="1" si="113"/>
        <v>0.25024795910582132</v>
      </c>
      <c r="Q479" s="15">
        <v>0</v>
      </c>
      <c r="R479" s="15">
        <f t="shared" ca="1" si="104"/>
        <v>0.25024795910582132</v>
      </c>
      <c r="S479" s="15">
        <f t="shared" ca="1" si="101"/>
        <v>1.001290560355528</v>
      </c>
      <c r="T479" s="15">
        <v>0</v>
      </c>
      <c r="U479" s="15">
        <f t="shared" ca="1" si="105"/>
        <v>1.001290560355528</v>
      </c>
      <c r="V479" s="15">
        <f t="shared" ca="1" si="106"/>
        <v>1.0009918364232853</v>
      </c>
      <c r="X479" s="15">
        <f t="shared" si="107"/>
        <v>1.05</v>
      </c>
      <c r="Y479" s="15">
        <f t="shared" si="108"/>
        <v>0.95</v>
      </c>
      <c r="Z479" s="15">
        <f t="shared" ca="1" si="109"/>
        <v>1</v>
      </c>
      <c r="AC479" s="15">
        <f t="shared" ca="1" si="110"/>
        <v>9.8373949055530516E-7</v>
      </c>
      <c r="AD479" s="15">
        <f t="shared" ca="1" si="111"/>
        <v>9.9183642328526389E-4</v>
      </c>
      <c r="AE479" s="15">
        <f t="shared" ca="1" si="112"/>
        <v>0.43343251697566032</v>
      </c>
    </row>
    <row r="480" spans="12:31" x14ac:dyDescent="0.3">
      <c r="L480" s="15">
        <v>478</v>
      </c>
      <c r="M480" s="15">
        <f t="shared" si="102"/>
        <v>1</v>
      </c>
      <c r="N480" s="15">
        <f t="shared" ca="1" si="103"/>
        <v>-9.9183642328526389E-4</v>
      </c>
      <c r="O480" s="15">
        <f t="shared" ca="1" si="100"/>
        <v>0.25071041845657693</v>
      </c>
      <c r="P480" s="15">
        <f t="shared" ca="1" si="113"/>
        <v>0.25024795910582132</v>
      </c>
      <c r="Q480" s="15">
        <v>0</v>
      </c>
      <c r="R480" s="15">
        <f t="shared" ca="1" si="104"/>
        <v>0.25024795910582132</v>
      </c>
      <c r="S480" s="15">
        <f t="shared" ca="1" si="101"/>
        <v>1.0012914388030618</v>
      </c>
      <c r="T480" s="15">
        <v>0</v>
      </c>
      <c r="U480" s="15">
        <f t="shared" ca="1" si="105"/>
        <v>1.0012914388030618</v>
      </c>
      <c r="V480" s="15">
        <f t="shared" ca="1" si="106"/>
        <v>1.0009918364232853</v>
      </c>
      <c r="X480" s="15">
        <f t="shared" si="107"/>
        <v>1.05</v>
      </c>
      <c r="Y480" s="15">
        <f t="shared" si="108"/>
        <v>0.95</v>
      </c>
      <c r="Z480" s="15">
        <f t="shared" ca="1" si="109"/>
        <v>1</v>
      </c>
      <c r="AC480" s="15">
        <f t="shared" ca="1" si="110"/>
        <v>9.8373949055530516E-7</v>
      </c>
      <c r="AD480" s="15">
        <f t="shared" ca="1" si="111"/>
        <v>9.9183642328526389E-4</v>
      </c>
      <c r="AE480" s="15">
        <f t="shared" ca="1" si="112"/>
        <v>0.43442435339894558</v>
      </c>
    </row>
    <row r="481" spans="12:31" x14ac:dyDescent="0.3">
      <c r="L481" s="15">
        <v>479</v>
      </c>
      <c r="M481" s="15">
        <f t="shared" si="102"/>
        <v>1</v>
      </c>
      <c r="N481" s="15">
        <f t="shared" ca="1" si="103"/>
        <v>-9.9183642328526389E-4</v>
      </c>
      <c r="O481" s="15">
        <f t="shared" ca="1" si="100"/>
        <v>0.25071041845657693</v>
      </c>
      <c r="P481" s="15">
        <f t="shared" ca="1" si="113"/>
        <v>0.25024795910582132</v>
      </c>
      <c r="Q481" s="15">
        <v>0</v>
      </c>
      <c r="R481" s="15">
        <f t="shared" ca="1" si="104"/>
        <v>0.25024795910582132</v>
      </c>
      <c r="S481" s="15">
        <f t="shared" ca="1" si="101"/>
        <v>1.0012909385423687</v>
      </c>
      <c r="T481" s="15">
        <v>0</v>
      </c>
      <c r="U481" s="15">
        <f t="shared" ca="1" si="105"/>
        <v>1.0012909385423687</v>
      </c>
      <c r="V481" s="15">
        <f t="shared" ca="1" si="106"/>
        <v>1.0009918364232853</v>
      </c>
      <c r="X481" s="15">
        <f t="shared" si="107"/>
        <v>1.05</v>
      </c>
      <c r="Y481" s="15">
        <f t="shared" si="108"/>
        <v>0.95</v>
      </c>
      <c r="Z481" s="15">
        <f t="shared" ca="1" si="109"/>
        <v>1</v>
      </c>
      <c r="AC481" s="15">
        <f t="shared" ca="1" si="110"/>
        <v>9.8373949055530516E-7</v>
      </c>
      <c r="AD481" s="15">
        <f t="shared" ca="1" si="111"/>
        <v>9.9183642328526389E-4</v>
      </c>
      <c r="AE481" s="15">
        <f t="shared" ca="1" si="112"/>
        <v>0.43541618982223085</v>
      </c>
    </row>
    <row r="482" spans="12:31" x14ac:dyDescent="0.3">
      <c r="L482" s="15">
        <v>480</v>
      </c>
      <c r="M482" s="15">
        <f t="shared" si="102"/>
        <v>1</v>
      </c>
      <c r="N482" s="15">
        <f t="shared" ca="1" si="103"/>
        <v>-9.9183642328526389E-4</v>
      </c>
      <c r="O482" s="15">
        <f t="shared" ca="1" si="100"/>
        <v>0.25069166692609923</v>
      </c>
      <c r="P482" s="15">
        <f t="shared" ca="1" si="113"/>
        <v>0.25024795910582132</v>
      </c>
      <c r="Q482" s="15">
        <v>0</v>
      </c>
      <c r="R482" s="15">
        <f t="shared" ca="1" si="104"/>
        <v>0.25024795910582132</v>
      </c>
      <c r="S482" s="15">
        <f t="shared" ca="1" si="101"/>
        <v>1.0012892366972939</v>
      </c>
      <c r="T482" s="15">
        <v>0</v>
      </c>
      <c r="U482" s="15">
        <f t="shared" ca="1" si="105"/>
        <v>1.0012892366972939</v>
      </c>
      <c r="V482" s="15">
        <f t="shared" ca="1" si="106"/>
        <v>1.0009918364232853</v>
      </c>
      <c r="X482" s="15">
        <f t="shared" si="107"/>
        <v>1.05</v>
      </c>
      <c r="Y482" s="15">
        <f t="shared" si="108"/>
        <v>0.95</v>
      </c>
      <c r="Z482" s="15">
        <f t="shared" ca="1" si="109"/>
        <v>1</v>
      </c>
      <c r="AC482" s="15">
        <f t="shared" ca="1" si="110"/>
        <v>9.8373949055530516E-7</v>
      </c>
      <c r="AD482" s="15">
        <f t="shared" ca="1" si="111"/>
        <v>9.9183642328526389E-4</v>
      </c>
      <c r="AE482" s="15">
        <f t="shared" ca="1" si="112"/>
        <v>0.43640802624551611</v>
      </c>
    </row>
    <row r="483" spans="12:31" x14ac:dyDescent="0.3">
      <c r="L483" s="15">
        <v>481</v>
      </c>
      <c r="M483" s="15">
        <f t="shared" si="102"/>
        <v>1</v>
      </c>
      <c r="N483" s="15">
        <f t="shared" ca="1" si="103"/>
        <v>-9.9183642328526389E-4</v>
      </c>
      <c r="O483" s="15">
        <f t="shared" ca="1" si="100"/>
        <v>0.25069166692609923</v>
      </c>
      <c r="P483" s="15">
        <f t="shared" ca="1" si="113"/>
        <v>0.25024795910582132</v>
      </c>
      <c r="Q483" s="15">
        <v>0</v>
      </c>
      <c r="R483" s="15">
        <f t="shared" ca="1" si="104"/>
        <v>0.25024795910582132</v>
      </c>
      <c r="S483" s="15">
        <f t="shared" ca="1" si="101"/>
        <v>1.0012864929904952</v>
      </c>
      <c r="T483" s="15">
        <v>0</v>
      </c>
      <c r="U483" s="15">
        <f t="shared" ca="1" si="105"/>
        <v>1.0012864929904952</v>
      </c>
      <c r="V483" s="15">
        <f t="shared" ca="1" si="106"/>
        <v>1.0009918364232853</v>
      </c>
      <c r="X483" s="15">
        <f t="shared" si="107"/>
        <v>1.05</v>
      </c>
      <c r="Y483" s="15">
        <f t="shared" si="108"/>
        <v>0.95</v>
      </c>
      <c r="Z483" s="15">
        <f t="shared" ca="1" si="109"/>
        <v>1</v>
      </c>
      <c r="AC483" s="15">
        <f t="shared" ca="1" si="110"/>
        <v>9.8373949055530516E-7</v>
      </c>
      <c r="AD483" s="15">
        <f t="shared" ca="1" si="111"/>
        <v>9.9183642328526389E-4</v>
      </c>
      <c r="AE483" s="15">
        <f t="shared" ca="1" si="112"/>
        <v>0.43739986266880138</v>
      </c>
    </row>
    <row r="484" spans="12:31" x14ac:dyDescent="0.3">
      <c r="L484" s="15">
        <v>482</v>
      </c>
      <c r="M484" s="15">
        <f t="shared" si="102"/>
        <v>1</v>
      </c>
      <c r="N484" s="15">
        <f t="shared" ca="1" si="103"/>
        <v>-9.9183642328526389E-4</v>
      </c>
      <c r="O484" s="15">
        <f t="shared" ca="1" si="100"/>
        <v>0.25069166692609923</v>
      </c>
      <c r="P484" s="15">
        <f t="shared" ca="1" si="113"/>
        <v>0.25024795910582132</v>
      </c>
      <c r="Q484" s="15">
        <v>0</v>
      </c>
      <c r="R484" s="15">
        <f t="shared" ca="1" si="104"/>
        <v>0.25024795910582132</v>
      </c>
      <c r="S484" s="15">
        <f t="shared" ca="1" si="101"/>
        <v>1.001282851276718</v>
      </c>
      <c r="T484" s="15">
        <v>0</v>
      </c>
      <c r="U484" s="15">
        <f t="shared" ca="1" si="105"/>
        <v>1.001282851276718</v>
      </c>
      <c r="V484" s="15">
        <f t="shared" ca="1" si="106"/>
        <v>1.0009918364232853</v>
      </c>
      <c r="X484" s="15">
        <f t="shared" si="107"/>
        <v>1.05</v>
      </c>
      <c r="Y484" s="15">
        <f t="shared" si="108"/>
        <v>0.95</v>
      </c>
      <c r="Z484" s="15">
        <f t="shared" ca="1" si="109"/>
        <v>1</v>
      </c>
      <c r="AC484" s="15">
        <f t="shared" ca="1" si="110"/>
        <v>9.8373949055530516E-7</v>
      </c>
      <c r="AD484" s="15">
        <f t="shared" ca="1" si="111"/>
        <v>9.9183642328526389E-4</v>
      </c>
      <c r="AE484" s="15">
        <f t="shared" ca="1" si="112"/>
        <v>0.43839169909208664</v>
      </c>
    </row>
    <row r="485" spans="12:31" x14ac:dyDescent="0.3">
      <c r="L485" s="15">
        <v>483</v>
      </c>
      <c r="M485" s="15">
        <f t="shared" si="102"/>
        <v>1</v>
      </c>
      <c r="N485" s="15">
        <f t="shared" ca="1" si="103"/>
        <v>-9.9183642328526389E-4</v>
      </c>
      <c r="O485" s="15">
        <f t="shared" ca="1" si="100"/>
        <v>0.25067291539562153</v>
      </c>
      <c r="P485" s="15">
        <f t="shared" ca="1" si="113"/>
        <v>0.25024795910582132</v>
      </c>
      <c r="Q485" s="15">
        <v>0</v>
      </c>
      <c r="R485" s="15">
        <f t="shared" ca="1" si="104"/>
        <v>0.25024795910582132</v>
      </c>
      <c r="S485" s="15">
        <f t="shared" ca="1" si="101"/>
        <v>1.0012784409485578</v>
      </c>
      <c r="T485" s="15">
        <v>0</v>
      </c>
      <c r="U485" s="15">
        <f t="shared" ca="1" si="105"/>
        <v>1.0012784409485578</v>
      </c>
      <c r="V485" s="15">
        <f t="shared" ca="1" si="106"/>
        <v>1.0009918364232853</v>
      </c>
      <c r="X485" s="15">
        <f t="shared" si="107"/>
        <v>1.05</v>
      </c>
      <c r="Y485" s="15">
        <f t="shared" si="108"/>
        <v>0.95</v>
      </c>
      <c r="Z485" s="15">
        <f t="shared" ca="1" si="109"/>
        <v>1</v>
      </c>
      <c r="AC485" s="15">
        <f t="shared" ca="1" si="110"/>
        <v>9.8373949055530516E-7</v>
      </c>
      <c r="AD485" s="15">
        <f t="shared" ca="1" si="111"/>
        <v>9.9183642328526389E-4</v>
      </c>
      <c r="AE485" s="15">
        <f t="shared" ca="1" si="112"/>
        <v>0.4393835355153719</v>
      </c>
    </row>
    <row r="486" spans="12:31" x14ac:dyDescent="0.3">
      <c r="L486" s="15">
        <v>484</v>
      </c>
      <c r="M486" s="15">
        <f t="shared" si="102"/>
        <v>1</v>
      </c>
      <c r="N486" s="15">
        <f t="shared" ca="1" si="103"/>
        <v>-9.9183642328526389E-4</v>
      </c>
      <c r="O486" s="15">
        <f t="shared" ca="1" si="100"/>
        <v>0.25067291539562153</v>
      </c>
      <c r="P486" s="15">
        <f t="shared" ca="1" si="113"/>
        <v>0.25024795910582132</v>
      </c>
      <c r="Q486" s="15">
        <v>0</v>
      </c>
      <c r="R486" s="15">
        <f t="shared" ca="1" si="104"/>
        <v>0.25024795910582132</v>
      </c>
      <c r="S486" s="15">
        <f t="shared" ca="1" si="101"/>
        <v>1.0012733782249494</v>
      </c>
      <c r="T486" s="15">
        <v>0</v>
      </c>
      <c r="U486" s="15">
        <f t="shared" ca="1" si="105"/>
        <v>1.0012733782249494</v>
      </c>
      <c r="V486" s="15">
        <f t="shared" ca="1" si="106"/>
        <v>1.0009918364232853</v>
      </c>
      <c r="X486" s="15">
        <f t="shared" si="107"/>
        <v>1.05</v>
      </c>
      <c r="Y486" s="15">
        <f t="shared" si="108"/>
        <v>0.95</v>
      </c>
      <c r="Z486" s="15">
        <f t="shared" ca="1" si="109"/>
        <v>1</v>
      </c>
      <c r="AC486" s="15">
        <f t="shared" ca="1" si="110"/>
        <v>9.8373949055530516E-7</v>
      </c>
      <c r="AD486" s="15">
        <f t="shared" ca="1" si="111"/>
        <v>9.9183642328526389E-4</v>
      </c>
      <c r="AE486" s="15">
        <f t="shared" ca="1" si="112"/>
        <v>0.44037537193865717</v>
      </c>
    </row>
    <row r="487" spans="12:31" x14ac:dyDescent="0.3">
      <c r="L487" s="15">
        <v>485</v>
      </c>
      <c r="M487" s="15">
        <f t="shared" si="102"/>
        <v>1</v>
      </c>
      <c r="N487" s="15">
        <f t="shared" ca="1" si="103"/>
        <v>-9.9183642328526389E-4</v>
      </c>
      <c r="O487" s="15">
        <f t="shared" ca="1" si="100"/>
        <v>0.25067291539562153</v>
      </c>
      <c r="P487" s="15">
        <f t="shared" ca="1" si="113"/>
        <v>0.25024795910582132</v>
      </c>
      <c r="Q487" s="15">
        <v>0</v>
      </c>
      <c r="R487" s="15">
        <f t="shared" ca="1" si="104"/>
        <v>0.25024795910582132</v>
      </c>
      <c r="S487" s="15">
        <f t="shared" ca="1" si="101"/>
        <v>1.0012677673318209</v>
      </c>
      <c r="T487" s="15">
        <v>0</v>
      </c>
      <c r="U487" s="15">
        <f t="shared" ca="1" si="105"/>
        <v>1.0012677673318209</v>
      </c>
      <c r="V487" s="15">
        <f t="shared" ca="1" si="106"/>
        <v>1.0009918364232853</v>
      </c>
      <c r="X487" s="15">
        <f t="shared" si="107"/>
        <v>1.05</v>
      </c>
      <c r="Y487" s="15">
        <f t="shared" si="108"/>
        <v>0.95</v>
      </c>
      <c r="Z487" s="15">
        <f t="shared" ca="1" si="109"/>
        <v>1</v>
      </c>
      <c r="AC487" s="15">
        <f t="shared" ca="1" si="110"/>
        <v>9.8373949055530516E-7</v>
      </c>
      <c r="AD487" s="15">
        <f t="shared" ca="1" si="111"/>
        <v>9.9183642328526389E-4</v>
      </c>
      <c r="AE487" s="15">
        <f t="shared" ca="1" si="112"/>
        <v>0.44136720836194243</v>
      </c>
    </row>
    <row r="488" spans="12:31" x14ac:dyDescent="0.3">
      <c r="L488" s="15">
        <v>486</v>
      </c>
      <c r="M488" s="15">
        <f t="shared" si="102"/>
        <v>1</v>
      </c>
      <c r="N488" s="15">
        <f t="shared" ca="1" si="103"/>
        <v>-9.9183642328526389E-4</v>
      </c>
      <c r="O488" s="15">
        <f t="shared" ca="1" si="100"/>
        <v>0.25065416386514383</v>
      </c>
      <c r="P488" s="15">
        <f t="shared" ca="1" si="113"/>
        <v>0.25024795910582132</v>
      </c>
      <c r="Q488" s="15">
        <v>0</v>
      </c>
      <c r="R488" s="15">
        <f t="shared" ca="1" si="104"/>
        <v>0.25024795910582132</v>
      </c>
      <c r="S488" s="15">
        <f t="shared" ca="1" si="101"/>
        <v>1.0012485016494965</v>
      </c>
      <c r="T488" s="15">
        <v>0</v>
      </c>
      <c r="U488" s="15">
        <f t="shared" ca="1" si="105"/>
        <v>1.0012485016494965</v>
      </c>
      <c r="V488" s="15">
        <f t="shared" ca="1" si="106"/>
        <v>1.0009918364232853</v>
      </c>
      <c r="X488" s="15">
        <f t="shared" si="107"/>
        <v>1.05</v>
      </c>
      <c r="Y488" s="15">
        <f t="shared" si="108"/>
        <v>0.95</v>
      </c>
      <c r="Z488" s="15">
        <f t="shared" ca="1" si="109"/>
        <v>1</v>
      </c>
      <c r="AC488" s="15">
        <f t="shared" ca="1" si="110"/>
        <v>9.8373949055530516E-7</v>
      </c>
      <c r="AD488" s="15">
        <f t="shared" ca="1" si="111"/>
        <v>9.9183642328526389E-4</v>
      </c>
      <c r="AE488" s="15">
        <f t="shared" ca="1" si="112"/>
        <v>0.4423590447852277</v>
      </c>
    </row>
    <row r="489" spans="12:31" x14ac:dyDescent="0.3">
      <c r="L489" s="15">
        <v>487</v>
      </c>
      <c r="M489" s="15">
        <f t="shared" si="102"/>
        <v>1</v>
      </c>
      <c r="N489" s="15">
        <f t="shared" ca="1" si="103"/>
        <v>-9.9183642328526389E-4</v>
      </c>
      <c r="O489" s="15">
        <f t="shared" ca="1" si="100"/>
        <v>0.25065416386514383</v>
      </c>
      <c r="P489" s="15">
        <f t="shared" ca="1" si="113"/>
        <v>0.25024795910582132</v>
      </c>
      <c r="Q489" s="15">
        <v>0</v>
      </c>
      <c r="R489" s="15">
        <f t="shared" ca="1" si="104"/>
        <v>0.25024795910582132</v>
      </c>
      <c r="S489" s="15">
        <f t="shared" ca="1" si="101"/>
        <v>1.0012047799954367</v>
      </c>
      <c r="T489" s="15">
        <v>0</v>
      </c>
      <c r="U489" s="15">
        <f t="shared" ca="1" si="105"/>
        <v>1.0012047799954367</v>
      </c>
      <c r="V489" s="15">
        <f t="shared" ca="1" si="106"/>
        <v>1.0009918364232853</v>
      </c>
      <c r="X489" s="15">
        <f t="shared" si="107"/>
        <v>1.05</v>
      </c>
      <c r="Y489" s="15">
        <f t="shared" si="108"/>
        <v>0.95</v>
      </c>
      <c r="Z489" s="15">
        <f t="shared" ca="1" si="109"/>
        <v>1</v>
      </c>
      <c r="AC489" s="15">
        <f t="shared" ca="1" si="110"/>
        <v>9.8373949055530516E-7</v>
      </c>
      <c r="AD489" s="15">
        <f t="shared" ca="1" si="111"/>
        <v>9.9183642328526389E-4</v>
      </c>
      <c r="AE489" s="15">
        <f t="shared" ca="1" si="112"/>
        <v>0.44335088120851296</v>
      </c>
    </row>
    <row r="490" spans="12:31" x14ac:dyDescent="0.3">
      <c r="L490" s="15">
        <v>488</v>
      </c>
      <c r="M490" s="15">
        <f t="shared" si="102"/>
        <v>1</v>
      </c>
      <c r="N490" s="15">
        <f t="shared" ca="1" si="103"/>
        <v>-9.9183642328526389E-4</v>
      </c>
      <c r="O490" s="15">
        <f t="shared" ca="1" si="100"/>
        <v>0.25065416386514383</v>
      </c>
      <c r="P490" s="15">
        <f t="shared" ca="1" si="113"/>
        <v>0.25024795910582132</v>
      </c>
      <c r="Q490" s="15">
        <v>0</v>
      </c>
      <c r="R490" s="15">
        <f t="shared" ca="1" si="104"/>
        <v>0.25024795910582132</v>
      </c>
      <c r="S490" s="15">
        <f t="shared" ca="1" si="101"/>
        <v>1.0011398916425267</v>
      </c>
      <c r="T490" s="15">
        <v>0</v>
      </c>
      <c r="U490" s="15">
        <f t="shared" ca="1" si="105"/>
        <v>1.0011398916425267</v>
      </c>
      <c r="V490" s="15">
        <f t="shared" ca="1" si="106"/>
        <v>1.0009918364232853</v>
      </c>
      <c r="X490" s="15">
        <f t="shared" si="107"/>
        <v>1.05</v>
      </c>
      <c r="Y490" s="15">
        <f t="shared" si="108"/>
        <v>0.95</v>
      </c>
      <c r="Z490" s="15">
        <f t="shared" ca="1" si="109"/>
        <v>1</v>
      </c>
      <c r="AC490" s="15">
        <f t="shared" ca="1" si="110"/>
        <v>9.8373949055530516E-7</v>
      </c>
      <c r="AD490" s="15">
        <f t="shared" ca="1" si="111"/>
        <v>9.9183642328526389E-4</v>
      </c>
      <c r="AE490" s="15">
        <f t="shared" ca="1" si="112"/>
        <v>0.44434271763179822</v>
      </c>
    </row>
    <row r="491" spans="12:31" x14ac:dyDescent="0.3">
      <c r="L491" s="15">
        <v>489</v>
      </c>
      <c r="M491" s="15">
        <f t="shared" si="102"/>
        <v>1</v>
      </c>
      <c r="N491" s="15">
        <f t="shared" ca="1" si="103"/>
        <v>-9.9183642328526389E-4</v>
      </c>
      <c r="O491" s="15">
        <f t="shared" ref="O491:O554" ca="1" si="114">IF(MOD(L491,$B$11)=0,OFFSET(O491,-$B$11,0)+ $E$2*N491+$E$3*OFFSET(N491,-$B$11,0)+ $E$4*OFFSET(N491,-2* $B$11,0), O490)</f>
        <v>0.25063541233466613</v>
      </c>
      <c r="P491" s="15">
        <f t="shared" ca="1" si="113"/>
        <v>0.25024795910582132</v>
      </c>
      <c r="Q491" s="15">
        <v>0</v>
      </c>
      <c r="R491" s="15">
        <f t="shared" ca="1" si="104"/>
        <v>0.25024795910582132</v>
      </c>
      <c r="S491" s="15">
        <f t="shared" ca="1" si="101"/>
        <v>1.0010699977969664</v>
      </c>
      <c r="T491" s="15">
        <v>0</v>
      </c>
      <c r="U491" s="15">
        <f t="shared" ca="1" si="105"/>
        <v>1.0010699977969664</v>
      </c>
      <c r="V491" s="15">
        <f t="shared" ca="1" si="106"/>
        <v>1.0009918364232853</v>
      </c>
      <c r="X491" s="15">
        <f t="shared" si="107"/>
        <v>1.05</v>
      </c>
      <c r="Y491" s="15">
        <f t="shared" si="108"/>
        <v>0.95</v>
      </c>
      <c r="Z491" s="15">
        <f t="shared" ca="1" si="109"/>
        <v>1</v>
      </c>
      <c r="AC491" s="15">
        <f t="shared" ca="1" si="110"/>
        <v>9.8373949055530516E-7</v>
      </c>
      <c r="AD491" s="15">
        <f t="shared" ca="1" si="111"/>
        <v>9.9183642328526389E-4</v>
      </c>
      <c r="AE491" s="15">
        <f t="shared" ca="1" si="112"/>
        <v>0.44533455405508349</v>
      </c>
    </row>
    <row r="492" spans="12:31" x14ac:dyDescent="0.3">
      <c r="L492" s="15">
        <v>490</v>
      </c>
      <c r="M492" s="15">
        <f t="shared" si="102"/>
        <v>1</v>
      </c>
      <c r="N492" s="15">
        <f t="shared" ca="1" si="103"/>
        <v>-9.9183642328526389E-4</v>
      </c>
      <c r="O492" s="15">
        <f t="shared" ca="1" si="114"/>
        <v>0.25063541233466613</v>
      </c>
      <c r="P492" s="15">
        <f t="shared" ca="1" si="113"/>
        <v>0.25024795910582132</v>
      </c>
      <c r="Q492" s="15">
        <v>0</v>
      </c>
      <c r="R492" s="15">
        <f t="shared" ca="1" si="104"/>
        <v>0.25024795910582132</v>
      </c>
      <c r="S492" s="15">
        <f t="shared" ca="1" si="101"/>
        <v>1.0010086454160456</v>
      </c>
      <c r="T492" s="15">
        <v>0</v>
      </c>
      <c r="U492" s="15">
        <f t="shared" ca="1" si="105"/>
        <v>1.0010086454160456</v>
      </c>
      <c r="V492" s="15">
        <f t="shared" ca="1" si="106"/>
        <v>1.0009918364232853</v>
      </c>
      <c r="X492" s="15">
        <f t="shared" si="107"/>
        <v>1.05</v>
      </c>
      <c r="Y492" s="15">
        <f t="shared" si="108"/>
        <v>0.95</v>
      </c>
      <c r="Z492" s="15">
        <f t="shared" ca="1" si="109"/>
        <v>1</v>
      </c>
      <c r="AC492" s="15">
        <f t="shared" ca="1" si="110"/>
        <v>9.8373949055530516E-7</v>
      </c>
      <c r="AD492" s="15">
        <f t="shared" ca="1" si="111"/>
        <v>9.9183642328526389E-4</v>
      </c>
      <c r="AE492" s="15">
        <f t="shared" ca="1" si="112"/>
        <v>0.44632639047836875</v>
      </c>
    </row>
    <row r="493" spans="12:31" x14ac:dyDescent="0.3">
      <c r="L493" s="15">
        <v>491</v>
      </c>
      <c r="M493" s="15">
        <f t="shared" si="102"/>
        <v>1</v>
      </c>
      <c r="N493" s="15">
        <f t="shared" ca="1" si="103"/>
        <v>5.3406576638448389E-4</v>
      </c>
      <c r="O493" s="15">
        <f t="shared" ca="1" si="114"/>
        <v>0.25063541233466613</v>
      </c>
      <c r="P493" s="15">
        <f t="shared" ca="1" si="113"/>
        <v>0.25024795910582132</v>
      </c>
      <c r="Q493" s="15">
        <v>0</v>
      </c>
      <c r="R493" s="15">
        <f t="shared" ca="1" si="104"/>
        <v>0.25024795910582132</v>
      </c>
      <c r="S493" s="15">
        <f t="shared" ref="S493:S556" ca="1" si="115">$I$1*S492-$I$2*S491+$I$3*R472+$I$4*R471</f>
        <v>1.0009550097756788</v>
      </c>
      <c r="T493" s="15">
        <v>0</v>
      </c>
      <c r="U493" s="15">
        <f t="shared" ca="1" si="105"/>
        <v>1.0009550097756788</v>
      </c>
      <c r="V493" s="15">
        <f t="shared" ca="1" si="106"/>
        <v>0.99946593423361552</v>
      </c>
      <c r="X493" s="15">
        <f t="shared" si="107"/>
        <v>1.05</v>
      </c>
      <c r="Y493" s="15">
        <f t="shared" si="108"/>
        <v>0.95</v>
      </c>
      <c r="Z493" s="15">
        <f t="shared" ca="1" si="109"/>
        <v>1</v>
      </c>
      <c r="AC493" s="15">
        <f t="shared" ca="1" si="110"/>
        <v>2.852262428238461E-7</v>
      </c>
      <c r="AD493" s="15">
        <f t="shared" ca="1" si="111"/>
        <v>5.3406576638448389E-4</v>
      </c>
      <c r="AE493" s="15">
        <f t="shared" ca="1" si="112"/>
        <v>0.24086366063940223</v>
      </c>
    </row>
    <row r="494" spans="12:31" x14ac:dyDescent="0.3">
      <c r="L494" s="15">
        <v>492</v>
      </c>
      <c r="M494" s="15">
        <f t="shared" si="102"/>
        <v>1</v>
      </c>
      <c r="N494" s="15">
        <f t="shared" ca="1" si="103"/>
        <v>5.3406576638448389E-4</v>
      </c>
      <c r="O494" s="15">
        <f t="shared" ca="1" si="114"/>
        <v>0.2522730680751108</v>
      </c>
      <c r="P494" s="15">
        <f t="shared" ca="1" si="113"/>
        <v>0.25177386129549095</v>
      </c>
      <c r="Q494" s="15">
        <v>0</v>
      </c>
      <c r="R494" s="15">
        <f t="shared" ca="1" si="104"/>
        <v>0.25177386129549095</v>
      </c>
      <c r="S494" s="15">
        <f t="shared" ca="1" si="115"/>
        <v>1.0009083382002848</v>
      </c>
      <c r="T494" s="15">
        <v>0</v>
      </c>
      <c r="U494" s="15">
        <f t="shared" ca="1" si="105"/>
        <v>1.0009083382002848</v>
      </c>
      <c r="V494" s="15">
        <f t="shared" ca="1" si="106"/>
        <v>0.99946593423361552</v>
      </c>
      <c r="X494" s="15">
        <f t="shared" si="107"/>
        <v>1.05</v>
      </c>
      <c r="Y494" s="15">
        <f t="shared" si="108"/>
        <v>0.95</v>
      </c>
      <c r="Z494" s="15">
        <f t="shared" ca="1" si="109"/>
        <v>1</v>
      </c>
      <c r="AC494" s="15">
        <f t="shared" ca="1" si="110"/>
        <v>2.852262428238461E-7</v>
      </c>
      <c r="AD494" s="15">
        <f t="shared" ca="1" si="111"/>
        <v>5.3406576638448389E-4</v>
      </c>
      <c r="AE494" s="15">
        <f t="shared" ca="1" si="112"/>
        <v>0.24139772640578672</v>
      </c>
    </row>
    <row r="495" spans="12:31" x14ac:dyDescent="0.3">
      <c r="L495" s="15">
        <v>493</v>
      </c>
      <c r="M495" s="15">
        <f t="shared" si="102"/>
        <v>1</v>
      </c>
      <c r="N495" s="15">
        <f t="shared" ca="1" si="103"/>
        <v>5.3406576638448389E-4</v>
      </c>
      <c r="O495" s="15">
        <f t="shared" ca="1" si="114"/>
        <v>0.2522730680751108</v>
      </c>
      <c r="P495" s="15">
        <f t="shared" ca="1" si="113"/>
        <v>0.25177386129549095</v>
      </c>
      <c r="Q495" s="15">
        <v>0</v>
      </c>
      <c r="R495" s="15">
        <f t="shared" ca="1" si="104"/>
        <v>0.25177386129549095</v>
      </c>
      <c r="S495" s="15">
        <f t="shared" ca="1" si="115"/>
        <v>1.0008679441007511</v>
      </c>
      <c r="T495" s="15">
        <v>0</v>
      </c>
      <c r="U495" s="15">
        <f t="shared" ca="1" si="105"/>
        <v>1.0008679441007511</v>
      </c>
      <c r="V495" s="15">
        <f t="shared" ca="1" si="106"/>
        <v>0.99946593423361552</v>
      </c>
      <c r="X495" s="15">
        <f t="shared" si="107"/>
        <v>1.05</v>
      </c>
      <c r="Y495" s="15">
        <f t="shared" si="108"/>
        <v>0.95</v>
      </c>
      <c r="Z495" s="15">
        <f t="shared" ca="1" si="109"/>
        <v>1</v>
      </c>
      <c r="AC495" s="15">
        <f t="shared" ca="1" si="110"/>
        <v>2.852262428238461E-7</v>
      </c>
      <c r="AD495" s="15">
        <f t="shared" ca="1" si="111"/>
        <v>5.3406576638448389E-4</v>
      </c>
      <c r="AE495" s="15">
        <f t="shared" ca="1" si="112"/>
        <v>0.2419317921721712</v>
      </c>
    </row>
    <row r="496" spans="12:31" x14ac:dyDescent="0.3">
      <c r="L496" s="15">
        <v>494</v>
      </c>
      <c r="M496" s="15">
        <f t="shared" si="102"/>
        <v>1</v>
      </c>
      <c r="N496" s="15">
        <f t="shared" ca="1" si="103"/>
        <v>5.3406576638448389E-4</v>
      </c>
      <c r="O496" s="15">
        <f t="shared" ca="1" si="114"/>
        <v>0.2522730680751108</v>
      </c>
      <c r="P496" s="15">
        <f t="shared" ca="1" si="113"/>
        <v>0.25177386129549095</v>
      </c>
      <c r="Q496" s="15">
        <v>0</v>
      </c>
      <c r="R496" s="15">
        <f t="shared" ca="1" si="104"/>
        <v>0.25177386129549095</v>
      </c>
      <c r="S496" s="15">
        <f t="shared" ca="1" si="115"/>
        <v>1.0008332014896755</v>
      </c>
      <c r="T496" s="15">
        <v>0</v>
      </c>
      <c r="U496" s="15">
        <f t="shared" ca="1" si="105"/>
        <v>1.0008332014896755</v>
      </c>
      <c r="V496" s="15">
        <f t="shared" ca="1" si="106"/>
        <v>0.99946593423361552</v>
      </c>
      <c r="X496" s="15">
        <f t="shared" si="107"/>
        <v>1.05</v>
      </c>
      <c r="Y496" s="15">
        <f t="shared" si="108"/>
        <v>0.95</v>
      </c>
      <c r="Z496" s="15">
        <f t="shared" ca="1" si="109"/>
        <v>1</v>
      </c>
      <c r="AC496" s="15">
        <f t="shared" ca="1" si="110"/>
        <v>2.852262428238461E-7</v>
      </c>
      <c r="AD496" s="15">
        <f t="shared" ca="1" si="111"/>
        <v>5.3406576638448389E-4</v>
      </c>
      <c r="AE496" s="15">
        <f t="shared" ca="1" si="112"/>
        <v>0.24246585793855568</v>
      </c>
    </row>
    <row r="497" spans="12:31" x14ac:dyDescent="0.3">
      <c r="L497" s="15">
        <v>495</v>
      </c>
      <c r="M497" s="15">
        <f t="shared" si="102"/>
        <v>1</v>
      </c>
      <c r="N497" s="15">
        <f t="shared" ca="1" si="103"/>
        <v>5.3406576638448389E-4</v>
      </c>
      <c r="O497" s="15">
        <f t="shared" ca="1" si="114"/>
        <v>0.250989133512662</v>
      </c>
      <c r="P497" s="15">
        <f t="shared" ca="1" si="113"/>
        <v>0.25024795910582132</v>
      </c>
      <c r="Q497" s="15">
        <v>0</v>
      </c>
      <c r="R497" s="15">
        <f t="shared" ca="1" si="104"/>
        <v>0.25024795910582132</v>
      </c>
      <c r="S497" s="15">
        <f t="shared" ca="1" si="115"/>
        <v>1.0008035399365003</v>
      </c>
      <c r="T497" s="15">
        <v>0</v>
      </c>
      <c r="U497" s="15">
        <f t="shared" ca="1" si="105"/>
        <v>1.0008035399365003</v>
      </c>
      <c r="V497" s="15">
        <f t="shared" ca="1" si="106"/>
        <v>0.99946593423361552</v>
      </c>
      <c r="X497" s="15">
        <f t="shared" si="107"/>
        <v>1.05</v>
      </c>
      <c r="Y497" s="15">
        <f t="shared" si="108"/>
        <v>0.95</v>
      </c>
      <c r="Z497" s="15">
        <f t="shared" ca="1" si="109"/>
        <v>1</v>
      </c>
      <c r="AC497" s="15">
        <f t="shared" ca="1" si="110"/>
        <v>2.852262428238461E-7</v>
      </c>
      <c r="AD497" s="15">
        <f t="shared" ca="1" si="111"/>
        <v>5.3406576638448389E-4</v>
      </c>
      <c r="AE497" s="15">
        <f t="shared" ca="1" si="112"/>
        <v>0.24299992370494017</v>
      </c>
    </row>
    <row r="498" spans="12:31" x14ac:dyDescent="0.3">
      <c r="L498" s="15">
        <v>496</v>
      </c>
      <c r="M498" s="15">
        <f t="shared" si="102"/>
        <v>1</v>
      </c>
      <c r="N498" s="15">
        <f t="shared" ca="1" si="103"/>
        <v>5.3406576638448389E-4</v>
      </c>
      <c r="O498" s="15">
        <f t="shared" ca="1" si="114"/>
        <v>0.250989133512662</v>
      </c>
      <c r="P498" s="15">
        <f t="shared" ca="1" si="113"/>
        <v>0.25024795910582132</v>
      </c>
      <c r="Q498" s="15">
        <v>0</v>
      </c>
      <c r="R498" s="15">
        <f t="shared" ca="1" si="104"/>
        <v>0.25024795910582132</v>
      </c>
      <c r="S498" s="15">
        <f t="shared" ca="1" si="115"/>
        <v>1.0007784399280391</v>
      </c>
      <c r="T498" s="15">
        <v>0</v>
      </c>
      <c r="U498" s="15">
        <f t="shared" ca="1" si="105"/>
        <v>1.0007784399280391</v>
      </c>
      <c r="V498" s="15">
        <f t="shared" ca="1" si="106"/>
        <v>0.99946593423361552</v>
      </c>
      <c r="X498" s="15">
        <f t="shared" si="107"/>
        <v>1.05</v>
      </c>
      <c r="Y498" s="15">
        <f t="shared" si="108"/>
        <v>0.95</v>
      </c>
      <c r="Z498" s="15">
        <f t="shared" ca="1" si="109"/>
        <v>1</v>
      </c>
      <c r="AC498" s="15">
        <f t="shared" ca="1" si="110"/>
        <v>2.852262428238461E-7</v>
      </c>
      <c r="AD498" s="15">
        <f t="shared" ca="1" si="111"/>
        <v>5.3406576638448389E-4</v>
      </c>
      <c r="AE498" s="15">
        <f t="shared" ca="1" si="112"/>
        <v>0.24353398947132465</v>
      </c>
    </row>
    <row r="499" spans="12:31" x14ac:dyDescent="0.3">
      <c r="L499" s="15">
        <v>497</v>
      </c>
      <c r="M499" s="15">
        <f t="shared" si="102"/>
        <v>1</v>
      </c>
      <c r="N499" s="15">
        <f t="shared" ca="1" si="103"/>
        <v>5.3406576638448389E-4</v>
      </c>
      <c r="O499" s="15">
        <f t="shared" ca="1" si="114"/>
        <v>0.250989133512662</v>
      </c>
      <c r="P499" s="15">
        <f t="shared" ca="1" si="113"/>
        <v>0.25024795910582132</v>
      </c>
      <c r="Q499" s="15">
        <v>0</v>
      </c>
      <c r="R499" s="15">
        <f t="shared" ca="1" si="104"/>
        <v>0.25024795910582132</v>
      </c>
      <c r="S499" s="15">
        <f t="shared" ca="1" si="115"/>
        <v>1.0007574286025587</v>
      </c>
      <c r="T499" s="15">
        <v>0</v>
      </c>
      <c r="U499" s="15">
        <f t="shared" ca="1" si="105"/>
        <v>1.0007574286025587</v>
      </c>
      <c r="V499" s="15">
        <f t="shared" ca="1" si="106"/>
        <v>0.99946593423361552</v>
      </c>
      <c r="X499" s="15">
        <f t="shared" si="107"/>
        <v>1.05</v>
      </c>
      <c r="Y499" s="15">
        <f t="shared" si="108"/>
        <v>0.95</v>
      </c>
      <c r="Z499" s="15">
        <f t="shared" ca="1" si="109"/>
        <v>1</v>
      </c>
      <c r="AC499" s="15">
        <f t="shared" ca="1" si="110"/>
        <v>2.852262428238461E-7</v>
      </c>
      <c r="AD499" s="15">
        <f t="shared" ca="1" si="111"/>
        <v>5.3406576638448389E-4</v>
      </c>
      <c r="AE499" s="15">
        <f t="shared" ca="1" si="112"/>
        <v>0.24406805523770914</v>
      </c>
    </row>
    <row r="500" spans="12:31" x14ac:dyDescent="0.3">
      <c r="L500" s="15">
        <v>498</v>
      </c>
      <c r="M500" s="15">
        <f t="shared" si="102"/>
        <v>1</v>
      </c>
      <c r="N500" s="15">
        <f t="shared" ca="1" si="103"/>
        <v>5.3406576638448389E-4</v>
      </c>
      <c r="O500" s="15">
        <f t="shared" ca="1" si="114"/>
        <v>0.25099923049061151</v>
      </c>
      <c r="P500" s="15">
        <f t="shared" ca="1" si="113"/>
        <v>0.25024795910582132</v>
      </c>
      <c r="Q500" s="15">
        <v>0</v>
      </c>
      <c r="R500" s="15">
        <f t="shared" ca="1" si="104"/>
        <v>0.25024795910582132</v>
      </c>
      <c r="S500" s="15">
        <f t="shared" ca="1" si="115"/>
        <v>1.000740075828044</v>
      </c>
      <c r="T500" s="15">
        <v>0</v>
      </c>
      <c r="U500" s="15">
        <f t="shared" ca="1" si="105"/>
        <v>1.000740075828044</v>
      </c>
      <c r="V500" s="15">
        <f t="shared" ca="1" si="106"/>
        <v>0.99946593423361552</v>
      </c>
      <c r="X500" s="15">
        <f t="shared" si="107"/>
        <v>1.05</v>
      </c>
      <c r="Y500" s="15">
        <f t="shared" si="108"/>
        <v>0.95</v>
      </c>
      <c r="Z500" s="15">
        <f t="shared" ca="1" si="109"/>
        <v>1</v>
      </c>
      <c r="AC500" s="15">
        <f t="shared" ca="1" si="110"/>
        <v>2.852262428238461E-7</v>
      </c>
      <c r="AD500" s="15">
        <f t="shared" ca="1" si="111"/>
        <v>5.3406576638448389E-4</v>
      </c>
      <c r="AE500" s="15">
        <f t="shared" ca="1" si="112"/>
        <v>0.24460212100409362</v>
      </c>
    </row>
    <row r="501" spans="12:31" x14ac:dyDescent="0.3">
      <c r="L501" s="15">
        <v>499</v>
      </c>
      <c r="M501" s="15">
        <f t="shared" si="102"/>
        <v>1</v>
      </c>
      <c r="N501" s="15">
        <f t="shared" ca="1" si="103"/>
        <v>5.3406576638448389E-4</v>
      </c>
      <c r="O501" s="15">
        <f t="shared" ca="1" si="114"/>
        <v>0.25099923049061151</v>
      </c>
      <c r="P501" s="15">
        <f t="shared" ca="1" si="113"/>
        <v>0.25024795910582132</v>
      </c>
      <c r="Q501" s="15">
        <v>0</v>
      </c>
      <c r="R501" s="15">
        <f t="shared" ca="1" si="104"/>
        <v>0.25024795910582132</v>
      </c>
      <c r="S501" s="15">
        <f t="shared" ca="1" si="115"/>
        <v>1.0007259905975425</v>
      </c>
      <c r="T501" s="15">
        <v>0</v>
      </c>
      <c r="U501" s="15">
        <f t="shared" ca="1" si="105"/>
        <v>1.0007259905975425</v>
      </c>
      <c r="V501" s="15">
        <f t="shared" ca="1" si="106"/>
        <v>0.99946593423361552</v>
      </c>
      <c r="X501" s="15">
        <f t="shared" si="107"/>
        <v>1.05</v>
      </c>
      <c r="Y501" s="15">
        <f t="shared" si="108"/>
        <v>0.95</v>
      </c>
      <c r="Z501" s="15">
        <f t="shared" ca="1" si="109"/>
        <v>1</v>
      </c>
      <c r="AC501" s="15">
        <f t="shared" ca="1" si="110"/>
        <v>2.852262428238461E-7</v>
      </c>
      <c r="AD501" s="15">
        <f t="shared" ca="1" si="111"/>
        <v>5.3406576638448389E-4</v>
      </c>
      <c r="AE501" s="15">
        <f t="shared" ca="1" si="112"/>
        <v>0.2451361867704781</v>
      </c>
    </row>
    <row r="502" spans="12:31" x14ac:dyDescent="0.3">
      <c r="L502" s="15">
        <v>500</v>
      </c>
      <c r="M502" s="15">
        <f t="shared" si="102"/>
        <v>1</v>
      </c>
      <c r="N502" s="15">
        <f t="shared" ca="1" si="103"/>
        <v>5.3406576638448389E-4</v>
      </c>
      <c r="O502" s="15">
        <f t="shared" ca="1" si="114"/>
        <v>0.25099923049061151</v>
      </c>
      <c r="P502" s="15">
        <f t="shared" ca="1" si="113"/>
        <v>0.25024795910582132</v>
      </c>
      <c r="Q502" s="15">
        <v>0</v>
      </c>
      <c r="R502" s="15">
        <f t="shared" ca="1" si="104"/>
        <v>0.25024795910582132</v>
      </c>
      <c r="S502" s="15">
        <f t="shared" ca="1" si="115"/>
        <v>1.0007148177165859</v>
      </c>
      <c r="T502" s="15">
        <v>0</v>
      </c>
      <c r="U502" s="15">
        <f t="shared" ca="1" si="105"/>
        <v>1.0007148177165859</v>
      </c>
      <c r="V502" s="15">
        <f t="shared" ca="1" si="106"/>
        <v>0.99946593423361552</v>
      </c>
      <c r="X502" s="15">
        <f t="shared" si="107"/>
        <v>1.05</v>
      </c>
      <c r="Y502" s="15">
        <f t="shared" si="108"/>
        <v>0.95</v>
      </c>
      <c r="Z502" s="15">
        <f t="shared" ca="1" si="109"/>
        <v>1</v>
      </c>
      <c r="AC502" s="15">
        <f t="shared" ca="1" si="110"/>
        <v>2.852262428238461E-7</v>
      </c>
      <c r="AD502" s="15">
        <f t="shared" ca="1" si="111"/>
        <v>5.3406576638448389E-4</v>
      </c>
      <c r="AE502" s="15">
        <f t="shared" ca="1" si="112"/>
        <v>0.24567025253686259</v>
      </c>
    </row>
    <row r="503" spans="12:31" x14ac:dyDescent="0.3">
      <c r="L503" s="15">
        <v>501</v>
      </c>
      <c r="M503" s="15">
        <f t="shared" si="102"/>
        <v>1</v>
      </c>
      <c r="N503" s="15">
        <f t="shared" ca="1" si="103"/>
        <v>5.3406576638448389E-4</v>
      </c>
      <c r="O503" s="15">
        <f t="shared" ca="1" si="114"/>
        <v>0.25100932746856103</v>
      </c>
      <c r="P503" s="15">
        <f t="shared" ca="1" si="113"/>
        <v>0.25024795910582132</v>
      </c>
      <c r="Q503" s="15">
        <v>0</v>
      </c>
      <c r="R503" s="15">
        <f t="shared" ca="1" si="104"/>
        <v>0.25024795910582132</v>
      </c>
      <c r="S503" s="15">
        <f t="shared" ca="1" si="115"/>
        <v>1.0007062347596247</v>
      </c>
      <c r="T503" s="15">
        <v>0</v>
      </c>
      <c r="U503" s="15">
        <f t="shared" ca="1" si="105"/>
        <v>1.0007062347596247</v>
      </c>
      <c r="V503" s="15">
        <f t="shared" ca="1" si="106"/>
        <v>0.99946593423361552</v>
      </c>
      <c r="X503" s="15">
        <f t="shared" si="107"/>
        <v>1.05</v>
      </c>
      <c r="Y503" s="15">
        <f t="shared" si="108"/>
        <v>0.95</v>
      </c>
      <c r="Z503" s="15">
        <f t="shared" ca="1" si="109"/>
        <v>1</v>
      </c>
      <c r="AC503" s="15">
        <f t="shared" ca="1" si="110"/>
        <v>2.852262428238461E-7</v>
      </c>
      <c r="AD503" s="15">
        <f t="shared" ca="1" si="111"/>
        <v>5.3406576638448389E-4</v>
      </c>
      <c r="AE503" s="15">
        <f t="shared" ca="1" si="112"/>
        <v>0.24620431830324707</v>
      </c>
    </row>
    <row r="504" spans="12:31" x14ac:dyDescent="0.3">
      <c r="L504" s="15">
        <v>502</v>
      </c>
      <c r="M504" s="15">
        <f t="shared" si="102"/>
        <v>1</v>
      </c>
      <c r="N504" s="15">
        <f t="shared" ca="1" si="103"/>
        <v>5.3406576638448389E-4</v>
      </c>
      <c r="O504" s="15">
        <f t="shared" ca="1" si="114"/>
        <v>0.25100932746856103</v>
      </c>
      <c r="P504" s="15">
        <f t="shared" ca="1" si="113"/>
        <v>0.25024795910582132</v>
      </c>
      <c r="Q504" s="15">
        <v>0</v>
      </c>
      <c r="R504" s="15">
        <f t="shared" ca="1" si="104"/>
        <v>0.25024795910582132</v>
      </c>
      <c r="S504" s="15">
        <f t="shared" ca="1" si="115"/>
        <v>1.0006999492742028</v>
      </c>
      <c r="T504" s="15">
        <v>0</v>
      </c>
      <c r="U504" s="15">
        <f t="shared" ca="1" si="105"/>
        <v>1.0006999492742028</v>
      </c>
      <c r="V504" s="15">
        <f t="shared" ca="1" si="106"/>
        <v>0.99946593423361552</v>
      </c>
      <c r="X504" s="15">
        <f t="shared" si="107"/>
        <v>1.05</v>
      </c>
      <c r="Y504" s="15">
        <f t="shared" si="108"/>
        <v>0.95</v>
      </c>
      <c r="Z504" s="15">
        <f t="shared" ca="1" si="109"/>
        <v>1</v>
      </c>
      <c r="AC504" s="15">
        <f t="shared" ca="1" si="110"/>
        <v>2.852262428238461E-7</v>
      </c>
      <c r="AD504" s="15">
        <f t="shared" ca="1" si="111"/>
        <v>5.3406576638448389E-4</v>
      </c>
      <c r="AE504" s="15">
        <f t="shared" ca="1" si="112"/>
        <v>0.24673838406963156</v>
      </c>
    </row>
    <row r="505" spans="12:31" x14ac:dyDescent="0.3">
      <c r="L505" s="15">
        <v>503</v>
      </c>
      <c r="M505" s="15">
        <f t="shared" si="102"/>
        <v>1</v>
      </c>
      <c r="N505" s="15">
        <f t="shared" ca="1" si="103"/>
        <v>5.3406576638448389E-4</v>
      </c>
      <c r="O505" s="15">
        <f t="shared" ca="1" si="114"/>
        <v>0.25100932746856103</v>
      </c>
      <c r="P505" s="15">
        <f t="shared" ca="1" si="113"/>
        <v>0.25024795910582132</v>
      </c>
      <c r="Q505" s="15">
        <v>0</v>
      </c>
      <c r="R505" s="15">
        <f t="shared" ca="1" si="104"/>
        <v>0.25024795910582132</v>
      </c>
      <c r="S505" s="15">
        <f t="shared" ca="1" si="115"/>
        <v>1.0006956962132467</v>
      </c>
      <c r="T505" s="15">
        <v>0</v>
      </c>
      <c r="U505" s="15">
        <f t="shared" ca="1" si="105"/>
        <v>1.0006956962132467</v>
      </c>
      <c r="V505" s="15">
        <f t="shared" ca="1" si="106"/>
        <v>0.99946593423361552</v>
      </c>
      <c r="X505" s="15">
        <f t="shared" si="107"/>
        <v>1.05</v>
      </c>
      <c r="Y505" s="15">
        <f t="shared" si="108"/>
        <v>0.95</v>
      </c>
      <c r="Z505" s="15">
        <f t="shared" ca="1" si="109"/>
        <v>1</v>
      </c>
      <c r="AC505" s="15">
        <f t="shared" ca="1" si="110"/>
        <v>2.852262428238461E-7</v>
      </c>
      <c r="AD505" s="15">
        <f t="shared" ca="1" si="111"/>
        <v>5.3406576638448389E-4</v>
      </c>
      <c r="AE505" s="15">
        <f t="shared" ca="1" si="112"/>
        <v>0.24727244983601604</v>
      </c>
    </row>
    <row r="506" spans="12:31" x14ac:dyDescent="0.3">
      <c r="L506" s="15">
        <v>504</v>
      </c>
      <c r="M506" s="15">
        <f t="shared" si="102"/>
        <v>1</v>
      </c>
      <c r="N506" s="15">
        <f t="shared" ca="1" si="103"/>
        <v>5.3406576638448389E-4</v>
      </c>
      <c r="O506" s="15">
        <f t="shared" ca="1" si="114"/>
        <v>0.25101942444651054</v>
      </c>
      <c r="P506" s="15">
        <f t="shared" ca="1" si="113"/>
        <v>0.25024795910582132</v>
      </c>
      <c r="Q506" s="15">
        <v>0</v>
      </c>
      <c r="R506" s="15">
        <f t="shared" ca="1" si="104"/>
        <v>0.25024795910582132</v>
      </c>
      <c r="S506" s="15">
        <f t="shared" ca="1" si="115"/>
        <v>1.0006932355773783</v>
      </c>
      <c r="T506" s="15">
        <v>0</v>
      </c>
      <c r="U506" s="15">
        <f t="shared" ca="1" si="105"/>
        <v>1.0006932355773783</v>
      </c>
      <c r="V506" s="15">
        <f t="shared" ca="1" si="106"/>
        <v>0.99946593423361552</v>
      </c>
      <c r="X506" s="15">
        <f t="shared" si="107"/>
        <v>1.05</v>
      </c>
      <c r="Y506" s="15">
        <f t="shared" si="108"/>
        <v>0.95</v>
      </c>
      <c r="Z506" s="15">
        <f t="shared" ca="1" si="109"/>
        <v>1</v>
      </c>
      <c r="AC506" s="15">
        <f t="shared" ca="1" si="110"/>
        <v>2.852262428238461E-7</v>
      </c>
      <c r="AD506" s="15">
        <f t="shared" ca="1" si="111"/>
        <v>5.3406576638448389E-4</v>
      </c>
      <c r="AE506" s="15">
        <f t="shared" ca="1" si="112"/>
        <v>0.24780651560240052</v>
      </c>
    </row>
    <row r="507" spans="12:31" x14ac:dyDescent="0.3">
      <c r="L507" s="15">
        <v>505</v>
      </c>
      <c r="M507" s="15">
        <f t="shared" si="102"/>
        <v>1</v>
      </c>
      <c r="N507" s="15">
        <f t="shared" ca="1" si="103"/>
        <v>5.3406576638448389E-4</v>
      </c>
      <c r="O507" s="15">
        <f t="shared" ca="1" si="114"/>
        <v>0.25101942444651054</v>
      </c>
      <c r="P507" s="15">
        <f t="shared" ca="1" si="113"/>
        <v>0.25024795910582132</v>
      </c>
      <c r="Q507" s="15">
        <v>0</v>
      </c>
      <c r="R507" s="15">
        <f t="shared" ca="1" si="104"/>
        <v>0.25024795910582132</v>
      </c>
      <c r="S507" s="15">
        <f t="shared" ca="1" si="115"/>
        <v>1.00069235025056</v>
      </c>
      <c r="T507" s="15">
        <v>0</v>
      </c>
      <c r="U507" s="15">
        <f t="shared" ca="1" si="105"/>
        <v>1.00069235025056</v>
      </c>
      <c r="V507" s="15">
        <f t="shared" ca="1" si="106"/>
        <v>0.99946593423361552</v>
      </c>
      <c r="X507" s="15">
        <f t="shared" si="107"/>
        <v>1.05</v>
      </c>
      <c r="Y507" s="15">
        <f t="shared" si="108"/>
        <v>0.95</v>
      </c>
      <c r="Z507" s="15">
        <f t="shared" ca="1" si="109"/>
        <v>1</v>
      </c>
      <c r="AC507" s="15">
        <f t="shared" ca="1" si="110"/>
        <v>2.852262428238461E-7</v>
      </c>
      <c r="AD507" s="15">
        <f t="shared" ca="1" si="111"/>
        <v>5.3406576638448389E-4</v>
      </c>
      <c r="AE507" s="15">
        <f t="shared" ca="1" si="112"/>
        <v>0.24834058136878501</v>
      </c>
    </row>
    <row r="508" spans="12:31" x14ac:dyDescent="0.3">
      <c r="L508" s="15">
        <v>506</v>
      </c>
      <c r="M508" s="15">
        <f t="shared" si="102"/>
        <v>1</v>
      </c>
      <c r="N508" s="15">
        <f t="shared" ca="1" si="103"/>
        <v>5.3406576638448389E-4</v>
      </c>
      <c r="O508" s="15">
        <f t="shared" ca="1" si="114"/>
        <v>0.25101942444651054</v>
      </c>
      <c r="P508" s="15">
        <f t="shared" ca="1" si="113"/>
        <v>0.25024795910582132</v>
      </c>
      <c r="Q508" s="15">
        <v>0</v>
      </c>
      <c r="R508" s="15">
        <f t="shared" ca="1" si="104"/>
        <v>0.25024795910582132</v>
      </c>
      <c r="S508" s="15">
        <f t="shared" ca="1" si="115"/>
        <v>1.0006928440136875</v>
      </c>
      <c r="T508" s="15">
        <v>0</v>
      </c>
      <c r="U508" s="15">
        <f t="shared" ca="1" si="105"/>
        <v>1.0006928440136875</v>
      </c>
      <c r="V508" s="15">
        <f t="shared" ca="1" si="106"/>
        <v>0.99946593423361552</v>
      </c>
      <c r="X508" s="15">
        <f t="shared" si="107"/>
        <v>1.05</v>
      </c>
      <c r="Y508" s="15">
        <f t="shared" si="108"/>
        <v>0.95</v>
      </c>
      <c r="Z508" s="15">
        <f t="shared" ca="1" si="109"/>
        <v>1</v>
      </c>
      <c r="AC508" s="15">
        <f t="shared" ca="1" si="110"/>
        <v>2.852262428238461E-7</v>
      </c>
      <c r="AD508" s="15">
        <f t="shared" ca="1" si="111"/>
        <v>5.3406576638448389E-4</v>
      </c>
      <c r="AE508" s="15">
        <f t="shared" ca="1" si="112"/>
        <v>0.24887464713516949</v>
      </c>
    </row>
    <row r="509" spans="12:31" x14ac:dyDescent="0.3">
      <c r="L509" s="15">
        <v>507</v>
      </c>
      <c r="M509" s="15">
        <f t="shared" si="102"/>
        <v>1</v>
      </c>
      <c r="N509" s="15">
        <f t="shared" ca="1" si="103"/>
        <v>5.3406576638448389E-4</v>
      </c>
      <c r="O509" s="15">
        <f t="shared" ca="1" si="114"/>
        <v>0.25102952142446006</v>
      </c>
      <c r="P509" s="15">
        <f t="shared" ca="1" si="113"/>
        <v>0.25024795910582132</v>
      </c>
      <c r="Q509" s="15">
        <v>0</v>
      </c>
      <c r="R509" s="15">
        <f t="shared" ca="1" si="104"/>
        <v>0.25024795910582132</v>
      </c>
      <c r="S509" s="15">
        <f t="shared" ca="1" si="115"/>
        <v>1.0006945397219436</v>
      </c>
      <c r="T509" s="15">
        <v>0</v>
      </c>
      <c r="U509" s="15">
        <f t="shared" ca="1" si="105"/>
        <v>1.0006945397219436</v>
      </c>
      <c r="V509" s="15">
        <f t="shared" ca="1" si="106"/>
        <v>0.99946593423361552</v>
      </c>
      <c r="X509" s="15">
        <f t="shared" si="107"/>
        <v>1.05</v>
      </c>
      <c r="Y509" s="15">
        <f t="shared" si="108"/>
        <v>0.95</v>
      </c>
      <c r="Z509" s="15">
        <f t="shared" ca="1" si="109"/>
        <v>1</v>
      </c>
      <c r="AC509" s="15">
        <f t="shared" ca="1" si="110"/>
        <v>2.852262428238461E-7</v>
      </c>
      <c r="AD509" s="15">
        <f t="shared" ca="1" si="111"/>
        <v>5.3406576638448389E-4</v>
      </c>
      <c r="AE509" s="15">
        <f t="shared" ca="1" si="112"/>
        <v>0.24940871290155397</v>
      </c>
    </row>
    <row r="510" spans="12:31" x14ac:dyDescent="0.3">
      <c r="L510" s="15">
        <v>508</v>
      </c>
      <c r="M510" s="15">
        <f t="shared" si="102"/>
        <v>1</v>
      </c>
      <c r="N510" s="15">
        <f t="shared" ca="1" si="103"/>
        <v>5.3406576638448389E-4</v>
      </c>
      <c r="O510" s="15">
        <f t="shared" ca="1" si="114"/>
        <v>0.25102952142446006</v>
      </c>
      <c r="P510" s="15">
        <f t="shared" ca="1" si="113"/>
        <v>0.25024795910582132</v>
      </c>
      <c r="Q510" s="15">
        <v>0</v>
      </c>
      <c r="R510" s="15">
        <f t="shared" ca="1" si="104"/>
        <v>0.25024795910582132</v>
      </c>
      <c r="S510" s="15">
        <f t="shared" ca="1" si="115"/>
        <v>1.0006972776328351</v>
      </c>
      <c r="T510" s="15">
        <v>0</v>
      </c>
      <c r="U510" s="15">
        <f t="shared" ca="1" si="105"/>
        <v>1.0006972776328351</v>
      </c>
      <c r="V510" s="15">
        <f t="shared" ca="1" si="106"/>
        <v>0.99946593423361552</v>
      </c>
      <c r="X510" s="15">
        <f t="shared" si="107"/>
        <v>1.05</v>
      </c>
      <c r="Y510" s="15">
        <f t="shared" si="108"/>
        <v>0.95</v>
      </c>
      <c r="Z510" s="15">
        <f t="shared" ca="1" si="109"/>
        <v>1</v>
      </c>
      <c r="AC510" s="15">
        <f t="shared" ca="1" si="110"/>
        <v>2.852262428238461E-7</v>
      </c>
      <c r="AD510" s="15">
        <f t="shared" ca="1" si="111"/>
        <v>5.3406576638448389E-4</v>
      </c>
      <c r="AE510" s="15">
        <f t="shared" ca="1" si="112"/>
        <v>0.24994277866793846</v>
      </c>
    </row>
    <row r="511" spans="12:31" x14ac:dyDescent="0.3">
      <c r="L511" s="15">
        <v>509</v>
      </c>
      <c r="M511" s="15">
        <f t="shared" si="102"/>
        <v>1</v>
      </c>
      <c r="N511" s="15">
        <f t="shared" ca="1" si="103"/>
        <v>5.3406576638448389E-4</v>
      </c>
      <c r="O511" s="15">
        <f t="shared" ca="1" si="114"/>
        <v>0.25102952142446006</v>
      </c>
      <c r="P511" s="15">
        <f t="shared" ca="1" si="113"/>
        <v>0.25024795910582132</v>
      </c>
      <c r="Q511" s="15">
        <v>0</v>
      </c>
      <c r="R511" s="15">
        <f t="shared" ca="1" si="104"/>
        <v>0.25024795910582132</v>
      </c>
      <c r="S511" s="15">
        <f t="shared" ca="1" si="115"/>
        <v>1.0007009138728571</v>
      </c>
      <c r="T511" s="15">
        <v>0</v>
      </c>
      <c r="U511" s="15">
        <f t="shared" ca="1" si="105"/>
        <v>1.0007009138728571</v>
      </c>
      <c r="V511" s="15">
        <f t="shared" ca="1" si="106"/>
        <v>0.99946593423361552</v>
      </c>
      <c r="X511" s="15">
        <f t="shared" si="107"/>
        <v>1.05</v>
      </c>
      <c r="Y511" s="15">
        <f t="shared" si="108"/>
        <v>0.95</v>
      </c>
      <c r="Z511" s="15">
        <f t="shared" ca="1" si="109"/>
        <v>1</v>
      </c>
      <c r="AC511" s="15">
        <f t="shared" ca="1" si="110"/>
        <v>2.852262428238461E-7</v>
      </c>
      <c r="AD511" s="15">
        <f t="shared" ca="1" si="111"/>
        <v>5.3406576638448389E-4</v>
      </c>
      <c r="AE511" s="15">
        <f t="shared" ca="1" si="112"/>
        <v>0.25047684443432294</v>
      </c>
    </row>
    <row r="512" spans="12:31" x14ac:dyDescent="0.3">
      <c r="L512" s="15">
        <v>510</v>
      </c>
      <c r="M512" s="15">
        <f t="shared" si="102"/>
        <v>1</v>
      </c>
      <c r="N512" s="15">
        <f t="shared" ca="1" si="103"/>
        <v>5.3406576638448389E-4</v>
      </c>
      <c r="O512" s="15">
        <f t="shared" ca="1" si="114"/>
        <v>0.25103961840240957</v>
      </c>
      <c r="P512" s="15">
        <f t="shared" ca="1" si="113"/>
        <v>0.25024795910582132</v>
      </c>
      <c r="Q512" s="15">
        <v>0</v>
      </c>
      <c r="R512" s="15">
        <f t="shared" ca="1" si="104"/>
        <v>0.25024795910582132</v>
      </c>
      <c r="S512" s="15">
        <f t="shared" ca="1" si="115"/>
        <v>1.0007053190316733</v>
      </c>
      <c r="T512" s="15">
        <v>0</v>
      </c>
      <c r="U512" s="15">
        <f t="shared" ca="1" si="105"/>
        <v>1.0007053190316733</v>
      </c>
      <c r="V512" s="15">
        <f t="shared" ca="1" si="106"/>
        <v>0.99946593423361552</v>
      </c>
      <c r="X512" s="15">
        <f t="shared" si="107"/>
        <v>1.05</v>
      </c>
      <c r="Y512" s="15">
        <f t="shared" si="108"/>
        <v>0.95</v>
      </c>
      <c r="Z512" s="15">
        <f t="shared" ca="1" si="109"/>
        <v>1</v>
      </c>
      <c r="AC512" s="15">
        <f t="shared" ca="1" si="110"/>
        <v>2.852262428238461E-7</v>
      </c>
      <c r="AD512" s="15">
        <f t="shared" ca="1" si="111"/>
        <v>5.3406576638448389E-4</v>
      </c>
      <c r="AE512" s="15">
        <f t="shared" ca="1" si="112"/>
        <v>0.25101091020070743</v>
      </c>
    </row>
    <row r="513" spans="12:31" x14ac:dyDescent="0.3">
      <c r="L513" s="15">
        <v>511</v>
      </c>
      <c r="M513" s="15">
        <f t="shared" si="102"/>
        <v>1</v>
      </c>
      <c r="N513" s="15">
        <f t="shared" ca="1" si="103"/>
        <v>5.3406576638448389E-4</v>
      </c>
      <c r="O513" s="15">
        <f t="shared" ca="1" si="114"/>
        <v>0.25103961840240957</v>
      </c>
      <c r="P513" s="15">
        <f t="shared" ca="1" si="113"/>
        <v>0.25024795910582132</v>
      </c>
      <c r="Q513" s="15">
        <v>0</v>
      </c>
      <c r="R513" s="15">
        <f t="shared" ca="1" si="104"/>
        <v>0.25024795910582132</v>
      </c>
      <c r="S513" s="15">
        <f t="shared" ca="1" si="115"/>
        <v>1.0007103768735719</v>
      </c>
      <c r="T513" s="15">
        <v>0</v>
      </c>
      <c r="U513" s="15">
        <f t="shared" ca="1" si="105"/>
        <v>1.0007103768735719</v>
      </c>
      <c r="V513" s="15">
        <f t="shared" ca="1" si="106"/>
        <v>0.99946593423361552</v>
      </c>
      <c r="X513" s="15">
        <f t="shared" si="107"/>
        <v>1.05</v>
      </c>
      <c r="Y513" s="15">
        <f t="shared" si="108"/>
        <v>0.95</v>
      </c>
      <c r="Z513" s="15">
        <f t="shared" ca="1" si="109"/>
        <v>1</v>
      </c>
      <c r="AC513" s="15">
        <f t="shared" ca="1" si="110"/>
        <v>2.852262428238461E-7</v>
      </c>
      <c r="AD513" s="15">
        <f t="shared" ca="1" si="111"/>
        <v>5.3406576638448389E-4</v>
      </c>
      <c r="AE513" s="15">
        <f t="shared" ca="1" si="112"/>
        <v>0.25154497596709191</v>
      </c>
    </row>
    <row r="514" spans="12:31" x14ac:dyDescent="0.3">
      <c r="L514" s="15">
        <v>512</v>
      </c>
      <c r="M514" s="15">
        <f t="shared" si="102"/>
        <v>1</v>
      </c>
      <c r="N514" s="15">
        <f t="shared" ca="1" si="103"/>
        <v>5.3406576638448389E-4</v>
      </c>
      <c r="O514" s="15">
        <f t="shared" ca="1" si="114"/>
        <v>0.25103961840240957</v>
      </c>
      <c r="P514" s="15">
        <f t="shared" ca="1" si="113"/>
        <v>0.25024795910582132</v>
      </c>
      <c r="Q514" s="15">
        <v>0</v>
      </c>
      <c r="R514" s="15">
        <f t="shared" ca="1" si="104"/>
        <v>0.25024795910582132</v>
      </c>
      <c r="S514" s="15">
        <f t="shared" ca="1" si="115"/>
        <v>1.0007159831567616</v>
      </c>
      <c r="T514" s="15">
        <v>0</v>
      </c>
      <c r="U514" s="15">
        <f t="shared" ca="1" si="105"/>
        <v>1.0007159831567616</v>
      </c>
      <c r="V514" s="15">
        <f t="shared" ca="1" si="106"/>
        <v>0.99946593423361552</v>
      </c>
      <c r="X514" s="15">
        <f t="shared" si="107"/>
        <v>1.05</v>
      </c>
      <c r="Y514" s="15">
        <f t="shared" si="108"/>
        <v>0.95</v>
      </c>
      <c r="Z514" s="15">
        <f t="shared" ca="1" si="109"/>
        <v>1</v>
      </c>
      <c r="AC514" s="15">
        <f t="shared" ca="1" si="110"/>
        <v>2.852262428238461E-7</v>
      </c>
      <c r="AD514" s="15">
        <f t="shared" ca="1" si="111"/>
        <v>5.3406576638448389E-4</v>
      </c>
      <c r="AE514" s="15">
        <f t="shared" ca="1" si="112"/>
        <v>0.25207904173347639</v>
      </c>
    </row>
    <row r="515" spans="12:31" x14ac:dyDescent="0.3">
      <c r="L515" s="15">
        <v>513</v>
      </c>
      <c r="M515" s="15">
        <f t="shared" ref="M515:M578" si="116">IF(L515&lt;$D$16,$D$12,IF(L515&lt;$E$16,$E$12,$F$13))</f>
        <v>1</v>
      </c>
      <c r="N515" s="15">
        <f t="shared" ref="N515:N578" ca="1" si="117">M515-V515</f>
        <v>5.3406576638448389E-4</v>
      </c>
      <c r="O515" s="15">
        <f t="shared" ca="1" si="114"/>
        <v>0.25104971538035908</v>
      </c>
      <c r="P515" s="15">
        <f t="shared" ca="1" si="113"/>
        <v>0.25024795910582132</v>
      </c>
      <c r="Q515" s="15">
        <v>0</v>
      </c>
      <c r="R515" s="15">
        <f t="shared" ref="R515:R578" ca="1" si="118">P515+Q515</f>
        <v>0.25024795910582132</v>
      </c>
      <c r="S515" s="15">
        <f t="shared" ca="1" si="115"/>
        <v>1.0007352444859188</v>
      </c>
      <c r="T515" s="15">
        <v>0</v>
      </c>
      <c r="U515" s="15">
        <f t="shared" ref="U515:U578" ca="1" si="119">S515+T515</f>
        <v>1.0007352444859188</v>
      </c>
      <c r="V515" s="15">
        <f t="shared" ref="V515:V578" ca="1" si="120">INT((2^$J$12-1)*U515/100)/(2^$J$12-1)*100</f>
        <v>0.99946593423361552</v>
      </c>
      <c r="X515" s="15">
        <f t="shared" ref="X515:X578" si="121">M515 * 1.05</f>
        <v>1.05</v>
      </c>
      <c r="Y515" s="15">
        <f t="shared" ref="Y515:Y578" si="122">M515 * 0.95</f>
        <v>0.95</v>
      </c>
      <c r="Z515" s="15">
        <f t="shared" ref="Z515:Z578" ca="1" si="123">IF(AND(V515 &lt;= X515, V515 &gt;= Y515), 1, 0)</f>
        <v>1</v>
      </c>
      <c r="AC515" s="15">
        <f t="shared" ref="AC515:AC578" ca="1" si="124">N515^2</f>
        <v>2.852262428238461E-7</v>
      </c>
      <c r="AD515" s="15">
        <f t="shared" ref="AD515:AD578" ca="1" si="125">ABS(N515)</f>
        <v>5.3406576638448389E-4</v>
      </c>
      <c r="AE515" s="15">
        <f t="shared" ref="AE515:AE578" ca="1" si="126">IF(M515&gt;0, ABS(N515)*(L515-$D$16),0)</f>
        <v>0.25261310749986088</v>
      </c>
    </row>
    <row r="516" spans="12:31" x14ac:dyDescent="0.3">
      <c r="L516" s="15">
        <v>514</v>
      </c>
      <c r="M516" s="15">
        <f t="shared" si="116"/>
        <v>1</v>
      </c>
      <c r="N516" s="15">
        <f t="shared" ca="1" si="117"/>
        <v>5.3406576638448389E-4</v>
      </c>
      <c r="O516" s="15">
        <f t="shared" ca="1" si="114"/>
        <v>0.25104971538035908</v>
      </c>
      <c r="P516" s="15">
        <f t="shared" ca="1" si="113"/>
        <v>0.25024795910582132</v>
      </c>
      <c r="Q516" s="15">
        <v>0</v>
      </c>
      <c r="R516" s="15">
        <f t="shared" ca="1" si="118"/>
        <v>0.25024795910582132</v>
      </c>
      <c r="S516" s="15">
        <f t="shared" ca="1" si="115"/>
        <v>1.0007789620294016</v>
      </c>
      <c r="T516" s="15">
        <v>0</v>
      </c>
      <c r="U516" s="15">
        <f t="shared" ca="1" si="119"/>
        <v>1.0007789620294016</v>
      </c>
      <c r="V516" s="15">
        <f t="shared" ca="1" si="120"/>
        <v>0.99946593423361552</v>
      </c>
      <c r="X516" s="15">
        <f t="shared" si="121"/>
        <v>1.05</v>
      </c>
      <c r="Y516" s="15">
        <f t="shared" si="122"/>
        <v>0.95</v>
      </c>
      <c r="Z516" s="15">
        <f t="shared" ca="1" si="123"/>
        <v>1</v>
      </c>
      <c r="AC516" s="15">
        <f t="shared" ca="1" si="124"/>
        <v>2.852262428238461E-7</v>
      </c>
      <c r="AD516" s="15">
        <f t="shared" ca="1" si="125"/>
        <v>5.3406576638448389E-4</v>
      </c>
      <c r="AE516" s="15">
        <f t="shared" ca="1" si="126"/>
        <v>0.25314717326624536</v>
      </c>
    </row>
    <row r="517" spans="12:31" x14ac:dyDescent="0.3">
      <c r="L517" s="15">
        <v>515</v>
      </c>
      <c r="M517" s="15">
        <f t="shared" si="116"/>
        <v>1</v>
      </c>
      <c r="N517" s="15">
        <f t="shared" ca="1" si="117"/>
        <v>5.3406576638448389E-4</v>
      </c>
      <c r="O517" s="15">
        <f t="shared" ca="1" si="114"/>
        <v>0.25104971538035908</v>
      </c>
      <c r="P517" s="15">
        <f t="shared" ca="1" si="113"/>
        <v>0.25024795910582132</v>
      </c>
      <c r="Q517" s="15">
        <v>0</v>
      </c>
      <c r="R517" s="15">
        <f t="shared" ca="1" si="118"/>
        <v>0.25024795910582132</v>
      </c>
      <c r="S517" s="15">
        <f t="shared" ca="1" si="115"/>
        <v>1.0008438465009175</v>
      </c>
      <c r="T517" s="15">
        <v>0</v>
      </c>
      <c r="U517" s="15">
        <f t="shared" ca="1" si="119"/>
        <v>1.0008438465009175</v>
      </c>
      <c r="V517" s="15">
        <f t="shared" ca="1" si="120"/>
        <v>0.99946593423361552</v>
      </c>
      <c r="X517" s="15">
        <f t="shared" si="121"/>
        <v>1.05</v>
      </c>
      <c r="Y517" s="15">
        <f t="shared" si="122"/>
        <v>0.95</v>
      </c>
      <c r="Z517" s="15">
        <f t="shared" ca="1" si="123"/>
        <v>1</v>
      </c>
      <c r="AC517" s="15">
        <f t="shared" ca="1" si="124"/>
        <v>2.852262428238461E-7</v>
      </c>
      <c r="AD517" s="15">
        <f t="shared" ca="1" si="125"/>
        <v>5.3406576638448389E-4</v>
      </c>
      <c r="AE517" s="15">
        <f t="shared" ca="1" si="126"/>
        <v>0.25368123903262985</v>
      </c>
    </row>
    <row r="518" spans="12:31" x14ac:dyDescent="0.3">
      <c r="L518" s="15">
        <v>516</v>
      </c>
      <c r="M518" s="15">
        <f t="shared" si="116"/>
        <v>1</v>
      </c>
      <c r="N518" s="15">
        <f t="shared" ca="1" si="117"/>
        <v>5.3406576638448389E-4</v>
      </c>
      <c r="O518" s="15">
        <f t="shared" ca="1" si="114"/>
        <v>0.2510598123583086</v>
      </c>
      <c r="P518" s="15">
        <f t="shared" ca="1" si="113"/>
        <v>0.25024795910582132</v>
      </c>
      <c r="Q518" s="15">
        <v>0</v>
      </c>
      <c r="R518" s="15">
        <f t="shared" ca="1" si="118"/>
        <v>0.25024795910582132</v>
      </c>
      <c r="S518" s="15">
        <f t="shared" ca="1" si="115"/>
        <v>1.0009137366815919</v>
      </c>
      <c r="T518" s="15">
        <v>0</v>
      </c>
      <c r="U518" s="15">
        <f t="shared" ca="1" si="119"/>
        <v>1.0009137366815919</v>
      </c>
      <c r="V518" s="15">
        <f t="shared" ca="1" si="120"/>
        <v>0.99946593423361552</v>
      </c>
      <c r="X518" s="15">
        <f t="shared" si="121"/>
        <v>1.05</v>
      </c>
      <c r="Y518" s="15">
        <f t="shared" si="122"/>
        <v>0.95</v>
      </c>
      <c r="Z518" s="15">
        <f t="shared" ca="1" si="123"/>
        <v>1</v>
      </c>
      <c r="AC518" s="15">
        <f t="shared" ca="1" si="124"/>
        <v>2.852262428238461E-7</v>
      </c>
      <c r="AD518" s="15">
        <f t="shared" ca="1" si="125"/>
        <v>5.3406576638448389E-4</v>
      </c>
      <c r="AE518" s="15">
        <f t="shared" ca="1" si="126"/>
        <v>0.25421530479901433</v>
      </c>
    </row>
    <row r="519" spans="12:31" x14ac:dyDescent="0.3">
      <c r="L519" s="15">
        <v>517</v>
      </c>
      <c r="M519" s="15">
        <f t="shared" si="116"/>
        <v>1</v>
      </c>
      <c r="N519" s="15">
        <f t="shared" ca="1" si="117"/>
        <v>5.3406576638448389E-4</v>
      </c>
      <c r="O519" s="15">
        <f t="shared" ca="1" si="114"/>
        <v>0.2510598123583086</v>
      </c>
      <c r="P519" s="15">
        <f t="shared" ca="1" si="113"/>
        <v>0.25024795910582132</v>
      </c>
      <c r="Q519" s="15">
        <v>0</v>
      </c>
      <c r="R519" s="15">
        <f t="shared" ca="1" si="118"/>
        <v>0.25024795910582132</v>
      </c>
      <c r="S519" s="15">
        <f t="shared" ca="1" si="115"/>
        <v>1.0009750856021535</v>
      </c>
      <c r="T519" s="15">
        <v>0</v>
      </c>
      <c r="U519" s="15">
        <f t="shared" ca="1" si="119"/>
        <v>1.0009750856021535</v>
      </c>
      <c r="V519" s="15">
        <f t="shared" ca="1" si="120"/>
        <v>0.99946593423361552</v>
      </c>
      <c r="X519" s="15">
        <f t="shared" si="121"/>
        <v>1.05</v>
      </c>
      <c r="Y519" s="15">
        <f t="shared" si="122"/>
        <v>0.95</v>
      </c>
      <c r="Z519" s="15">
        <f t="shared" ca="1" si="123"/>
        <v>1</v>
      </c>
      <c r="AC519" s="15">
        <f t="shared" ca="1" si="124"/>
        <v>2.852262428238461E-7</v>
      </c>
      <c r="AD519" s="15">
        <f t="shared" ca="1" si="125"/>
        <v>5.3406576638448389E-4</v>
      </c>
      <c r="AE519" s="15">
        <f t="shared" ca="1" si="126"/>
        <v>0.25474937056539881</v>
      </c>
    </row>
    <row r="520" spans="12:31" x14ac:dyDescent="0.3">
      <c r="L520" s="15">
        <v>518</v>
      </c>
      <c r="M520" s="15">
        <f t="shared" si="116"/>
        <v>1</v>
      </c>
      <c r="N520" s="15">
        <f t="shared" ca="1" si="117"/>
        <v>-9.9183642328526389E-4</v>
      </c>
      <c r="O520" s="15">
        <f t="shared" ca="1" si="114"/>
        <v>0.2510598123583086</v>
      </c>
      <c r="P520" s="15">
        <f t="shared" ca="1" si="113"/>
        <v>0.25024795910582132</v>
      </c>
      <c r="Q520" s="15">
        <v>0</v>
      </c>
      <c r="R520" s="15">
        <f t="shared" ca="1" si="118"/>
        <v>0.25024795910582132</v>
      </c>
      <c r="S520" s="15">
        <f t="shared" ca="1" si="115"/>
        <v>1.0010287179753621</v>
      </c>
      <c r="T520" s="15">
        <v>0</v>
      </c>
      <c r="U520" s="15">
        <f t="shared" ca="1" si="119"/>
        <v>1.0010287179753621</v>
      </c>
      <c r="V520" s="15">
        <f t="shared" ca="1" si="120"/>
        <v>1.0009918364232853</v>
      </c>
      <c r="X520" s="15">
        <f t="shared" si="121"/>
        <v>1.05</v>
      </c>
      <c r="Y520" s="15">
        <f t="shared" si="122"/>
        <v>0.95</v>
      </c>
      <c r="Z520" s="15">
        <f t="shared" ca="1" si="123"/>
        <v>1</v>
      </c>
      <c r="AC520" s="15">
        <f t="shared" ca="1" si="124"/>
        <v>9.8373949055530516E-7</v>
      </c>
      <c r="AD520" s="15">
        <f t="shared" ca="1" si="125"/>
        <v>9.9183642328526389E-4</v>
      </c>
      <c r="AE520" s="15">
        <f t="shared" ca="1" si="126"/>
        <v>0.47409781033035614</v>
      </c>
    </row>
    <row r="521" spans="12:31" x14ac:dyDescent="0.3">
      <c r="L521" s="15">
        <v>519</v>
      </c>
      <c r="M521" s="15">
        <f t="shared" si="116"/>
        <v>1</v>
      </c>
      <c r="N521" s="15">
        <f t="shared" ca="1" si="117"/>
        <v>-9.9183642328526389E-4</v>
      </c>
      <c r="O521" s="15">
        <f t="shared" ca="1" si="114"/>
        <v>0.24941350206533577</v>
      </c>
      <c r="P521" s="15">
        <f t="shared" ca="1" si="113"/>
        <v>0.24872205691615165</v>
      </c>
      <c r="Q521" s="15">
        <v>0</v>
      </c>
      <c r="R521" s="15">
        <f t="shared" ca="1" si="118"/>
        <v>0.24872205691615165</v>
      </c>
      <c r="S521" s="15">
        <f t="shared" ca="1" si="115"/>
        <v>1.0010753864660933</v>
      </c>
      <c r="T521" s="15">
        <v>0</v>
      </c>
      <c r="U521" s="15">
        <f t="shared" ca="1" si="119"/>
        <v>1.0010753864660933</v>
      </c>
      <c r="V521" s="15">
        <f t="shared" ca="1" si="120"/>
        <v>1.0009918364232853</v>
      </c>
      <c r="X521" s="15">
        <f t="shared" si="121"/>
        <v>1.05</v>
      </c>
      <c r="Y521" s="15">
        <f t="shared" si="122"/>
        <v>0.95</v>
      </c>
      <c r="Z521" s="15">
        <f t="shared" ca="1" si="123"/>
        <v>1</v>
      </c>
      <c r="AC521" s="15">
        <f t="shared" ca="1" si="124"/>
        <v>9.8373949055530516E-7</v>
      </c>
      <c r="AD521" s="15">
        <f t="shared" ca="1" si="125"/>
        <v>9.9183642328526389E-4</v>
      </c>
      <c r="AE521" s="15">
        <f t="shared" ca="1" si="126"/>
        <v>0.4750896467536414</v>
      </c>
    </row>
    <row r="522" spans="12:31" x14ac:dyDescent="0.3">
      <c r="L522" s="15">
        <v>520</v>
      </c>
      <c r="M522" s="15">
        <f t="shared" si="116"/>
        <v>1</v>
      </c>
      <c r="N522" s="15">
        <f t="shared" ca="1" si="117"/>
        <v>-9.9183642328526389E-4</v>
      </c>
      <c r="O522" s="15">
        <f t="shared" ca="1" si="114"/>
        <v>0.24941350206533577</v>
      </c>
      <c r="P522" s="15">
        <f t="shared" ca="1" si="113"/>
        <v>0.24872205691615165</v>
      </c>
      <c r="Q522" s="15">
        <v>0</v>
      </c>
      <c r="R522" s="15">
        <f t="shared" ca="1" si="118"/>
        <v>0.24872205691615165</v>
      </c>
      <c r="S522" s="15">
        <f t="shared" ca="1" si="115"/>
        <v>1.0011157776533413</v>
      </c>
      <c r="T522" s="15">
        <v>0</v>
      </c>
      <c r="U522" s="15">
        <f t="shared" ca="1" si="119"/>
        <v>1.0011157776533413</v>
      </c>
      <c r="V522" s="15">
        <f t="shared" ca="1" si="120"/>
        <v>1.0009918364232853</v>
      </c>
      <c r="X522" s="15">
        <f t="shared" si="121"/>
        <v>1.05</v>
      </c>
      <c r="Y522" s="15">
        <f t="shared" si="122"/>
        <v>0.95</v>
      </c>
      <c r="Z522" s="15">
        <f t="shared" ca="1" si="123"/>
        <v>1</v>
      </c>
      <c r="AC522" s="15">
        <f t="shared" ca="1" si="124"/>
        <v>9.8373949055530516E-7</v>
      </c>
      <c r="AD522" s="15">
        <f t="shared" ca="1" si="125"/>
        <v>9.9183642328526389E-4</v>
      </c>
      <c r="AE522" s="15">
        <f t="shared" ca="1" si="126"/>
        <v>0.47608148317692667</v>
      </c>
    </row>
    <row r="523" spans="12:31" x14ac:dyDescent="0.3">
      <c r="L523" s="15">
        <v>521</v>
      </c>
      <c r="M523" s="15">
        <f t="shared" si="116"/>
        <v>1</v>
      </c>
      <c r="N523" s="15">
        <f t="shared" ca="1" si="117"/>
        <v>-9.9183642328526389E-4</v>
      </c>
      <c r="O523" s="15">
        <f t="shared" ca="1" si="114"/>
        <v>0.24941350206533577</v>
      </c>
      <c r="P523" s="15">
        <f t="shared" ca="1" si="113"/>
        <v>0.24872205691615165</v>
      </c>
      <c r="Q523" s="15">
        <v>0</v>
      </c>
      <c r="R523" s="15">
        <f t="shared" ca="1" si="118"/>
        <v>0.24872205691615165</v>
      </c>
      <c r="S523" s="15">
        <f t="shared" ca="1" si="115"/>
        <v>1.0011505175149451</v>
      </c>
      <c r="T523" s="15">
        <v>0</v>
      </c>
      <c r="U523" s="15">
        <f t="shared" ca="1" si="119"/>
        <v>1.0011505175149451</v>
      </c>
      <c r="V523" s="15">
        <f t="shared" ca="1" si="120"/>
        <v>1.0009918364232853</v>
      </c>
      <c r="X523" s="15">
        <f t="shared" si="121"/>
        <v>1.05</v>
      </c>
      <c r="Y523" s="15">
        <f t="shared" si="122"/>
        <v>0.95</v>
      </c>
      <c r="Z523" s="15">
        <f t="shared" ca="1" si="123"/>
        <v>1</v>
      </c>
      <c r="AC523" s="15">
        <f t="shared" ca="1" si="124"/>
        <v>9.8373949055530516E-7</v>
      </c>
      <c r="AD523" s="15">
        <f t="shared" ca="1" si="125"/>
        <v>9.9183642328526389E-4</v>
      </c>
      <c r="AE523" s="15">
        <f t="shared" ca="1" si="126"/>
        <v>0.47707331960021193</v>
      </c>
    </row>
    <row r="524" spans="12:31" x14ac:dyDescent="0.3">
      <c r="L524" s="15">
        <v>522</v>
      </c>
      <c r="M524" s="15">
        <f t="shared" si="116"/>
        <v>1</v>
      </c>
      <c r="N524" s="15">
        <f t="shared" ca="1" si="117"/>
        <v>-9.9183642328526389E-4</v>
      </c>
      <c r="O524" s="15">
        <f t="shared" ca="1" si="114"/>
        <v>0.25068878207525641</v>
      </c>
      <c r="P524" s="15">
        <f t="shared" ca="1" si="113"/>
        <v>0.25024795910582132</v>
      </c>
      <c r="Q524" s="15">
        <v>0</v>
      </c>
      <c r="R524" s="15">
        <f t="shared" ca="1" si="118"/>
        <v>0.25024795910582132</v>
      </c>
      <c r="S524" s="15">
        <f t="shared" ca="1" si="115"/>
        <v>1.0011801764724246</v>
      </c>
      <c r="T524" s="15">
        <v>0</v>
      </c>
      <c r="U524" s="15">
        <f t="shared" ca="1" si="119"/>
        <v>1.0011801764724246</v>
      </c>
      <c r="V524" s="15">
        <f t="shared" ca="1" si="120"/>
        <v>1.0009918364232853</v>
      </c>
      <c r="X524" s="15">
        <f t="shared" si="121"/>
        <v>1.05</v>
      </c>
      <c r="Y524" s="15">
        <f t="shared" si="122"/>
        <v>0.95</v>
      </c>
      <c r="Z524" s="15">
        <f t="shared" ca="1" si="123"/>
        <v>1</v>
      </c>
      <c r="AC524" s="15">
        <f t="shared" ca="1" si="124"/>
        <v>9.8373949055530516E-7</v>
      </c>
      <c r="AD524" s="15">
        <f t="shared" ca="1" si="125"/>
        <v>9.9183642328526389E-4</v>
      </c>
      <c r="AE524" s="15">
        <f t="shared" ca="1" si="126"/>
        <v>0.4780651560234972</v>
      </c>
    </row>
    <row r="525" spans="12:31" x14ac:dyDescent="0.3">
      <c r="L525" s="15">
        <v>523</v>
      </c>
      <c r="M525" s="15">
        <f t="shared" si="116"/>
        <v>1</v>
      </c>
      <c r="N525" s="15">
        <f t="shared" ca="1" si="117"/>
        <v>-9.9183642328526389E-4</v>
      </c>
      <c r="O525" s="15">
        <f t="shared" ca="1" si="114"/>
        <v>0.25068878207525641</v>
      </c>
      <c r="P525" s="15">
        <f t="shared" ref="P525:P588" ca="1" si="127">INT((2^$J$12-1)*O525/100)/(2^$J$12-1)*100</f>
        <v>0.25024795910582132</v>
      </c>
      <c r="Q525" s="15">
        <v>0</v>
      </c>
      <c r="R525" s="15">
        <f t="shared" ca="1" si="118"/>
        <v>0.25024795910582132</v>
      </c>
      <c r="S525" s="15">
        <f t="shared" ca="1" si="115"/>
        <v>1.0012052740304256</v>
      </c>
      <c r="T525" s="15">
        <v>0</v>
      </c>
      <c r="U525" s="15">
        <f t="shared" ca="1" si="119"/>
        <v>1.0012052740304256</v>
      </c>
      <c r="V525" s="15">
        <f t="shared" ca="1" si="120"/>
        <v>1.0009918364232853</v>
      </c>
      <c r="X525" s="15">
        <f t="shared" si="121"/>
        <v>1.05</v>
      </c>
      <c r="Y525" s="15">
        <f t="shared" si="122"/>
        <v>0.95</v>
      </c>
      <c r="Z525" s="15">
        <f t="shared" ca="1" si="123"/>
        <v>1</v>
      </c>
      <c r="AC525" s="15">
        <f t="shared" ca="1" si="124"/>
        <v>9.8373949055530516E-7</v>
      </c>
      <c r="AD525" s="15">
        <f t="shared" ca="1" si="125"/>
        <v>9.9183642328526389E-4</v>
      </c>
      <c r="AE525" s="15">
        <f t="shared" ca="1" si="126"/>
        <v>0.47905699244678246</v>
      </c>
    </row>
    <row r="526" spans="12:31" x14ac:dyDescent="0.3">
      <c r="L526" s="15">
        <v>524</v>
      </c>
      <c r="M526" s="15">
        <f t="shared" si="116"/>
        <v>1</v>
      </c>
      <c r="N526" s="15">
        <f t="shared" ca="1" si="117"/>
        <v>-9.9183642328526389E-4</v>
      </c>
      <c r="O526" s="15">
        <f t="shared" ca="1" si="114"/>
        <v>0.25068878207525641</v>
      </c>
      <c r="P526" s="15">
        <f t="shared" ca="1" si="127"/>
        <v>0.25024795910582132</v>
      </c>
      <c r="Q526" s="15">
        <v>0</v>
      </c>
      <c r="R526" s="15">
        <f t="shared" ca="1" si="118"/>
        <v>0.25024795910582132</v>
      </c>
      <c r="S526" s="15">
        <f t="shared" ca="1" si="115"/>
        <v>1.00122628304261</v>
      </c>
      <c r="T526" s="15">
        <v>0</v>
      </c>
      <c r="U526" s="15">
        <f t="shared" ca="1" si="119"/>
        <v>1.00122628304261</v>
      </c>
      <c r="V526" s="15">
        <f t="shared" ca="1" si="120"/>
        <v>1.0009918364232853</v>
      </c>
      <c r="X526" s="15">
        <f t="shared" si="121"/>
        <v>1.05</v>
      </c>
      <c r="Y526" s="15">
        <f t="shared" si="122"/>
        <v>0.95</v>
      </c>
      <c r="Z526" s="15">
        <f t="shared" ca="1" si="123"/>
        <v>1</v>
      </c>
      <c r="AC526" s="15">
        <f t="shared" ca="1" si="124"/>
        <v>9.8373949055530516E-7</v>
      </c>
      <c r="AD526" s="15">
        <f t="shared" ca="1" si="125"/>
        <v>9.9183642328526389E-4</v>
      </c>
      <c r="AE526" s="15">
        <f t="shared" ca="1" si="126"/>
        <v>0.48004882887006772</v>
      </c>
    </row>
    <row r="527" spans="12:31" x14ac:dyDescent="0.3">
      <c r="L527" s="15">
        <v>525</v>
      </c>
      <c r="M527" s="15">
        <f t="shared" si="116"/>
        <v>1</v>
      </c>
      <c r="N527" s="15">
        <f t="shared" ca="1" si="117"/>
        <v>-9.9183642328526389E-4</v>
      </c>
      <c r="O527" s="15">
        <f t="shared" ca="1" si="114"/>
        <v>0.25067003054477871</v>
      </c>
      <c r="P527" s="15">
        <f t="shared" ca="1" si="127"/>
        <v>0.25024795910582132</v>
      </c>
      <c r="Q527" s="15">
        <v>0</v>
      </c>
      <c r="R527" s="15">
        <f t="shared" ca="1" si="118"/>
        <v>0.25024795910582132</v>
      </c>
      <c r="S527" s="15">
        <f t="shared" ca="1" si="115"/>
        <v>1.0012436336333661</v>
      </c>
      <c r="T527" s="15">
        <v>0</v>
      </c>
      <c r="U527" s="15">
        <f t="shared" ca="1" si="119"/>
        <v>1.0012436336333661</v>
      </c>
      <c r="V527" s="15">
        <f t="shared" ca="1" si="120"/>
        <v>1.0009918364232853</v>
      </c>
      <c r="X527" s="15">
        <f t="shared" si="121"/>
        <v>1.05</v>
      </c>
      <c r="Y527" s="15">
        <f t="shared" si="122"/>
        <v>0.95</v>
      </c>
      <c r="Z527" s="15">
        <f t="shared" ca="1" si="123"/>
        <v>1</v>
      </c>
      <c r="AC527" s="15">
        <f t="shared" ca="1" si="124"/>
        <v>9.8373949055530516E-7</v>
      </c>
      <c r="AD527" s="15">
        <f t="shared" ca="1" si="125"/>
        <v>9.9183642328526389E-4</v>
      </c>
      <c r="AE527" s="15">
        <f t="shared" ca="1" si="126"/>
        <v>0.48104066529335299</v>
      </c>
    </row>
    <row r="528" spans="12:31" x14ac:dyDescent="0.3">
      <c r="L528" s="15">
        <v>526</v>
      </c>
      <c r="M528" s="15">
        <f t="shared" si="116"/>
        <v>1</v>
      </c>
      <c r="N528" s="15">
        <f t="shared" ca="1" si="117"/>
        <v>-9.9183642328526389E-4</v>
      </c>
      <c r="O528" s="15">
        <f t="shared" ca="1" si="114"/>
        <v>0.25067003054477871</v>
      </c>
      <c r="P528" s="15">
        <f t="shared" ca="1" si="127"/>
        <v>0.25024795910582132</v>
      </c>
      <c r="Q528" s="15">
        <v>0</v>
      </c>
      <c r="R528" s="15">
        <f t="shared" ca="1" si="118"/>
        <v>0.25024795910582132</v>
      </c>
      <c r="S528" s="15">
        <f t="shared" ca="1" si="115"/>
        <v>1.0012577168024399</v>
      </c>
      <c r="T528" s="15">
        <v>0</v>
      </c>
      <c r="U528" s="15">
        <f t="shared" ca="1" si="119"/>
        <v>1.0012577168024399</v>
      </c>
      <c r="V528" s="15">
        <f t="shared" ca="1" si="120"/>
        <v>1.0009918364232853</v>
      </c>
      <c r="X528" s="15">
        <f t="shared" si="121"/>
        <v>1.05</v>
      </c>
      <c r="Y528" s="15">
        <f t="shared" si="122"/>
        <v>0.95</v>
      </c>
      <c r="Z528" s="15">
        <f t="shared" ca="1" si="123"/>
        <v>1</v>
      </c>
      <c r="AC528" s="15">
        <f t="shared" ca="1" si="124"/>
        <v>9.8373949055530516E-7</v>
      </c>
      <c r="AD528" s="15">
        <f t="shared" ca="1" si="125"/>
        <v>9.9183642328526389E-4</v>
      </c>
      <c r="AE528" s="15">
        <f t="shared" ca="1" si="126"/>
        <v>0.48203250171663825</v>
      </c>
    </row>
    <row r="529" spans="12:31" x14ac:dyDescent="0.3">
      <c r="L529" s="15">
        <v>527</v>
      </c>
      <c r="M529" s="15">
        <f t="shared" si="116"/>
        <v>1</v>
      </c>
      <c r="N529" s="15">
        <f t="shared" ca="1" si="117"/>
        <v>-9.9183642328526389E-4</v>
      </c>
      <c r="O529" s="15">
        <f t="shared" ca="1" si="114"/>
        <v>0.25067003054477871</v>
      </c>
      <c r="P529" s="15">
        <f t="shared" ca="1" si="127"/>
        <v>0.25024795910582132</v>
      </c>
      <c r="Q529" s="15">
        <v>0</v>
      </c>
      <c r="R529" s="15">
        <f t="shared" ca="1" si="118"/>
        <v>0.25024795910582132</v>
      </c>
      <c r="S529" s="15">
        <f t="shared" ca="1" si="115"/>
        <v>1.0012688877374907</v>
      </c>
      <c r="T529" s="15">
        <v>0</v>
      </c>
      <c r="U529" s="15">
        <f t="shared" ca="1" si="119"/>
        <v>1.0012688877374907</v>
      </c>
      <c r="V529" s="15">
        <f t="shared" ca="1" si="120"/>
        <v>1.0009918364232853</v>
      </c>
      <c r="X529" s="15">
        <f t="shared" si="121"/>
        <v>1.05</v>
      </c>
      <c r="Y529" s="15">
        <f t="shared" si="122"/>
        <v>0.95</v>
      </c>
      <c r="Z529" s="15">
        <f t="shared" ca="1" si="123"/>
        <v>1</v>
      </c>
      <c r="AC529" s="15">
        <f t="shared" ca="1" si="124"/>
        <v>9.8373949055530516E-7</v>
      </c>
      <c r="AD529" s="15">
        <f t="shared" ca="1" si="125"/>
        <v>9.9183642328526389E-4</v>
      </c>
      <c r="AE529" s="15">
        <f t="shared" ca="1" si="126"/>
        <v>0.48302433813992351</v>
      </c>
    </row>
    <row r="530" spans="12:31" x14ac:dyDescent="0.3">
      <c r="L530" s="15">
        <v>528</v>
      </c>
      <c r="M530" s="15">
        <f t="shared" si="116"/>
        <v>1</v>
      </c>
      <c r="N530" s="15">
        <f t="shared" ca="1" si="117"/>
        <v>-9.9183642328526389E-4</v>
      </c>
      <c r="O530" s="15">
        <f t="shared" ca="1" si="114"/>
        <v>0.25065127901430101</v>
      </c>
      <c r="P530" s="15">
        <f t="shared" ca="1" si="127"/>
        <v>0.25024795910582132</v>
      </c>
      <c r="Q530" s="15">
        <v>0</v>
      </c>
      <c r="R530" s="15">
        <f t="shared" ca="1" si="118"/>
        <v>0.25024795910582132</v>
      </c>
      <c r="S530" s="15">
        <f t="shared" ca="1" si="115"/>
        <v>1.001277468857634</v>
      </c>
      <c r="T530" s="15">
        <v>0</v>
      </c>
      <c r="U530" s="15">
        <f t="shared" ca="1" si="119"/>
        <v>1.001277468857634</v>
      </c>
      <c r="V530" s="15">
        <f t="shared" ca="1" si="120"/>
        <v>1.0009918364232853</v>
      </c>
      <c r="X530" s="15">
        <f t="shared" si="121"/>
        <v>1.05</v>
      </c>
      <c r="Y530" s="15">
        <f t="shared" si="122"/>
        <v>0.95</v>
      </c>
      <c r="Z530" s="15">
        <f t="shared" ca="1" si="123"/>
        <v>1</v>
      </c>
      <c r="AC530" s="15">
        <f t="shared" ca="1" si="124"/>
        <v>9.8373949055530516E-7</v>
      </c>
      <c r="AD530" s="15">
        <f t="shared" ca="1" si="125"/>
        <v>9.9183642328526389E-4</v>
      </c>
      <c r="AE530" s="15">
        <f t="shared" ca="1" si="126"/>
        <v>0.48401617456320878</v>
      </c>
    </row>
    <row r="531" spans="12:31" x14ac:dyDescent="0.3">
      <c r="L531" s="15">
        <v>529</v>
      </c>
      <c r="M531" s="15">
        <f t="shared" si="116"/>
        <v>1</v>
      </c>
      <c r="N531" s="15">
        <f t="shared" ca="1" si="117"/>
        <v>-9.9183642328526389E-4</v>
      </c>
      <c r="O531" s="15">
        <f t="shared" ca="1" si="114"/>
        <v>0.25065127901430101</v>
      </c>
      <c r="P531" s="15">
        <f t="shared" ca="1" si="127"/>
        <v>0.25024795910582132</v>
      </c>
      <c r="Q531" s="15">
        <v>0</v>
      </c>
      <c r="R531" s="15">
        <f t="shared" ca="1" si="118"/>
        <v>0.25024795910582132</v>
      </c>
      <c r="S531" s="15">
        <f t="shared" ca="1" si="115"/>
        <v>1.0012837526092482</v>
      </c>
      <c r="T531" s="15">
        <v>0</v>
      </c>
      <c r="U531" s="15">
        <f t="shared" ca="1" si="119"/>
        <v>1.0012837526092482</v>
      </c>
      <c r="V531" s="15">
        <f t="shared" ca="1" si="120"/>
        <v>1.0009918364232853</v>
      </c>
      <c r="X531" s="15">
        <f t="shared" si="121"/>
        <v>1.05</v>
      </c>
      <c r="Y531" s="15">
        <f t="shared" si="122"/>
        <v>0.95</v>
      </c>
      <c r="Z531" s="15">
        <f t="shared" ca="1" si="123"/>
        <v>1</v>
      </c>
      <c r="AC531" s="15">
        <f t="shared" ca="1" si="124"/>
        <v>9.8373949055530516E-7</v>
      </c>
      <c r="AD531" s="15">
        <f t="shared" ca="1" si="125"/>
        <v>9.9183642328526389E-4</v>
      </c>
      <c r="AE531" s="15">
        <f t="shared" ca="1" si="126"/>
        <v>0.48500801098649404</v>
      </c>
    </row>
    <row r="532" spans="12:31" x14ac:dyDescent="0.3">
      <c r="L532" s="15">
        <v>530</v>
      </c>
      <c r="M532" s="15">
        <f t="shared" si="116"/>
        <v>1</v>
      </c>
      <c r="N532" s="15">
        <f t="shared" ca="1" si="117"/>
        <v>-9.9183642328526389E-4</v>
      </c>
      <c r="O532" s="15">
        <f t="shared" ca="1" si="114"/>
        <v>0.25065127901430101</v>
      </c>
      <c r="P532" s="15">
        <f t="shared" ca="1" si="127"/>
        <v>0.25024795910582132</v>
      </c>
      <c r="Q532" s="15">
        <v>0</v>
      </c>
      <c r="R532" s="15">
        <f t="shared" ca="1" si="118"/>
        <v>0.25024795910582132</v>
      </c>
      <c r="S532" s="15">
        <f t="shared" ca="1" si="115"/>
        <v>1.001288004033664</v>
      </c>
      <c r="T532" s="15">
        <v>0</v>
      </c>
      <c r="U532" s="15">
        <f t="shared" ca="1" si="119"/>
        <v>1.001288004033664</v>
      </c>
      <c r="V532" s="15">
        <f t="shared" ca="1" si="120"/>
        <v>1.0009918364232853</v>
      </c>
      <c r="X532" s="15">
        <f t="shared" si="121"/>
        <v>1.05</v>
      </c>
      <c r="Y532" s="15">
        <f t="shared" si="122"/>
        <v>0.95</v>
      </c>
      <c r="Z532" s="15">
        <f t="shared" ca="1" si="123"/>
        <v>1</v>
      </c>
      <c r="AC532" s="15">
        <f t="shared" ca="1" si="124"/>
        <v>9.8373949055530516E-7</v>
      </c>
      <c r="AD532" s="15">
        <f t="shared" ca="1" si="125"/>
        <v>9.9183642328526389E-4</v>
      </c>
      <c r="AE532" s="15">
        <f t="shared" ca="1" si="126"/>
        <v>0.48599984740977931</v>
      </c>
    </row>
    <row r="533" spans="12:31" x14ac:dyDescent="0.3">
      <c r="L533" s="15">
        <v>531</v>
      </c>
      <c r="M533" s="15">
        <f t="shared" si="116"/>
        <v>1</v>
      </c>
      <c r="N533" s="15">
        <f t="shared" ca="1" si="117"/>
        <v>-9.9183642328526389E-4</v>
      </c>
      <c r="O533" s="15">
        <f t="shared" ca="1" si="114"/>
        <v>0.25063252748382331</v>
      </c>
      <c r="P533" s="15">
        <f t="shared" ca="1" si="127"/>
        <v>0.25024795910582132</v>
      </c>
      <c r="Q533" s="15">
        <v>0</v>
      </c>
      <c r="R533" s="15">
        <f t="shared" ca="1" si="118"/>
        <v>0.25024795910582132</v>
      </c>
      <c r="S533" s="15">
        <f t="shared" ca="1" si="115"/>
        <v>1.0012904631248349</v>
      </c>
      <c r="T533" s="15">
        <v>0</v>
      </c>
      <c r="U533" s="15">
        <f t="shared" ca="1" si="119"/>
        <v>1.0012904631248349</v>
      </c>
      <c r="V533" s="15">
        <f t="shared" ca="1" si="120"/>
        <v>1.0009918364232853</v>
      </c>
      <c r="X533" s="15">
        <f t="shared" si="121"/>
        <v>1.05</v>
      </c>
      <c r="Y533" s="15">
        <f t="shared" si="122"/>
        <v>0.95</v>
      </c>
      <c r="Z533" s="15">
        <f t="shared" ca="1" si="123"/>
        <v>1</v>
      </c>
      <c r="AC533" s="15">
        <f t="shared" ca="1" si="124"/>
        <v>9.8373949055530516E-7</v>
      </c>
      <c r="AD533" s="15">
        <f t="shared" ca="1" si="125"/>
        <v>9.9183642328526389E-4</v>
      </c>
      <c r="AE533" s="15">
        <f t="shared" ca="1" si="126"/>
        <v>0.48699168383306457</v>
      </c>
    </row>
    <row r="534" spans="12:31" x14ac:dyDescent="0.3">
      <c r="L534" s="15">
        <v>532</v>
      </c>
      <c r="M534" s="15">
        <f t="shared" si="116"/>
        <v>1</v>
      </c>
      <c r="N534" s="15">
        <f t="shared" ca="1" si="117"/>
        <v>-9.9183642328526389E-4</v>
      </c>
      <c r="O534" s="15">
        <f t="shared" ca="1" si="114"/>
        <v>0.25063252748382331</v>
      </c>
      <c r="P534" s="15">
        <f t="shared" ca="1" si="127"/>
        <v>0.25024795910582132</v>
      </c>
      <c r="Q534" s="15">
        <v>0</v>
      </c>
      <c r="R534" s="15">
        <f t="shared" ca="1" si="118"/>
        <v>0.25024795910582132</v>
      </c>
      <c r="S534" s="15">
        <f t="shared" ca="1" si="115"/>
        <v>1.0012913469936739</v>
      </c>
      <c r="T534" s="15">
        <v>0</v>
      </c>
      <c r="U534" s="15">
        <f t="shared" ca="1" si="119"/>
        <v>1.0012913469936739</v>
      </c>
      <c r="V534" s="15">
        <f t="shared" ca="1" si="120"/>
        <v>1.0009918364232853</v>
      </c>
      <c r="X534" s="15">
        <f t="shared" si="121"/>
        <v>1.05</v>
      </c>
      <c r="Y534" s="15">
        <f t="shared" si="122"/>
        <v>0.95</v>
      </c>
      <c r="Z534" s="15">
        <f t="shared" ca="1" si="123"/>
        <v>1</v>
      </c>
      <c r="AC534" s="15">
        <f t="shared" ca="1" si="124"/>
        <v>9.8373949055530516E-7</v>
      </c>
      <c r="AD534" s="15">
        <f t="shared" ca="1" si="125"/>
        <v>9.9183642328526389E-4</v>
      </c>
      <c r="AE534" s="15">
        <f t="shared" ca="1" si="126"/>
        <v>0.48798352025634983</v>
      </c>
    </row>
    <row r="535" spans="12:31" x14ac:dyDescent="0.3">
      <c r="L535" s="15">
        <v>533</v>
      </c>
      <c r="M535" s="15">
        <f t="shared" si="116"/>
        <v>1</v>
      </c>
      <c r="N535" s="15">
        <f t="shared" ca="1" si="117"/>
        <v>-9.9183642328526389E-4</v>
      </c>
      <c r="O535" s="15">
        <f t="shared" ca="1" si="114"/>
        <v>0.25063252748382331</v>
      </c>
      <c r="P535" s="15">
        <f t="shared" ca="1" si="127"/>
        <v>0.25024795910582132</v>
      </c>
      <c r="Q535" s="15">
        <v>0</v>
      </c>
      <c r="R535" s="15">
        <f t="shared" ca="1" si="118"/>
        <v>0.25024795910582132</v>
      </c>
      <c r="S535" s="15">
        <f t="shared" ca="1" si="115"/>
        <v>1.0012908518544443</v>
      </c>
      <c r="T535" s="15">
        <v>0</v>
      </c>
      <c r="U535" s="15">
        <f t="shared" ca="1" si="119"/>
        <v>1.0012908518544443</v>
      </c>
      <c r="V535" s="15">
        <f t="shared" ca="1" si="120"/>
        <v>1.0009918364232853</v>
      </c>
      <c r="X535" s="15">
        <f t="shared" si="121"/>
        <v>1.05</v>
      </c>
      <c r="Y535" s="15">
        <f t="shared" si="122"/>
        <v>0.95</v>
      </c>
      <c r="Z535" s="15">
        <f t="shared" ca="1" si="123"/>
        <v>1</v>
      </c>
      <c r="AC535" s="15">
        <f t="shared" ca="1" si="124"/>
        <v>9.8373949055530516E-7</v>
      </c>
      <c r="AD535" s="15">
        <f t="shared" ca="1" si="125"/>
        <v>9.9183642328526389E-4</v>
      </c>
      <c r="AE535" s="15">
        <f t="shared" ca="1" si="126"/>
        <v>0.4889753566796351</v>
      </c>
    </row>
    <row r="536" spans="12:31" x14ac:dyDescent="0.3">
      <c r="L536" s="15">
        <v>534</v>
      </c>
      <c r="M536" s="15">
        <f t="shared" si="116"/>
        <v>1</v>
      </c>
      <c r="N536" s="15">
        <f t="shared" ca="1" si="117"/>
        <v>-9.9183642328526389E-4</v>
      </c>
      <c r="O536" s="15">
        <f t="shared" ca="1" si="114"/>
        <v>0.25061377595334561</v>
      </c>
      <c r="P536" s="15">
        <f t="shared" ca="1" si="127"/>
        <v>0.25024795910582132</v>
      </c>
      <c r="Q536" s="15">
        <v>0</v>
      </c>
      <c r="R536" s="15">
        <f t="shared" ca="1" si="118"/>
        <v>0.25024795910582132</v>
      </c>
      <c r="S536" s="15">
        <f t="shared" ca="1" si="115"/>
        <v>1.0012891548473903</v>
      </c>
      <c r="T536" s="15">
        <v>0</v>
      </c>
      <c r="U536" s="15">
        <f t="shared" ca="1" si="119"/>
        <v>1.0012891548473903</v>
      </c>
      <c r="V536" s="15">
        <f t="shared" ca="1" si="120"/>
        <v>1.0009918364232853</v>
      </c>
      <c r="X536" s="15">
        <f t="shared" si="121"/>
        <v>1.05</v>
      </c>
      <c r="Y536" s="15">
        <f t="shared" si="122"/>
        <v>0.95</v>
      </c>
      <c r="Z536" s="15">
        <f t="shared" ca="1" si="123"/>
        <v>1</v>
      </c>
      <c r="AC536" s="15">
        <f t="shared" ca="1" si="124"/>
        <v>9.8373949055530516E-7</v>
      </c>
      <c r="AD536" s="15">
        <f t="shared" ca="1" si="125"/>
        <v>9.9183642328526389E-4</v>
      </c>
      <c r="AE536" s="15">
        <f t="shared" ca="1" si="126"/>
        <v>0.48996719310292036</v>
      </c>
    </row>
    <row r="537" spans="12:31" x14ac:dyDescent="0.3">
      <c r="L537" s="15">
        <v>535</v>
      </c>
      <c r="M537" s="15">
        <f t="shared" si="116"/>
        <v>1</v>
      </c>
      <c r="N537" s="15">
        <f t="shared" ca="1" si="117"/>
        <v>-9.9183642328526389E-4</v>
      </c>
      <c r="O537" s="15">
        <f t="shared" ca="1" si="114"/>
        <v>0.25061377595334561</v>
      </c>
      <c r="P537" s="15">
        <f t="shared" ca="1" si="127"/>
        <v>0.25024795910582132</v>
      </c>
      <c r="Q537" s="15">
        <v>0</v>
      </c>
      <c r="R537" s="15">
        <f t="shared" ca="1" si="118"/>
        <v>0.25024795910582132</v>
      </c>
      <c r="S537" s="15">
        <f t="shared" ca="1" si="115"/>
        <v>1.0012864157106858</v>
      </c>
      <c r="T537" s="15">
        <v>0</v>
      </c>
      <c r="U537" s="15">
        <f t="shared" ca="1" si="119"/>
        <v>1.0012864157106858</v>
      </c>
      <c r="V537" s="15">
        <f t="shared" ca="1" si="120"/>
        <v>1.0009918364232853</v>
      </c>
      <c r="X537" s="15">
        <f t="shared" si="121"/>
        <v>1.05</v>
      </c>
      <c r="Y537" s="15">
        <f t="shared" si="122"/>
        <v>0.95</v>
      </c>
      <c r="Z537" s="15">
        <f t="shared" ca="1" si="123"/>
        <v>1</v>
      </c>
      <c r="AC537" s="15">
        <f t="shared" ca="1" si="124"/>
        <v>9.8373949055530516E-7</v>
      </c>
      <c r="AD537" s="15">
        <f t="shared" ca="1" si="125"/>
        <v>9.9183642328526389E-4</v>
      </c>
      <c r="AE537" s="15">
        <f t="shared" ca="1" si="126"/>
        <v>0.49095902952620563</v>
      </c>
    </row>
    <row r="538" spans="12:31" x14ac:dyDescent="0.3">
      <c r="L538" s="15">
        <v>536</v>
      </c>
      <c r="M538" s="15">
        <f t="shared" si="116"/>
        <v>1</v>
      </c>
      <c r="N538" s="15">
        <f t="shared" ca="1" si="117"/>
        <v>-9.9183642328526389E-4</v>
      </c>
      <c r="O538" s="15">
        <f t="shared" ca="1" si="114"/>
        <v>0.25061377595334561</v>
      </c>
      <c r="P538" s="15">
        <f t="shared" ca="1" si="127"/>
        <v>0.25024795910582132</v>
      </c>
      <c r="Q538" s="15">
        <v>0</v>
      </c>
      <c r="R538" s="15">
        <f t="shared" ca="1" si="118"/>
        <v>0.25024795910582132</v>
      </c>
      <c r="S538" s="15">
        <f t="shared" ca="1" si="115"/>
        <v>1.0012827783137561</v>
      </c>
      <c r="T538" s="15">
        <v>0</v>
      </c>
      <c r="U538" s="15">
        <f t="shared" ca="1" si="119"/>
        <v>1.0012827783137561</v>
      </c>
      <c r="V538" s="15">
        <f t="shared" ca="1" si="120"/>
        <v>1.0009918364232853</v>
      </c>
      <c r="X538" s="15">
        <f t="shared" si="121"/>
        <v>1.05</v>
      </c>
      <c r="Y538" s="15">
        <f t="shared" si="122"/>
        <v>0.95</v>
      </c>
      <c r="Z538" s="15">
        <f t="shared" ca="1" si="123"/>
        <v>1</v>
      </c>
      <c r="AC538" s="15">
        <f t="shared" ca="1" si="124"/>
        <v>9.8373949055530516E-7</v>
      </c>
      <c r="AD538" s="15">
        <f t="shared" ca="1" si="125"/>
        <v>9.9183642328526389E-4</v>
      </c>
      <c r="AE538" s="15">
        <f t="shared" ca="1" si="126"/>
        <v>0.49195086594949089</v>
      </c>
    </row>
    <row r="539" spans="12:31" x14ac:dyDescent="0.3">
      <c r="L539" s="15">
        <v>537</v>
      </c>
      <c r="M539" s="15">
        <f t="shared" si="116"/>
        <v>1</v>
      </c>
      <c r="N539" s="15">
        <f t="shared" ca="1" si="117"/>
        <v>-9.9183642328526389E-4</v>
      </c>
      <c r="O539" s="15">
        <f t="shared" ca="1" si="114"/>
        <v>0.25059502442286791</v>
      </c>
      <c r="P539" s="15">
        <f t="shared" ca="1" si="127"/>
        <v>0.25024795910582132</v>
      </c>
      <c r="Q539" s="15">
        <v>0</v>
      </c>
      <c r="R539" s="15">
        <f t="shared" ca="1" si="118"/>
        <v>0.25024795910582132</v>
      </c>
      <c r="S539" s="15">
        <f t="shared" ca="1" si="115"/>
        <v>1.0012783720630842</v>
      </c>
      <c r="T539" s="15">
        <v>0</v>
      </c>
      <c r="U539" s="15">
        <f t="shared" ca="1" si="119"/>
        <v>1.0012783720630842</v>
      </c>
      <c r="V539" s="15">
        <f t="shared" ca="1" si="120"/>
        <v>1.0009918364232853</v>
      </c>
      <c r="X539" s="15">
        <f t="shared" si="121"/>
        <v>1.05</v>
      </c>
      <c r="Y539" s="15">
        <f t="shared" si="122"/>
        <v>0.95</v>
      </c>
      <c r="Z539" s="15">
        <f t="shared" ca="1" si="123"/>
        <v>1</v>
      </c>
      <c r="AC539" s="15">
        <f t="shared" ca="1" si="124"/>
        <v>9.8373949055530516E-7</v>
      </c>
      <c r="AD539" s="15">
        <f t="shared" ca="1" si="125"/>
        <v>9.9183642328526389E-4</v>
      </c>
      <c r="AE539" s="15">
        <f t="shared" ca="1" si="126"/>
        <v>0.49294270237277615</v>
      </c>
    </row>
    <row r="540" spans="12:31" x14ac:dyDescent="0.3">
      <c r="L540" s="15">
        <v>538</v>
      </c>
      <c r="M540" s="15">
        <f t="shared" si="116"/>
        <v>1</v>
      </c>
      <c r="N540" s="15">
        <f t="shared" ca="1" si="117"/>
        <v>-9.9183642328526389E-4</v>
      </c>
      <c r="O540" s="15">
        <f t="shared" ca="1" si="114"/>
        <v>0.25059502442286791</v>
      </c>
      <c r="P540" s="15">
        <f t="shared" ca="1" si="127"/>
        <v>0.25024795910582132</v>
      </c>
      <c r="Q540" s="15">
        <v>0</v>
      </c>
      <c r="R540" s="15">
        <f t="shared" ca="1" si="118"/>
        <v>0.25024795910582132</v>
      </c>
      <c r="S540" s="15">
        <f t="shared" ca="1" si="115"/>
        <v>1.0012733131907423</v>
      </c>
      <c r="T540" s="15">
        <v>0</v>
      </c>
      <c r="U540" s="15">
        <f t="shared" ca="1" si="119"/>
        <v>1.0012733131907423</v>
      </c>
      <c r="V540" s="15">
        <f t="shared" ca="1" si="120"/>
        <v>1.0009918364232853</v>
      </c>
      <c r="X540" s="15">
        <f t="shared" si="121"/>
        <v>1.05</v>
      </c>
      <c r="Y540" s="15">
        <f t="shared" si="122"/>
        <v>0.95</v>
      </c>
      <c r="Z540" s="15">
        <f t="shared" ca="1" si="123"/>
        <v>1</v>
      </c>
      <c r="AC540" s="15">
        <f t="shared" ca="1" si="124"/>
        <v>9.8373949055530516E-7</v>
      </c>
      <c r="AD540" s="15">
        <f t="shared" ca="1" si="125"/>
        <v>9.9183642328526389E-4</v>
      </c>
      <c r="AE540" s="15">
        <f t="shared" ca="1" si="126"/>
        <v>0.49393453879606142</v>
      </c>
    </row>
    <row r="541" spans="12:31" x14ac:dyDescent="0.3">
      <c r="L541" s="15">
        <v>539</v>
      </c>
      <c r="M541" s="15">
        <f t="shared" si="116"/>
        <v>1</v>
      </c>
      <c r="N541" s="15">
        <f t="shared" ca="1" si="117"/>
        <v>-9.9183642328526389E-4</v>
      </c>
      <c r="O541" s="15">
        <f t="shared" ca="1" si="114"/>
        <v>0.25059502442286791</v>
      </c>
      <c r="P541" s="15">
        <f t="shared" ca="1" si="127"/>
        <v>0.25024795910582132</v>
      </c>
      <c r="Q541" s="15">
        <v>0</v>
      </c>
      <c r="R541" s="15">
        <f t="shared" ca="1" si="118"/>
        <v>0.25024795910582132</v>
      </c>
      <c r="S541" s="15">
        <f t="shared" ca="1" si="115"/>
        <v>1.0012677059350847</v>
      </c>
      <c r="T541" s="15">
        <v>0</v>
      </c>
      <c r="U541" s="15">
        <f t="shared" ca="1" si="119"/>
        <v>1.0012677059350847</v>
      </c>
      <c r="V541" s="15">
        <f t="shared" ca="1" si="120"/>
        <v>1.0009918364232853</v>
      </c>
      <c r="X541" s="15">
        <f t="shared" si="121"/>
        <v>1.05</v>
      </c>
      <c r="Y541" s="15">
        <f t="shared" si="122"/>
        <v>0.95</v>
      </c>
      <c r="Z541" s="15">
        <f t="shared" ca="1" si="123"/>
        <v>1</v>
      </c>
      <c r="AC541" s="15">
        <f t="shared" ca="1" si="124"/>
        <v>9.8373949055530516E-7</v>
      </c>
      <c r="AD541" s="15">
        <f t="shared" ca="1" si="125"/>
        <v>9.9183642328526389E-4</v>
      </c>
      <c r="AE541" s="15">
        <f t="shared" ca="1" si="126"/>
        <v>0.49492637521934668</v>
      </c>
    </row>
    <row r="542" spans="12:31" x14ac:dyDescent="0.3">
      <c r="L542" s="15">
        <v>540</v>
      </c>
      <c r="M542" s="15">
        <f t="shared" si="116"/>
        <v>1</v>
      </c>
      <c r="N542" s="15">
        <f t="shared" ca="1" si="117"/>
        <v>-9.9183642328526389E-4</v>
      </c>
      <c r="O542" s="15">
        <f t="shared" ca="1" si="114"/>
        <v>0.25057627289239021</v>
      </c>
      <c r="P542" s="15">
        <f t="shared" ca="1" si="127"/>
        <v>0.25024795910582132</v>
      </c>
      <c r="Q542" s="15">
        <v>0</v>
      </c>
      <c r="R542" s="15">
        <f t="shared" ca="1" si="118"/>
        <v>0.25024795910582132</v>
      </c>
      <c r="S542" s="15">
        <f t="shared" ca="1" si="115"/>
        <v>1.0012484436881894</v>
      </c>
      <c r="T542" s="15">
        <v>0</v>
      </c>
      <c r="U542" s="15">
        <f t="shared" ca="1" si="119"/>
        <v>1.0012484436881894</v>
      </c>
      <c r="V542" s="15">
        <f t="shared" ca="1" si="120"/>
        <v>1.0009918364232853</v>
      </c>
      <c r="X542" s="15">
        <f t="shared" si="121"/>
        <v>1.05</v>
      </c>
      <c r="Y542" s="15">
        <f t="shared" si="122"/>
        <v>0.95</v>
      </c>
      <c r="Z542" s="15">
        <f t="shared" ca="1" si="123"/>
        <v>1</v>
      </c>
      <c r="AC542" s="15">
        <f t="shared" ca="1" si="124"/>
        <v>9.8373949055530516E-7</v>
      </c>
      <c r="AD542" s="15">
        <f t="shared" ca="1" si="125"/>
        <v>9.9183642328526389E-4</v>
      </c>
      <c r="AE542" s="15">
        <f t="shared" ca="1" si="126"/>
        <v>0.49591821164263195</v>
      </c>
    </row>
    <row r="543" spans="12:31" x14ac:dyDescent="0.3">
      <c r="L543" s="15">
        <v>541</v>
      </c>
      <c r="M543" s="15">
        <f t="shared" si="116"/>
        <v>1</v>
      </c>
      <c r="N543" s="15">
        <f t="shared" ca="1" si="117"/>
        <v>-9.9183642328526389E-4</v>
      </c>
      <c r="O543" s="15">
        <f t="shared" ca="1" si="114"/>
        <v>0.25057627289239021</v>
      </c>
      <c r="P543" s="15">
        <f t="shared" ca="1" si="127"/>
        <v>0.25024795910582132</v>
      </c>
      <c r="Q543" s="15">
        <v>0</v>
      </c>
      <c r="R543" s="15">
        <f t="shared" ca="1" si="118"/>
        <v>0.25024795910582132</v>
      </c>
      <c r="S543" s="15">
        <f t="shared" ca="1" si="115"/>
        <v>1.0012047252786322</v>
      </c>
      <c r="T543" s="15">
        <v>0</v>
      </c>
      <c r="U543" s="15">
        <f t="shared" ca="1" si="119"/>
        <v>1.0012047252786322</v>
      </c>
      <c r="V543" s="15">
        <f t="shared" ca="1" si="120"/>
        <v>1.0009918364232853</v>
      </c>
      <c r="X543" s="15">
        <f t="shared" si="121"/>
        <v>1.05</v>
      </c>
      <c r="Y543" s="15">
        <f t="shared" si="122"/>
        <v>0.95</v>
      </c>
      <c r="Z543" s="15">
        <f t="shared" ca="1" si="123"/>
        <v>1</v>
      </c>
      <c r="AC543" s="15">
        <f t="shared" ca="1" si="124"/>
        <v>9.8373949055530516E-7</v>
      </c>
      <c r="AD543" s="15">
        <f t="shared" ca="1" si="125"/>
        <v>9.9183642328526389E-4</v>
      </c>
      <c r="AE543" s="15">
        <f t="shared" ca="1" si="126"/>
        <v>0.49691004806591721</v>
      </c>
    </row>
    <row r="544" spans="12:31" x14ac:dyDescent="0.3">
      <c r="L544" s="15">
        <v>542</v>
      </c>
      <c r="M544" s="15">
        <f t="shared" si="116"/>
        <v>1</v>
      </c>
      <c r="N544" s="15">
        <f t="shared" ca="1" si="117"/>
        <v>-9.9183642328526389E-4</v>
      </c>
      <c r="O544" s="15">
        <f t="shared" ca="1" si="114"/>
        <v>0.25057627289239021</v>
      </c>
      <c r="P544" s="15">
        <f t="shared" ca="1" si="127"/>
        <v>0.25024795910582132</v>
      </c>
      <c r="Q544" s="15">
        <v>0</v>
      </c>
      <c r="R544" s="15">
        <f t="shared" ca="1" si="118"/>
        <v>0.25024795910582132</v>
      </c>
      <c r="S544" s="15">
        <f t="shared" ca="1" si="115"/>
        <v>1.001139839989811</v>
      </c>
      <c r="T544" s="15">
        <v>0</v>
      </c>
      <c r="U544" s="15">
        <f t="shared" ca="1" si="119"/>
        <v>1.001139839989811</v>
      </c>
      <c r="V544" s="15">
        <f t="shared" ca="1" si="120"/>
        <v>1.0009918364232853</v>
      </c>
      <c r="X544" s="15">
        <f t="shared" si="121"/>
        <v>1.05</v>
      </c>
      <c r="Y544" s="15">
        <f t="shared" si="122"/>
        <v>0.95</v>
      </c>
      <c r="Z544" s="15">
        <f t="shared" ca="1" si="123"/>
        <v>1</v>
      </c>
      <c r="AC544" s="15">
        <f t="shared" ca="1" si="124"/>
        <v>9.8373949055530516E-7</v>
      </c>
      <c r="AD544" s="15">
        <f t="shared" ca="1" si="125"/>
        <v>9.9183642328526389E-4</v>
      </c>
      <c r="AE544" s="15">
        <f t="shared" ca="1" si="126"/>
        <v>0.49790188448920247</v>
      </c>
    </row>
    <row r="545" spans="12:31" x14ac:dyDescent="0.3">
      <c r="L545" s="15">
        <v>543</v>
      </c>
      <c r="M545" s="15">
        <f t="shared" si="116"/>
        <v>1</v>
      </c>
      <c r="N545" s="15">
        <f t="shared" ca="1" si="117"/>
        <v>-9.9183642328526389E-4</v>
      </c>
      <c r="O545" s="15">
        <f t="shared" ca="1" si="114"/>
        <v>0.25055752136191251</v>
      </c>
      <c r="P545" s="15">
        <f t="shared" ca="1" si="127"/>
        <v>0.25024795910582132</v>
      </c>
      <c r="Q545" s="15">
        <v>0</v>
      </c>
      <c r="R545" s="15">
        <f t="shared" ca="1" si="118"/>
        <v>0.25024795910582132</v>
      </c>
      <c r="S545" s="15">
        <f t="shared" ca="1" si="115"/>
        <v>1.0010699490378667</v>
      </c>
      <c r="T545" s="15">
        <v>0</v>
      </c>
      <c r="U545" s="15">
        <f t="shared" ca="1" si="119"/>
        <v>1.0010699490378667</v>
      </c>
      <c r="V545" s="15">
        <f t="shared" ca="1" si="120"/>
        <v>1.0009918364232853</v>
      </c>
      <c r="X545" s="15">
        <f t="shared" si="121"/>
        <v>1.05</v>
      </c>
      <c r="Y545" s="15">
        <f t="shared" si="122"/>
        <v>0.95</v>
      </c>
      <c r="Z545" s="15">
        <f t="shared" ca="1" si="123"/>
        <v>1</v>
      </c>
      <c r="AC545" s="15">
        <f t="shared" ca="1" si="124"/>
        <v>9.8373949055530516E-7</v>
      </c>
      <c r="AD545" s="15">
        <f t="shared" ca="1" si="125"/>
        <v>9.9183642328526389E-4</v>
      </c>
      <c r="AE545" s="15">
        <f t="shared" ca="1" si="126"/>
        <v>0.49889372091248774</v>
      </c>
    </row>
    <row r="546" spans="12:31" x14ac:dyDescent="0.3">
      <c r="L546" s="15">
        <v>544</v>
      </c>
      <c r="M546" s="15">
        <f t="shared" si="116"/>
        <v>1</v>
      </c>
      <c r="N546" s="15">
        <f t="shared" ca="1" si="117"/>
        <v>-9.9183642328526389E-4</v>
      </c>
      <c r="O546" s="15">
        <f t="shared" ca="1" si="114"/>
        <v>0.25055752136191251</v>
      </c>
      <c r="P546" s="15">
        <f t="shared" ca="1" si="127"/>
        <v>0.25024795910582132</v>
      </c>
      <c r="Q546" s="15">
        <v>0</v>
      </c>
      <c r="R546" s="15">
        <f t="shared" ca="1" si="118"/>
        <v>0.25024795910582132</v>
      </c>
      <c r="S546" s="15">
        <f t="shared" ca="1" si="115"/>
        <v>1.0010085993894895</v>
      </c>
      <c r="T546" s="15">
        <v>0</v>
      </c>
      <c r="U546" s="15">
        <f t="shared" ca="1" si="119"/>
        <v>1.0010085993894895</v>
      </c>
      <c r="V546" s="15">
        <f t="shared" ca="1" si="120"/>
        <v>1.0009918364232853</v>
      </c>
      <c r="X546" s="15">
        <f t="shared" si="121"/>
        <v>1.05</v>
      </c>
      <c r="Y546" s="15">
        <f t="shared" si="122"/>
        <v>0.95</v>
      </c>
      <c r="Z546" s="15">
        <f t="shared" ca="1" si="123"/>
        <v>1</v>
      </c>
      <c r="AC546" s="15">
        <f t="shared" ca="1" si="124"/>
        <v>9.8373949055530516E-7</v>
      </c>
      <c r="AD546" s="15">
        <f t="shared" ca="1" si="125"/>
        <v>9.9183642328526389E-4</v>
      </c>
      <c r="AE546" s="15">
        <f t="shared" ca="1" si="126"/>
        <v>0.499885557335773</v>
      </c>
    </row>
    <row r="547" spans="12:31" x14ac:dyDescent="0.3">
      <c r="L547" s="15">
        <v>545</v>
      </c>
      <c r="M547" s="15">
        <f t="shared" si="116"/>
        <v>1</v>
      </c>
      <c r="N547" s="15">
        <f t="shared" ca="1" si="117"/>
        <v>5.3406576638448389E-4</v>
      </c>
      <c r="O547" s="15">
        <f t="shared" ca="1" si="114"/>
        <v>0.25055752136191251</v>
      </c>
      <c r="P547" s="15">
        <f t="shared" ca="1" si="127"/>
        <v>0.25024795910582132</v>
      </c>
      <c r="Q547" s="15">
        <v>0</v>
      </c>
      <c r="R547" s="15">
        <f t="shared" ca="1" si="118"/>
        <v>0.25024795910582132</v>
      </c>
      <c r="S547" s="15">
        <f t="shared" ca="1" si="115"/>
        <v>1.0009549663294819</v>
      </c>
      <c r="T547" s="15">
        <v>0</v>
      </c>
      <c r="U547" s="15">
        <f t="shared" ca="1" si="119"/>
        <v>1.0009549663294819</v>
      </c>
      <c r="V547" s="15">
        <f t="shared" ca="1" si="120"/>
        <v>0.99946593423361552</v>
      </c>
      <c r="X547" s="15">
        <f t="shared" si="121"/>
        <v>1.05</v>
      </c>
      <c r="Y547" s="15">
        <f t="shared" si="122"/>
        <v>0.95</v>
      </c>
      <c r="Z547" s="15">
        <f t="shared" ca="1" si="123"/>
        <v>1</v>
      </c>
      <c r="AC547" s="15">
        <f t="shared" ca="1" si="124"/>
        <v>2.852262428238461E-7</v>
      </c>
      <c r="AD547" s="15">
        <f t="shared" ca="1" si="125"/>
        <v>5.3406576638448389E-4</v>
      </c>
      <c r="AE547" s="15">
        <f t="shared" ca="1" si="126"/>
        <v>0.26970321202416436</v>
      </c>
    </row>
    <row r="548" spans="12:31" x14ac:dyDescent="0.3">
      <c r="L548" s="15">
        <v>546</v>
      </c>
      <c r="M548" s="15">
        <f t="shared" si="116"/>
        <v>1</v>
      </c>
      <c r="N548" s="15">
        <f t="shared" ca="1" si="117"/>
        <v>5.3406576638448389E-4</v>
      </c>
      <c r="O548" s="15">
        <f t="shared" ca="1" si="114"/>
        <v>0.25219517710235717</v>
      </c>
      <c r="P548" s="15">
        <f t="shared" ca="1" si="127"/>
        <v>0.25177386129549095</v>
      </c>
      <c r="Q548" s="15">
        <v>0</v>
      </c>
      <c r="R548" s="15">
        <f t="shared" ca="1" si="118"/>
        <v>0.25177386129549095</v>
      </c>
      <c r="S548" s="15">
        <f t="shared" ca="1" si="115"/>
        <v>1.0009082971906667</v>
      </c>
      <c r="T548" s="15">
        <v>0</v>
      </c>
      <c r="U548" s="15">
        <f t="shared" ca="1" si="119"/>
        <v>1.0009082971906667</v>
      </c>
      <c r="V548" s="15">
        <f t="shared" ca="1" si="120"/>
        <v>0.99946593423361552</v>
      </c>
      <c r="X548" s="15">
        <f t="shared" si="121"/>
        <v>1.05</v>
      </c>
      <c r="Y548" s="15">
        <f t="shared" si="122"/>
        <v>0.95</v>
      </c>
      <c r="Z548" s="15">
        <f t="shared" ca="1" si="123"/>
        <v>1</v>
      </c>
      <c r="AC548" s="15">
        <f t="shared" ca="1" si="124"/>
        <v>2.852262428238461E-7</v>
      </c>
      <c r="AD548" s="15">
        <f t="shared" ca="1" si="125"/>
        <v>5.3406576638448389E-4</v>
      </c>
      <c r="AE548" s="15">
        <f t="shared" ca="1" si="126"/>
        <v>0.27023727779054885</v>
      </c>
    </row>
    <row r="549" spans="12:31" x14ac:dyDescent="0.3">
      <c r="L549" s="15">
        <v>547</v>
      </c>
      <c r="M549" s="15">
        <f t="shared" si="116"/>
        <v>1</v>
      </c>
      <c r="N549" s="15">
        <f t="shared" ca="1" si="117"/>
        <v>5.3406576638448389E-4</v>
      </c>
      <c r="O549" s="15">
        <f t="shared" ca="1" si="114"/>
        <v>0.25219517710235717</v>
      </c>
      <c r="P549" s="15">
        <f t="shared" ca="1" si="127"/>
        <v>0.25177386129549095</v>
      </c>
      <c r="Q549" s="15">
        <v>0</v>
      </c>
      <c r="R549" s="15">
        <f t="shared" ca="1" si="118"/>
        <v>0.25177386129549095</v>
      </c>
      <c r="S549" s="15">
        <f t="shared" ca="1" si="115"/>
        <v>1.0008679053918765</v>
      </c>
      <c r="T549" s="15">
        <v>0</v>
      </c>
      <c r="U549" s="15">
        <f t="shared" ca="1" si="119"/>
        <v>1.0008679053918765</v>
      </c>
      <c r="V549" s="15">
        <f t="shared" ca="1" si="120"/>
        <v>0.99946593423361552</v>
      </c>
      <c r="X549" s="15">
        <f t="shared" si="121"/>
        <v>1.05</v>
      </c>
      <c r="Y549" s="15">
        <f t="shared" si="122"/>
        <v>0.95</v>
      </c>
      <c r="Z549" s="15">
        <f t="shared" ca="1" si="123"/>
        <v>1</v>
      </c>
      <c r="AC549" s="15">
        <f t="shared" ca="1" si="124"/>
        <v>2.852262428238461E-7</v>
      </c>
      <c r="AD549" s="15">
        <f t="shared" ca="1" si="125"/>
        <v>5.3406576638448389E-4</v>
      </c>
      <c r="AE549" s="15">
        <f t="shared" ca="1" si="126"/>
        <v>0.27077134355693333</v>
      </c>
    </row>
    <row r="550" spans="12:31" x14ac:dyDescent="0.3">
      <c r="L550" s="15">
        <v>548</v>
      </c>
      <c r="M550" s="15">
        <f t="shared" si="116"/>
        <v>1</v>
      </c>
      <c r="N550" s="15">
        <f t="shared" ca="1" si="117"/>
        <v>5.3406576638448389E-4</v>
      </c>
      <c r="O550" s="15">
        <f t="shared" ca="1" si="114"/>
        <v>0.25219517710235717</v>
      </c>
      <c r="P550" s="15">
        <f t="shared" ca="1" si="127"/>
        <v>0.25177386129549095</v>
      </c>
      <c r="Q550" s="15">
        <v>0</v>
      </c>
      <c r="R550" s="15">
        <f t="shared" ca="1" si="118"/>
        <v>0.25177386129549095</v>
      </c>
      <c r="S550" s="15">
        <f t="shared" ca="1" si="115"/>
        <v>1.0008331649532203</v>
      </c>
      <c r="T550" s="15">
        <v>0</v>
      </c>
      <c r="U550" s="15">
        <f t="shared" ca="1" si="119"/>
        <v>1.0008331649532203</v>
      </c>
      <c r="V550" s="15">
        <f t="shared" ca="1" si="120"/>
        <v>0.99946593423361552</v>
      </c>
      <c r="X550" s="15">
        <f t="shared" si="121"/>
        <v>1.05</v>
      </c>
      <c r="Y550" s="15">
        <f t="shared" si="122"/>
        <v>0.95</v>
      </c>
      <c r="Z550" s="15">
        <f t="shared" ca="1" si="123"/>
        <v>1</v>
      </c>
      <c r="AC550" s="15">
        <f t="shared" ca="1" si="124"/>
        <v>2.852262428238461E-7</v>
      </c>
      <c r="AD550" s="15">
        <f t="shared" ca="1" si="125"/>
        <v>5.3406576638448389E-4</v>
      </c>
      <c r="AE550" s="15">
        <f t="shared" ca="1" si="126"/>
        <v>0.27130540932331781</v>
      </c>
    </row>
    <row r="551" spans="12:31" x14ac:dyDescent="0.3">
      <c r="L551" s="15">
        <v>549</v>
      </c>
      <c r="M551" s="15">
        <f t="shared" si="116"/>
        <v>1</v>
      </c>
      <c r="N551" s="15">
        <f t="shared" ca="1" si="117"/>
        <v>5.3406576638448389E-4</v>
      </c>
      <c r="O551" s="15">
        <f t="shared" ca="1" si="114"/>
        <v>0.25091124253990837</v>
      </c>
      <c r="P551" s="15">
        <f t="shared" ca="1" si="127"/>
        <v>0.25024795910582132</v>
      </c>
      <c r="Q551" s="15">
        <v>0</v>
      </c>
      <c r="R551" s="15">
        <f t="shared" ca="1" si="118"/>
        <v>0.25024795910582132</v>
      </c>
      <c r="S551" s="15">
        <f t="shared" ca="1" si="115"/>
        <v>1.0008035054512407</v>
      </c>
      <c r="T551" s="15">
        <v>0</v>
      </c>
      <c r="U551" s="15">
        <f t="shared" ca="1" si="119"/>
        <v>1.0008035054512407</v>
      </c>
      <c r="V551" s="15">
        <f t="shared" ca="1" si="120"/>
        <v>0.99946593423361552</v>
      </c>
      <c r="X551" s="15">
        <f t="shared" si="121"/>
        <v>1.05</v>
      </c>
      <c r="Y551" s="15">
        <f t="shared" si="122"/>
        <v>0.95</v>
      </c>
      <c r="Z551" s="15">
        <f t="shared" ca="1" si="123"/>
        <v>1</v>
      </c>
      <c r="AC551" s="15">
        <f t="shared" ca="1" si="124"/>
        <v>2.852262428238461E-7</v>
      </c>
      <c r="AD551" s="15">
        <f t="shared" ca="1" si="125"/>
        <v>5.3406576638448389E-4</v>
      </c>
      <c r="AE551" s="15">
        <f t="shared" ca="1" si="126"/>
        <v>0.2718394750897023</v>
      </c>
    </row>
    <row r="552" spans="12:31" x14ac:dyDescent="0.3">
      <c r="L552" s="15">
        <v>550</v>
      </c>
      <c r="M552" s="15">
        <f t="shared" si="116"/>
        <v>1</v>
      </c>
      <c r="N552" s="15">
        <f t="shared" ca="1" si="117"/>
        <v>5.3406576638448389E-4</v>
      </c>
      <c r="O552" s="15">
        <f t="shared" ca="1" si="114"/>
        <v>0.25091124253990837</v>
      </c>
      <c r="P552" s="15">
        <f t="shared" ca="1" si="127"/>
        <v>0.25024795910582132</v>
      </c>
      <c r="Q552" s="15">
        <v>0</v>
      </c>
      <c r="R552" s="15">
        <f t="shared" ca="1" si="118"/>
        <v>0.25024795910582132</v>
      </c>
      <c r="S552" s="15">
        <f t="shared" ca="1" si="115"/>
        <v>1.0007784073794632</v>
      </c>
      <c r="T552" s="15">
        <v>0</v>
      </c>
      <c r="U552" s="15">
        <f t="shared" ca="1" si="119"/>
        <v>1.0007784073794632</v>
      </c>
      <c r="V552" s="15">
        <f t="shared" ca="1" si="120"/>
        <v>0.99946593423361552</v>
      </c>
      <c r="X552" s="15">
        <f t="shared" si="121"/>
        <v>1.05</v>
      </c>
      <c r="Y552" s="15">
        <f t="shared" si="122"/>
        <v>0.95</v>
      </c>
      <c r="Z552" s="15">
        <f t="shared" ca="1" si="123"/>
        <v>1</v>
      </c>
      <c r="AC552" s="15">
        <f t="shared" ca="1" si="124"/>
        <v>2.852262428238461E-7</v>
      </c>
      <c r="AD552" s="15">
        <f t="shared" ca="1" si="125"/>
        <v>5.3406576638448389E-4</v>
      </c>
      <c r="AE552" s="15">
        <f t="shared" ca="1" si="126"/>
        <v>0.27237354085608678</v>
      </c>
    </row>
    <row r="553" spans="12:31" x14ac:dyDescent="0.3">
      <c r="L553" s="15">
        <v>551</v>
      </c>
      <c r="M553" s="15">
        <f t="shared" si="116"/>
        <v>1</v>
      </c>
      <c r="N553" s="15">
        <f t="shared" ca="1" si="117"/>
        <v>5.3406576638448389E-4</v>
      </c>
      <c r="O553" s="15">
        <f t="shared" ca="1" si="114"/>
        <v>0.25091124253990837</v>
      </c>
      <c r="P553" s="15">
        <f t="shared" ca="1" si="127"/>
        <v>0.25024795910582132</v>
      </c>
      <c r="Q553" s="15">
        <v>0</v>
      </c>
      <c r="R553" s="15">
        <f t="shared" ca="1" si="118"/>
        <v>0.25024795910582132</v>
      </c>
      <c r="S553" s="15">
        <f t="shared" ca="1" si="115"/>
        <v>1.0007573978824991</v>
      </c>
      <c r="T553" s="15">
        <v>0</v>
      </c>
      <c r="U553" s="15">
        <f t="shared" ca="1" si="119"/>
        <v>1.0007573978824991</v>
      </c>
      <c r="V553" s="15">
        <f t="shared" ca="1" si="120"/>
        <v>0.99946593423361552</v>
      </c>
      <c r="X553" s="15">
        <f t="shared" si="121"/>
        <v>1.05</v>
      </c>
      <c r="Y553" s="15">
        <f t="shared" si="122"/>
        <v>0.95</v>
      </c>
      <c r="Z553" s="15">
        <f t="shared" ca="1" si="123"/>
        <v>1</v>
      </c>
      <c r="AC553" s="15">
        <f t="shared" ca="1" si="124"/>
        <v>2.852262428238461E-7</v>
      </c>
      <c r="AD553" s="15">
        <f t="shared" ca="1" si="125"/>
        <v>5.3406576638448389E-4</v>
      </c>
      <c r="AE553" s="15">
        <f t="shared" ca="1" si="126"/>
        <v>0.27290760662247127</v>
      </c>
    </row>
    <row r="554" spans="12:31" x14ac:dyDescent="0.3">
      <c r="L554" s="15">
        <v>552</v>
      </c>
      <c r="M554" s="15">
        <f t="shared" si="116"/>
        <v>1</v>
      </c>
      <c r="N554" s="15">
        <f t="shared" ca="1" si="117"/>
        <v>5.3406576638448389E-4</v>
      </c>
      <c r="O554" s="15">
        <f t="shared" ca="1" si="114"/>
        <v>0.25092133951785789</v>
      </c>
      <c r="P554" s="15">
        <f t="shared" ca="1" si="127"/>
        <v>0.25024795910582132</v>
      </c>
      <c r="Q554" s="15">
        <v>0</v>
      </c>
      <c r="R554" s="15">
        <f t="shared" ca="1" si="118"/>
        <v>0.25024795910582132</v>
      </c>
      <c r="S554" s="15">
        <f t="shared" ca="1" si="115"/>
        <v>1.0007400468343297</v>
      </c>
      <c r="T554" s="15">
        <v>0</v>
      </c>
      <c r="U554" s="15">
        <f t="shared" ca="1" si="119"/>
        <v>1.0007400468343297</v>
      </c>
      <c r="V554" s="15">
        <f t="shared" ca="1" si="120"/>
        <v>0.99946593423361552</v>
      </c>
      <c r="X554" s="15">
        <f t="shared" si="121"/>
        <v>1.05</v>
      </c>
      <c r="Y554" s="15">
        <f t="shared" si="122"/>
        <v>0.95</v>
      </c>
      <c r="Z554" s="15">
        <f t="shared" ca="1" si="123"/>
        <v>1</v>
      </c>
      <c r="AC554" s="15">
        <f t="shared" ca="1" si="124"/>
        <v>2.852262428238461E-7</v>
      </c>
      <c r="AD554" s="15">
        <f t="shared" ca="1" si="125"/>
        <v>5.3406576638448389E-4</v>
      </c>
      <c r="AE554" s="15">
        <f t="shared" ca="1" si="126"/>
        <v>0.27344167238885575</v>
      </c>
    </row>
    <row r="555" spans="12:31" x14ac:dyDescent="0.3">
      <c r="L555" s="15">
        <v>553</v>
      </c>
      <c r="M555" s="15">
        <f t="shared" si="116"/>
        <v>1</v>
      </c>
      <c r="N555" s="15">
        <f t="shared" ca="1" si="117"/>
        <v>5.3406576638448389E-4</v>
      </c>
      <c r="O555" s="15">
        <f t="shared" ref="O555:O618" ca="1" si="128">IF(MOD(L555,$B$11)=0,OFFSET(O555,-$B$11,0)+ $E$2*N555+$E$3*OFFSET(N555,-$B$11,0)+ $E$4*OFFSET(N555,-2* $B$11,0), O554)</f>
        <v>0.25092133951785789</v>
      </c>
      <c r="P555" s="15">
        <f t="shared" ca="1" si="127"/>
        <v>0.25024795910582132</v>
      </c>
      <c r="Q555" s="15">
        <v>0</v>
      </c>
      <c r="R555" s="15">
        <f t="shared" ca="1" si="118"/>
        <v>0.25024795910582132</v>
      </c>
      <c r="S555" s="15">
        <f t="shared" ca="1" si="115"/>
        <v>1.0007259632336698</v>
      </c>
      <c r="T555" s="15">
        <v>0</v>
      </c>
      <c r="U555" s="15">
        <f t="shared" ca="1" si="119"/>
        <v>1.0007259632336698</v>
      </c>
      <c r="V555" s="15">
        <f t="shared" ca="1" si="120"/>
        <v>0.99946593423361552</v>
      </c>
      <c r="X555" s="15">
        <f t="shared" si="121"/>
        <v>1.05</v>
      </c>
      <c r="Y555" s="15">
        <f t="shared" si="122"/>
        <v>0.95</v>
      </c>
      <c r="Z555" s="15">
        <f t="shared" ca="1" si="123"/>
        <v>1</v>
      </c>
      <c r="AC555" s="15">
        <f t="shared" ca="1" si="124"/>
        <v>2.852262428238461E-7</v>
      </c>
      <c r="AD555" s="15">
        <f t="shared" ca="1" si="125"/>
        <v>5.3406576638448389E-4</v>
      </c>
      <c r="AE555" s="15">
        <f t="shared" ca="1" si="126"/>
        <v>0.27397573815524023</v>
      </c>
    </row>
    <row r="556" spans="12:31" x14ac:dyDescent="0.3">
      <c r="L556" s="15">
        <v>554</v>
      </c>
      <c r="M556" s="15">
        <f t="shared" si="116"/>
        <v>1</v>
      </c>
      <c r="N556" s="15">
        <f t="shared" ca="1" si="117"/>
        <v>5.3406576638448389E-4</v>
      </c>
      <c r="O556" s="15">
        <f t="shared" ca="1" si="128"/>
        <v>0.25092133951785789</v>
      </c>
      <c r="P556" s="15">
        <f t="shared" ca="1" si="127"/>
        <v>0.25024795910582132</v>
      </c>
      <c r="Q556" s="15">
        <v>0</v>
      </c>
      <c r="R556" s="15">
        <f t="shared" ca="1" si="118"/>
        <v>0.25024795910582132</v>
      </c>
      <c r="S556" s="15">
        <f t="shared" ca="1" si="115"/>
        <v>1.0007147918914074</v>
      </c>
      <c r="T556" s="15">
        <v>0</v>
      </c>
      <c r="U556" s="15">
        <f t="shared" ca="1" si="119"/>
        <v>1.0007147918914074</v>
      </c>
      <c r="V556" s="15">
        <f t="shared" ca="1" si="120"/>
        <v>0.99946593423361552</v>
      </c>
      <c r="X556" s="15">
        <f t="shared" si="121"/>
        <v>1.05</v>
      </c>
      <c r="Y556" s="15">
        <f t="shared" si="122"/>
        <v>0.95</v>
      </c>
      <c r="Z556" s="15">
        <f t="shared" ca="1" si="123"/>
        <v>1</v>
      </c>
      <c r="AC556" s="15">
        <f t="shared" ca="1" si="124"/>
        <v>2.852262428238461E-7</v>
      </c>
      <c r="AD556" s="15">
        <f t="shared" ca="1" si="125"/>
        <v>5.3406576638448389E-4</v>
      </c>
      <c r="AE556" s="15">
        <f t="shared" ca="1" si="126"/>
        <v>0.27450980392162472</v>
      </c>
    </row>
    <row r="557" spans="12:31" x14ac:dyDescent="0.3">
      <c r="L557" s="15">
        <v>555</v>
      </c>
      <c r="M557" s="15">
        <f t="shared" si="116"/>
        <v>1</v>
      </c>
      <c r="N557" s="15">
        <f t="shared" ca="1" si="117"/>
        <v>5.3406576638448389E-4</v>
      </c>
      <c r="O557" s="15">
        <f t="shared" ca="1" si="128"/>
        <v>0.2509314364958074</v>
      </c>
      <c r="P557" s="15">
        <f t="shared" ca="1" si="127"/>
        <v>0.25024795910582132</v>
      </c>
      <c r="Q557" s="15">
        <v>0</v>
      </c>
      <c r="R557" s="15">
        <f t="shared" ca="1" si="118"/>
        <v>0.25024795910582132</v>
      </c>
      <c r="S557" s="15">
        <f t="shared" ref="S557:S620" ca="1" si="129">$I$1*S556-$I$2*S555+$I$3*R536+$I$4*R535</f>
        <v>1.0007062103870552</v>
      </c>
      <c r="T557" s="15">
        <v>0</v>
      </c>
      <c r="U557" s="15">
        <f t="shared" ca="1" si="119"/>
        <v>1.0007062103870552</v>
      </c>
      <c r="V557" s="15">
        <f t="shared" ca="1" si="120"/>
        <v>0.99946593423361552</v>
      </c>
      <c r="X557" s="15">
        <f t="shared" si="121"/>
        <v>1.05</v>
      </c>
      <c r="Y557" s="15">
        <f t="shared" si="122"/>
        <v>0.95</v>
      </c>
      <c r="Z557" s="15">
        <f t="shared" ca="1" si="123"/>
        <v>1</v>
      </c>
      <c r="AC557" s="15">
        <f t="shared" ca="1" si="124"/>
        <v>2.852262428238461E-7</v>
      </c>
      <c r="AD557" s="15">
        <f t="shared" ca="1" si="125"/>
        <v>5.3406576638448389E-4</v>
      </c>
      <c r="AE557" s="15">
        <f t="shared" ca="1" si="126"/>
        <v>0.2750438696880092</v>
      </c>
    </row>
    <row r="558" spans="12:31" x14ac:dyDescent="0.3">
      <c r="L558" s="15">
        <v>556</v>
      </c>
      <c r="M558" s="15">
        <f t="shared" si="116"/>
        <v>1</v>
      </c>
      <c r="N558" s="15">
        <f t="shared" ca="1" si="117"/>
        <v>5.3406576638448389E-4</v>
      </c>
      <c r="O558" s="15">
        <f t="shared" ca="1" si="128"/>
        <v>0.2509314364958074</v>
      </c>
      <c r="P558" s="15">
        <f t="shared" ca="1" si="127"/>
        <v>0.25024795910582132</v>
      </c>
      <c r="Q558" s="15">
        <v>0</v>
      </c>
      <c r="R558" s="15">
        <f t="shared" ca="1" si="118"/>
        <v>0.25024795910582132</v>
      </c>
      <c r="S558" s="15">
        <f t="shared" ca="1" si="129"/>
        <v>1.0006999262729399</v>
      </c>
      <c r="T558" s="15">
        <v>0</v>
      </c>
      <c r="U558" s="15">
        <f t="shared" ca="1" si="119"/>
        <v>1.0006999262729399</v>
      </c>
      <c r="V558" s="15">
        <f t="shared" ca="1" si="120"/>
        <v>0.99946593423361552</v>
      </c>
      <c r="X558" s="15">
        <f t="shared" si="121"/>
        <v>1.05</v>
      </c>
      <c r="Y558" s="15">
        <f t="shared" si="122"/>
        <v>0.95</v>
      </c>
      <c r="Z558" s="15">
        <f t="shared" ca="1" si="123"/>
        <v>1</v>
      </c>
      <c r="AC558" s="15">
        <f t="shared" ca="1" si="124"/>
        <v>2.852262428238461E-7</v>
      </c>
      <c r="AD558" s="15">
        <f t="shared" ca="1" si="125"/>
        <v>5.3406576638448389E-4</v>
      </c>
      <c r="AE558" s="15">
        <f t="shared" ca="1" si="126"/>
        <v>0.27557793545439369</v>
      </c>
    </row>
    <row r="559" spans="12:31" x14ac:dyDescent="0.3">
      <c r="L559" s="15">
        <v>557</v>
      </c>
      <c r="M559" s="15">
        <f t="shared" si="116"/>
        <v>1</v>
      </c>
      <c r="N559" s="15">
        <f t="shared" ca="1" si="117"/>
        <v>5.3406576638448389E-4</v>
      </c>
      <c r="O559" s="15">
        <f t="shared" ca="1" si="128"/>
        <v>0.2509314364958074</v>
      </c>
      <c r="P559" s="15">
        <f t="shared" ca="1" si="127"/>
        <v>0.25024795910582132</v>
      </c>
      <c r="Q559" s="15">
        <v>0</v>
      </c>
      <c r="R559" s="15">
        <f t="shared" ca="1" si="118"/>
        <v>0.25024795910582132</v>
      </c>
      <c r="S559" s="15">
        <f t="shared" ca="1" si="129"/>
        <v>1.0006956745065085</v>
      </c>
      <c r="T559" s="15">
        <v>0</v>
      </c>
      <c r="U559" s="15">
        <f t="shared" ca="1" si="119"/>
        <v>1.0006956745065085</v>
      </c>
      <c r="V559" s="15">
        <f t="shared" ca="1" si="120"/>
        <v>0.99946593423361552</v>
      </c>
      <c r="X559" s="15">
        <f t="shared" si="121"/>
        <v>1.05</v>
      </c>
      <c r="Y559" s="15">
        <f t="shared" si="122"/>
        <v>0.95</v>
      </c>
      <c r="Z559" s="15">
        <f t="shared" ca="1" si="123"/>
        <v>1</v>
      </c>
      <c r="AC559" s="15">
        <f t="shared" ca="1" si="124"/>
        <v>2.852262428238461E-7</v>
      </c>
      <c r="AD559" s="15">
        <f t="shared" ca="1" si="125"/>
        <v>5.3406576638448389E-4</v>
      </c>
      <c r="AE559" s="15">
        <f t="shared" ca="1" si="126"/>
        <v>0.27611200122077817</v>
      </c>
    </row>
    <row r="560" spans="12:31" x14ac:dyDescent="0.3">
      <c r="L560" s="15">
        <v>558</v>
      </c>
      <c r="M560" s="15">
        <f t="shared" si="116"/>
        <v>1</v>
      </c>
      <c r="N560" s="15">
        <f t="shared" ca="1" si="117"/>
        <v>5.3406576638448389E-4</v>
      </c>
      <c r="O560" s="15">
        <f t="shared" ca="1" si="128"/>
        <v>0.25094153347375692</v>
      </c>
      <c r="P560" s="15">
        <f t="shared" ca="1" si="127"/>
        <v>0.25024795910582132</v>
      </c>
      <c r="Q560" s="15">
        <v>0</v>
      </c>
      <c r="R560" s="15">
        <f t="shared" ca="1" si="118"/>
        <v>0.25024795910582132</v>
      </c>
      <c r="S560" s="15">
        <f t="shared" ca="1" si="129"/>
        <v>1.000693215092654</v>
      </c>
      <c r="T560" s="15">
        <v>0</v>
      </c>
      <c r="U560" s="15">
        <f t="shared" ca="1" si="119"/>
        <v>1.000693215092654</v>
      </c>
      <c r="V560" s="15">
        <f t="shared" ca="1" si="120"/>
        <v>0.99946593423361552</v>
      </c>
      <c r="X560" s="15">
        <f t="shared" si="121"/>
        <v>1.05</v>
      </c>
      <c r="Y560" s="15">
        <f t="shared" si="122"/>
        <v>0.95</v>
      </c>
      <c r="Z560" s="15">
        <f t="shared" ca="1" si="123"/>
        <v>1</v>
      </c>
      <c r="AC560" s="15">
        <f t="shared" ca="1" si="124"/>
        <v>2.852262428238461E-7</v>
      </c>
      <c r="AD560" s="15">
        <f t="shared" ca="1" si="125"/>
        <v>5.3406576638448389E-4</v>
      </c>
      <c r="AE560" s="15">
        <f t="shared" ca="1" si="126"/>
        <v>0.27664606698716265</v>
      </c>
    </row>
    <row r="561" spans="12:31" x14ac:dyDescent="0.3">
      <c r="L561" s="15">
        <v>559</v>
      </c>
      <c r="M561" s="15">
        <f t="shared" si="116"/>
        <v>1</v>
      </c>
      <c r="N561" s="15">
        <f t="shared" ca="1" si="117"/>
        <v>5.3406576638448389E-4</v>
      </c>
      <c r="O561" s="15">
        <f t="shared" ca="1" si="128"/>
        <v>0.25094153347375692</v>
      </c>
      <c r="P561" s="15">
        <f t="shared" ca="1" si="127"/>
        <v>0.25024795910582132</v>
      </c>
      <c r="Q561" s="15">
        <v>0</v>
      </c>
      <c r="R561" s="15">
        <f t="shared" ca="1" si="118"/>
        <v>0.25024795910582132</v>
      </c>
      <c r="S561" s="15">
        <f t="shared" ca="1" si="129"/>
        <v>1.000692330919374</v>
      </c>
      <c r="T561" s="15">
        <v>0</v>
      </c>
      <c r="U561" s="15">
        <f t="shared" ca="1" si="119"/>
        <v>1.000692330919374</v>
      </c>
      <c r="V561" s="15">
        <f t="shared" ca="1" si="120"/>
        <v>0.99946593423361552</v>
      </c>
      <c r="X561" s="15">
        <f t="shared" si="121"/>
        <v>1.05</v>
      </c>
      <c r="Y561" s="15">
        <f t="shared" si="122"/>
        <v>0.95</v>
      </c>
      <c r="Z561" s="15">
        <f t="shared" ca="1" si="123"/>
        <v>1</v>
      </c>
      <c r="AC561" s="15">
        <f t="shared" ca="1" si="124"/>
        <v>2.852262428238461E-7</v>
      </c>
      <c r="AD561" s="15">
        <f t="shared" ca="1" si="125"/>
        <v>5.3406576638448389E-4</v>
      </c>
      <c r="AE561" s="15">
        <f t="shared" ca="1" si="126"/>
        <v>0.27718013275354714</v>
      </c>
    </row>
    <row r="562" spans="12:31" x14ac:dyDescent="0.3">
      <c r="L562" s="15">
        <v>560</v>
      </c>
      <c r="M562" s="15">
        <f t="shared" si="116"/>
        <v>1</v>
      </c>
      <c r="N562" s="15">
        <f t="shared" ca="1" si="117"/>
        <v>5.3406576638448389E-4</v>
      </c>
      <c r="O562" s="15">
        <f t="shared" ca="1" si="128"/>
        <v>0.25094153347375692</v>
      </c>
      <c r="P562" s="15">
        <f t="shared" ca="1" si="127"/>
        <v>0.25024795910582132</v>
      </c>
      <c r="Q562" s="15">
        <v>0</v>
      </c>
      <c r="R562" s="15">
        <f t="shared" ca="1" si="118"/>
        <v>0.25024795910582132</v>
      </c>
      <c r="S562" s="15">
        <f t="shared" ca="1" si="129"/>
        <v>1.0006928257713774</v>
      </c>
      <c r="T562" s="15">
        <v>0</v>
      </c>
      <c r="U562" s="15">
        <f t="shared" ca="1" si="119"/>
        <v>1.0006928257713774</v>
      </c>
      <c r="V562" s="15">
        <f t="shared" ca="1" si="120"/>
        <v>0.99946593423361552</v>
      </c>
      <c r="X562" s="15">
        <f t="shared" si="121"/>
        <v>1.05</v>
      </c>
      <c r="Y562" s="15">
        <f t="shared" si="122"/>
        <v>0.95</v>
      </c>
      <c r="Z562" s="15">
        <f t="shared" ca="1" si="123"/>
        <v>1</v>
      </c>
      <c r="AC562" s="15">
        <f t="shared" ca="1" si="124"/>
        <v>2.852262428238461E-7</v>
      </c>
      <c r="AD562" s="15">
        <f t="shared" ca="1" si="125"/>
        <v>5.3406576638448389E-4</v>
      </c>
      <c r="AE562" s="15">
        <f t="shared" ca="1" si="126"/>
        <v>0.27771419851993162</v>
      </c>
    </row>
    <row r="563" spans="12:31" x14ac:dyDescent="0.3">
      <c r="L563" s="15">
        <v>561</v>
      </c>
      <c r="M563" s="15">
        <f t="shared" si="116"/>
        <v>1</v>
      </c>
      <c r="N563" s="15">
        <f t="shared" ca="1" si="117"/>
        <v>5.3406576638448389E-4</v>
      </c>
      <c r="O563" s="15">
        <f t="shared" ca="1" si="128"/>
        <v>0.25095163045170643</v>
      </c>
      <c r="P563" s="15">
        <f t="shared" ca="1" si="127"/>
        <v>0.25024795910582132</v>
      </c>
      <c r="Q563" s="15">
        <v>0</v>
      </c>
      <c r="R563" s="15">
        <f t="shared" ca="1" si="118"/>
        <v>0.25024795910582132</v>
      </c>
      <c r="S563" s="15">
        <f t="shared" ca="1" si="129"/>
        <v>1.0006945225074495</v>
      </c>
      <c r="T563" s="15">
        <v>0</v>
      </c>
      <c r="U563" s="15">
        <f t="shared" ca="1" si="119"/>
        <v>1.0006945225074495</v>
      </c>
      <c r="V563" s="15">
        <f t="shared" ca="1" si="120"/>
        <v>0.99946593423361552</v>
      </c>
      <c r="X563" s="15">
        <f t="shared" si="121"/>
        <v>1.05</v>
      </c>
      <c r="Y563" s="15">
        <f t="shared" si="122"/>
        <v>0.95</v>
      </c>
      <c r="Z563" s="15">
        <f t="shared" ca="1" si="123"/>
        <v>1</v>
      </c>
      <c r="AC563" s="15">
        <f t="shared" ca="1" si="124"/>
        <v>2.852262428238461E-7</v>
      </c>
      <c r="AD563" s="15">
        <f t="shared" ca="1" si="125"/>
        <v>5.3406576638448389E-4</v>
      </c>
      <c r="AE563" s="15">
        <f t="shared" ca="1" si="126"/>
        <v>0.2782482642863161</v>
      </c>
    </row>
    <row r="564" spans="12:31" x14ac:dyDescent="0.3">
      <c r="L564" s="15">
        <v>562</v>
      </c>
      <c r="M564" s="15">
        <f t="shared" si="116"/>
        <v>1</v>
      </c>
      <c r="N564" s="15">
        <f t="shared" ca="1" si="117"/>
        <v>5.3406576638448389E-4</v>
      </c>
      <c r="O564" s="15">
        <f t="shared" ca="1" si="128"/>
        <v>0.25095163045170643</v>
      </c>
      <c r="P564" s="15">
        <f t="shared" ca="1" si="127"/>
        <v>0.25024795910582132</v>
      </c>
      <c r="Q564" s="15">
        <v>0</v>
      </c>
      <c r="R564" s="15">
        <f t="shared" ca="1" si="118"/>
        <v>0.25024795910582132</v>
      </c>
      <c r="S564" s="15">
        <f t="shared" ca="1" si="129"/>
        <v>1.0006972613885006</v>
      </c>
      <c r="T564" s="15">
        <v>0</v>
      </c>
      <c r="U564" s="15">
        <f t="shared" ca="1" si="119"/>
        <v>1.0006972613885006</v>
      </c>
      <c r="V564" s="15">
        <f t="shared" ca="1" si="120"/>
        <v>0.99946593423361552</v>
      </c>
      <c r="X564" s="15">
        <f t="shared" si="121"/>
        <v>1.05</v>
      </c>
      <c r="Y564" s="15">
        <f t="shared" si="122"/>
        <v>0.95</v>
      </c>
      <c r="Z564" s="15">
        <f t="shared" ca="1" si="123"/>
        <v>1</v>
      </c>
      <c r="AC564" s="15">
        <f t="shared" ca="1" si="124"/>
        <v>2.852262428238461E-7</v>
      </c>
      <c r="AD564" s="15">
        <f t="shared" ca="1" si="125"/>
        <v>5.3406576638448389E-4</v>
      </c>
      <c r="AE564" s="15">
        <f t="shared" ca="1" si="126"/>
        <v>0.27878233005270059</v>
      </c>
    </row>
    <row r="565" spans="12:31" x14ac:dyDescent="0.3">
      <c r="L565" s="15">
        <v>563</v>
      </c>
      <c r="M565" s="15">
        <f t="shared" si="116"/>
        <v>1</v>
      </c>
      <c r="N565" s="15">
        <f t="shared" ca="1" si="117"/>
        <v>5.3406576638448389E-4</v>
      </c>
      <c r="O565" s="15">
        <f t="shared" ca="1" si="128"/>
        <v>0.25095163045170643</v>
      </c>
      <c r="P565" s="15">
        <f t="shared" ca="1" si="127"/>
        <v>0.25024795910582132</v>
      </c>
      <c r="Q565" s="15">
        <v>0</v>
      </c>
      <c r="R565" s="15">
        <f t="shared" ca="1" si="118"/>
        <v>0.25024795910582132</v>
      </c>
      <c r="S565" s="15">
        <f t="shared" ca="1" si="129"/>
        <v>1.0007008985442412</v>
      </c>
      <c r="T565" s="15">
        <v>0</v>
      </c>
      <c r="U565" s="15">
        <f t="shared" ca="1" si="119"/>
        <v>1.0007008985442412</v>
      </c>
      <c r="V565" s="15">
        <f t="shared" ca="1" si="120"/>
        <v>0.99946593423361552</v>
      </c>
      <c r="X565" s="15">
        <f t="shared" si="121"/>
        <v>1.05</v>
      </c>
      <c r="Y565" s="15">
        <f t="shared" si="122"/>
        <v>0.95</v>
      </c>
      <c r="Z565" s="15">
        <f t="shared" ca="1" si="123"/>
        <v>1</v>
      </c>
      <c r="AC565" s="15">
        <f t="shared" ca="1" si="124"/>
        <v>2.852262428238461E-7</v>
      </c>
      <c r="AD565" s="15">
        <f t="shared" ca="1" si="125"/>
        <v>5.3406576638448389E-4</v>
      </c>
      <c r="AE565" s="15">
        <f t="shared" ca="1" si="126"/>
        <v>0.27931639581908507</v>
      </c>
    </row>
    <row r="566" spans="12:31" x14ac:dyDescent="0.3">
      <c r="L566" s="15">
        <v>564</v>
      </c>
      <c r="M566" s="15">
        <f t="shared" si="116"/>
        <v>1</v>
      </c>
      <c r="N566" s="15">
        <f t="shared" ca="1" si="117"/>
        <v>5.3406576638448389E-4</v>
      </c>
      <c r="O566" s="15">
        <f t="shared" ca="1" si="128"/>
        <v>0.25096172742965595</v>
      </c>
      <c r="P566" s="15">
        <f t="shared" ca="1" si="127"/>
        <v>0.25024795910582132</v>
      </c>
      <c r="Q566" s="15">
        <v>0</v>
      </c>
      <c r="R566" s="15">
        <f t="shared" ca="1" si="118"/>
        <v>0.25024795910582132</v>
      </c>
      <c r="S566" s="15">
        <f t="shared" ca="1" si="129"/>
        <v>1.0007053045673722</v>
      </c>
      <c r="T566" s="15">
        <v>0</v>
      </c>
      <c r="U566" s="15">
        <f t="shared" ca="1" si="119"/>
        <v>1.0007053045673722</v>
      </c>
      <c r="V566" s="15">
        <f t="shared" ca="1" si="120"/>
        <v>0.99946593423361552</v>
      </c>
      <c r="X566" s="15">
        <f t="shared" si="121"/>
        <v>1.05</v>
      </c>
      <c r="Y566" s="15">
        <f t="shared" si="122"/>
        <v>0.95</v>
      </c>
      <c r="Z566" s="15">
        <f t="shared" ca="1" si="123"/>
        <v>1</v>
      </c>
      <c r="AC566" s="15">
        <f t="shared" ca="1" si="124"/>
        <v>2.852262428238461E-7</v>
      </c>
      <c r="AD566" s="15">
        <f t="shared" ca="1" si="125"/>
        <v>5.3406576638448389E-4</v>
      </c>
      <c r="AE566" s="15">
        <f t="shared" ca="1" si="126"/>
        <v>0.27985046158546956</v>
      </c>
    </row>
    <row r="567" spans="12:31" x14ac:dyDescent="0.3">
      <c r="L567" s="15">
        <v>565</v>
      </c>
      <c r="M567" s="15">
        <f t="shared" si="116"/>
        <v>1</v>
      </c>
      <c r="N567" s="15">
        <f t="shared" ca="1" si="117"/>
        <v>5.3406576638448389E-4</v>
      </c>
      <c r="O567" s="15">
        <f t="shared" ca="1" si="128"/>
        <v>0.25096172742965595</v>
      </c>
      <c r="P567" s="15">
        <f t="shared" ca="1" si="127"/>
        <v>0.25024795910582132</v>
      </c>
      <c r="Q567" s="15">
        <v>0</v>
      </c>
      <c r="R567" s="15">
        <f t="shared" ca="1" si="118"/>
        <v>0.25024795910582132</v>
      </c>
      <c r="S567" s="15">
        <f t="shared" ca="1" si="129"/>
        <v>1.0007103632250514</v>
      </c>
      <c r="T567" s="15">
        <v>0</v>
      </c>
      <c r="U567" s="15">
        <f t="shared" ca="1" si="119"/>
        <v>1.0007103632250514</v>
      </c>
      <c r="V567" s="15">
        <f t="shared" ca="1" si="120"/>
        <v>0.99946593423361552</v>
      </c>
      <c r="X567" s="15">
        <f t="shared" si="121"/>
        <v>1.05</v>
      </c>
      <c r="Y567" s="15">
        <f t="shared" si="122"/>
        <v>0.95</v>
      </c>
      <c r="Z567" s="15">
        <f t="shared" ca="1" si="123"/>
        <v>1</v>
      </c>
      <c r="AC567" s="15">
        <f t="shared" ca="1" si="124"/>
        <v>2.852262428238461E-7</v>
      </c>
      <c r="AD567" s="15">
        <f t="shared" ca="1" si="125"/>
        <v>5.3406576638448389E-4</v>
      </c>
      <c r="AE567" s="15">
        <f t="shared" ca="1" si="126"/>
        <v>0.28038452735185404</v>
      </c>
    </row>
    <row r="568" spans="12:31" x14ac:dyDescent="0.3">
      <c r="L568" s="15">
        <v>566</v>
      </c>
      <c r="M568" s="15">
        <f t="shared" si="116"/>
        <v>1</v>
      </c>
      <c r="N568" s="15">
        <f t="shared" ca="1" si="117"/>
        <v>5.3406576638448389E-4</v>
      </c>
      <c r="O568" s="15">
        <f t="shared" ca="1" si="128"/>
        <v>0.25096172742965595</v>
      </c>
      <c r="P568" s="15">
        <f t="shared" ca="1" si="127"/>
        <v>0.25024795910582132</v>
      </c>
      <c r="Q568" s="15">
        <v>0</v>
      </c>
      <c r="R568" s="15">
        <f t="shared" ca="1" si="118"/>
        <v>0.25024795910582132</v>
      </c>
      <c r="S568" s="15">
        <f t="shared" ca="1" si="129"/>
        <v>1.0007159702781976</v>
      </c>
      <c r="T568" s="15">
        <v>0</v>
      </c>
      <c r="U568" s="15">
        <f t="shared" ca="1" si="119"/>
        <v>1.0007159702781976</v>
      </c>
      <c r="V568" s="15">
        <f t="shared" ca="1" si="120"/>
        <v>0.99946593423361552</v>
      </c>
      <c r="X568" s="15">
        <f t="shared" si="121"/>
        <v>1.05</v>
      </c>
      <c r="Y568" s="15">
        <f t="shared" si="122"/>
        <v>0.95</v>
      </c>
      <c r="Z568" s="15">
        <f t="shared" ca="1" si="123"/>
        <v>1</v>
      </c>
      <c r="AC568" s="15">
        <f t="shared" ca="1" si="124"/>
        <v>2.852262428238461E-7</v>
      </c>
      <c r="AD568" s="15">
        <f t="shared" ca="1" si="125"/>
        <v>5.3406576638448389E-4</v>
      </c>
      <c r="AE568" s="15">
        <f t="shared" ca="1" si="126"/>
        <v>0.28091859311823852</v>
      </c>
    </row>
    <row r="569" spans="12:31" x14ac:dyDescent="0.3">
      <c r="L569" s="15">
        <v>567</v>
      </c>
      <c r="M569" s="15">
        <f t="shared" si="116"/>
        <v>1</v>
      </c>
      <c r="N569" s="15">
        <f t="shared" ca="1" si="117"/>
        <v>5.3406576638448389E-4</v>
      </c>
      <c r="O569" s="15">
        <f t="shared" ca="1" si="128"/>
        <v>0.25097182440760546</v>
      </c>
      <c r="P569" s="15">
        <f t="shared" ca="1" si="127"/>
        <v>0.25024795910582132</v>
      </c>
      <c r="Q569" s="15">
        <v>0</v>
      </c>
      <c r="R569" s="15">
        <f t="shared" ca="1" si="118"/>
        <v>0.25024795910582132</v>
      </c>
      <c r="S569" s="15">
        <f t="shared" ca="1" si="129"/>
        <v>1.0007352323340473</v>
      </c>
      <c r="T569" s="15">
        <v>0</v>
      </c>
      <c r="U569" s="15">
        <f t="shared" ca="1" si="119"/>
        <v>1.0007352323340473</v>
      </c>
      <c r="V569" s="15">
        <f t="shared" ca="1" si="120"/>
        <v>0.99946593423361552</v>
      </c>
      <c r="X569" s="15">
        <f t="shared" si="121"/>
        <v>1.05</v>
      </c>
      <c r="Y569" s="15">
        <f t="shared" si="122"/>
        <v>0.95</v>
      </c>
      <c r="Z569" s="15">
        <f t="shared" ca="1" si="123"/>
        <v>1</v>
      </c>
      <c r="AC569" s="15">
        <f t="shared" ca="1" si="124"/>
        <v>2.852262428238461E-7</v>
      </c>
      <c r="AD569" s="15">
        <f t="shared" ca="1" si="125"/>
        <v>5.3406576638448389E-4</v>
      </c>
      <c r="AE569" s="15">
        <f t="shared" ca="1" si="126"/>
        <v>0.28145265888462301</v>
      </c>
    </row>
    <row r="570" spans="12:31" x14ac:dyDescent="0.3">
      <c r="L570" s="15">
        <v>568</v>
      </c>
      <c r="M570" s="15">
        <f t="shared" si="116"/>
        <v>1</v>
      </c>
      <c r="N570" s="15">
        <f t="shared" ca="1" si="117"/>
        <v>5.3406576638448389E-4</v>
      </c>
      <c r="O570" s="15">
        <f t="shared" ca="1" si="128"/>
        <v>0.25097182440760546</v>
      </c>
      <c r="P570" s="15">
        <f t="shared" ca="1" si="127"/>
        <v>0.25024795910582132</v>
      </c>
      <c r="Q570" s="15">
        <v>0</v>
      </c>
      <c r="R570" s="15">
        <f t="shared" ca="1" si="118"/>
        <v>0.25024795910582132</v>
      </c>
      <c r="S570" s="15">
        <f t="shared" ca="1" si="129"/>
        <v>1.0007789505633768</v>
      </c>
      <c r="T570" s="15">
        <v>0</v>
      </c>
      <c r="U570" s="15">
        <f t="shared" ca="1" si="119"/>
        <v>1.0007789505633768</v>
      </c>
      <c r="V570" s="15">
        <f t="shared" ca="1" si="120"/>
        <v>0.99946593423361552</v>
      </c>
      <c r="X570" s="15">
        <f t="shared" si="121"/>
        <v>1.05</v>
      </c>
      <c r="Y570" s="15">
        <f t="shared" si="122"/>
        <v>0.95</v>
      </c>
      <c r="Z570" s="15">
        <f t="shared" ca="1" si="123"/>
        <v>1</v>
      </c>
      <c r="AC570" s="15">
        <f t="shared" ca="1" si="124"/>
        <v>2.852262428238461E-7</v>
      </c>
      <c r="AD570" s="15">
        <f t="shared" ca="1" si="125"/>
        <v>5.3406576638448389E-4</v>
      </c>
      <c r="AE570" s="15">
        <f t="shared" ca="1" si="126"/>
        <v>0.28198672465100749</v>
      </c>
    </row>
    <row r="571" spans="12:31" x14ac:dyDescent="0.3">
      <c r="L571" s="15">
        <v>569</v>
      </c>
      <c r="M571" s="15">
        <f t="shared" si="116"/>
        <v>1</v>
      </c>
      <c r="N571" s="15">
        <f t="shared" ca="1" si="117"/>
        <v>5.3406576638448389E-4</v>
      </c>
      <c r="O571" s="15">
        <f t="shared" ca="1" si="128"/>
        <v>0.25097182440760546</v>
      </c>
      <c r="P571" s="15">
        <f t="shared" ca="1" si="127"/>
        <v>0.25024795910582132</v>
      </c>
      <c r="Q571" s="15">
        <v>0</v>
      </c>
      <c r="R571" s="15">
        <f t="shared" ca="1" si="118"/>
        <v>0.25024795910582132</v>
      </c>
      <c r="S571" s="15">
        <f t="shared" ca="1" si="129"/>
        <v>1.0008438356821774</v>
      </c>
      <c r="T571" s="15">
        <v>0</v>
      </c>
      <c r="U571" s="15">
        <f t="shared" ca="1" si="119"/>
        <v>1.0008438356821774</v>
      </c>
      <c r="V571" s="15">
        <f t="shared" ca="1" si="120"/>
        <v>0.99946593423361552</v>
      </c>
      <c r="X571" s="15">
        <f t="shared" si="121"/>
        <v>1.05</v>
      </c>
      <c r="Y571" s="15">
        <f t="shared" si="122"/>
        <v>0.95</v>
      </c>
      <c r="Z571" s="15">
        <f t="shared" ca="1" si="123"/>
        <v>1</v>
      </c>
      <c r="AC571" s="15">
        <f t="shared" ca="1" si="124"/>
        <v>2.852262428238461E-7</v>
      </c>
      <c r="AD571" s="15">
        <f t="shared" ca="1" si="125"/>
        <v>5.3406576638448389E-4</v>
      </c>
      <c r="AE571" s="15">
        <f t="shared" ca="1" si="126"/>
        <v>0.28252079041739198</v>
      </c>
    </row>
    <row r="572" spans="12:31" x14ac:dyDescent="0.3">
      <c r="L572" s="15">
        <v>570</v>
      </c>
      <c r="M572" s="15">
        <f t="shared" si="116"/>
        <v>1</v>
      </c>
      <c r="N572" s="15">
        <f t="shared" ca="1" si="117"/>
        <v>5.3406576638448389E-4</v>
      </c>
      <c r="O572" s="15">
        <f t="shared" ca="1" si="128"/>
        <v>0.25098192138555497</v>
      </c>
      <c r="P572" s="15">
        <f t="shared" ca="1" si="127"/>
        <v>0.25024795910582132</v>
      </c>
      <c r="Q572" s="15">
        <v>0</v>
      </c>
      <c r="R572" s="15">
        <f t="shared" ca="1" si="118"/>
        <v>0.25024795910582132</v>
      </c>
      <c r="S572" s="15">
        <f t="shared" ca="1" si="129"/>
        <v>1.0009137264737316</v>
      </c>
      <c r="T572" s="15">
        <v>0</v>
      </c>
      <c r="U572" s="15">
        <f t="shared" ca="1" si="119"/>
        <v>1.0009137264737316</v>
      </c>
      <c r="V572" s="15">
        <f t="shared" ca="1" si="120"/>
        <v>0.99946593423361552</v>
      </c>
      <c r="X572" s="15">
        <f t="shared" si="121"/>
        <v>1.05</v>
      </c>
      <c r="Y572" s="15">
        <f t="shared" si="122"/>
        <v>0.95</v>
      </c>
      <c r="Z572" s="15">
        <f t="shared" ca="1" si="123"/>
        <v>1</v>
      </c>
      <c r="AC572" s="15">
        <f t="shared" ca="1" si="124"/>
        <v>2.852262428238461E-7</v>
      </c>
      <c r="AD572" s="15">
        <f t="shared" ca="1" si="125"/>
        <v>5.3406576638448389E-4</v>
      </c>
      <c r="AE572" s="15">
        <f t="shared" ca="1" si="126"/>
        <v>0.28305485618377646</v>
      </c>
    </row>
    <row r="573" spans="12:31" x14ac:dyDescent="0.3">
      <c r="L573" s="15">
        <v>571</v>
      </c>
      <c r="M573" s="15">
        <f t="shared" si="116"/>
        <v>1</v>
      </c>
      <c r="N573" s="15">
        <f t="shared" ca="1" si="117"/>
        <v>5.3406576638448389E-4</v>
      </c>
      <c r="O573" s="15">
        <f t="shared" ca="1" si="128"/>
        <v>0.25098192138555497</v>
      </c>
      <c r="P573" s="15">
        <f t="shared" ca="1" si="127"/>
        <v>0.25024795910582132</v>
      </c>
      <c r="Q573" s="15">
        <v>0</v>
      </c>
      <c r="R573" s="15">
        <f t="shared" ca="1" si="118"/>
        <v>0.25024795910582132</v>
      </c>
      <c r="S573" s="15">
        <f t="shared" ca="1" si="129"/>
        <v>1.0009750759708054</v>
      </c>
      <c r="T573" s="15">
        <v>0</v>
      </c>
      <c r="U573" s="15">
        <f t="shared" ca="1" si="119"/>
        <v>1.0009750759708054</v>
      </c>
      <c r="V573" s="15">
        <f t="shared" ca="1" si="120"/>
        <v>0.99946593423361552</v>
      </c>
      <c r="X573" s="15">
        <f t="shared" si="121"/>
        <v>1.05</v>
      </c>
      <c r="Y573" s="15">
        <f t="shared" si="122"/>
        <v>0.95</v>
      </c>
      <c r="Z573" s="15">
        <f t="shared" ca="1" si="123"/>
        <v>1</v>
      </c>
      <c r="AC573" s="15">
        <f t="shared" ca="1" si="124"/>
        <v>2.852262428238461E-7</v>
      </c>
      <c r="AD573" s="15">
        <f t="shared" ca="1" si="125"/>
        <v>5.3406576638448389E-4</v>
      </c>
      <c r="AE573" s="15">
        <f t="shared" ca="1" si="126"/>
        <v>0.28358892195016094</v>
      </c>
    </row>
    <row r="574" spans="12:31" x14ac:dyDescent="0.3">
      <c r="L574" s="15">
        <v>572</v>
      </c>
      <c r="M574" s="15">
        <f t="shared" si="116"/>
        <v>1</v>
      </c>
      <c r="N574" s="15">
        <f t="shared" ca="1" si="117"/>
        <v>-9.9183642328526389E-4</v>
      </c>
      <c r="O574" s="15">
        <f t="shared" ca="1" si="128"/>
        <v>0.25098192138555497</v>
      </c>
      <c r="P574" s="15">
        <f t="shared" ca="1" si="127"/>
        <v>0.25024795910582132</v>
      </c>
      <c r="Q574" s="15">
        <v>0</v>
      </c>
      <c r="R574" s="15">
        <f t="shared" ca="1" si="118"/>
        <v>0.25024795910582132</v>
      </c>
      <c r="S574" s="15">
        <f t="shared" ca="1" si="129"/>
        <v>1.0010287088880827</v>
      </c>
      <c r="T574" s="15">
        <v>0</v>
      </c>
      <c r="U574" s="15">
        <f t="shared" ca="1" si="119"/>
        <v>1.0010287088880827</v>
      </c>
      <c r="V574" s="15">
        <f t="shared" ca="1" si="120"/>
        <v>1.0009918364232853</v>
      </c>
      <c r="X574" s="15">
        <f t="shared" si="121"/>
        <v>1.05</v>
      </c>
      <c r="Y574" s="15">
        <f t="shared" si="122"/>
        <v>0.95</v>
      </c>
      <c r="Z574" s="15">
        <f t="shared" ca="1" si="123"/>
        <v>1</v>
      </c>
      <c r="AC574" s="15">
        <f t="shared" ca="1" si="124"/>
        <v>9.8373949055530516E-7</v>
      </c>
      <c r="AD574" s="15">
        <f t="shared" ca="1" si="125"/>
        <v>9.9183642328526389E-4</v>
      </c>
      <c r="AE574" s="15">
        <f t="shared" ca="1" si="126"/>
        <v>0.52765697718776039</v>
      </c>
    </row>
    <row r="575" spans="12:31" x14ac:dyDescent="0.3">
      <c r="L575" s="15">
        <v>573</v>
      </c>
      <c r="M575" s="15">
        <f t="shared" si="116"/>
        <v>1</v>
      </c>
      <c r="N575" s="15">
        <f t="shared" ca="1" si="117"/>
        <v>-9.9183642328526389E-4</v>
      </c>
      <c r="O575" s="15">
        <f t="shared" ca="1" si="128"/>
        <v>0.24933561109258215</v>
      </c>
      <c r="P575" s="15">
        <f t="shared" ca="1" si="127"/>
        <v>0.24872205691615165</v>
      </c>
      <c r="Q575" s="15">
        <v>0</v>
      </c>
      <c r="R575" s="15">
        <f t="shared" ca="1" si="118"/>
        <v>0.24872205691615165</v>
      </c>
      <c r="S575" s="15">
        <f t="shared" ca="1" si="129"/>
        <v>1.0010753778922563</v>
      </c>
      <c r="T575" s="15">
        <v>0</v>
      </c>
      <c r="U575" s="15">
        <f t="shared" ca="1" si="119"/>
        <v>1.0010753778922563</v>
      </c>
      <c r="V575" s="15">
        <f t="shared" ca="1" si="120"/>
        <v>1.0009918364232853</v>
      </c>
      <c r="X575" s="15">
        <f t="shared" si="121"/>
        <v>1.05</v>
      </c>
      <c r="Y575" s="15">
        <f t="shared" si="122"/>
        <v>0.95</v>
      </c>
      <c r="Z575" s="15">
        <f t="shared" ca="1" si="123"/>
        <v>1</v>
      </c>
      <c r="AC575" s="15">
        <f t="shared" ca="1" si="124"/>
        <v>9.8373949055530516E-7</v>
      </c>
      <c r="AD575" s="15">
        <f t="shared" ca="1" si="125"/>
        <v>9.9183642328526389E-4</v>
      </c>
      <c r="AE575" s="15">
        <f t="shared" ca="1" si="126"/>
        <v>0.52864881361104565</v>
      </c>
    </row>
    <row r="576" spans="12:31" x14ac:dyDescent="0.3">
      <c r="L576" s="15">
        <v>574</v>
      </c>
      <c r="M576" s="15">
        <f t="shared" si="116"/>
        <v>1</v>
      </c>
      <c r="N576" s="15">
        <f t="shared" ca="1" si="117"/>
        <v>-9.9183642328526389E-4</v>
      </c>
      <c r="O576" s="15">
        <f t="shared" ca="1" si="128"/>
        <v>0.24933561109258215</v>
      </c>
      <c r="P576" s="15">
        <f t="shared" ca="1" si="127"/>
        <v>0.24872205691615165</v>
      </c>
      <c r="Q576" s="15">
        <v>0</v>
      </c>
      <c r="R576" s="15">
        <f t="shared" ca="1" si="118"/>
        <v>0.24872205691615165</v>
      </c>
      <c r="S576" s="15">
        <f t="shared" ca="1" si="129"/>
        <v>1.0011157695640363</v>
      </c>
      <c r="T576" s="15">
        <v>0</v>
      </c>
      <c r="U576" s="15">
        <f t="shared" ca="1" si="119"/>
        <v>1.0011157695640363</v>
      </c>
      <c r="V576" s="15">
        <f t="shared" ca="1" si="120"/>
        <v>1.0009918364232853</v>
      </c>
      <c r="X576" s="15">
        <f t="shared" si="121"/>
        <v>1.05</v>
      </c>
      <c r="Y576" s="15">
        <f t="shared" si="122"/>
        <v>0.95</v>
      </c>
      <c r="Z576" s="15">
        <f t="shared" ca="1" si="123"/>
        <v>1</v>
      </c>
      <c r="AC576" s="15">
        <f t="shared" ca="1" si="124"/>
        <v>9.8373949055530516E-7</v>
      </c>
      <c r="AD576" s="15">
        <f t="shared" ca="1" si="125"/>
        <v>9.9183642328526389E-4</v>
      </c>
      <c r="AE576" s="15">
        <f t="shared" ca="1" si="126"/>
        <v>0.52964065003433092</v>
      </c>
    </row>
    <row r="577" spans="12:31" x14ac:dyDescent="0.3">
      <c r="L577" s="15">
        <v>575</v>
      </c>
      <c r="M577" s="15">
        <f t="shared" si="116"/>
        <v>1</v>
      </c>
      <c r="N577" s="15">
        <f t="shared" ca="1" si="117"/>
        <v>-9.9183642328526389E-4</v>
      </c>
      <c r="O577" s="15">
        <f t="shared" ca="1" si="128"/>
        <v>0.24933561109258215</v>
      </c>
      <c r="P577" s="15">
        <f t="shared" ca="1" si="127"/>
        <v>0.24872205691615165</v>
      </c>
      <c r="Q577" s="15">
        <v>0</v>
      </c>
      <c r="R577" s="15">
        <f t="shared" ca="1" si="118"/>
        <v>0.24872205691615165</v>
      </c>
      <c r="S577" s="15">
        <f t="shared" ca="1" si="129"/>
        <v>1.0011505098828821</v>
      </c>
      <c r="T577" s="15">
        <v>0</v>
      </c>
      <c r="U577" s="15">
        <f t="shared" ca="1" si="119"/>
        <v>1.0011505098828821</v>
      </c>
      <c r="V577" s="15">
        <f t="shared" ca="1" si="120"/>
        <v>1.0009918364232853</v>
      </c>
      <c r="X577" s="15">
        <f t="shared" si="121"/>
        <v>1.05</v>
      </c>
      <c r="Y577" s="15">
        <f t="shared" si="122"/>
        <v>0.95</v>
      </c>
      <c r="Z577" s="15">
        <f t="shared" ca="1" si="123"/>
        <v>1</v>
      </c>
      <c r="AC577" s="15">
        <f t="shared" ca="1" si="124"/>
        <v>9.8373949055530516E-7</v>
      </c>
      <c r="AD577" s="15">
        <f t="shared" ca="1" si="125"/>
        <v>9.9183642328526389E-4</v>
      </c>
      <c r="AE577" s="15">
        <f t="shared" ca="1" si="126"/>
        <v>0.53063248645761618</v>
      </c>
    </row>
    <row r="578" spans="12:31" x14ac:dyDescent="0.3">
      <c r="L578" s="15">
        <v>576</v>
      </c>
      <c r="M578" s="15">
        <f t="shared" si="116"/>
        <v>1</v>
      </c>
      <c r="N578" s="15">
        <f t="shared" ca="1" si="117"/>
        <v>-9.9183642328526389E-4</v>
      </c>
      <c r="O578" s="15">
        <f t="shared" ca="1" si="128"/>
        <v>0.25061089110250279</v>
      </c>
      <c r="P578" s="15">
        <f t="shared" ca="1" si="127"/>
        <v>0.25024795910582132</v>
      </c>
      <c r="Q578" s="15">
        <v>0</v>
      </c>
      <c r="R578" s="15">
        <f t="shared" ca="1" si="118"/>
        <v>0.25024795910582132</v>
      </c>
      <c r="S578" s="15">
        <f t="shared" ca="1" si="129"/>
        <v>1.0011801692718438</v>
      </c>
      <c r="T578" s="15">
        <v>0</v>
      </c>
      <c r="U578" s="15">
        <f t="shared" ca="1" si="119"/>
        <v>1.0011801692718438</v>
      </c>
      <c r="V578" s="15">
        <f t="shared" ca="1" si="120"/>
        <v>1.0009918364232853</v>
      </c>
      <c r="X578" s="15">
        <f t="shared" si="121"/>
        <v>1.05</v>
      </c>
      <c r="Y578" s="15">
        <f t="shared" si="122"/>
        <v>0.95</v>
      </c>
      <c r="Z578" s="15">
        <f t="shared" ca="1" si="123"/>
        <v>1</v>
      </c>
      <c r="AC578" s="15">
        <f t="shared" ca="1" si="124"/>
        <v>9.8373949055530516E-7</v>
      </c>
      <c r="AD578" s="15">
        <f t="shared" ca="1" si="125"/>
        <v>9.9183642328526389E-4</v>
      </c>
      <c r="AE578" s="15">
        <f t="shared" ca="1" si="126"/>
        <v>0.53162432288090145</v>
      </c>
    </row>
    <row r="579" spans="12:31" x14ac:dyDescent="0.3">
      <c r="L579" s="15">
        <v>577</v>
      </c>
      <c r="M579" s="15">
        <f t="shared" ref="M579:M642" si="130">IF(L579&lt;$D$16,$D$12,IF(L579&lt;$E$16,$E$12,$F$13))</f>
        <v>1</v>
      </c>
      <c r="N579" s="15">
        <f t="shared" ref="N579:N642" ca="1" si="131">M579-V579</f>
        <v>-9.9183642328526389E-4</v>
      </c>
      <c r="O579" s="15">
        <f t="shared" ca="1" si="128"/>
        <v>0.25061089110250279</v>
      </c>
      <c r="P579" s="15">
        <f t="shared" ca="1" si="127"/>
        <v>0.25024795910582132</v>
      </c>
      <c r="Q579" s="15">
        <v>0</v>
      </c>
      <c r="R579" s="15">
        <f t="shared" ref="R579:R642" ca="1" si="132">P579+Q579</f>
        <v>0.25024795910582132</v>
      </c>
      <c r="S579" s="15">
        <f t="shared" ca="1" si="129"/>
        <v>1.0012052672370118</v>
      </c>
      <c r="T579" s="15">
        <v>0</v>
      </c>
      <c r="U579" s="15">
        <f t="shared" ref="U579:U642" ca="1" si="133">S579+T579</f>
        <v>1.0012052672370118</v>
      </c>
      <c r="V579" s="15">
        <f t="shared" ref="V579:V642" ca="1" si="134">INT((2^$J$12-1)*U579/100)/(2^$J$12-1)*100</f>
        <v>1.0009918364232853</v>
      </c>
      <c r="X579" s="15">
        <f t="shared" ref="X579:X642" si="135">M579 * 1.05</f>
        <v>1.05</v>
      </c>
      <c r="Y579" s="15">
        <f t="shared" ref="Y579:Y642" si="136">M579 * 0.95</f>
        <v>0.95</v>
      </c>
      <c r="Z579" s="15">
        <f t="shared" ref="Z579:Z642" ca="1" si="137">IF(AND(V579 &lt;= X579, V579 &gt;= Y579), 1, 0)</f>
        <v>1</v>
      </c>
      <c r="AC579" s="15">
        <f t="shared" ref="AC579:AC642" ca="1" si="138">N579^2</f>
        <v>9.8373949055530516E-7</v>
      </c>
      <c r="AD579" s="15">
        <f t="shared" ref="AD579:AD642" ca="1" si="139">ABS(N579)</f>
        <v>9.9183642328526389E-4</v>
      </c>
      <c r="AE579" s="15">
        <f t="shared" ref="AE579:AE642" ca="1" si="140">IF(M579&gt;0, ABS(N579)*(L579-$D$16),0)</f>
        <v>0.53261615930418671</v>
      </c>
    </row>
    <row r="580" spans="12:31" x14ac:dyDescent="0.3">
      <c r="L580" s="15">
        <v>578</v>
      </c>
      <c r="M580" s="15">
        <f t="shared" si="130"/>
        <v>1</v>
      </c>
      <c r="N580" s="15">
        <f t="shared" ca="1" si="131"/>
        <v>-9.9183642328526389E-4</v>
      </c>
      <c r="O580" s="15">
        <f t="shared" ca="1" si="128"/>
        <v>0.25061089110250279</v>
      </c>
      <c r="P580" s="15">
        <f t="shared" ca="1" si="127"/>
        <v>0.25024795910582132</v>
      </c>
      <c r="Q580" s="15">
        <v>0</v>
      </c>
      <c r="R580" s="15">
        <f t="shared" ca="1" si="132"/>
        <v>0.25024795910582132</v>
      </c>
      <c r="S580" s="15">
        <f t="shared" ca="1" si="129"/>
        <v>1.0012262766334123</v>
      </c>
      <c r="T580" s="15">
        <v>0</v>
      </c>
      <c r="U580" s="15">
        <f t="shared" ca="1" si="133"/>
        <v>1.0012262766334123</v>
      </c>
      <c r="V580" s="15">
        <f t="shared" ca="1" si="134"/>
        <v>1.0009918364232853</v>
      </c>
      <c r="X580" s="15">
        <f t="shared" si="135"/>
        <v>1.05</v>
      </c>
      <c r="Y580" s="15">
        <f t="shared" si="136"/>
        <v>0.95</v>
      </c>
      <c r="Z580" s="15">
        <f t="shared" ca="1" si="137"/>
        <v>1</v>
      </c>
      <c r="AC580" s="15">
        <f t="shared" ca="1" si="138"/>
        <v>9.8373949055530516E-7</v>
      </c>
      <c r="AD580" s="15">
        <f t="shared" ca="1" si="139"/>
        <v>9.9183642328526389E-4</v>
      </c>
      <c r="AE580" s="15">
        <f t="shared" ca="1" si="140"/>
        <v>0.53360799572747197</v>
      </c>
    </row>
    <row r="581" spans="12:31" x14ac:dyDescent="0.3">
      <c r="L581" s="15">
        <v>579</v>
      </c>
      <c r="M581" s="15">
        <f t="shared" si="130"/>
        <v>1</v>
      </c>
      <c r="N581" s="15">
        <f t="shared" ca="1" si="131"/>
        <v>-9.9183642328526389E-4</v>
      </c>
      <c r="O581" s="15">
        <f t="shared" ca="1" si="128"/>
        <v>0.25059213957202509</v>
      </c>
      <c r="P581" s="15">
        <f t="shared" ca="1" si="127"/>
        <v>0.25024795910582132</v>
      </c>
      <c r="Q581" s="15">
        <v>0</v>
      </c>
      <c r="R581" s="15">
        <f t="shared" ca="1" si="132"/>
        <v>0.25024795910582132</v>
      </c>
      <c r="S581" s="15">
        <f t="shared" ca="1" si="129"/>
        <v>1.001243627586722</v>
      </c>
      <c r="T581" s="15">
        <v>0</v>
      </c>
      <c r="U581" s="15">
        <f t="shared" ca="1" si="133"/>
        <v>1.001243627586722</v>
      </c>
      <c r="V581" s="15">
        <f t="shared" ca="1" si="134"/>
        <v>1.0009918364232853</v>
      </c>
      <c r="X581" s="15">
        <f t="shared" si="135"/>
        <v>1.05</v>
      </c>
      <c r="Y581" s="15">
        <f t="shared" si="136"/>
        <v>0.95</v>
      </c>
      <c r="Z581" s="15">
        <f t="shared" ca="1" si="137"/>
        <v>1</v>
      </c>
      <c r="AC581" s="15">
        <f t="shared" ca="1" si="138"/>
        <v>9.8373949055530516E-7</v>
      </c>
      <c r="AD581" s="15">
        <f t="shared" ca="1" si="139"/>
        <v>9.9183642328526389E-4</v>
      </c>
      <c r="AE581" s="15">
        <f t="shared" ca="1" si="140"/>
        <v>0.53459983215075724</v>
      </c>
    </row>
    <row r="582" spans="12:31" x14ac:dyDescent="0.3">
      <c r="L582" s="15">
        <v>580</v>
      </c>
      <c r="M582" s="15">
        <f t="shared" si="130"/>
        <v>1</v>
      </c>
      <c r="N582" s="15">
        <f t="shared" ca="1" si="131"/>
        <v>-9.9183642328526389E-4</v>
      </c>
      <c r="O582" s="15">
        <f t="shared" ca="1" si="128"/>
        <v>0.25059213957202509</v>
      </c>
      <c r="P582" s="15">
        <f t="shared" ca="1" si="127"/>
        <v>0.25024795910582132</v>
      </c>
      <c r="Q582" s="15">
        <v>0</v>
      </c>
      <c r="R582" s="15">
        <f t="shared" ca="1" si="132"/>
        <v>0.25024795910582132</v>
      </c>
      <c r="S582" s="15">
        <f t="shared" ca="1" si="129"/>
        <v>1.0012577110979033</v>
      </c>
      <c r="T582" s="15">
        <v>0</v>
      </c>
      <c r="U582" s="15">
        <f t="shared" ca="1" si="133"/>
        <v>1.0012577110979033</v>
      </c>
      <c r="V582" s="15">
        <f t="shared" ca="1" si="134"/>
        <v>1.0009918364232853</v>
      </c>
      <c r="X582" s="15">
        <f t="shared" si="135"/>
        <v>1.05</v>
      </c>
      <c r="Y582" s="15">
        <f t="shared" si="136"/>
        <v>0.95</v>
      </c>
      <c r="Z582" s="15">
        <f t="shared" ca="1" si="137"/>
        <v>1</v>
      </c>
      <c r="AC582" s="15">
        <f t="shared" ca="1" si="138"/>
        <v>9.8373949055530516E-7</v>
      </c>
      <c r="AD582" s="15">
        <f t="shared" ca="1" si="139"/>
        <v>9.9183642328526389E-4</v>
      </c>
      <c r="AE582" s="15">
        <f t="shared" ca="1" si="140"/>
        <v>0.5355916685740425</v>
      </c>
    </row>
    <row r="583" spans="12:31" x14ac:dyDescent="0.3">
      <c r="L583" s="15">
        <v>581</v>
      </c>
      <c r="M583" s="15">
        <f t="shared" si="130"/>
        <v>1</v>
      </c>
      <c r="N583" s="15">
        <f t="shared" ca="1" si="131"/>
        <v>-9.9183642328526389E-4</v>
      </c>
      <c r="O583" s="15">
        <f t="shared" ca="1" si="128"/>
        <v>0.25059213957202509</v>
      </c>
      <c r="P583" s="15">
        <f t="shared" ca="1" si="127"/>
        <v>0.25024795910582132</v>
      </c>
      <c r="Q583" s="15">
        <v>0</v>
      </c>
      <c r="R583" s="15">
        <f t="shared" ca="1" si="132"/>
        <v>0.25024795910582132</v>
      </c>
      <c r="S583" s="15">
        <f t="shared" ca="1" si="129"/>
        <v>1.0012688823557636</v>
      </c>
      <c r="T583" s="15">
        <v>0</v>
      </c>
      <c r="U583" s="15">
        <f t="shared" ca="1" si="133"/>
        <v>1.0012688823557636</v>
      </c>
      <c r="V583" s="15">
        <f t="shared" ca="1" si="134"/>
        <v>1.0009918364232853</v>
      </c>
      <c r="X583" s="15">
        <f t="shared" si="135"/>
        <v>1.05</v>
      </c>
      <c r="Y583" s="15">
        <f t="shared" si="136"/>
        <v>0.95</v>
      </c>
      <c r="Z583" s="15">
        <f t="shared" ca="1" si="137"/>
        <v>1</v>
      </c>
      <c r="AC583" s="15">
        <f t="shared" ca="1" si="138"/>
        <v>9.8373949055530516E-7</v>
      </c>
      <c r="AD583" s="15">
        <f t="shared" ca="1" si="139"/>
        <v>9.9183642328526389E-4</v>
      </c>
      <c r="AE583" s="15">
        <f t="shared" ca="1" si="140"/>
        <v>0.53658350499732776</v>
      </c>
    </row>
    <row r="584" spans="12:31" x14ac:dyDescent="0.3">
      <c r="L584" s="15">
        <v>582</v>
      </c>
      <c r="M584" s="15">
        <f t="shared" si="130"/>
        <v>1</v>
      </c>
      <c r="N584" s="15">
        <f t="shared" ca="1" si="131"/>
        <v>-9.9183642328526389E-4</v>
      </c>
      <c r="O584" s="15">
        <f t="shared" ca="1" si="128"/>
        <v>0.25057338804154738</v>
      </c>
      <c r="P584" s="15">
        <f t="shared" ca="1" si="127"/>
        <v>0.25024795910582132</v>
      </c>
      <c r="Q584" s="15">
        <v>0</v>
      </c>
      <c r="R584" s="15">
        <f t="shared" ca="1" si="132"/>
        <v>0.25024795910582132</v>
      </c>
      <c r="S584" s="15">
        <f t="shared" ca="1" si="129"/>
        <v>1.0012774637805029</v>
      </c>
      <c r="T584" s="15">
        <v>0</v>
      </c>
      <c r="U584" s="15">
        <f t="shared" ca="1" si="133"/>
        <v>1.0012774637805029</v>
      </c>
      <c r="V584" s="15">
        <f t="shared" ca="1" si="134"/>
        <v>1.0009918364232853</v>
      </c>
      <c r="X584" s="15">
        <f t="shared" si="135"/>
        <v>1.05</v>
      </c>
      <c r="Y584" s="15">
        <f t="shared" si="136"/>
        <v>0.95</v>
      </c>
      <c r="Z584" s="15">
        <f t="shared" ca="1" si="137"/>
        <v>1</v>
      </c>
      <c r="AC584" s="15">
        <f t="shared" ca="1" si="138"/>
        <v>9.8373949055530516E-7</v>
      </c>
      <c r="AD584" s="15">
        <f t="shared" ca="1" si="139"/>
        <v>9.9183642328526389E-4</v>
      </c>
      <c r="AE584" s="15">
        <f t="shared" ca="1" si="140"/>
        <v>0.53757534142061303</v>
      </c>
    </row>
    <row r="585" spans="12:31" x14ac:dyDescent="0.3">
      <c r="L585" s="15">
        <v>583</v>
      </c>
      <c r="M585" s="15">
        <f t="shared" si="130"/>
        <v>1</v>
      </c>
      <c r="N585" s="15">
        <f t="shared" ca="1" si="131"/>
        <v>-9.9183642328526389E-4</v>
      </c>
      <c r="O585" s="15">
        <f t="shared" ca="1" si="128"/>
        <v>0.25057338804154738</v>
      </c>
      <c r="P585" s="15">
        <f t="shared" ca="1" si="127"/>
        <v>0.25024795910582132</v>
      </c>
      <c r="Q585" s="15">
        <v>0</v>
      </c>
      <c r="R585" s="15">
        <f t="shared" ca="1" si="132"/>
        <v>0.25024795910582132</v>
      </c>
      <c r="S585" s="15">
        <f t="shared" ca="1" si="129"/>
        <v>1.0012837478195231</v>
      </c>
      <c r="T585" s="15">
        <v>0</v>
      </c>
      <c r="U585" s="15">
        <f t="shared" ca="1" si="133"/>
        <v>1.0012837478195231</v>
      </c>
      <c r="V585" s="15">
        <f t="shared" ca="1" si="134"/>
        <v>1.0009918364232853</v>
      </c>
      <c r="X585" s="15">
        <f t="shared" si="135"/>
        <v>1.05</v>
      </c>
      <c r="Y585" s="15">
        <f t="shared" si="136"/>
        <v>0.95</v>
      </c>
      <c r="Z585" s="15">
        <f t="shared" ca="1" si="137"/>
        <v>1</v>
      </c>
      <c r="AC585" s="15">
        <f t="shared" ca="1" si="138"/>
        <v>9.8373949055530516E-7</v>
      </c>
      <c r="AD585" s="15">
        <f t="shared" ca="1" si="139"/>
        <v>9.9183642328526389E-4</v>
      </c>
      <c r="AE585" s="15">
        <f t="shared" ca="1" si="140"/>
        <v>0.53856717784389829</v>
      </c>
    </row>
    <row r="586" spans="12:31" x14ac:dyDescent="0.3">
      <c r="L586" s="15">
        <v>584</v>
      </c>
      <c r="M586" s="15">
        <f t="shared" si="130"/>
        <v>1</v>
      </c>
      <c r="N586" s="15">
        <f t="shared" ca="1" si="131"/>
        <v>-9.9183642328526389E-4</v>
      </c>
      <c r="O586" s="15">
        <f t="shared" ca="1" si="128"/>
        <v>0.25057338804154738</v>
      </c>
      <c r="P586" s="15">
        <f t="shared" ca="1" si="127"/>
        <v>0.25024795910582132</v>
      </c>
      <c r="Q586" s="15">
        <v>0</v>
      </c>
      <c r="R586" s="15">
        <f t="shared" ca="1" si="132"/>
        <v>0.25024795910582132</v>
      </c>
      <c r="S586" s="15">
        <f t="shared" ca="1" si="129"/>
        <v>1.0012879995151216</v>
      </c>
      <c r="T586" s="15">
        <v>0</v>
      </c>
      <c r="U586" s="15">
        <f t="shared" ca="1" si="133"/>
        <v>1.0012879995151216</v>
      </c>
      <c r="V586" s="15">
        <f t="shared" ca="1" si="134"/>
        <v>1.0009918364232853</v>
      </c>
      <c r="X586" s="15">
        <f t="shared" si="135"/>
        <v>1.05</v>
      </c>
      <c r="Y586" s="15">
        <f t="shared" si="136"/>
        <v>0.95</v>
      </c>
      <c r="Z586" s="15">
        <f t="shared" ca="1" si="137"/>
        <v>1</v>
      </c>
      <c r="AC586" s="15">
        <f t="shared" ca="1" si="138"/>
        <v>9.8373949055530516E-7</v>
      </c>
      <c r="AD586" s="15">
        <f t="shared" ca="1" si="139"/>
        <v>9.9183642328526389E-4</v>
      </c>
      <c r="AE586" s="15">
        <f t="shared" ca="1" si="140"/>
        <v>0.53955901426718356</v>
      </c>
    </row>
    <row r="587" spans="12:31" x14ac:dyDescent="0.3">
      <c r="L587" s="15">
        <v>585</v>
      </c>
      <c r="M587" s="15">
        <f t="shared" si="130"/>
        <v>1</v>
      </c>
      <c r="N587" s="15">
        <f t="shared" ca="1" si="131"/>
        <v>-9.9183642328526389E-4</v>
      </c>
      <c r="O587" s="15">
        <f t="shared" ca="1" si="128"/>
        <v>0.25055463651106968</v>
      </c>
      <c r="P587" s="15">
        <f t="shared" ca="1" si="127"/>
        <v>0.25024795910582132</v>
      </c>
      <c r="Q587" s="15">
        <v>0</v>
      </c>
      <c r="R587" s="15">
        <f t="shared" ca="1" si="132"/>
        <v>0.25024795910582132</v>
      </c>
      <c r="S587" s="15">
        <f t="shared" ca="1" si="129"/>
        <v>1.0012904588621641</v>
      </c>
      <c r="T587" s="15">
        <v>0</v>
      </c>
      <c r="U587" s="15">
        <f t="shared" ca="1" si="133"/>
        <v>1.0012904588621641</v>
      </c>
      <c r="V587" s="15">
        <f t="shared" ca="1" si="134"/>
        <v>1.0009918364232853</v>
      </c>
      <c r="X587" s="15">
        <f t="shared" si="135"/>
        <v>1.05</v>
      </c>
      <c r="Y587" s="15">
        <f t="shared" si="136"/>
        <v>0.95</v>
      </c>
      <c r="Z587" s="15">
        <f t="shared" ca="1" si="137"/>
        <v>1</v>
      </c>
      <c r="AC587" s="15">
        <f t="shared" ca="1" si="138"/>
        <v>9.8373949055530516E-7</v>
      </c>
      <c r="AD587" s="15">
        <f t="shared" ca="1" si="139"/>
        <v>9.9183642328526389E-4</v>
      </c>
      <c r="AE587" s="15">
        <f t="shared" ca="1" si="140"/>
        <v>0.54055085069046882</v>
      </c>
    </row>
    <row r="588" spans="12:31" x14ac:dyDescent="0.3">
      <c r="L588" s="15">
        <v>586</v>
      </c>
      <c r="M588" s="15">
        <f t="shared" si="130"/>
        <v>1</v>
      </c>
      <c r="N588" s="15">
        <f t="shared" ca="1" si="131"/>
        <v>-9.9183642328526389E-4</v>
      </c>
      <c r="O588" s="15">
        <f t="shared" ca="1" si="128"/>
        <v>0.25055463651106968</v>
      </c>
      <c r="P588" s="15">
        <f t="shared" ca="1" si="127"/>
        <v>0.25024795910582132</v>
      </c>
      <c r="Q588" s="15">
        <v>0</v>
      </c>
      <c r="R588" s="15">
        <f t="shared" ca="1" si="132"/>
        <v>0.25024795910582132</v>
      </c>
      <c r="S588" s="15">
        <f t="shared" ca="1" si="129"/>
        <v>1.0012913429724246</v>
      </c>
      <c r="T588" s="15">
        <v>0</v>
      </c>
      <c r="U588" s="15">
        <f t="shared" ca="1" si="133"/>
        <v>1.0012913429724246</v>
      </c>
      <c r="V588" s="15">
        <f t="shared" ca="1" si="134"/>
        <v>1.0009918364232853</v>
      </c>
      <c r="X588" s="15">
        <f t="shared" si="135"/>
        <v>1.05</v>
      </c>
      <c r="Y588" s="15">
        <f t="shared" si="136"/>
        <v>0.95</v>
      </c>
      <c r="Z588" s="15">
        <f t="shared" ca="1" si="137"/>
        <v>1</v>
      </c>
      <c r="AC588" s="15">
        <f t="shared" ca="1" si="138"/>
        <v>9.8373949055530516E-7</v>
      </c>
      <c r="AD588" s="15">
        <f t="shared" ca="1" si="139"/>
        <v>9.9183642328526389E-4</v>
      </c>
      <c r="AE588" s="15">
        <f t="shared" ca="1" si="140"/>
        <v>0.54154268711375408</v>
      </c>
    </row>
    <row r="589" spans="12:31" x14ac:dyDescent="0.3">
      <c r="L589" s="15">
        <v>587</v>
      </c>
      <c r="M589" s="15">
        <f t="shared" si="130"/>
        <v>1</v>
      </c>
      <c r="N589" s="15">
        <f t="shared" ca="1" si="131"/>
        <v>-9.9183642328526389E-4</v>
      </c>
      <c r="O589" s="15">
        <f t="shared" ca="1" si="128"/>
        <v>0.25055463651106968</v>
      </c>
      <c r="P589" s="15">
        <f t="shared" ref="P589:P652" ca="1" si="141">INT((2^$J$12-1)*O589/100)/(2^$J$12-1)*100</f>
        <v>0.25024795910582132</v>
      </c>
      <c r="Q589" s="15">
        <v>0</v>
      </c>
      <c r="R589" s="15">
        <f t="shared" ca="1" si="132"/>
        <v>0.25024795910582132</v>
      </c>
      <c r="S589" s="15">
        <f t="shared" ca="1" si="129"/>
        <v>1.0012908480609797</v>
      </c>
      <c r="T589" s="15">
        <v>0</v>
      </c>
      <c r="U589" s="15">
        <f t="shared" ca="1" si="133"/>
        <v>1.0012908480609797</v>
      </c>
      <c r="V589" s="15">
        <f t="shared" ca="1" si="134"/>
        <v>1.0009918364232853</v>
      </c>
      <c r="X589" s="15">
        <f t="shared" si="135"/>
        <v>1.05</v>
      </c>
      <c r="Y589" s="15">
        <f t="shared" si="136"/>
        <v>0.95</v>
      </c>
      <c r="Z589" s="15">
        <f t="shared" ca="1" si="137"/>
        <v>1</v>
      </c>
      <c r="AC589" s="15">
        <f t="shared" ca="1" si="138"/>
        <v>9.8373949055530516E-7</v>
      </c>
      <c r="AD589" s="15">
        <f t="shared" ca="1" si="139"/>
        <v>9.9183642328526389E-4</v>
      </c>
      <c r="AE589" s="15">
        <f t="shared" ca="1" si="140"/>
        <v>0.54253452353703935</v>
      </c>
    </row>
    <row r="590" spans="12:31" x14ac:dyDescent="0.3">
      <c r="L590" s="15">
        <v>588</v>
      </c>
      <c r="M590" s="15">
        <f t="shared" si="130"/>
        <v>1</v>
      </c>
      <c r="N590" s="15">
        <f t="shared" ca="1" si="131"/>
        <v>-9.9183642328526389E-4</v>
      </c>
      <c r="O590" s="15">
        <f t="shared" ca="1" si="128"/>
        <v>0.25053588498059198</v>
      </c>
      <c r="P590" s="15">
        <f t="shared" ca="1" si="141"/>
        <v>0.25024795910582132</v>
      </c>
      <c r="Q590" s="15">
        <v>0</v>
      </c>
      <c r="R590" s="15">
        <f t="shared" ca="1" si="132"/>
        <v>0.25024795910582132</v>
      </c>
      <c r="S590" s="15">
        <f t="shared" ca="1" si="129"/>
        <v>1.0012891512688411</v>
      </c>
      <c r="T590" s="15">
        <v>0</v>
      </c>
      <c r="U590" s="15">
        <f t="shared" ca="1" si="133"/>
        <v>1.0012891512688411</v>
      </c>
      <c r="V590" s="15">
        <f t="shared" ca="1" si="134"/>
        <v>1.0009918364232853</v>
      </c>
      <c r="X590" s="15">
        <f t="shared" si="135"/>
        <v>1.05</v>
      </c>
      <c r="Y590" s="15">
        <f t="shared" si="136"/>
        <v>0.95</v>
      </c>
      <c r="Z590" s="15">
        <f t="shared" ca="1" si="137"/>
        <v>1</v>
      </c>
      <c r="AC590" s="15">
        <f t="shared" ca="1" si="138"/>
        <v>9.8373949055530516E-7</v>
      </c>
      <c r="AD590" s="15">
        <f t="shared" ca="1" si="139"/>
        <v>9.9183642328526389E-4</v>
      </c>
      <c r="AE590" s="15">
        <f t="shared" ca="1" si="140"/>
        <v>0.54352635996032461</v>
      </c>
    </row>
    <row r="591" spans="12:31" x14ac:dyDescent="0.3">
      <c r="L591" s="15">
        <v>589</v>
      </c>
      <c r="M591" s="15">
        <f t="shared" si="130"/>
        <v>1</v>
      </c>
      <c r="N591" s="15">
        <f t="shared" ca="1" si="131"/>
        <v>-9.9183642328526389E-4</v>
      </c>
      <c r="O591" s="15">
        <f t="shared" ca="1" si="128"/>
        <v>0.25053588498059198</v>
      </c>
      <c r="P591" s="15">
        <f t="shared" ca="1" si="141"/>
        <v>0.25024795910582132</v>
      </c>
      <c r="Q591" s="15">
        <v>0</v>
      </c>
      <c r="R591" s="15">
        <f t="shared" ca="1" si="132"/>
        <v>0.25024795910582132</v>
      </c>
      <c r="S591" s="15">
        <f t="shared" ca="1" si="129"/>
        <v>1.0012864123349074</v>
      </c>
      <c r="T591" s="15">
        <v>0</v>
      </c>
      <c r="U591" s="15">
        <f t="shared" ca="1" si="133"/>
        <v>1.0012864123349074</v>
      </c>
      <c r="V591" s="15">
        <f t="shared" ca="1" si="134"/>
        <v>1.0009918364232853</v>
      </c>
      <c r="X591" s="15">
        <f t="shared" si="135"/>
        <v>1.05</v>
      </c>
      <c r="Y591" s="15">
        <f t="shared" si="136"/>
        <v>0.95</v>
      </c>
      <c r="Z591" s="15">
        <f t="shared" ca="1" si="137"/>
        <v>1</v>
      </c>
      <c r="AC591" s="15">
        <f t="shared" ca="1" si="138"/>
        <v>9.8373949055530516E-7</v>
      </c>
      <c r="AD591" s="15">
        <f t="shared" ca="1" si="139"/>
        <v>9.9183642328526389E-4</v>
      </c>
      <c r="AE591" s="15">
        <f t="shared" ca="1" si="140"/>
        <v>0.54451819638360988</v>
      </c>
    </row>
    <row r="592" spans="12:31" x14ac:dyDescent="0.3">
      <c r="L592" s="15">
        <v>590</v>
      </c>
      <c r="M592" s="15">
        <f t="shared" si="130"/>
        <v>1</v>
      </c>
      <c r="N592" s="15">
        <f t="shared" ca="1" si="131"/>
        <v>-9.9183642328526389E-4</v>
      </c>
      <c r="O592" s="15">
        <f t="shared" ca="1" si="128"/>
        <v>0.25053588498059198</v>
      </c>
      <c r="P592" s="15">
        <f t="shared" ca="1" si="141"/>
        <v>0.25024795910582132</v>
      </c>
      <c r="Q592" s="15">
        <v>0</v>
      </c>
      <c r="R592" s="15">
        <f t="shared" ca="1" si="132"/>
        <v>0.25024795910582132</v>
      </c>
      <c r="S592" s="15">
        <f t="shared" ca="1" si="129"/>
        <v>1.0012827751292879</v>
      </c>
      <c r="T592" s="15">
        <v>0</v>
      </c>
      <c r="U592" s="15">
        <f t="shared" ca="1" si="133"/>
        <v>1.0012827751292879</v>
      </c>
      <c r="V592" s="15">
        <f t="shared" ca="1" si="134"/>
        <v>1.0009918364232853</v>
      </c>
      <c r="X592" s="15">
        <f t="shared" si="135"/>
        <v>1.05</v>
      </c>
      <c r="Y592" s="15">
        <f t="shared" si="136"/>
        <v>0.95</v>
      </c>
      <c r="Z592" s="15">
        <f t="shared" ca="1" si="137"/>
        <v>1</v>
      </c>
      <c r="AC592" s="15">
        <f t="shared" ca="1" si="138"/>
        <v>9.8373949055530516E-7</v>
      </c>
      <c r="AD592" s="15">
        <f t="shared" ca="1" si="139"/>
        <v>9.9183642328526389E-4</v>
      </c>
      <c r="AE592" s="15">
        <f t="shared" ca="1" si="140"/>
        <v>0.54551003280689514</v>
      </c>
    </row>
    <row r="593" spans="12:31" x14ac:dyDescent="0.3">
      <c r="L593" s="15">
        <v>591</v>
      </c>
      <c r="M593" s="15">
        <f t="shared" si="130"/>
        <v>1</v>
      </c>
      <c r="N593" s="15">
        <f t="shared" ca="1" si="131"/>
        <v>-9.9183642328526389E-4</v>
      </c>
      <c r="O593" s="15">
        <f t="shared" ca="1" si="128"/>
        <v>0.25051713345011428</v>
      </c>
      <c r="P593" s="15">
        <f t="shared" ca="1" si="141"/>
        <v>0.25024795910582132</v>
      </c>
      <c r="Q593" s="15">
        <v>0</v>
      </c>
      <c r="R593" s="15">
        <f t="shared" ca="1" si="132"/>
        <v>0.25024795910582132</v>
      </c>
      <c r="S593" s="15">
        <f t="shared" ca="1" si="129"/>
        <v>1.0012783690591109</v>
      </c>
      <c r="T593" s="15">
        <v>0</v>
      </c>
      <c r="U593" s="15">
        <f t="shared" ca="1" si="133"/>
        <v>1.0012783690591109</v>
      </c>
      <c r="V593" s="15">
        <f t="shared" ca="1" si="134"/>
        <v>1.0009918364232853</v>
      </c>
      <c r="X593" s="15">
        <f t="shared" si="135"/>
        <v>1.05</v>
      </c>
      <c r="Y593" s="15">
        <f t="shared" si="136"/>
        <v>0.95</v>
      </c>
      <c r="Z593" s="15">
        <f t="shared" ca="1" si="137"/>
        <v>1</v>
      </c>
      <c r="AC593" s="15">
        <f t="shared" ca="1" si="138"/>
        <v>9.8373949055530516E-7</v>
      </c>
      <c r="AD593" s="15">
        <f t="shared" ca="1" si="139"/>
        <v>9.9183642328526389E-4</v>
      </c>
      <c r="AE593" s="15">
        <f t="shared" ca="1" si="140"/>
        <v>0.5465018692301804</v>
      </c>
    </row>
    <row r="594" spans="12:31" x14ac:dyDescent="0.3">
      <c r="L594" s="15">
        <v>592</v>
      </c>
      <c r="M594" s="15">
        <f t="shared" si="130"/>
        <v>1</v>
      </c>
      <c r="N594" s="15">
        <f t="shared" ca="1" si="131"/>
        <v>-9.9183642328526389E-4</v>
      </c>
      <c r="O594" s="15">
        <f t="shared" ca="1" si="128"/>
        <v>0.25051713345011428</v>
      </c>
      <c r="P594" s="15">
        <f t="shared" ca="1" si="141"/>
        <v>0.25024795910582132</v>
      </c>
      <c r="Q594" s="15">
        <v>0</v>
      </c>
      <c r="R594" s="15">
        <f t="shared" ca="1" si="132"/>
        <v>0.25024795910582132</v>
      </c>
      <c r="S594" s="15">
        <f t="shared" ca="1" si="129"/>
        <v>1.0012733103570584</v>
      </c>
      <c r="T594" s="15">
        <v>0</v>
      </c>
      <c r="U594" s="15">
        <f t="shared" ca="1" si="133"/>
        <v>1.0012733103570584</v>
      </c>
      <c r="V594" s="15">
        <f t="shared" ca="1" si="134"/>
        <v>1.0009918364232853</v>
      </c>
      <c r="X594" s="15">
        <f t="shared" si="135"/>
        <v>1.05</v>
      </c>
      <c r="Y594" s="15">
        <f t="shared" si="136"/>
        <v>0.95</v>
      </c>
      <c r="Z594" s="15">
        <f t="shared" ca="1" si="137"/>
        <v>1</v>
      </c>
      <c r="AC594" s="15">
        <f t="shared" ca="1" si="138"/>
        <v>9.8373949055530516E-7</v>
      </c>
      <c r="AD594" s="15">
        <f t="shared" ca="1" si="139"/>
        <v>9.9183642328526389E-4</v>
      </c>
      <c r="AE594" s="15">
        <f t="shared" ca="1" si="140"/>
        <v>0.54749370565346567</v>
      </c>
    </row>
    <row r="595" spans="12:31" x14ac:dyDescent="0.3">
      <c r="L595" s="15">
        <v>593</v>
      </c>
      <c r="M595" s="15">
        <f t="shared" si="130"/>
        <v>1</v>
      </c>
      <c r="N595" s="15">
        <f t="shared" ca="1" si="131"/>
        <v>-9.9183642328526389E-4</v>
      </c>
      <c r="O595" s="15">
        <f t="shared" ca="1" si="128"/>
        <v>0.25051713345011428</v>
      </c>
      <c r="P595" s="15">
        <f t="shared" ca="1" si="141"/>
        <v>0.25024795910582132</v>
      </c>
      <c r="Q595" s="15">
        <v>0</v>
      </c>
      <c r="R595" s="15">
        <f t="shared" ca="1" si="132"/>
        <v>0.25024795910582132</v>
      </c>
      <c r="S595" s="15">
        <f t="shared" ca="1" si="129"/>
        <v>1.0012677032620596</v>
      </c>
      <c r="T595" s="15">
        <v>0</v>
      </c>
      <c r="U595" s="15">
        <f t="shared" ca="1" si="133"/>
        <v>1.0012677032620596</v>
      </c>
      <c r="V595" s="15">
        <f t="shared" ca="1" si="134"/>
        <v>1.0009918364232853</v>
      </c>
      <c r="X595" s="15">
        <f t="shared" si="135"/>
        <v>1.05</v>
      </c>
      <c r="Y595" s="15">
        <f t="shared" si="136"/>
        <v>0.95</v>
      </c>
      <c r="Z595" s="15">
        <f t="shared" ca="1" si="137"/>
        <v>1</v>
      </c>
      <c r="AC595" s="15">
        <f t="shared" ca="1" si="138"/>
        <v>9.8373949055530516E-7</v>
      </c>
      <c r="AD595" s="15">
        <f t="shared" ca="1" si="139"/>
        <v>9.9183642328526389E-4</v>
      </c>
      <c r="AE595" s="15">
        <f t="shared" ca="1" si="140"/>
        <v>0.54848554207675093</v>
      </c>
    </row>
    <row r="596" spans="12:31" x14ac:dyDescent="0.3">
      <c r="L596" s="15">
        <v>594</v>
      </c>
      <c r="M596" s="15">
        <f t="shared" si="130"/>
        <v>1</v>
      </c>
      <c r="N596" s="15">
        <f t="shared" ca="1" si="131"/>
        <v>-9.9183642328526389E-4</v>
      </c>
      <c r="O596" s="15">
        <f t="shared" ca="1" si="128"/>
        <v>0.25049838191963658</v>
      </c>
      <c r="P596" s="15">
        <f t="shared" ca="1" si="141"/>
        <v>0.25024795910582132</v>
      </c>
      <c r="Q596" s="15">
        <v>0</v>
      </c>
      <c r="R596" s="15">
        <f t="shared" ca="1" si="132"/>
        <v>0.25024795910582132</v>
      </c>
      <c r="S596" s="15">
        <f t="shared" ca="1" si="129"/>
        <v>1.0012484411667353</v>
      </c>
      <c r="T596" s="15">
        <v>0</v>
      </c>
      <c r="U596" s="15">
        <f t="shared" ca="1" si="133"/>
        <v>1.0012484411667353</v>
      </c>
      <c r="V596" s="15">
        <f t="shared" ca="1" si="134"/>
        <v>1.0009918364232853</v>
      </c>
      <c r="X596" s="15">
        <f t="shared" si="135"/>
        <v>1.05</v>
      </c>
      <c r="Y596" s="15">
        <f t="shared" si="136"/>
        <v>0.95</v>
      </c>
      <c r="Z596" s="15">
        <f t="shared" ca="1" si="137"/>
        <v>1</v>
      </c>
      <c r="AC596" s="15">
        <f t="shared" ca="1" si="138"/>
        <v>9.8373949055530516E-7</v>
      </c>
      <c r="AD596" s="15">
        <f t="shared" ca="1" si="139"/>
        <v>9.9183642328526389E-4</v>
      </c>
      <c r="AE596" s="15">
        <f t="shared" ca="1" si="140"/>
        <v>0.5494773785000362</v>
      </c>
    </row>
    <row r="597" spans="12:31" x14ac:dyDescent="0.3">
      <c r="L597" s="15">
        <v>595</v>
      </c>
      <c r="M597" s="15">
        <f t="shared" si="130"/>
        <v>1</v>
      </c>
      <c r="N597" s="15">
        <f t="shared" ca="1" si="131"/>
        <v>-9.9183642328526389E-4</v>
      </c>
      <c r="O597" s="15">
        <f t="shared" ca="1" si="128"/>
        <v>0.25049838191963658</v>
      </c>
      <c r="P597" s="15">
        <f t="shared" ca="1" si="141"/>
        <v>0.25024795910582132</v>
      </c>
      <c r="Q597" s="15">
        <v>0</v>
      </c>
      <c r="R597" s="15">
        <f t="shared" ca="1" si="132"/>
        <v>0.25024795910582132</v>
      </c>
      <c r="S597" s="15">
        <f t="shared" ca="1" si="129"/>
        <v>1.0012047229001739</v>
      </c>
      <c r="T597" s="15">
        <v>0</v>
      </c>
      <c r="U597" s="15">
        <f t="shared" ca="1" si="133"/>
        <v>1.0012047229001739</v>
      </c>
      <c r="V597" s="15">
        <f t="shared" ca="1" si="134"/>
        <v>1.0009918364232853</v>
      </c>
      <c r="X597" s="15">
        <f t="shared" si="135"/>
        <v>1.05</v>
      </c>
      <c r="Y597" s="15">
        <f t="shared" si="136"/>
        <v>0.95</v>
      </c>
      <c r="Z597" s="15">
        <f t="shared" ca="1" si="137"/>
        <v>1</v>
      </c>
      <c r="AC597" s="15">
        <f t="shared" ca="1" si="138"/>
        <v>9.8373949055530516E-7</v>
      </c>
      <c r="AD597" s="15">
        <f t="shared" ca="1" si="139"/>
        <v>9.9183642328526389E-4</v>
      </c>
      <c r="AE597" s="15">
        <f t="shared" ca="1" si="140"/>
        <v>0.55046921492332146</v>
      </c>
    </row>
    <row r="598" spans="12:31" x14ac:dyDescent="0.3">
      <c r="L598" s="15">
        <v>596</v>
      </c>
      <c r="M598" s="15">
        <f t="shared" si="130"/>
        <v>1</v>
      </c>
      <c r="N598" s="15">
        <f t="shared" ca="1" si="131"/>
        <v>-9.9183642328526389E-4</v>
      </c>
      <c r="O598" s="15">
        <f t="shared" ca="1" si="128"/>
        <v>0.25049838191963658</v>
      </c>
      <c r="P598" s="15">
        <f t="shared" ca="1" si="141"/>
        <v>0.25024795910582132</v>
      </c>
      <c r="Q598" s="15">
        <v>0</v>
      </c>
      <c r="R598" s="15">
        <f t="shared" ca="1" si="132"/>
        <v>0.25024795910582132</v>
      </c>
      <c r="S598" s="15">
        <f t="shared" ca="1" si="129"/>
        <v>1.0011398377462573</v>
      </c>
      <c r="T598" s="15">
        <v>0</v>
      </c>
      <c r="U598" s="15">
        <f t="shared" ca="1" si="133"/>
        <v>1.0011398377462573</v>
      </c>
      <c r="V598" s="15">
        <f t="shared" ca="1" si="134"/>
        <v>1.0009918364232853</v>
      </c>
      <c r="X598" s="15">
        <f t="shared" si="135"/>
        <v>1.05</v>
      </c>
      <c r="Y598" s="15">
        <f t="shared" si="136"/>
        <v>0.95</v>
      </c>
      <c r="Z598" s="15">
        <f t="shared" ca="1" si="137"/>
        <v>1</v>
      </c>
      <c r="AC598" s="15">
        <f t="shared" ca="1" si="138"/>
        <v>9.8373949055530516E-7</v>
      </c>
      <c r="AD598" s="15">
        <f t="shared" ca="1" si="139"/>
        <v>9.9183642328526389E-4</v>
      </c>
      <c r="AE598" s="15">
        <f t="shared" ca="1" si="140"/>
        <v>0.55146105134660672</v>
      </c>
    </row>
    <row r="599" spans="12:31" x14ac:dyDescent="0.3">
      <c r="L599" s="15">
        <v>597</v>
      </c>
      <c r="M599" s="15">
        <f t="shared" si="130"/>
        <v>1</v>
      </c>
      <c r="N599" s="15">
        <f t="shared" ca="1" si="131"/>
        <v>-9.9183642328526389E-4</v>
      </c>
      <c r="O599" s="15">
        <f t="shared" ca="1" si="128"/>
        <v>0.25047963038915888</v>
      </c>
      <c r="P599" s="15">
        <f t="shared" ca="1" si="141"/>
        <v>0.25024795910582132</v>
      </c>
      <c r="Q599" s="15">
        <v>0</v>
      </c>
      <c r="R599" s="15">
        <f t="shared" ca="1" si="132"/>
        <v>0.25024795910582132</v>
      </c>
      <c r="S599" s="15">
        <f t="shared" ca="1" si="129"/>
        <v>1.0010699469215827</v>
      </c>
      <c r="T599" s="15">
        <v>0</v>
      </c>
      <c r="U599" s="15">
        <f t="shared" ca="1" si="133"/>
        <v>1.0010699469215827</v>
      </c>
      <c r="V599" s="15">
        <f t="shared" ca="1" si="134"/>
        <v>1.0009918364232853</v>
      </c>
      <c r="X599" s="15">
        <f t="shared" si="135"/>
        <v>1.05</v>
      </c>
      <c r="Y599" s="15">
        <f t="shared" si="136"/>
        <v>0.95</v>
      </c>
      <c r="Z599" s="15">
        <f t="shared" ca="1" si="137"/>
        <v>1</v>
      </c>
      <c r="AC599" s="15">
        <f t="shared" ca="1" si="138"/>
        <v>9.8373949055530516E-7</v>
      </c>
      <c r="AD599" s="15">
        <f t="shared" ca="1" si="139"/>
        <v>9.9183642328526389E-4</v>
      </c>
      <c r="AE599" s="15">
        <f t="shared" ca="1" si="140"/>
        <v>0.55245288776989199</v>
      </c>
    </row>
    <row r="600" spans="12:31" x14ac:dyDescent="0.3">
      <c r="L600" s="15">
        <v>598</v>
      </c>
      <c r="M600" s="15">
        <f t="shared" si="130"/>
        <v>1</v>
      </c>
      <c r="N600" s="15">
        <f t="shared" ca="1" si="131"/>
        <v>-9.9183642328526389E-4</v>
      </c>
      <c r="O600" s="15">
        <f t="shared" ca="1" si="128"/>
        <v>0.25047963038915888</v>
      </c>
      <c r="P600" s="15">
        <f t="shared" ca="1" si="141"/>
        <v>0.25024795910582132</v>
      </c>
      <c r="Q600" s="15">
        <v>0</v>
      </c>
      <c r="R600" s="15">
        <f t="shared" ca="1" si="132"/>
        <v>0.25024795910582132</v>
      </c>
      <c r="S600" s="15">
        <f t="shared" ca="1" si="129"/>
        <v>1.0010085973932712</v>
      </c>
      <c r="T600" s="15">
        <v>0</v>
      </c>
      <c r="U600" s="15">
        <f t="shared" ca="1" si="133"/>
        <v>1.0010085973932712</v>
      </c>
      <c r="V600" s="15">
        <f t="shared" ca="1" si="134"/>
        <v>1.0009918364232853</v>
      </c>
      <c r="X600" s="15">
        <f t="shared" si="135"/>
        <v>1.05</v>
      </c>
      <c r="Y600" s="15">
        <f t="shared" si="136"/>
        <v>0.95</v>
      </c>
      <c r="Z600" s="15">
        <f t="shared" ca="1" si="137"/>
        <v>1</v>
      </c>
      <c r="AC600" s="15">
        <f t="shared" ca="1" si="138"/>
        <v>9.8373949055530516E-7</v>
      </c>
      <c r="AD600" s="15">
        <f t="shared" ca="1" si="139"/>
        <v>9.9183642328526389E-4</v>
      </c>
      <c r="AE600" s="15">
        <f t="shared" ca="1" si="140"/>
        <v>0.55344472419317725</v>
      </c>
    </row>
    <row r="601" spans="12:31" x14ac:dyDescent="0.3">
      <c r="L601" s="15">
        <v>599</v>
      </c>
      <c r="M601" s="15">
        <f t="shared" si="130"/>
        <v>1</v>
      </c>
      <c r="N601" s="15">
        <f t="shared" ca="1" si="131"/>
        <v>5.3406576638448389E-4</v>
      </c>
      <c r="O601" s="15">
        <f t="shared" ca="1" si="128"/>
        <v>0.25047963038915888</v>
      </c>
      <c r="P601" s="15">
        <f t="shared" ca="1" si="141"/>
        <v>0.25024795910582132</v>
      </c>
      <c r="Q601" s="15">
        <v>0</v>
      </c>
      <c r="R601" s="15">
        <f t="shared" ca="1" si="132"/>
        <v>0.25024795910582132</v>
      </c>
      <c r="S601" s="15">
        <f t="shared" ca="1" si="129"/>
        <v>1.0009549644465319</v>
      </c>
      <c r="T601" s="15">
        <v>0</v>
      </c>
      <c r="U601" s="15">
        <f t="shared" ca="1" si="133"/>
        <v>1.0009549644465319</v>
      </c>
      <c r="V601" s="15">
        <f t="shared" ca="1" si="134"/>
        <v>0.99946593423361552</v>
      </c>
      <c r="X601" s="15">
        <f t="shared" si="135"/>
        <v>1.05</v>
      </c>
      <c r="Y601" s="15">
        <f t="shared" si="136"/>
        <v>0.95</v>
      </c>
      <c r="Z601" s="15">
        <f t="shared" ca="1" si="137"/>
        <v>1</v>
      </c>
      <c r="AC601" s="15">
        <f t="shared" ca="1" si="138"/>
        <v>2.852262428238461E-7</v>
      </c>
      <c r="AD601" s="15">
        <f t="shared" ca="1" si="139"/>
        <v>5.3406576638448389E-4</v>
      </c>
      <c r="AE601" s="15">
        <f t="shared" ca="1" si="140"/>
        <v>0.29854276340892649</v>
      </c>
    </row>
    <row r="602" spans="12:31" x14ac:dyDescent="0.3">
      <c r="L602" s="15">
        <v>600</v>
      </c>
      <c r="M602" s="15">
        <f t="shared" si="130"/>
        <v>1</v>
      </c>
      <c r="N602" s="15">
        <f t="shared" ca="1" si="131"/>
        <v>5.3406576638448389E-4</v>
      </c>
      <c r="O602" s="15">
        <f t="shared" ca="1" si="128"/>
        <v>0.25211728612960355</v>
      </c>
      <c r="P602" s="15">
        <f t="shared" ca="1" si="141"/>
        <v>0.25177386129549095</v>
      </c>
      <c r="Q602" s="15">
        <v>0</v>
      </c>
      <c r="R602" s="15">
        <f t="shared" ca="1" si="132"/>
        <v>0.25177386129549095</v>
      </c>
      <c r="S602" s="15">
        <f t="shared" ca="1" si="129"/>
        <v>1.0009082954145712</v>
      </c>
      <c r="T602" s="15">
        <v>0</v>
      </c>
      <c r="U602" s="15">
        <f t="shared" ca="1" si="133"/>
        <v>1.0009082954145712</v>
      </c>
      <c r="V602" s="15">
        <f t="shared" ca="1" si="134"/>
        <v>0.99946593423361552</v>
      </c>
      <c r="X602" s="15">
        <f t="shared" si="135"/>
        <v>1.05</v>
      </c>
      <c r="Y602" s="15">
        <f t="shared" si="136"/>
        <v>0.95</v>
      </c>
      <c r="Z602" s="15">
        <f t="shared" ca="1" si="137"/>
        <v>1</v>
      </c>
      <c r="AC602" s="15">
        <f t="shared" ca="1" si="138"/>
        <v>2.852262428238461E-7</v>
      </c>
      <c r="AD602" s="15">
        <f t="shared" ca="1" si="139"/>
        <v>5.3406576638448389E-4</v>
      </c>
      <c r="AE602" s="15">
        <f t="shared" ca="1" si="140"/>
        <v>0.29907682917531098</v>
      </c>
    </row>
    <row r="603" spans="12:31" x14ac:dyDescent="0.3">
      <c r="L603" s="15">
        <v>601</v>
      </c>
      <c r="M603" s="15">
        <f t="shared" si="130"/>
        <v>1</v>
      </c>
      <c r="N603" s="15">
        <f t="shared" ca="1" si="131"/>
        <v>5.3406576638448389E-4</v>
      </c>
      <c r="O603" s="15">
        <f t="shared" ca="1" si="128"/>
        <v>0.25211728612960355</v>
      </c>
      <c r="P603" s="15">
        <f t="shared" ca="1" si="141"/>
        <v>0.25177386129549095</v>
      </c>
      <c r="Q603" s="15">
        <v>0</v>
      </c>
      <c r="R603" s="15">
        <f t="shared" ca="1" si="132"/>
        <v>0.25177386129549095</v>
      </c>
      <c r="S603" s="15">
        <f t="shared" ca="1" si="129"/>
        <v>1.0008679037165842</v>
      </c>
      <c r="T603" s="15">
        <v>0</v>
      </c>
      <c r="U603" s="15">
        <f t="shared" ca="1" si="133"/>
        <v>1.0008679037165842</v>
      </c>
      <c r="V603" s="15">
        <f t="shared" ca="1" si="134"/>
        <v>0.99946593423361552</v>
      </c>
      <c r="X603" s="15">
        <f t="shared" si="135"/>
        <v>1.05</v>
      </c>
      <c r="Y603" s="15">
        <f t="shared" si="136"/>
        <v>0.95</v>
      </c>
      <c r="Z603" s="15">
        <f t="shared" ca="1" si="137"/>
        <v>1</v>
      </c>
      <c r="AC603" s="15">
        <f t="shared" ca="1" si="138"/>
        <v>2.852262428238461E-7</v>
      </c>
      <c r="AD603" s="15">
        <f t="shared" ca="1" si="139"/>
        <v>5.3406576638448389E-4</v>
      </c>
      <c r="AE603" s="15">
        <f t="shared" ca="1" si="140"/>
        <v>0.29961089494169546</v>
      </c>
    </row>
    <row r="604" spans="12:31" x14ac:dyDescent="0.3">
      <c r="L604" s="15">
        <v>602</v>
      </c>
      <c r="M604" s="15">
        <f t="shared" si="130"/>
        <v>1</v>
      </c>
      <c r="N604" s="15">
        <f t="shared" ca="1" si="131"/>
        <v>5.3406576638448389E-4</v>
      </c>
      <c r="O604" s="15">
        <f t="shared" ca="1" si="128"/>
        <v>0.25211728612960355</v>
      </c>
      <c r="P604" s="15">
        <f t="shared" ca="1" si="141"/>
        <v>0.25177386129549095</v>
      </c>
      <c r="Q604" s="15">
        <v>0</v>
      </c>
      <c r="R604" s="15">
        <f t="shared" ca="1" si="132"/>
        <v>0.25177386129549095</v>
      </c>
      <c r="S604" s="15">
        <f t="shared" ca="1" si="129"/>
        <v>1.0008331633730214</v>
      </c>
      <c r="T604" s="15">
        <v>0</v>
      </c>
      <c r="U604" s="15">
        <f t="shared" ca="1" si="133"/>
        <v>1.0008331633730214</v>
      </c>
      <c r="V604" s="15">
        <f t="shared" ca="1" si="134"/>
        <v>0.99946593423361552</v>
      </c>
      <c r="X604" s="15">
        <f t="shared" si="135"/>
        <v>1.05</v>
      </c>
      <c r="Y604" s="15">
        <f t="shared" si="136"/>
        <v>0.95</v>
      </c>
      <c r="Z604" s="15">
        <f t="shared" ca="1" si="137"/>
        <v>1</v>
      </c>
      <c r="AC604" s="15">
        <f t="shared" ca="1" si="138"/>
        <v>2.852262428238461E-7</v>
      </c>
      <c r="AD604" s="15">
        <f t="shared" ca="1" si="139"/>
        <v>5.3406576638448389E-4</v>
      </c>
      <c r="AE604" s="15">
        <f t="shared" ca="1" si="140"/>
        <v>0.30014496070807994</v>
      </c>
    </row>
    <row r="605" spans="12:31" x14ac:dyDescent="0.3">
      <c r="L605" s="15">
        <v>603</v>
      </c>
      <c r="M605" s="15">
        <f t="shared" si="130"/>
        <v>1</v>
      </c>
      <c r="N605" s="15">
        <f t="shared" ca="1" si="131"/>
        <v>5.3406576638448389E-4</v>
      </c>
      <c r="O605" s="15">
        <f t="shared" ca="1" si="128"/>
        <v>0.25083335156715475</v>
      </c>
      <c r="P605" s="15">
        <f t="shared" ca="1" si="141"/>
        <v>0.25024795910582132</v>
      </c>
      <c r="Q605" s="15">
        <v>0</v>
      </c>
      <c r="R605" s="15">
        <f t="shared" ca="1" si="132"/>
        <v>0.25024795910582132</v>
      </c>
      <c r="S605" s="15">
        <f t="shared" ca="1" si="129"/>
        <v>1.0008035039607484</v>
      </c>
      <c r="T605" s="15">
        <v>0</v>
      </c>
      <c r="U605" s="15">
        <f t="shared" ca="1" si="133"/>
        <v>1.0008035039607484</v>
      </c>
      <c r="V605" s="15">
        <f t="shared" ca="1" si="134"/>
        <v>0.99946593423361552</v>
      </c>
      <c r="X605" s="15">
        <f t="shared" si="135"/>
        <v>1.05</v>
      </c>
      <c r="Y605" s="15">
        <f t="shared" si="136"/>
        <v>0.95</v>
      </c>
      <c r="Z605" s="15">
        <f t="shared" ca="1" si="137"/>
        <v>1</v>
      </c>
      <c r="AC605" s="15">
        <f t="shared" ca="1" si="138"/>
        <v>2.852262428238461E-7</v>
      </c>
      <c r="AD605" s="15">
        <f t="shared" ca="1" si="139"/>
        <v>5.3406576638448389E-4</v>
      </c>
      <c r="AE605" s="15">
        <f t="shared" ca="1" si="140"/>
        <v>0.30067902647446443</v>
      </c>
    </row>
    <row r="606" spans="12:31" x14ac:dyDescent="0.3">
      <c r="L606" s="15">
        <v>604</v>
      </c>
      <c r="M606" s="15">
        <f t="shared" si="130"/>
        <v>1</v>
      </c>
      <c r="N606" s="15">
        <f t="shared" ca="1" si="131"/>
        <v>5.3406576638448389E-4</v>
      </c>
      <c r="O606" s="15">
        <f t="shared" ca="1" si="128"/>
        <v>0.25083335156715475</v>
      </c>
      <c r="P606" s="15">
        <f t="shared" ca="1" si="141"/>
        <v>0.25024795910582132</v>
      </c>
      <c r="Q606" s="15">
        <v>0</v>
      </c>
      <c r="R606" s="15">
        <f t="shared" ca="1" si="132"/>
        <v>0.25024795910582132</v>
      </c>
      <c r="S606" s="15">
        <f t="shared" ca="1" si="129"/>
        <v>1.0007784059735945</v>
      </c>
      <c r="T606" s="15">
        <v>0</v>
      </c>
      <c r="U606" s="15">
        <f t="shared" ca="1" si="133"/>
        <v>1.0007784059735945</v>
      </c>
      <c r="V606" s="15">
        <f t="shared" ca="1" si="134"/>
        <v>0.99946593423361552</v>
      </c>
      <c r="X606" s="15">
        <f t="shared" si="135"/>
        <v>1.05</v>
      </c>
      <c r="Y606" s="15">
        <f t="shared" si="136"/>
        <v>0.95</v>
      </c>
      <c r="Z606" s="15">
        <f t="shared" ca="1" si="137"/>
        <v>1</v>
      </c>
      <c r="AC606" s="15">
        <f t="shared" ca="1" si="138"/>
        <v>2.852262428238461E-7</v>
      </c>
      <c r="AD606" s="15">
        <f t="shared" ca="1" si="139"/>
        <v>5.3406576638448389E-4</v>
      </c>
      <c r="AE606" s="15">
        <f t="shared" ca="1" si="140"/>
        <v>0.30121309224084891</v>
      </c>
    </row>
    <row r="607" spans="12:31" x14ac:dyDescent="0.3">
      <c r="L607" s="15">
        <v>605</v>
      </c>
      <c r="M607" s="15">
        <f t="shared" si="130"/>
        <v>1</v>
      </c>
      <c r="N607" s="15">
        <f t="shared" ca="1" si="131"/>
        <v>5.3406576638448389E-4</v>
      </c>
      <c r="O607" s="15">
        <f t="shared" ca="1" si="128"/>
        <v>0.25083335156715475</v>
      </c>
      <c r="P607" s="15">
        <f t="shared" ca="1" si="141"/>
        <v>0.25024795910582132</v>
      </c>
      <c r="Q607" s="15">
        <v>0</v>
      </c>
      <c r="R607" s="15">
        <f t="shared" ca="1" si="132"/>
        <v>0.25024795910582132</v>
      </c>
      <c r="S607" s="15">
        <f t="shared" ca="1" si="129"/>
        <v>1.0007573965564582</v>
      </c>
      <c r="T607" s="15">
        <v>0</v>
      </c>
      <c r="U607" s="15">
        <f t="shared" ca="1" si="133"/>
        <v>1.0007573965564582</v>
      </c>
      <c r="V607" s="15">
        <f t="shared" ca="1" si="134"/>
        <v>0.99946593423361552</v>
      </c>
      <c r="X607" s="15">
        <f t="shared" si="135"/>
        <v>1.05</v>
      </c>
      <c r="Y607" s="15">
        <f t="shared" si="136"/>
        <v>0.95</v>
      </c>
      <c r="Z607" s="15">
        <f t="shared" ca="1" si="137"/>
        <v>1</v>
      </c>
      <c r="AC607" s="15">
        <f t="shared" ca="1" si="138"/>
        <v>2.852262428238461E-7</v>
      </c>
      <c r="AD607" s="15">
        <f t="shared" ca="1" si="139"/>
        <v>5.3406576638448389E-4</v>
      </c>
      <c r="AE607" s="15">
        <f t="shared" ca="1" si="140"/>
        <v>0.3017471580072334</v>
      </c>
    </row>
    <row r="608" spans="12:31" x14ac:dyDescent="0.3">
      <c r="L608" s="15">
        <v>606</v>
      </c>
      <c r="M608" s="15">
        <f t="shared" si="130"/>
        <v>1</v>
      </c>
      <c r="N608" s="15">
        <f t="shared" ca="1" si="131"/>
        <v>5.3406576638448389E-4</v>
      </c>
      <c r="O608" s="15">
        <f t="shared" ca="1" si="128"/>
        <v>0.25084344854510426</v>
      </c>
      <c r="P608" s="15">
        <f t="shared" ca="1" si="141"/>
        <v>0.25024795910582132</v>
      </c>
      <c r="Q608" s="15">
        <v>0</v>
      </c>
      <c r="R608" s="15">
        <f t="shared" ca="1" si="132"/>
        <v>0.25024795910582132</v>
      </c>
      <c r="S608" s="15">
        <f t="shared" ca="1" si="129"/>
        <v>1.0007400455835924</v>
      </c>
      <c r="T608" s="15">
        <v>0</v>
      </c>
      <c r="U608" s="15">
        <f t="shared" ca="1" si="133"/>
        <v>1.0007400455835924</v>
      </c>
      <c r="V608" s="15">
        <f t="shared" ca="1" si="134"/>
        <v>0.99946593423361552</v>
      </c>
      <c r="X608" s="15">
        <f t="shared" si="135"/>
        <v>1.05</v>
      </c>
      <c r="Y608" s="15">
        <f t="shared" si="136"/>
        <v>0.95</v>
      </c>
      <c r="Z608" s="15">
        <f t="shared" ca="1" si="137"/>
        <v>1</v>
      </c>
      <c r="AC608" s="15">
        <f t="shared" ca="1" si="138"/>
        <v>2.852262428238461E-7</v>
      </c>
      <c r="AD608" s="15">
        <f t="shared" ca="1" si="139"/>
        <v>5.3406576638448389E-4</v>
      </c>
      <c r="AE608" s="15">
        <f t="shared" ca="1" si="140"/>
        <v>0.30228122377361788</v>
      </c>
    </row>
    <row r="609" spans="12:31" x14ac:dyDescent="0.3">
      <c r="L609" s="15">
        <v>607</v>
      </c>
      <c r="M609" s="15">
        <f t="shared" si="130"/>
        <v>1</v>
      </c>
      <c r="N609" s="15">
        <f t="shared" ca="1" si="131"/>
        <v>5.3406576638448389E-4</v>
      </c>
      <c r="O609" s="15">
        <f t="shared" ca="1" si="128"/>
        <v>0.25084344854510426</v>
      </c>
      <c r="P609" s="15">
        <f t="shared" ca="1" si="141"/>
        <v>0.25024795910582132</v>
      </c>
      <c r="Q609" s="15">
        <v>0</v>
      </c>
      <c r="R609" s="15">
        <f t="shared" ca="1" si="132"/>
        <v>0.25024795910582132</v>
      </c>
      <c r="S609" s="15">
        <f t="shared" ca="1" si="129"/>
        <v>1.0007259620539677</v>
      </c>
      <c r="T609" s="15">
        <v>0</v>
      </c>
      <c r="U609" s="15">
        <f t="shared" ca="1" si="133"/>
        <v>1.0007259620539677</v>
      </c>
      <c r="V609" s="15">
        <f t="shared" ca="1" si="134"/>
        <v>0.99946593423361552</v>
      </c>
      <c r="X609" s="15">
        <f t="shared" si="135"/>
        <v>1.05</v>
      </c>
      <c r="Y609" s="15">
        <f t="shared" si="136"/>
        <v>0.95</v>
      </c>
      <c r="Z609" s="15">
        <f t="shared" ca="1" si="137"/>
        <v>1</v>
      </c>
      <c r="AC609" s="15">
        <f t="shared" ca="1" si="138"/>
        <v>2.852262428238461E-7</v>
      </c>
      <c r="AD609" s="15">
        <f t="shared" ca="1" si="139"/>
        <v>5.3406576638448389E-4</v>
      </c>
      <c r="AE609" s="15">
        <f t="shared" ca="1" si="140"/>
        <v>0.30281528954000236</v>
      </c>
    </row>
    <row r="610" spans="12:31" x14ac:dyDescent="0.3">
      <c r="L610" s="15">
        <v>608</v>
      </c>
      <c r="M610" s="15">
        <f t="shared" si="130"/>
        <v>1</v>
      </c>
      <c r="N610" s="15">
        <f t="shared" ca="1" si="131"/>
        <v>5.3406576638448389E-4</v>
      </c>
      <c r="O610" s="15">
        <f t="shared" ca="1" si="128"/>
        <v>0.25084344854510426</v>
      </c>
      <c r="P610" s="15">
        <f t="shared" ca="1" si="141"/>
        <v>0.25024795910582132</v>
      </c>
      <c r="Q610" s="15">
        <v>0</v>
      </c>
      <c r="R610" s="15">
        <f t="shared" ca="1" si="132"/>
        <v>0.25024795910582132</v>
      </c>
      <c r="S610" s="15">
        <f t="shared" ca="1" si="129"/>
        <v>1.0007147907787131</v>
      </c>
      <c r="T610" s="15">
        <v>0</v>
      </c>
      <c r="U610" s="15">
        <f t="shared" ca="1" si="133"/>
        <v>1.0007147907787131</v>
      </c>
      <c r="V610" s="15">
        <f t="shared" ca="1" si="134"/>
        <v>0.99946593423361552</v>
      </c>
      <c r="X610" s="15">
        <f t="shared" si="135"/>
        <v>1.05</v>
      </c>
      <c r="Y610" s="15">
        <f t="shared" si="136"/>
        <v>0.95</v>
      </c>
      <c r="Z610" s="15">
        <f t="shared" ca="1" si="137"/>
        <v>1</v>
      </c>
      <c r="AC610" s="15">
        <f t="shared" ca="1" si="138"/>
        <v>2.852262428238461E-7</v>
      </c>
      <c r="AD610" s="15">
        <f t="shared" ca="1" si="139"/>
        <v>5.3406576638448389E-4</v>
      </c>
      <c r="AE610" s="15">
        <f t="shared" ca="1" si="140"/>
        <v>0.30334935530638685</v>
      </c>
    </row>
    <row r="611" spans="12:31" x14ac:dyDescent="0.3">
      <c r="L611" s="15">
        <v>609</v>
      </c>
      <c r="M611" s="15">
        <f t="shared" si="130"/>
        <v>1</v>
      </c>
      <c r="N611" s="15">
        <f t="shared" ca="1" si="131"/>
        <v>5.3406576638448389E-4</v>
      </c>
      <c r="O611" s="15">
        <f t="shared" ca="1" si="128"/>
        <v>0.25085354552305378</v>
      </c>
      <c r="P611" s="15">
        <f t="shared" ca="1" si="141"/>
        <v>0.25024795910582132</v>
      </c>
      <c r="Q611" s="15">
        <v>0</v>
      </c>
      <c r="R611" s="15">
        <f t="shared" ca="1" si="132"/>
        <v>0.25024795910582132</v>
      </c>
      <c r="S611" s="15">
        <f t="shared" ca="1" si="129"/>
        <v>1.0007062093375692</v>
      </c>
      <c r="T611" s="15">
        <v>0</v>
      </c>
      <c r="U611" s="15">
        <f t="shared" ca="1" si="133"/>
        <v>1.0007062093375692</v>
      </c>
      <c r="V611" s="15">
        <f t="shared" ca="1" si="134"/>
        <v>0.99946593423361552</v>
      </c>
      <c r="X611" s="15">
        <f t="shared" si="135"/>
        <v>1.05</v>
      </c>
      <c r="Y611" s="15">
        <f t="shared" si="136"/>
        <v>0.95</v>
      </c>
      <c r="Z611" s="15">
        <f t="shared" ca="1" si="137"/>
        <v>1</v>
      </c>
      <c r="AC611" s="15">
        <f t="shared" ca="1" si="138"/>
        <v>2.852262428238461E-7</v>
      </c>
      <c r="AD611" s="15">
        <f t="shared" ca="1" si="139"/>
        <v>5.3406576638448389E-4</v>
      </c>
      <c r="AE611" s="15">
        <f t="shared" ca="1" si="140"/>
        <v>0.30388342107277133</v>
      </c>
    </row>
    <row r="612" spans="12:31" x14ac:dyDescent="0.3">
      <c r="L612" s="15">
        <v>610</v>
      </c>
      <c r="M612" s="15">
        <f t="shared" si="130"/>
        <v>1</v>
      </c>
      <c r="N612" s="15">
        <f t="shared" ca="1" si="131"/>
        <v>5.3406576638448389E-4</v>
      </c>
      <c r="O612" s="15">
        <f t="shared" ca="1" si="128"/>
        <v>0.25085354552305378</v>
      </c>
      <c r="P612" s="15">
        <f t="shared" ca="1" si="141"/>
        <v>0.25024795910582132</v>
      </c>
      <c r="Q612" s="15">
        <v>0</v>
      </c>
      <c r="R612" s="15">
        <f t="shared" ca="1" si="132"/>
        <v>0.25024795910582132</v>
      </c>
      <c r="S612" s="15">
        <f t="shared" ca="1" si="129"/>
        <v>1.0006999252830777</v>
      </c>
      <c r="T612" s="15">
        <v>0</v>
      </c>
      <c r="U612" s="15">
        <f t="shared" ca="1" si="133"/>
        <v>1.0006999252830777</v>
      </c>
      <c r="V612" s="15">
        <f t="shared" ca="1" si="134"/>
        <v>0.99946593423361552</v>
      </c>
      <c r="X612" s="15">
        <f t="shared" si="135"/>
        <v>1.05</v>
      </c>
      <c r="Y612" s="15">
        <f t="shared" si="136"/>
        <v>0.95</v>
      </c>
      <c r="Z612" s="15">
        <f t="shared" ca="1" si="137"/>
        <v>1</v>
      </c>
      <c r="AC612" s="15">
        <f t="shared" ca="1" si="138"/>
        <v>2.852262428238461E-7</v>
      </c>
      <c r="AD612" s="15">
        <f t="shared" ca="1" si="139"/>
        <v>5.3406576638448389E-4</v>
      </c>
      <c r="AE612" s="15">
        <f t="shared" ca="1" si="140"/>
        <v>0.30441748683915582</v>
      </c>
    </row>
    <row r="613" spans="12:31" x14ac:dyDescent="0.3">
      <c r="L613" s="15">
        <v>611</v>
      </c>
      <c r="M613" s="15">
        <f t="shared" si="130"/>
        <v>1</v>
      </c>
      <c r="N613" s="15">
        <f t="shared" ca="1" si="131"/>
        <v>5.3406576638448389E-4</v>
      </c>
      <c r="O613" s="15">
        <f t="shared" ca="1" si="128"/>
        <v>0.25085354552305378</v>
      </c>
      <c r="P613" s="15">
        <f t="shared" ca="1" si="141"/>
        <v>0.25024795910582132</v>
      </c>
      <c r="Q613" s="15">
        <v>0</v>
      </c>
      <c r="R613" s="15">
        <f t="shared" ca="1" si="132"/>
        <v>0.25024795910582132</v>
      </c>
      <c r="S613" s="15">
        <f t="shared" ca="1" si="129"/>
        <v>1.0006956735728885</v>
      </c>
      <c r="T613" s="15">
        <v>0</v>
      </c>
      <c r="U613" s="15">
        <f t="shared" ca="1" si="133"/>
        <v>1.0006956735728885</v>
      </c>
      <c r="V613" s="15">
        <f t="shared" ca="1" si="134"/>
        <v>0.99946593423361552</v>
      </c>
      <c r="X613" s="15">
        <f t="shared" si="135"/>
        <v>1.05</v>
      </c>
      <c r="Y613" s="15">
        <f t="shared" si="136"/>
        <v>0.95</v>
      </c>
      <c r="Z613" s="15">
        <f t="shared" ca="1" si="137"/>
        <v>1</v>
      </c>
      <c r="AC613" s="15">
        <f t="shared" ca="1" si="138"/>
        <v>2.852262428238461E-7</v>
      </c>
      <c r="AD613" s="15">
        <f t="shared" ca="1" si="139"/>
        <v>5.3406576638448389E-4</v>
      </c>
      <c r="AE613" s="15">
        <f t="shared" ca="1" si="140"/>
        <v>0.3049515526055403</v>
      </c>
    </row>
    <row r="614" spans="12:31" x14ac:dyDescent="0.3">
      <c r="L614" s="15">
        <v>612</v>
      </c>
      <c r="M614" s="15">
        <f t="shared" si="130"/>
        <v>1</v>
      </c>
      <c r="N614" s="15">
        <f t="shared" ca="1" si="131"/>
        <v>5.3406576638448389E-4</v>
      </c>
      <c r="O614" s="15">
        <f t="shared" ca="1" si="128"/>
        <v>0.25086364250100329</v>
      </c>
      <c r="P614" s="15">
        <f t="shared" ca="1" si="141"/>
        <v>0.25024795910582132</v>
      </c>
      <c r="Q614" s="15">
        <v>0</v>
      </c>
      <c r="R614" s="15">
        <f t="shared" ca="1" si="132"/>
        <v>0.25024795910582132</v>
      </c>
      <c r="S614" s="15">
        <f t="shared" ca="1" si="129"/>
        <v>1.0006932142120855</v>
      </c>
      <c r="T614" s="15">
        <v>0</v>
      </c>
      <c r="U614" s="15">
        <f t="shared" ca="1" si="133"/>
        <v>1.0006932142120855</v>
      </c>
      <c r="V614" s="15">
        <f t="shared" ca="1" si="134"/>
        <v>0.99946593423361552</v>
      </c>
      <c r="X614" s="15">
        <f t="shared" si="135"/>
        <v>1.05</v>
      </c>
      <c r="Y614" s="15">
        <f t="shared" si="136"/>
        <v>0.95</v>
      </c>
      <c r="Z614" s="15">
        <f t="shared" ca="1" si="137"/>
        <v>1</v>
      </c>
      <c r="AC614" s="15">
        <f t="shared" ca="1" si="138"/>
        <v>2.852262428238461E-7</v>
      </c>
      <c r="AD614" s="15">
        <f t="shared" ca="1" si="139"/>
        <v>5.3406576638448389E-4</v>
      </c>
      <c r="AE614" s="15">
        <f t="shared" ca="1" si="140"/>
        <v>0.30548561837192478</v>
      </c>
    </row>
    <row r="615" spans="12:31" x14ac:dyDescent="0.3">
      <c r="L615" s="15">
        <v>613</v>
      </c>
      <c r="M615" s="15">
        <f t="shared" si="130"/>
        <v>1</v>
      </c>
      <c r="N615" s="15">
        <f t="shared" ca="1" si="131"/>
        <v>5.3406576638448389E-4</v>
      </c>
      <c r="O615" s="15">
        <f t="shared" ca="1" si="128"/>
        <v>0.25086364250100329</v>
      </c>
      <c r="P615" s="15">
        <f t="shared" ca="1" si="141"/>
        <v>0.25024795910582132</v>
      </c>
      <c r="Q615" s="15">
        <v>0</v>
      </c>
      <c r="R615" s="15">
        <f t="shared" ca="1" si="132"/>
        <v>0.25024795910582132</v>
      </c>
      <c r="S615" s="15">
        <f t="shared" ca="1" si="129"/>
        <v>1.0006923300888475</v>
      </c>
      <c r="T615" s="15">
        <v>0</v>
      </c>
      <c r="U615" s="15">
        <f t="shared" ca="1" si="133"/>
        <v>1.0006923300888475</v>
      </c>
      <c r="V615" s="15">
        <f t="shared" ca="1" si="134"/>
        <v>0.99946593423361552</v>
      </c>
      <c r="X615" s="15">
        <f t="shared" si="135"/>
        <v>1.05</v>
      </c>
      <c r="Y615" s="15">
        <f t="shared" si="136"/>
        <v>0.95</v>
      </c>
      <c r="Z615" s="15">
        <f t="shared" ca="1" si="137"/>
        <v>1</v>
      </c>
      <c r="AC615" s="15">
        <f t="shared" ca="1" si="138"/>
        <v>2.852262428238461E-7</v>
      </c>
      <c r="AD615" s="15">
        <f t="shared" ca="1" si="139"/>
        <v>5.3406576638448389E-4</v>
      </c>
      <c r="AE615" s="15">
        <f t="shared" ca="1" si="140"/>
        <v>0.30601968413830927</v>
      </c>
    </row>
    <row r="616" spans="12:31" x14ac:dyDescent="0.3">
      <c r="L616" s="15">
        <v>614</v>
      </c>
      <c r="M616" s="15">
        <f t="shared" si="130"/>
        <v>1</v>
      </c>
      <c r="N616" s="15">
        <f t="shared" ca="1" si="131"/>
        <v>5.3406576638448389E-4</v>
      </c>
      <c r="O616" s="15">
        <f t="shared" ca="1" si="128"/>
        <v>0.25086364250100329</v>
      </c>
      <c r="P616" s="15">
        <f t="shared" ca="1" si="141"/>
        <v>0.25024795910582132</v>
      </c>
      <c r="Q616" s="15">
        <v>0</v>
      </c>
      <c r="R616" s="15">
        <f t="shared" ca="1" si="132"/>
        <v>0.25024795910582132</v>
      </c>
      <c r="S616" s="15">
        <f t="shared" ca="1" si="129"/>
        <v>1.0006928249880536</v>
      </c>
      <c r="T616" s="15">
        <v>0</v>
      </c>
      <c r="U616" s="15">
        <f t="shared" ca="1" si="133"/>
        <v>1.0006928249880536</v>
      </c>
      <c r="V616" s="15">
        <f t="shared" ca="1" si="134"/>
        <v>0.99946593423361552</v>
      </c>
      <c r="X616" s="15">
        <f t="shared" si="135"/>
        <v>1.05</v>
      </c>
      <c r="Y616" s="15">
        <f t="shared" si="136"/>
        <v>0.95</v>
      </c>
      <c r="Z616" s="15">
        <f t="shared" ca="1" si="137"/>
        <v>1</v>
      </c>
      <c r="AC616" s="15">
        <f t="shared" ca="1" si="138"/>
        <v>2.852262428238461E-7</v>
      </c>
      <c r="AD616" s="15">
        <f t="shared" ca="1" si="139"/>
        <v>5.3406576638448389E-4</v>
      </c>
      <c r="AE616" s="15">
        <f t="shared" ca="1" si="140"/>
        <v>0.30655374990469375</v>
      </c>
    </row>
    <row r="617" spans="12:31" x14ac:dyDescent="0.3">
      <c r="L617" s="15">
        <v>615</v>
      </c>
      <c r="M617" s="15">
        <f t="shared" si="130"/>
        <v>1</v>
      </c>
      <c r="N617" s="15">
        <f t="shared" ca="1" si="131"/>
        <v>5.3406576638448389E-4</v>
      </c>
      <c r="O617" s="15">
        <f t="shared" ca="1" si="128"/>
        <v>0.25087373947895281</v>
      </c>
      <c r="P617" s="15">
        <f t="shared" ca="1" si="141"/>
        <v>0.25024795910582132</v>
      </c>
      <c r="Q617" s="15">
        <v>0</v>
      </c>
      <c r="R617" s="15">
        <f t="shared" ca="1" si="132"/>
        <v>0.25024795910582132</v>
      </c>
      <c r="S617" s="15">
        <f t="shared" ca="1" si="129"/>
        <v>1.0006945217686498</v>
      </c>
      <c r="T617" s="15">
        <v>0</v>
      </c>
      <c r="U617" s="15">
        <f t="shared" ca="1" si="133"/>
        <v>1.0006945217686498</v>
      </c>
      <c r="V617" s="15">
        <f t="shared" ca="1" si="134"/>
        <v>0.99946593423361552</v>
      </c>
      <c r="X617" s="15">
        <f t="shared" si="135"/>
        <v>1.05</v>
      </c>
      <c r="Y617" s="15">
        <f t="shared" si="136"/>
        <v>0.95</v>
      </c>
      <c r="Z617" s="15">
        <f t="shared" ca="1" si="137"/>
        <v>1</v>
      </c>
      <c r="AC617" s="15">
        <f t="shared" ca="1" si="138"/>
        <v>2.852262428238461E-7</v>
      </c>
      <c r="AD617" s="15">
        <f t="shared" ca="1" si="139"/>
        <v>5.3406576638448389E-4</v>
      </c>
      <c r="AE617" s="15">
        <f t="shared" ca="1" si="140"/>
        <v>0.30708781567107823</v>
      </c>
    </row>
    <row r="618" spans="12:31" x14ac:dyDescent="0.3">
      <c r="L618" s="15">
        <v>616</v>
      </c>
      <c r="M618" s="15">
        <f t="shared" si="130"/>
        <v>1</v>
      </c>
      <c r="N618" s="15">
        <f t="shared" ca="1" si="131"/>
        <v>5.3406576638448389E-4</v>
      </c>
      <c r="O618" s="15">
        <f t="shared" ca="1" si="128"/>
        <v>0.25087373947895281</v>
      </c>
      <c r="P618" s="15">
        <f t="shared" ca="1" si="141"/>
        <v>0.25024795910582132</v>
      </c>
      <c r="Q618" s="15">
        <v>0</v>
      </c>
      <c r="R618" s="15">
        <f t="shared" ca="1" si="132"/>
        <v>0.25024795910582132</v>
      </c>
      <c r="S618" s="15">
        <f t="shared" ca="1" si="129"/>
        <v>1.0006972606916984</v>
      </c>
      <c r="T618" s="15">
        <v>0</v>
      </c>
      <c r="U618" s="15">
        <f t="shared" ca="1" si="133"/>
        <v>1.0006972606916984</v>
      </c>
      <c r="V618" s="15">
        <f t="shared" ca="1" si="134"/>
        <v>0.99946593423361552</v>
      </c>
      <c r="X618" s="15">
        <f t="shared" si="135"/>
        <v>1.05</v>
      </c>
      <c r="Y618" s="15">
        <f t="shared" si="136"/>
        <v>0.95</v>
      </c>
      <c r="Z618" s="15">
        <f t="shared" ca="1" si="137"/>
        <v>1</v>
      </c>
      <c r="AC618" s="15">
        <f t="shared" ca="1" si="138"/>
        <v>2.852262428238461E-7</v>
      </c>
      <c r="AD618" s="15">
        <f t="shared" ca="1" si="139"/>
        <v>5.3406576638448389E-4</v>
      </c>
      <c r="AE618" s="15">
        <f t="shared" ca="1" si="140"/>
        <v>0.30762188143746272</v>
      </c>
    </row>
    <row r="619" spans="12:31" x14ac:dyDescent="0.3">
      <c r="L619" s="15">
        <v>617</v>
      </c>
      <c r="M619" s="15">
        <f t="shared" si="130"/>
        <v>1</v>
      </c>
      <c r="N619" s="15">
        <f t="shared" ca="1" si="131"/>
        <v>5.3406576638448389E-4</v>
      </c>
      <c r="O619" s="15">
        <f t="shared" ref="O619:O682" ca="1" si="142">IF(MOD(L619,$B$11)=0,OFFSET(O619,-$B$11,0)+ $E$2*N619+$E$3*OFFSET(N619,-$B$11,0)+ $E$4*OFFSET(N619,-2* $B$11,0), O618)</f>
        <v>0.25087373947895281</v>
      </c>
      <c r="P619" s="15">
        <f t="shared" ca="1" si="141"/>
        <v>0.25024795910582132</v>
      </c>
      <c r="Q619" s="15">
        <v>0</v>
      </c>
      <c r="R619" s="15">
        <f t="shared" ca="1" si="132"/>
        <v>0.25024795910582132</v>
      </c>
      <c r="S619" s="15">
        <f t="shared" ca="1" si="129"/>
        <v>1.0007008978870524</v>
      </c>
      <c r="T619" s="15">
        <v>0</v>
      </c>
      <c r="U619" s="15">
        <f t="shared" ca="1" si="133"/>
        <v>1.0007008978870524</v>
      </c>
      <c r="V619" s="15">
        <f t="shared" ca="1" si="134"/>
        <v>0.99946593423361552</v>
      </c>
      <c r="X619" s="15">
        <f t="shared" si="135"/>
        <v>1.05</v>
      </c>
      <c r="Y619" s="15">
        <f t="shared" si="136"/>
        <v>0.95</v>
      </c>
      <c r="Z619" s="15">
        <f t="shared" ca="1" si="137"/>
        <v>1</v>
      </c>
      <c r="AC619" s="15">
        <f t="shared" ca="1" si="138"/>
        <v>2.852262428238461E-7</v>
      </c>
      <c r="AD619" s="15">
        <f t="shared" ca="1" si="139"/>
        <v>5.3406576638448389E-4</v>
      </c>
      <c r="AE619" s="15">
        <f t="shared" ca="1" si="140"/>
        <v>0.3081559472038472</v>
      </c>
    </row>
    <row r="620" spans="12:31" x14ac:dyDescent="0.3">
      <c r="L620" s="15">
        <v>618</v>
      </c>
      <c r="M620" s="15">
        <f t="shared" si="130"/>
        <v>1</v>
      </c>
      <c r="N620" s="15">
        <f t="shared" ca="1" si="131"/>
        <v>5.3406576638448389E-4</v>
      </c>
      <c r="O620" s="15">
        <f t="shared" ca="1" si="142"/>
        <v>0.25088383645690232</v>
      </c>
      <c r="P620" s="15">
        <f t="shared" ca="1" si="141"/>
        <v>0.25024795910582132</v>
      </c>
      <c r="Q620" s="15">
        <v>0</v>
      </c>
      <c r="R620" s="15">
        <f t="shared" ca="1" si="132"/>
        <v>0.25024795910582132</v>
      </c>
      <c r="S620" s="15">
        <f t="shared" ca="1" si="129"/>
        <v>1.0007053039475482</v>
      </c>
      <c r="T620" s="15">
        <v>0</v>
      </c>
      <c r="U620" s="15">
        <f t="shared" ca="1" si="133"/>
        <v>1.0007053039475482</v>
      </c>
      <c r="V620" s="15">
        <f t="shared" ca="1" si="134"/>
        <v>0.99946593423361552</v>
      </c>
      <c r="X620" s="15">
        <f t="shared" si="135"/>
        <v>1.05</v>
      </c>
      <c r="Y620" s="15">
        <f t="shared" si="136"/>
        <v>0.95</v>
      </c>
      <c r="Z620" s="15">
        <f t="shared" ca="1" si="137"/>
        <v>1</v>
      </c>
      <c r="AC620" s="15">
        <f t="shared" ca="1" si="138"/>
        <v>2.852262428238461E-7</v>
      </c>
      <c r="AD620" s="15">
        <f t="shared" ca="1" si="139"/>
        <v>5.3406576638448389E-4</v>
      </c>
      <c r="AE620" s="15">
        <f t="shared" ca="1" si="140"/>
        <v>0.30869001297023169</v>
      </c>
    </row>
    <row r="621" spans="12:31" x14ac:dyDescent="0.3">
      <c r="L621" s="15">
        <v>619</v>
      </c>
      <c r="M621" s="15">
        <f t="shared" si="130"/>
        <v>1</v>
      </c>
      <c r="N621" s="15">
        <f t="shared" ca="1" si="131"/>
        <v>5.3406576638448389E-4</v>
      </c>
      <c r="O621" s="15">
        <f t="shared" ca="1" si="142"/>
        <v>0.25088383645690232</v>
      </c>
      <c r="P621" s="15">
        <f t="shared" ca="1" si="141"/>
        <v>0.25024795910582132</v>
      </c>
      <c r="Q621" s="15">
        <v>0</v>
      </c>
      <c r="R621" s="15">
        <f t="shared" ca="1" si="132"/>
        <v>0.25024795910582132</v>
      </c>
      <c r="S621" s="15">
        <f t="shared" ref="S621:S684" ca="1" si="143">$I$1*S620-$I$2*S619+$I$3*R600+$I$4*R599</f>
        <v>1.0007103626404708</v>
      </c>
      <c r="T621" s="15">
        <v>0</v>
      </c>
      <c r="U621" s="15">
        <f t="shared" ca="1" si="133"/>
        <v>1.0007103626404708</v>
      </c>
      <c r="V621" s="15">
        <f t="shared" ca="1" si="134"/>
        <v>0.99946593423361552</v>
      </c>
      <c r="X621" s="15">
        <f t="shared" si="135"/>
        <v>1.05</v>
      </c>
      <c r="Y621" s="15">
        <f t="shared" si="136"/>
        <v>0.95</v>
      </c>
      <c r="Z621" s="15">
        <f t="shared" ca="1" si="137"/>
        <v>1</v>
      </c>
      <c r="AC621" s="15">
        <f t="shared" ca="1" si="138"/>
        <v>2.852262428238461E-7</v>
      </c>
      <c r="AD621" s="15">
        <f t="shared" ca="1" si="139"/>
        <v>5.3406576638448389E-4</v>
      </c>
      <c r="AE621" s="15">
        <f t="shared" ca="1" si="140"/>
        <v>0.30922407873661617</v>
      </c>
    </row>
    <row r="622" spans="12:31" x14ac:dyDescent="0.3">
      <c r="L622" s="15">
        <v>620</v>
      </c>
      <c r="M622" s="15">
        <f t="shared" si="130"/>
        <v>1</v>
      </c>
      <c r="N622" s="15">
        <f t="shared" ca="1" si="131"/>
        <v>5.3406576638448389E-4</v>
      </c>
      <c r="O622" s="15">
        <f t="shared" ca="1" si="142"/>
        <v>0.25088383645690232</v>
      </c>
      <c r="P622" s="15">
        <f t="shared" ca="1" si="141"/>
        <v>0.25024795910582132</v>
      </c>
      <c r="Q622" s="15">
        <v>0</v>
      </c>
      <c r="R622" s="15">
        <f t="shared" ca="1" si="132"/>
        <v>0.25024795910582132</v>
      </c>
      <c r="S622" s="15">
        <f t="shared" ca="1" si="143"/>
        <v>1.0007159697268595</v>
      </c>
      <c r="T622" s="15">
        <v>0</v>
      </c>
      <c r="U622" s="15">
        <f t="shared" ca="1" si="133"/>
        <v>1.0007159697268595</v>
      </c>
      <c r="V622" s="15">
        <f t="shared" ca="1" si="134"/>
        <v>0.99946593423361552</v>
      </c>
      <c r="X622" s="15">
        <f t="shared" si="135"/>
        <v>1.05</v>
      </c>
      <c r="Y622" s="15">
        <f t="shared" si="136"/>
        <v>0.95</v>
      </c>
      <c r="Z622" s="15">
        <f t="shared" ca="1" si="137"/>
        <v>1</v>
      </c>
      <c r="AC622" s="15">
        <f t="shared" ca="1" si="138"/>
        <v>2.852262428238461E-7</v>
      </c>
      <c r="AD622" s="15">
        <f t="shared" ca="1" si="139"/>
        <v>5.3406576638448389E-4</v>
      </c>
      <c r="AE622" s="15">
        <f t="shared" ca="1" si="140"/>
        <v>0.30975814450300065</v>
      </c>
    </row>
    <row r="623" spans="12:31" x14ac:dyDescent="0.3">
      <c r="L623" s="15">
        <v>621</v>
      </c>
      <c r="M623" s="15">
        <f t="shared" si="130"/>
        <v>1</v>
      </c>
      <c r="N623" s="15">
        <f t="shared" ca="1" si="131"/>
        <v>5.3406576638448389E-4</v>
      </c>
      <c r="O623" s="15">
        <f t="shared" ca="1" si="142"/>
        <v>0.25089393343485183</v>
      </c>
      <c r="P623" s="15">
        <f t="shared" ca="1" si="141"/>
        <v>0.25024795910582132</v>
      </c>
      <c r="Q623" s="15">
        <v>0</v>
      </c>
      <c r="R623" s="15">
        <f t="shared" ca="1" si="132"/>
        <v>0.25024795910582132</v>
      </c>
      <c r="S623" s="15">
        <f t="shared" ca="1" si="143"/>
        <v>1.0007352318140641</v>
      </c>
      <c r="T623" s="15">
        <v>0</v>
      </c>
      <c r="U623" s="15">
        <f t="shared" ca="1" si="133"/>
        <v>1.0007352318140641</v>
      </c>
      <c r="V623" s="15">
        <f t="shared" ca="1" si="134"/>
        <v>0.99946593423361552</v>
      </c>
      <c r="X623" s="15">
        <f t="shared" si="135"/>
        <v>1.05</v>
      </c>
      <c r="Y623" s="15">
        <f t="shared" si="136"/>
        <v>0.95</v>
      </c>
      <c r="Z623" s="15">
        <f t="shared" ca="1" si="137"/>
        <v>1</v>
      </c>
      <c r="AC623" s="15">
        <f t="shared" ca="1" si="138"/>
        <v>2.852262428238461E-7</v>
      </c>
      <c r="AD623" s="15">
        <f t="shared" ca="1" si="139"/>
        <v>5.3406576638448389E-4</v>
      </c>
      <c r="AE623" s="15">
        <f t="shared" ca="1" si="140"/>
        <v>0.31029221026938514</v>
      </c>
    </row>
    <row r="624" spans="12:31" x14ac:dyDescent="0.3">
      <c r="L624" s="15">
        <v>622</v>
      </c>
      <c r="M624" s="15">
        <f t="shared" si="130"/>
        <v>1</v>
      </c>
      <c r="N624" s="15">
        <f t="shared" ca="1" si="131"/>
        <v>5.3406576638448389E-4</v>
      </c>
      <c r="O624" s="15">
        <f t="shared" ca="1" si="142"/>
        <v>0.25089393343485183</v>
      </c>
      <c r="P624" s="15">
        <f t="shared" ca="1" si="141"/>
        <v>0.25024795910582132</v>
      </c>
      <c r="Q624" s="15">
        <v>0</v>
      </c>
      <c r="R624" s="15">
        <f t="shared" ca="1" si="132"/>
        <v>0.25024795910582132</v>
      </c>
      <c r="S624" s="15">
        <f t="shared" ca="1" si="143"/>
        <v>1.0007789500729678</v>
      </c>
      <c r="T624" s="15">
        <v>0</v>
      </c>
      <c r="U624" s="15">
        <f t="shared" ca="1" si="133"/>
        <v>1.0007789500729678</v>
      </c>
      <c r="V624" s="15">
        <f t="shared" ca="1" si="134"/>
        <v>0.99946593423361552</v>
      </c>
      <c r="X624" s="15">
        <f t="shared" si="135"/>
        <v>1.05</v>
      </c>
      <c r="Y624" s="15">
        <f t="shared" si="136"/>
        <v>0.95</v>
      </c>
      <c r="Z624" s="15">
        <f t="shared" ca="1" si="137"/>
        <v>1</v>
      </c>
      <c r="AC624" s="15">
        <f t="shared" ca="1" si="138"/>
        <v>2.852262428238461E-7</v>
      </c>
      <c r="AD624" s="15">
        <f t="shared" ca="1" si="139"/>
        <v>5.3406576638448389E-4</v>
      </c>
      <c r="AE624" s="15">
        <f t="shared" ca="1" si="140"/>
        <v>0.31082627603576962</v>
      </c>
    </row>
    <row r="625" spans="12:31" x14ac:dyDescent="0.3">
      <c r="L625" s="15">
        <v>623</v>
      </c>
      <c r="M625" s="15">
        <f t="shared" si="130"/>
        <v>1</v>
      </c>
      <c r="N625" s="15">
        <f t="shared" ca="1" si="131"/>
        <v>5.3406576638448389E-4</v>
      </c>
      <c r="O625" s="15">
        <f t="shared" ca="1" si="142"/>
        <v>0.25089393343485183</v>
      </c>
      <c r="P625" s="15">
        <f t="shared" ca="1" si="141"/>
        <v>0.25024795910582132</v>
      </c>
      <c r="Q625" s="15">
        <v>0</v>
      </c>
      <c r="R625" s="15">
        <f t="shared" ca="1" si="132"/>
        <v>0.25024795910582132</v>
      </c>
      <c r="S625" s="15">
        <f t="shared" ca="1" si="143"/>
        <v>1.0008438352196627</v>
      </c>
      <c r="T625" s="15">
        <v>0</v>
      </c>
      <c r="U625" s="15">
        <f t="shared" ca="1" si="133"/>
        <v>1.0008438352196627</v>
      </c>
      <c r="V625" s="15">
        <f t="shared" ca="1" si="134"/>
        <v>0.99946593423361552</v>
      </c>
      <c r="X625" s="15">
        <f t="shared" si="135"/>
        <v>1.05</v>
      </c>
      <c r="Y625" s="15">
        <f t="shared" si="136"/>
        <v>0.95</v>
      </c>
      <c r="Z625" s="15">
        <f t="shared" ca="1" si="137"/>
        <v>1</v>
      </c>
      <c r="AC625" s="15">
        <f t="shared" ca="1" si="138"/>
        <v>2.852262428238461E-7</v>
      </c>
      <c r="AD625" s="15">
        <f t="shared" ca="1" si="139"/>
        <v>5.3406576638448389E-4</v>
      </c>
      <c r="AE625" s="15">
        <f t="shared" ca="1" si="140"/>
        <v>0.31136034180215411</v>
      </c>
    </row>
    <row r="626" spans="12:31" x14ac:dyDescent="0.3">
      <c r="L626" s="15">
        <v>624</v>
      </c>
      <c r="M626" s="15">
        <f t="shared" si="130"/>
        <v>1</v>
      </c>
      <c r="N626" s="15">
        <f t="shared" ca="1" si="131"/>
        <v>5.3406576638448389E-4</v>
      </c>
      <c r="O626" s="15">
        <f t="shared" ca="1" si="142"/>
        <v>0.25090403041280135</v>
      </c>
      <c r="P626" s="15">
        <f t="shared" ca="1" si="141"/>
        <v>0.25024795910582132</v>
      </c>
      <c r="Q626" s="15">
        <v>0</v>
      </c>
      <c r="R626" s="15">
        <f t="shared" ca="1" si="132"/>
        <v>0.25024795910582132</v>
      </c>
      <c r="S626" s="15">
        <f t="shared" ca="1" si="143"/>
        <v>1.0009137260375267</v>
      </c>
      <c r="T626" s="15">
        <v>0</v>
      </c>
      <c r="U626" s="15">
        <f t="shared" ca="1" si="133"/>
        <v>1.0009137260375267</v>
      </c>
      <c r="V626" s="15">
        <f t="shared" ca="1" si="134"/>
        <v>0.99946593423361552</v>
      </c>
      <c r="X626" s="15">
        <f t="shared" si="135"/>
        <v>1.05</v>
      </c>
      <c r="Y626" s="15">
        <f t="shared" si="136"/>
        <v>0.95</v>
      </c>
      <c r="Z626" s="15">
        <f t="shared" ca="1" si="137"/>
        <v>1</v>
      </c>
      <c r="AC626" s="15">
        <f t="shared" ca="1" si="138"/>
        <v>2.852262428238461E-7</v>
      </c>
      <c r="AD626" s="15">
        <f t="shared" ca="1" si="139"/>
        <v>5.3406576638448389E-4</v>
      </c>
      <c r="AE626" s="15">
        <f t="shared" ca="1" si="140"/>
        <v>0.31189440756853859</v>
      </c>
    </row>
    <row r="627" spans="12:31" x14ac:dyDescent="0.3">
      <c r="L627" s="15">
        <v>625</v>
      </c>
      <c r="M627" s="15">
        <f t="shared" si="130"/>
        <v>1</v>
      </c>
      <c r="N627" s="15">
        <f t="shared" ca="1" si="131"/>
        <v>5.3406576638448389E-4</v>
      </c>
      <c r="O627" s="15">
        <f t="shared" ca="1" si="142"/>
        <v>0.25090403041280135</v>
      </c>
      <c r="P627" s="15">
        <f t="shared" ca="1" si="141"/>
        <v>0.25024795910582132</v>
      </c>
      <c r="Q627" s="15">
        <v>0</v>
      </c>
      <c r="R627" s="15">
        <f t="shared" ca="1" si="132"/>
        <v>0.25024795910582132</v>
      </c>
      <c r="S627" s="15">
        <f t="shared" ca="1" si="143"/>
        <v>1.0009750755594156</v>
      </c>
      <c r="T627" s="15">
        <v>0</v>
      </c>
      <c r="U627" s="15">
        <f t="shared" ca="1" si="133"/>
        <v>1.0009750755594156</v>
      </c>
      <c r="V627" s="15">
        <f t="shared" ca="1" si="134"/>
        <v>0.99946593423361552</v>
      </c>
      <c r="X627" s="15">
        <f t="shared" si="135"/>
        <v>1.05</v>
      </c>
      <c r="Y627" s="15">
        <f t="shared" si="136"/>
        <v>0.95</v>
      </c>
      <c r="Z627" s="15">
        <f t="shared" ca="1" si="137"/>
        <v>1</v>
      </c>
      <c r="AC627" s="15">
        <f t="shared" ca="1" si="138"/>
        <v>2.852262428238461E-7</v>
      </c>
      <c r="AD627" s="15">
        <f t="shared" ca="1" si="139"/>
        <v>5.3406576638448389E-4</v>
      </c>
      <c r="AE627" s="15">
        <f t="shared" ca="1" si="140"/>
        <v>0.31242847333492307</v>
      </c>
    </row>
    <row r="628" spans="12:31" x14ac:dyDescent="0.3">
      <c r="L628" s="15">
        <v>626</v>
      </c>
      <c r="M628" s="15">
        <f t="shared" si="130"/>
        <v>1</v>
      </c>
      <c r="N628" s="15">
        <f t="shared" ca="1" si="131"/>
        <v>-9.9183642328526389E-4</v>
      </c>
      <c r="O628" s="15">
        <f t="shared" ca="1" si="142"/>
        <v>0.25090403041280135</v>
      </c>
      <c r="P628" s="15">
        <f t="shared" ca="1" si="141"/>
        <v>0.25024795910582132</v>
      </c>
      <c r="Q628" s="15">
        <v>0</v>
      </c>
      <c r="R628" s="15">
        <f t="shared" ca="1" si="132"/>
        <v>0.25024795910582132</v>
      </c>
      <c r="S628" s="15">
        <f t="shared" ca="1" si="143"/>
        <v>1.0010287085000982</v>
      </c>
      <c r="T628" s="15">
        <v>0</v>
      </c>
      <c r="U628" s="15">
        <f t="shared" ca="1" si="133"/>
        <v>1.0010287085000982</v>
      </c>
      <c r="V628" s="15">
        <f t="shared" ca="1" si="134"/>
        <v>1.0009918364232853</v>
      </c>
      <c r="X628" s="15">
        <f t="shared" si="135"/>
        <v>1.05</v>
      </c>
      <c r="Y628" s="15">
        <f t="shared" si="136"/>
        <v>0.95</v>
      </c>
      <c r="Z628" s="15">
        <f t="shared" ca="1" si="137"/>
        <v>1</v>
      </c>
      <c r="AC628" s="15">
        <f t="shared" ca="1" si="138"/>
        <v>9.8373949055530516E-7</v>
      </c>
      <c r="AD628" s="15">
        <f t="shared" ca="1" si="139"/>
        <v>9.9183642328526389E-4</v>
      </c>
      <c r="AE628" s="15">
        <f t="shared" ca="1" si="140"/>
        <v>0.58121614404516464</v>
      </c>
    </row>
    <row r="629" spans="12:31" x14ac:dyDescent="0.3">
      <c r="L629" s="15">
        <v>627</v>
      </c>
      <c r="M629" s="15">
        <f t="shared" si="130"/>
        <v>1</v>
      </c>
      <c r="N629" s="15">
        <f t="shared" ca="1" si="131"/>
        <v>-9.9183642328526389E-4</v>
      </c>
      <c r="O629" s="15">
        <f t="shared" ca="1" si="142"/>
        <v>0.24925772011982852</v>
      </c>
      <c r="P629" s="15">
        <f t="shared" ca="1" si="141"/>
        <v>0.24872205691615165</v>
      </c>
      <c r="Q629" s="15">
        <v>0</v>
      </c>
      <c r="R629" s="15">
        <f t="shared" ca="1" si="132"/>
        <v>0.24872205691615165</v>
      </c>
      <c r="S629" s="15">
        <f t="shared" ca="1" si="143"/>
        <v>1.001075377526347</v>
      </c>
      <c r="T629" s="15">
        <v>0</v>
      </c>
      <c r="U629" s="15">
        <f t="shared" ca="1" si="133"/>
        <v>1.001075377526347</v>
      </c>
      <c r="V629" s="15">
        <f t="shared" ca="1" si="134"/>
        <v>1.0009918364232853</v>
      </c>
      <c r="X629" s="15">
        <f t="shared" si="135"/>
        <v>1.05</v>
      </c>
      <c r="Y629" s="15">
        <f t="shared" si="136"/>
        <v>0.95</v>
      </c>
      <c r="Z629" s="15">
        <f t="shared" ca="1" si="137"/>
        <v>1</v>
      </c>
      <c r="AC629" s="15">
        <f t="shared" ca="1" si="138"/>
        <v>9.8373949055530516E-7</v>
      </c>
      <c r="AD629" s="15">
        <f t="shared" ca="1" si="139"/>
        <v>9.9183642328526389E-4</v>
      </c>
      <c r="AE629" s="15">
        <f t="shared" ca="1" si="140"/>
        <v>0.5822079804684499</v>
      </c>
    </row>
    <row r="630" spans="12:31" x14ac:dyDescent="0.3">
      <c r="L630" s="15">
        <v>628</v>
      </c>
      <c r="M630" s="15">
        <f t="shared" si="130"/>
        <v>1</v>
      </c>
      <c r="N630" s="15">
        <f t="shared" ca="1" si="131"/>
        <v>-9.9183642328526389E-4</v>
      </c>
      <c r="O630" s="15">
        <f t="shared" ca="1" si="142"/>
        <v>0.24925772011982852</v>
      </c>
      <c r="P630" s="15">
        <f t="shared" ca="1" si="141"/>
        <v>0.24872205691615165</v>
      </c>
      <c r="Q630" s="15">
        <v>0</v>
      </c>
      <c r="R630" s="15">
        <f t="shared" ca="1" si="132"/>
        <v>0.24872205691615165</v>
      </c>
      <c r="S630" s="15">
        <f t="shared" ca="1" si="143"/>
        <v>1.0011157692189476</v>
      </c>
      <c r="T630" s="15">
        <v>0</v>
      </c>
      <c r="U630" s="15">
        <f t="shared" ca="1" si="133"/>
        <v>1.0011157692189476</v>
      </c>
      <c r="V630" s="15">
        <f t="shared" ca="1" si="134"/>
        <v>1.0009918364232853</v>
      </c>
      <c r="X630" s="15">
        <f t="shared" si="135"/>
        <v>1.05</v>
      </c>
      <c r="Y630" s="15">
        <f t="shared" si="136"/>
        <v>0.95</v>
      </c>
      <c r="Z630" s="15">
        <f t="shared" ca="1" si="137"/>
        <v>1</v>
      </c>
      <c r="AC630" s="15">
        <f t="shared" ca="1" si="138"/>
        <v>9.8373949055530516E-7</v>
      </c>
      <c r="AD630" s="15">
        <f t="shared" ca="1" si="139"/>
        <v>9.9183642328526389E-4</v>
      </c>
      <c r="AE630" s="15">
        <f t="shared" ca="1" si="140"/>
        <v>0.58319981689173517</v>
      </c>
    </row>
    <row r="631" spans="12:31" x14ac:dyDescent="0.3">
      <c r="L631" s="15">
        <v>629</v>
      </c>
      <c r="M631" s="15">
        <f t="shared" si="130"/>
        <v>1</v>
      </c>
      <c r="N631" s="15">
        <f t="shared" ca="1" si="131"/>
        <v>-9.9183642328526389E-4</v>
      </c>
      <c r="O631" s="15">
        <f t="shared" ca="1" si="142"/>
        <v>0.24925772011982852</v>
      </c>
      <c r="P631" s="15">
        <f t="shared" ca="1" si="141"/>
        <v>0.24872205691615165</v>
      </c>
      <c r="Q631" s="15">
        <v>0</v>
      </c>
      <c r="R631" s="15">
        <f t="shared" ca="1" si="132"/>
        <v>0.24872205691615165</v>
      </c>
      <c r="S631" s="15">
        <f t="shared" ca="1" si="143"/>
        <v>1.0011505095574309</v>
      </c>
      <c r="T631" s="15">
        <v>0</v>
      </c>
      <c r="U631" s="15">
        <f t="shared" ca="1" si="133"/>
        <v>1.0011505095574309</v>
      </c>
      <c r="V631" s="15">
        <f t="shared" ca="1" si="134"/>
        <v>1.0009918364232853</v>
      </c>
      <c r="X631" s="15">
        <f t="shared" si="135"/>
        <v>1.05</v>
      </c>
      <c r="Y631" s="15">
        <f t="shared" si="136"/>
        <v>0.95</v>
      </c>
      <c r="Z631" s="15">
        <f t="shared" ca="1" si="137"/>
        <v>1</v>
      </c>
      <c r="AC631" s="15">
        <f t="shared" ca="1" si="138"/>
        <v>9.8373949055530516E-7</v>
      </c>
      <c r="AD631" s="15">
        <f t="shared" ca="1" si="139"/>
        <v>9.9183642328526389E-4</v>
      </c>
      <c r="AE631" s="15">
        <f t="shared" ca="1" si="140"/>
        <v>0.58419165331502043</v>
      </c>
    </row>
    <row r="632" spans="12:31" x14ac:dyDescent="0.3">
      <c r="L632" s="15">
        <v>630</v>
      </c>
      <c r="M632" s="15">
        <f t="shared" si="130"/>
        <v>1</v>
      </c>
      <c r="N632" s="15">
        <f t="shared" ca="1" si="131"/>
        <v>-9.9183642328526389E-4</v>
      </c>
      <c r="O632" s="15">
        <f t="shared" ca="1" si="142"/>
        <v>0.25053300012974916</v>
      </c>
      <c r="P632" s="15">
        <f t="shared" ca="1" si="141"/>
        <v>0.25024795910582132</v>
      </c>
      <c r="Q632" s="15">
        <v>0</v>
      </c>
      <c r="R632" s="15">
        <f t="shared" ca="1" si="132"/>
        <v>0.25024795910582132</v>
      </c>
      <c r="S632" s="15">
        <f t="shared" ca="1" si="143"/>
        <v>1.0011801689649138</v>
      </c>
      <c r="T632" s="15">
        <v>0</v>
      </c>
      <c r="U632" s="15">
        <f t="shared" ca="1" si="133"/>
        <v>1.0011801689649138</v>
      </c>
      <c r="V632" s="15">
        <f t="shared" ca="1" si="134"/>
        <v>1.0009918364232853</v>
      </c>
      <c r="X632" s="15">
        <f t="shared" si="135"/>
        <v>1.05</v>
      </c>
      <c r="Y632" s="15">
        <f t="shared" si="136"/>
        <v>0.95</v>
      </c>
      <c r="Z632" s="15">
        <f t="shared" ca="1" si="137"/>
        <v>1</v>
      </c>
      <c r="AC632" s="15">
        <f t="shared" ca="1" si="138"/>
        <v>9.8373949055530516E-7</v>
      </c>
      <c r="AD632" s="15">
        <f t="shared" ca="1" si="139"/>
        <v>9.9183642328526389E-4</v>
      </c>
      <c r="AE632" s="15">
        <f t="shared" ca="1" si="140"/>
        <v>0.5851834897383057</v>
      </c>
    </row>
    <row r="633" spans="12:31" x14ac:dyDescent="0.3">
      <c r="L633" s="15">
        <v>631</v>
      </c>
      <c r="M633" s="15">
        <f t="shared" si="130"/>
        <v>1</v>
      </c>
      <c r="N633" s="15">
        <f t="shared" ca="1" si="131"/>
        <v>-9.9183642328526389E-4</v>
      </c>
      <c r="O633" s="15">
        <f t="shared" ca="1" si="142"/>
        <v>0.25053300012974916</v>
      </c>
      <c r="P633" s="15">
        <f t="shared" ca="1" si="141"/>
        <v>0.25024795910582132</v>
      </c>
      <c r="Q633" s="15">
        <v>0</v>
      </c>
      <c r="R633" s="15">
        <f t="shared" ca="1" si="132"/>
        <v>0.25024795910582132</v>
      </c>
      <c r="S633" s="15">
        <f t="shared" ca="1" si="143"/>
        <v>1.0012052669475502</v>
      </c>
      <c r="T633" s="15">
        <v>0</v>
      </c>
      <c r="U633" s="15">
        <f t="shared" ca="1" si="133"/>
        <v>1.0012052669475502</v>
      </c>
      <c r="V633" s="15">
        <f t="shared" ca="1" si="134"/>
        <v>1.0009918364232853</v>
      </c>
      <c r="X633" s="15">
        <f t="shared" si="135"/>
        <v>1.05</v>
      </c>
      <c r="Y633" s="15">
        <f t="shared" si="136"/>
        <v>0.95</v>
      </c>
      <c r="Z633" s="15">
        <f t="shared" ca="1" si="137"/>
        <v>1</v>
      </c>
      <c r="AC633" s="15">
        <f t="shared" ca="1" si="138"/>
        <v>9.8373949055530516E-7</v>
      </c>
      <c r="AD633" s="15">
        <f t="shared" ca="1" si="139"/>
        <v>9.9183642328526389E-4</v>
      </c>
      <c r="AE633" s="15">
        <f t="shared" ca="1" si="140"/>
        <v>0.58617532616159096</v>
      </c>
    </row>
    <row r="634" spans="12:31" x14ac:dyDescent="0.3">
      <c r="L634" s="15">
        <v>632</v>
      </c>
      <c r="M634" s="15">
        <f t="shared" si="130"/>
        <v>1</v>
      </c>
      <c r="N634" s="15">
        <f t="shared" ca="1" si="131"/>
        <v>-9.9183642328526389E-4</v>
      </c>
      <c r="O634" s="15">
        <f t="shared" ca="1" si="142"/>
        <v>0.25053300012974916</v>
      </c>
      <c r="P634" s="15">
        <f t="shared" ca="1" si="141"/>
        <v>0.25024795910582132</v>
      </c>
      <c r="Q634" s="15">
        <v>0</v>
      </c>
      <c r="R634" s="15">
        <f t="shared" ca="1" si="132"/>
        <v>0.25024795910582132</v>
      </c>
      <c r="S634" s="15">
        <f t="shared" ca="1" si="143"/>
        <v>1.001226276360426</v>
      </c>
      <c r="T634" s="15">
        <v>0</v>
      </c>
      <c r="U634" s="15">
        <f t="shared" ca="1" si="133"/>
        <v>1.001226276360426</v>
      </c>
      <c r="V634" s="15">
        <f t="shared" ca="1" si="134"/>
        <v>1.0009918364232853</v>
      </c>
      <c r="X634" s="15">
        <f t="shared" si="135"/>
        <v>1.05</v>
      </c>
      <c r="Y634" s="15">
        <f t="shared" si="136"/>
        <v>0.95</v>
      </c>
      <c r="Z634" s="15">
        <f t="shared" ca="1" si="137"/>
        <v>1</v>
      </c>
      <c r="AC634" s="15">
        <f t="shared" ca="1" si="138"/>
        <v>9.8373949055530516E-7</v>
      </c>
      <c r="AD634" s="15">
        <f t="shared" ca="1" si="139"/>
        <v>9.9183642328526389E-4</v>
      </c>
      <c r="AE634" s="15">
        <f t="shared" ca="1" si="140"/>
        <v>0.58716716258487622</v>
      </c>
    </row>
    <row r="635" spans="12:31" x14ac:dyDescent="0.3">
      <c r="L635" s="15">
        <v>633</v>
      </c>
      <c r="M635" s="15">
        <f t="shared" si="130"/>
        <v>1</v>
      </c>
      <c r="N635" s="15">
        <f t="shared" ca="1" si="131"/>
        <v>-9.9183642328526389E-4</v>
      </c>
      <c r="O635" s="15">
        <f t="shared" ca="1" si="142"/>
        <v>0.25051424859927146</v>
      </c>
      <c r="P635" s="15">
        <f t="shared" ca="1" si="141"/>
        <v>0.25024795910582132</v>
      </c>
      <c r="Q635" s="15">
        <v>0</v>
      </c>
      <c r="R635" s="15">
        <f t="shared" ca="1" si="132"/>
        <v>0.25024795910582132</v>
      </c>
      <c r="S635" s="15">
        <f t="shared" ca="1" si="143"/>
        <v>1.0012436273292744</v>
      </c>
      <c r="T635" s="15">
        <v>0</v>
      </c>
      <c r="U635" s="15">
        <f t="shared" ca="1" si="133"/>
        <v>1.0012436273292744</v>
      </c>
      <c r="V635" s="15">
        <f t="shared" ca="1" si="134"/>
        <v>1.0009918364232853</v>
      </c>
      <c r="X635" s="15">
        <f t="shared" si="135"/>
        <v>1.05</v>
      </c>
      <c r="Y635" s="15">
        <f t="shared" si="136"/>
        <v>0.95</v>
      </c>
      <c r="Z635" s="15">
        <f t="shared" ca="1" si="137"/>
        <v>1</v>
      </c>
      <c r="AC635" s="15">
        <f t="shared" ca="1" si="138"/>
        <v>9.8373949055530516E-7</v>
      </c>
      <c r="AD635" s="15">
        <f t="shared" ca="1" si="139"/>
        <v>9.9183642328526389E-4</v>
      </c>
      <c r="AE635" s="15">
        <f t="shared" ca="1" si="140"/>
        <v>0.58815899900816149</v>
      </c>
    </row>
    <row r="636" spans="12:31" x14ac:dyDescent="0.3">
      <c r="L636" s="15">
        <v>634</v>
      </c>
      <c r="M636" s="15">
        <f t="shared" si="130"/>
        <v>1</v>
      </c>
      <c r="N636" s="15">
        <f t="shared" ca="1" si="131"/>
        <v>-9.9183642328526389E-4</v>
      </c>
      <c r="O636" s="15">
        <f t="shared" ca="1" si="142"/>
        <v>0.25051424859927146</v>
      </c>
      <c r="P636" s="15">
        <f t="shared" ca="1" si="141"/>
        <v>0.25024795910582132</v>
      </c>
      <c r="Q636" s="15">
        <v>0</v>
      </c>
      <c r="R636" s="15">
        <f t="shared" ca="1" si="132"/>
        <v>0.25024795910582132</v>
      </c>
      <c r="S636" s="15">
        <f t="shared" ca="1" si="143"/>
        <v>1.0012577108551108</v>
      </c>
      <c r="T636" s="15">
        <v>0</v>
      </c>
      <c r="U636" s="15">
        <f t="shared" ca="1" si="133"/>
        <v>1.0012577108551108</v>
      </c>
      <c r="V636" s="15">
        <f t="shared" ca="1" si="134"/>
        <v>1.0009918364232853</v>
      </c>
      <c r="X636" s="15">
        <f t="shared" si="135"/>
        <v>1.05</v>
      </c>
      <c r="Y636" s="15">
        <f t="shared" si="136"/>
        <v>0.95</v>
      </c>
      <c r="Z636" s="15">
        <f t="shared" ca="1" si="137"/>
        <v>1</v>
      </c>
      <c r="AC636" s="15">
        <f t="shared" ca="1" si="138"/>
        <v>9.8373949055530516E-7</v>
      </c>
      <c r="AD636" s="15">
        <f t="shared" ca="1" si="139"/>
        <v>9.9183642328526389E-4</v>
      </c>
      <c r="AE636" s="15">
        <f t="shared" ca="1" si="140"/>
        <v>0.58915083543144675</v>
      </c>
    </row>
    <row r="637" spans="12:31" x14ac:dyDescent="0.3">
      <c r="L637" s="15">
        <v>635</v>
      </c>
      <c r="M637" s="15">
        <f t="shared" si="130"/>
        <v>1</v>
      </c>
      <c r="N637" s="15">
        <f t="shared" ca="1" si="131"/>
        <v>-9.9183642328526389E-4</v>
      </c>
      <c r="O637" s="15">
        <f t="shared" ca="1" si="142"/>
        <v>0.25051424859927146</v>
      </c>
      <c r="P637" s="15">
        <f t="shared" ca="1" si="141"/>
        <v>0.25024795910582132</v>
      </c>
      <c r="Q637" s="15">
        <v>0</v>
      </c>
      <c r="R637" s="15">
        <f t="shared" ca="1" si="132"/>
        <v>0.25024795910582132</v>
      </c>
      <c r="S637" s="15">
        <f t="shared" ca="1" si="143"/>
        <v>1.001268882126793</v>
      </c>
      <c r="T637" s="15">
        <v>0</v>
      </c>
      <c r="U637" s="15">
        <f t="shared" ca="1" si="133"/>
        <v>1.001268882126793</v>
      </c>
      <c r="V637" s="15">
        <f t="shared" ca="1" si="134"/>
        <v>1.0009918364232853</v>
      </c>
      <c r="X637" s="15">
        <f t="shared" si="135"/>
        <v>1.05</v>
      </c>
      <c r="Y637" s="15">
        <f t="shared" si="136"/>
        <v>0.95</v>
      </c>
      <c r="Z637" s="15">
        <f t="shared" ca="1" si="137"/>
        <v>1</v>
      </c>
      <c r="AC637" s="15">
        <f t="shared" ca="1" si="138"/>
        <v>9.8373949055530516E-7</v>
      </c>
      <c r="AD637" s="15">
        <f t="shared" ca="1" si="139"/>
        <v>9.9183642328526389E-4</v>
      </c>
      <c r="AE637" s="15">
        <f t="shared" ca="1" si="140"/>
        <v>0.59014267185473201</v>
      </c>
    </row>
    <row r="638" spans="12:31" x14ac:dyDescent="0.3">
      <c r="L638" s="15">
        <v>636</v>
      </c>
      <c r="M638" s="15">
        <f t="shared" si="130"/>
        <v>1</v>
      </c>
      <c r="N638" s="15">
        <f t="shared" ca="1" si="131"/>
        <v>-9.9183642328526389E-4</v>
      </c>
      <c r="O638" s="15">
        <f t="shared" ca="1" si="142"/>
        <v>0.25049549706879376</v>
      </c>
      <c r="P638" s="15">
        <f t="shared" ca="1" si="141"/>
        <v>0.25024795910582132</v>
      </c>
      <c r="Q638" s="15">
        <v>0</v>
      </c>
      <c r="R638" s="15">
        <f t="shared" ca="1" si="132"/>
        <v>0.25024795910582132</v>
      </c>
      <c r="S638" s="15">
        <f t="shared" ca="1" si="143"/>
        <v>1.0012774635645683</v>
      </c>
      <c r="T638" s="15">
        <v>0</v>
      </c>
      <c r="U638" s="15">
        <f t="shared" ca="1" si="133"/>
        <v>1.0012774635645683</v>
      </c>
      <c r="V638" s="15">
        <f t="shared" ca="1" si="134"/>
        <v>1.0009918364232853</v>
      </c>
      <c r="X638" s="15">
        <f t="shared" si="135"/>
        <v>1.05</v>
      </c>
      <c r="Y638" s="15">
        <f t="shared" si="136"/>
        <v>0.95</v>
      </c>
      <c r="Z638" s="15">
        <f t="shared" ca="1" si="137"/>
        <v>1</v>
      </c>
      <c r="AC638" s="15">
        <f t="shared" ca="1" si="138"/>
        <v>9.8373949055530516E-7</v>
      </c>
      <c r="AD638" s="15">
        <f t="shared" ca="1" si="139"/>
        <v>9.9183642328526389E-4</v>
      </c>
      <c r="AE638" s="15">
        <f t="shared" ca="1" si="140"/>
        <v>0.59113450827801728</v>
      </c>
    </row>
    <row r="639" spans="12:31" x14ac:dyDescent="0.3">
      <c r="L639" s="15">
        <v>637</v>
      </c>
      <c r="M639" s="15">
        <f t="shared" si="130"/>
        <v>1</v>
      </c>
      <c r="N639" s="15">
        <f t="shared" ca="1" si="131"/>
        <v>-9.9183642328526389E-4</v>
      </c>
      <c r="O639" s="15">
        <f t="shared" ca="1" si="142"/>
        <v>0.25049549706879376</v>
      </c>
      <c r="P639" s="15">
        <f t="shared" ca="1" si="141"/>
        <v>0.25024795910582132</v>
      </c>
      <c r="Q639" s="15">
        <v>0</v>
      </c>
      <c r="R639" s="15">
        <f t="shared" ca="1" si="132"/>
        <v>0.25024795910582132</v>
      </c>
      <c r="S639" s="15">
        <f t="shared" ca="1" si="143"/>
        <v>1.0012837476158829</v>
      </c>
      <c r="T639" s="15">
        <v>0</v>
      </c>
      <c r="U639" s="15">
        <f t="shared" ca="1" si="133"/>
        <v>1.0012837476158829</v>
      </c>
      <c r="V639" s="15">
        <f t="shared" ca="1" si="134"/>
        <v>1.0009918364232853</v>
      </c>
      <c r="X639" s="15">
        <f t="shared" si="135"/>
        <v>1.05</v>
      </c>
      <c r="Y639" s="15">
        <f t="shared" si="136"/>
        <v>0.95</v>
      </c>
      <c r="Z639" s="15">
        <f t="shared" ca="1" si="137"/>
        <v>1</v>
      </c>
      <c r="AC639" s="15">
        <f t="shared" ca="1" si="138"/>
        <v>9.8373949055530516E-7</v>
      </c>
      <c r="AD639" s="15">
        <f t="shared" ca="1" si="139"/>
        <v>9.9183642328526389E-4</v>
      </c>
      <c r="AE639" s="15">
        <f t="shared" ca="1" si="140"/>
        <v>0.59212634470130254</v>
      </c>
    </row>
    <row r="640" spans="12:31" x14ac:dyDescent="0.3">
      <c r="L640" s="15">
        <v>638</v>
      </c>
      <c r="M640" s="15">
        <f t="shared" si="130"/>
        <v>1</v>
      </c>
      <c r="N640" s="15">
        <f t="shared" ca="1" si="131"/>
        <v>-9.9183642328526389E-4</v>
      </c>
      <c r="O640" s="15">
        <f t="shared" ca="1" si="142"/>
        <v>0.25049549706879376</v>
      </c>
      <c r="P640" s="15">
        <f t="shared" ca="1" si="141"/>
        <v>0.25024795910582132</v>
      </c>
      <c r="Q640" s="15">
        <v>0</v>
      </c>
      <c r="R640" s="15">
        <f t="shared" ca="1" si="132"/>
        <v>0.25024795910582132</v>
      </c>
      <c r="S640" s="15">
        <f t="shared" ca="1" si="143"/>
        <v>1.0012879993230763</v>
      </c>
      <c r="T640" s="15">
        <v>0</v>
      </c>
      <c r="U640" s="15">
        <f t="shared" ca="1" si="133"/>
        <v>1.0012879993230763</v>
      </c>
      <c r="V640" s="15">
        <f t="shared" ca="1" si="134"/>
        <v>1.0009918364232853</v>
      </c>
      <c r="X640" s="15">
        <f t="shared" si="135"/>
        <v>1.05</v>
      </c>
      <c r="Y640" s="15">
        <f t="shared" si="136"/>
        <v>0.95</v>
      </c>
      <c r="Z640" s="15">
        <f t="shared" ca="1" si="137"/>
        <v>1</v>
      </c>
      <c r="AC640" s="15">
        <f t="shared" ca="1" si="138"/>
        <v>9.8373949055530516E-7</v>
      </c>
      <c r="AD640" s="15">
        <f t="shared" ca="1" si="139"/>
        <v>9.9183642328526389E-4</v>
      </c>
      <c r="AE640" s="15">
        <f t="shared" ca="1" si="140"/>
        <v>0.59311818112458781</v>
      </c>
    </row>
    <row r="641" spans="12:31" x14ac:dyDescent="0.3">
      <c r="L641" s="15">
        <v>639</v>
      </c>
      <c r="M641" s="15">
        <f t="shared" si="130"/>
        <v>1</v>
      </c>
      <c r="N641" s="15">
        <f t="shared" ca="1" si="131"/>
        <v>-9.9183642328526389E-4</v>
      </c>
      <c r="O641" s="15">
        <f t="shared" ca="1" si="142"/>
        <v>0.25047674553831606</v>
      </c>
      <c r="P641" s="15">
        <f t="shared" ca="1" si="141"/>
        <v>0.25024795910582132</v>
      </c>
      <c r="Q641" s="15">
        <v>0</v>
      </c>
      <c r="R641" s="15">
        <f t="shared" ca="1" si="132"/>
        <v>0.25024795910582132</v>
      </c>
      <c r="S641" s="15">
        <f t="shared" ca="1" si="143"/>
        <v>1.001290458681054</v>
      </c>
      <c r="T641" s="15">
        <v>0</v>
      </c>
      <c r="U641" s="15">
        <f t="shared" ca="1" si="133"/>
        <v>1.001290458681054</v>
      </c>
      <c r="V641" s="15">
        <f t="shared" ca="1" si="134"/>
        <v>1.0009918364232853</v>
      </c>
      <c r="X641" s="15">
        <f t="shared" si="135"/>
        <v>1.05</v>
      </c>
      <c r="Y641" s="15">
        <f t="shared" si="136"/>
        <v>0.95</v>
      </c>
      <c r="Z641" s="15">
        <f t="shared" ca="1" si="137"/>
        <v>1</v>
      </c>
      <c r="AC641" s="15">
        <f t="shared" ca="1" si="138"/>
        <v>9.8373949055530516E-7</v>
      </c>
      <c r="AD641" s="15">
        <f t="shared" ca="1" si="139"/>
        <v>9.9183642328526389E-4</v>
      </c>
      <c r="AE641" s="15">
        <f t="shared" ca="1" si="140"/>
        <v>0.59411001754787307</v>
      </c>
    </row>
    <row r="642" spans="12:31" x14ac:dyDescent="0.3">
      <c r="L642" s="15">
        <v>640</v>
      </c>
      <c r="M642" s="15">
        <f t="shared" si="130"/>
        <v>1</v>
      </c>
      <c r="N642" s="15">
        <f t="shared" ca="1" si="131"/>
        <v>-9.9183642328526389E-4</v>
      </c>
      <c r="O642" s="15">
        <f t="shared" ca="1" si="142"/>
        <v>0.25047674553831606</v>
      </c>
      <c r="P642" s="15">
        <f t="shared" ca="1" si="141"/>
        <v>0.25024795910582132</v>
      </c>
      <c r="Q642" s="15">
        <v>0</v>
      </c>
      <c r="R642" s="15">
        <f t="shared" ca="1" si="132"/>
        <v>0.25024795910582132</v>
      </c>
      <c r="S642" s="15">
        <f t="shared" ca="1" si="143"/>
        <v>1.0012913428016279</v>
      </c>
      <c r="T642" s="15">
        <v>0</v>
      </c>
      <c r="U642" s="15">
        <f t="shared" ca="1" si="133"/>
        <v>1.0012913428016279</v>
      </c>
      <c r="V642" s="15">
        <f t="shared" ca="1" si="134"/>
        <v>1.0009918364232853</v>
      </c>
      <c r="X642" s="15">
        <f t="shared" si="135"/>
        <v>1.05</v>
      </c>
      <c r="Y642" s="15">
        <f t="shared" si="136"/>
        <v>0.95</v>
      </c>
      <c r="Z642" s="15">
        <f t="shared" ca="1" si="137"/>
        <v>1</v>
      </c>
      <c r="AC642" s="15">
        <f t="shared" ca="1" si="138"/>
        <v>9.8373949055530516E-7</v>
      </c>
      <c r="AD642" s="15">
        <f t="shared" ca="1" si="139"/>
        <v>9.9183642328526389E-4</v>
      </c>
      <c r="AE642" s="15">
        <f t="shared" ca="1" si="140"/>
        <v>0.59510185397115833</v>
      </c>
    </row>
    <row r="643" spans="12:31" x14ac:dyDescent="0.3">
      <c r="L643" s="15">
        <v>641</v>
      </c>
      <c r="M643" s="15">
        <f t="shared" ref="M643:M706" si="144">IF(L643&lt;$D$16,$D$12,IF(L643&lt;$E$16,$E$12,$F$13))</f>
        <v>1</v>
      </c>
      <c r="N643" s="15">
        <f t="shared" ref="N643:N706" ca="1" si="145">M643-V643</f>
        <v>-9.9183642328526389E-4</v>
      </c>
      <c r="O643" s="15">
        <f t="shared" ca="1" si="142"/>
        <v>0.25047674553831606</v>
      </c>
      <c r="P643" s="15">
        <f t="shared" ca="1" si="141"/>
        <v>0.25024795910582132</v>
      </c>
      <c r="Q643" s="15">
        <v>0</v>
      </c>
      <c r="R643" s="15">
        <f t="shared" ref="R643:R706" ca="1" si="146">P643+Q643</f>
        <v>0.25024795910582132</v>
      </c>
      <c r="S643" s="15">
        <f t="shared" ca="1" si="143"/>
        <v>1.0012908478999096</v>
      </c>
      <c r="T643" s="15">
        <v>0</v>
      </c>
      <c r="U643" s="15">
        <f t="shared" ref="U643:U706" ca="1" si="147">S643+T643</f>
        <v>1.0012908478999096</v>
      </c>
      <c r="V643" s="15">
        <f t="shared" ref="V643:V706" ca="1" si="148">INT((2^$J$12-1)*U643/100)/(2^$J$12-1)*100</f>
        <v>1.0009918364232853</v>
      </c>
      <c r="X643" s="15">
        <f t="shared" ref="X643:X706" si="149">M643 * 1.05</f>
        <v>1.05</v>
      </c>
      <c r="Y643" s="15">
        <f t="shared" ref="Y643:Y706" si="150">M643 * 0.95</f>
        <v>0.95</v>
      </c>
      <c r="Z643" s="15">
        <f t="shared" ref="Z643:Z706" ca="1" si="151">IF(AND(V643 &lt;= X643, V643 &gt;= Y643), 1, 0)</f>
        <v>1</v>
      </c>
      <c r="AC643" s="15">
        <f t="shared" ref="AC643:AC706" ca="1" si="152">N643^2</f>
        <v>9.8373949055530516E-7</v>
      </c>
      <c r="AD643" s="15">
        <f t="shared" ref="AD643:AD706" ca="1" si="153">ABS(N643)</f>
        <v>9.9183642328526389E-4</v>
      </c>
      <c r="AE643" s="15">
        <f t="shared" ref="AE643:AE706" ca="1" si="154">IF(M643&gt;0, ABS(N643)*(L643-$D$16),0)</f>
        <v>0.5960936903944436</v>
      </c>
    </row>
    <row r="644" spans="12:31" x14ac:dyDescent="0.3">
      <c r="L644" s="15">
        <v>642</v>
      </c>
      <c r="M644" s="15">
        <f t="shared" si="144"/>
        <v>1</v>
      </c>
      <c r="N644" s="15">
        <f t="shared" ca="1" si="145"/>
        <v>-9.9183642328526389E-4</v>
      </c>
      <c r="O644" s="15">
        <f t="shared" ca="1" si="142"/>
        <v>0.25045799400783836</v>
      </c>
      <c r="P644" s="15">
        <f t="shared" ca="1" si="141"/>
        <v>0.25024795910582132</v>
      </c>
      <c r="Q644" s="15">
        <v>0</v>
      </c>
      <c r="R644" s="15">
        <f t="shared" ca="1" si="146"/>
        <v>0.25024795910582132</v>
      </c>
      <c r="S644" s="15">
        <f t="shared" ca="1" si="143"/>
        <v>1.0012891511169444</v>
      </c>
      <c r="T644" s="15">
        <v>0</v>
      </c>
      <c r="U644" s="15">
        <f t="shared" ca="1" si="147"/>
        <v>1.0012891511169444</v>
      </c>
      <c r="V644" s="15">
        <f t="shared" ca="1" si="148"/>
        <v>1.0009918364232853</v>
      </c>
      <c r="X644" s="15">
        <f t="shared" si="149"/>
        <v>1.05</v>
      </c>
      <c r="Y644" s="15">
        <f t="shared" si="150"/>
        <v>0.95</v>
      </c>
      <c r="Z644" s="15">
        <f t="shared" ca="1" si="151"/>
        <v>1</v>
      </c>
      <c r="AC644" s="15">
        <f t="shared" ca="1" si="152"/>
        <v>9.8373949055530516E-7</v>
      </c>
      <c r="AD644" s="15">
        <f t="shared" ca="1" si="153"/>
        <v>9.9183642328526389E-4</v>
      </c>
      <c r="AE644" s="15">
        <f t="shared" ca="1" si="154"/>
        <v>0.59708552681772886</v>
      </c>
    </row>
    <row r="645" spans="12:31" x14ac:dyDescent="0.3">
      <c r="L645" s="15">
        <v>643</v>
      </c>
      <c r="M645" s="15">
        <f t="shared" si="144"/>
        <v>1</v>
      </c>
      <c r="N645" s="15">
        <f t="shared" ca="1" si="145"/>
        <v>-9.9183642328526389E-4</v>
      </c>
      <c r="O645" s="15">
        <f t="shared" ca="1" si="142"/>
        <v>0.25045799400783836</v>
      </c>
      <c r="P645" s="15">
        <f t="shared" ca="1" si="141"/>
        <v>0.25024795910582132</v>
      </c>
      <c r="Q645" s="15">
        <v>0</v>
      </c>
      <c r="R645" s="15">
        <f t="shared" ca="1" si="146"/>
        <v>0.25024795910582132</v>
      </c>
      <c r="S645" s="15">
        <f t="shared" ca="1" si="143"/>
        <v>1.001286412191662</v>
      </c>
      <c r="T645" s="15">
        <v>0</v>
      </c>
      <c r="U645" s="15">
        <f t="shared" ca="1" si="147"/>
        <v>1.001286412191662</v>
      </c>
      <c r="V645" s="15">
        <f t="shared" ca="1" si="148"/>
        <v>1.0009918364232853</v>
      </c>
      <c r="X645" s="15">
        <f t="shared" si="149"/>
        <v>1.05</v>
      </c>
      <c r="Y645" s="15">
        <f t="shared" si="150"/>
        <v>0.95</v>
      </c>
      <c r="Z645" s="15">
        <f t="shared" ca="1" si="151"/>
        <v>1</v>
      </c>
      <c r="AC645" s="15">
        <f t="shared" ca="1" si="152"/>
        <v>9.8373949055530516E-7</v>
      </c>
      <c r="AD645" s="15">
        <f t="shared" ca="1" si="153"/>
        <v>9.9183642328526389E-4</v>
      </c>
      <c r="AE645" s="15">
        <f t="shared" ca="1" si="154"/>
        <v>0.59807736324101413</v>
      </c>
    </row>
    <row r="646" spans="12:31" x14ac:dyDescent="0.3">
      <c r="L646" s="15">
        <v>644</v>
      </c>
      <c r="M646" s="15">
        <f t="shared" si="144"/>
        <v>1</v>
      </c>
      <c r="N646" s="15">
        <f t="shared" ca="1" si="145"/>
        <v>-9.9183642328526389E-4</v>
      </c>
      <c r="O646" s="15">
        <f t="shared" ca="1" si="142"/>
        <v>0.25045799400783836</v>
      </c>
      <c r="P646" s="15">
        <f t="shared" ca="1" si="141"/>
        <v>0.25024795910582132</v>
      </c>
      <c r="Q646" s="15">
        <v>0</v>
      </c>
      <c r="R646" s="15">
        <f t="shared" ca="1" si="146"/>
        <v>0.25024795910582132</v>
      </c>
      <c r="S646" s="15">
        <f t="shared" ca="1" si="143"/>
        <v>1.0012827749942015</v>
      </c>
      <c r="T646" s="15">
        <v>0</v>
      </c>
      <c r="U646" s="15">
        <f t="shared" ca="1" si="147"/>
        <v>1.0012827749942015</v>
      </c>
      <c r="V646" s="15">
        <f t="shared" ca="1" si="148"/>
        <v>1.0009918364232853</v>
      </c>
      <c r="X646" s="15">
        <f t="shared" si="149"/>
        <v>1.05</v>
      </c>
      <c r="Y646" s="15">
        <f t="shared" si="150"/>
        <v>0.95</v>
      </c>
      <c r="Z646" s="15">
        <f t="shared" ca="1" si="151"/>
        <v>1</v>
      </c>
      <c r="AC646" s="15">
        <f t="shared" ca="1" si="152"/>
        <v>9.8373949055530516E-7</v>
      </c>
      <c r="AD646" s="15">
        <f t="shared" ca="1" si="153"/>
        <v>9.9183642328526389E-4</v>
      </c>
      <c r="AE646" s="15">
        <f t="shared" ca="1" si="154"/>
        <v>0.59906919966429939</v>
      </c>
    </row>
    <row r="647" spans="12:31" x14ac:dyDescent="0.3">
      <c r="L647" s="15">
        <v>645</v>
      </c>
      <c r="M647" s="15">
        <f t="shared" si="144"/>
        <v>1</v>
      </c>
      <c r="N647" s="15">
        <f t="shared" ca="1" si="145"/>
        <v>-9.9183642328526389E-4</v>
      </c>
      <c r="O647" s="15">
        <f t="shared" ca="1" si="142"/>
        <v>0.25043924247736066</v>
      </c>
      <c r="P647" s="15">
        <f t="shared" ca="1" si="141"/>
        <v>0.25024795910582132</v>
      </c>
      <c r="Q647" s="15">
        <v>0</v>
      </c>
      <c r="R647" s="15">
        <f t="shared" ca="1" si="146"/>
        <v>0.25024795910582132</v>
      </c>
      <c r="S647" s="15">
        <f t="shared" ca="1" si="143"/>
        <v>1.0012783689317193</v>
      </c>
      <c r="T647" s="15">
        <v>0</v>
      </c>
      <c r="U647" s="15">
        <f t="shared" ca="1" si="147"/>
        <v>1.0012783689317193</v>
      </c>
      <c r="V647" s="15">
        <f t="shared" ca="1" si="148"/>
        <v>1.0009918364232853</v>
      </c>
      <c r="X647" s="15">
        <f t="shared" si="149"/>
        <v>1.05</v>
      </c>
      <c r="Y647" s="15">
        <f t="shared" si="150"/>
        <v>0.95</v>
      </c>
      <c r="Z647" s="15">
        <f t="shared" ca="1" si="151"/>
        <v>1</v>
      </c>
      <c r="AC647" s="15">
        <f t="shared" ca="1" si="152"/>
        <v>9.8373949055530516E-7</v>
      </c>
      <c r="AD647" s="15">
        <f t="shared" ca="1" si="153"/>
        <v>9.9183642328526389E-4</v>
      </c>
      <c r="AE647" s="15">
        <f t="shared" ca="1" si="154"/>
        <v>0.60006103608758465</v>
      </c>
    </row>
    <row r="648" spans="12:31" x14ac:dyDescent="0.3">
      <c r="L648" s="15">
        <v>646</v>
      </c>
      <c r="M648" s="15">
        <f t="shared" si="144"/>
        <v>1</v>
      </c>
      <c r="N648" s="15">
        <f t="shared" ca="1" si="145"/>
        <v>-9.9183642328526389E-4</v>
      </c>
      <c r="O648" s="15">
        <f t="shared" ca="1" si="142"/>
        <v>0.25043924247736066</v>
      </c>
      <c r="P648" s="15">
        <f t="shared" ca="1" si="141"/>
        <v>0.25024795910582132</v>
      </c>
      <c r="Q648" s="15">
        <v>0</v>
      </c>
      <c r="R648" s="15">
        <f t="shared" ca="1" si="146"/>
        <v>0.25024795910582132</v>
      </c>
      <c r="S648" s="15">
        <f t="shared" ca="1" si="143"/>
        <v>1.0012733102369236</v>
      </c>
      <c r="T648" s="15">
        <v>0</v>
      </c>
      <c r="U648" s="15">
        <f t="shared" ca="1" si="147"/>
        <v>1.0012733102369236</v>
      </c>
      <c r="V648" s="15">
        <f t="shared" ca="1" si="148"/>
        <v>1.0009918364232853</v>
      </c>
      <c r="X648" s="15">
        <f t="shared" si="149"/>
        <v>1.05</v>
      </c>
      <c r="Y648" s="15">
        <f t="shared" si="150"/>
        <v>0.95</v>
      </c>
      <c r="Z648" s="15">
        <f t="shared" ca="1" si="151"/>
        <v>1</v>
      </c>
      <c r="AC648" s="15">
        <f t="shared" ca="1" si="152"/>
        <v>9.8373949055530516E-7</v>
      </c>
      <c r="AD648" s="15">
        <f t="shared" ca="1" si="153"/>
        <v>9.9183642328526389E-4</v>
      </c>
      <c r="AE648" s="15">
        <f t="shared" ca="1" si="154"/>
        <v>0.60105287251086992</v>
      </c>
    </row>
    <row r="649" spans="12:31" x14ac:dyDescent="0.3">
      <c r="L649" s="15">
        <v>647</v>
      </c>
      <c r="M649" s="15">
        <f t="shared" si="144"/>
        <v>1</v>
      </c>
      <c r="N649" s="15">
        <f t="shared" ca="1" si="145"/>
        <v>-9.9183642328526389E-4</v>
      </c>
      <c r="O649" s="15">
        <f t="shared" ca="1" si="142"/>
        <v>0.25043924247736066</v>
      </c>
      <c r="P649" s="15">
        <f t="shared" ca="1" si="141"/>
        <v>0.25024795910582132</v>
      </c>
      <c r="Q649" s="15">
        <v>0</v>
      </c>
      <c r="R649" s="15">
        <f t="shared" ca="1" si="146"/>
        <v>0.25024795910582132</v>
      </c>
      <c r="S649" s="15">
        <f t="shared" ca="1" si="143"/>
        <v>1.0012677031487687</v>
      </c>
      <c r="T649" s="15">
        <v>0</v>
      </c>
      <c r="U649" s="15">
        <f t="shared" ca="1" si="147"/>
        <v>1.0012677031487687</v>
      </c>
      <c r="V649" s="15">
        <f t="shared" ca="1" si="148"/>
        <v>1.0009918364232853</v>
      </c>
      <c r="X649" s="15">
        <f t="shared" si="149"/>
        <v>1.05</v>
      </c>
      <c r="Y649" s="15">
        <f t="shared" si="150"/>
        <v>0.95</v>
      </c>
      <c r="Z649" s="15">
        <f t="shared" ca="1" si="151"/>
        <v>1</v>
      </c>
      <c r="AC649" s="15">
        <f t="shared" ca="1" si="152"/>
        <v>9.8373949055530516E-7</v>
      </c>
      <c r="AD649" s="15">
        <f t="shared" ca="1" si="153"/>
        <v>9.9183642328526389E-4</v>
      </c>
      <c r="AE649" s="15">
        <f t="shared" ca="1" si="154"/>
        <v>0.60204470893415518</v>
      </c>
    </row>
    <row r="650" spans="12:31" x14ac:dyDescent="0.3">
      <c r="L650" s="15">
        <v>648</v>
      </c>
      <c r="M650" s="15">
        <f t="shared" si="144"/>
        <v>1</v>
      </c>
      <c r="N650" s="15">
        <f t="shared" ca="1" si="145"/>
        <v>-9.9183642328526389E-4</v>
      </c>
      <c r="O650" s="15">
        <f t="shared" ca="1" si="142"/>
        <v>0.25042049094688296</v>
      </c>
      <c r="P650" s="15">
        <f t="shared" ca="1" si="141"/>
        <v>0.25024795910582132</v>
      </c>
      <c r="Q650" s="15">
        <v>0</v>
      </c>
      <c r="R650" s="15">
        <f t="shared" ca="1" si="146"/>
        <v>0.25024795910582132</v>
      </c>
      <c r="S650" s="15">
        <f t="shared" ca="1" si="143"/>
        <v>1.0012484410598987</v>
      </c>
      <c r="T650" s="15">
        <v>0</v>
      </c>
      <c r="U650" s="15">
        <f t="shared" ca="1" si="147"/>
        <v>1.0012484410598987</v>
      </c>
      <c r="V650" s="15">
        <f t="shared" ca="1" si="148"/>
        <v>1.0009918364232853</v>
      </c>
      <c r="X650" s="15">
        <f t="shared" si="149"/>
        <v>1.05</v>
      </c>
      <c r="Y650" s="15">
        <f t="shared" si="150"/>
        <v>0.95</v>
      </c>
      <c r="Z650" s="15">
        <f t="shared" ca="1" si="151"/>
        <v>1</v>
      </c>
      <c r="AC650" s="15">
        <f t="shared" ca="1" si="152"/>
        <v>9.8373949055530516E-7</v>
      </c>
      <c r="AD650" s="15">
        <f t="shared" ca="1" si="153"/>
        <v>9.9183642328526389E-4</v>
      </c>
      <c r="AE650" s="15">
        <f t="shared" ca="1" si="154"/>
        <v>0.60303654535744045</v>
      </c>
    </row>
    <row r="651" spans="12:31" x14ac:dyDescent="0.3">
      <c r="L651" s="15">
        <v>649</v>
      </c>
      <c r="M651" s="15">
        <f t="shared" si="144"/>
        <v>1</v>
      </c>
      <c r="N651" s="15">
        <f t="shared" ca="1" si="145"/>
        <v>-9.9183642328526389E-4</v>
      </c>
      <c r="O651" s="15">
        <f t="shared" ca="1" si="142"/>
        <v>0.25042049094688296</v>
      </c>
      <c r="P651" s="15">
        <f t="shared" ca="1" si="141"/>
        <v>0.25024795910582132</v>
      </c>
      <c r="Q651" s="15">
        <v>0</v>
      </c>
      <c r="R651" s="15">
        <f t="shared" ca="1" si="146"/>
        <v>0.25024795910582132</v>
      </c>
      <c r="S651" s="15">
        <f t="shared" ca="1" si="143"/>
        <v>1.0012047227994245</v>
      </c>
      <c r="T651" s="15">
        <v>0</v>
      </c>
      <c r="U651" s="15">
        <f t="shared" ca="1" si="147"/>
        <v>1.0012047227994245</v>
      </c>
      <c r="V651" s="15">
        <f t="shared" ca="1" si="148"/>
        <v>1.0009918364232853</v>
      </c>
      <c r="X651" s="15">
        <f t="shared" si="149"/>
        <v>1.05</v>
      </c>
      <c r="Y651" s="15">
        <f t="shared" si="150"/>
        <v>0.95</v>
      </c>
      <c r="Z651" s="15">
        <f t="shared" ca="1" si="151"/>
        <v>1</v>
      </c>
      <c r="AC651" s="15">
        <f t="shared" ca="1" si="152"/>
        <v>9.8373949055530516E-7</v>
      </c>
      <c r="AD651" s="15">
        <f t="shared" ca="1" si="153"/>
        <v>9.9183642328526389E-4</v>
      </c>
      <c r="AE651" s="15">
        <f t="shared" ca="1" si="154"/>
        <v>0.60402838178072571</v>
      </c>
    </row>
    <row r="652" spans="12:31" x14ac:dyDescent="0.3">
      <c r="L652" s="15">
        <v>650</v>
      </c>
      <c r="M652" s="15">
        <f t="shared" si="144"/>
        <v>1</v>
      </c>
      <c r="N652" s="15">
        <f t="shared" ca="1" si="145"/>
        <v>-9.9183642328526389E-4</v>
      </c>
      <c r="O652" s="15">
        <f t="shared" ca="1" si="142"/>
        <v>0.25042049094688296</v>
      </c>
      <c r="P652" s="15">
        <f t="shared" ca="1" si="141"/>
        <v>0.25024795910582132</v>
      </c>
      <c r="Q652" s="15">
        <v>0</v>
      </c>
      <c r="R652" s="15">
        <f t="shared" ca="1" si="146"/>
        <v>0.25024795910582132</v>
      </c>
      <c r="S652" s="15">
        <f t="shared" ca="1" si="143"/>
        <v>1.0011398376512484</v>
      </c>
      <c r="T652" s="15">
        <v>0</v>
      </c>
      <c r="U652" s="15">
        <f t="shared" ca="1" si="147"/>
        <v>1.0011398376512484</v>
      </c>
      <c r="V652" s="15">
        <f t="shared" ca="1" si="148"/>
        <v>1.0009918364232853</v>
      </c>
      <c r="X652" s="15">
        <f t="shared" si="149"/>
        <v>1.05</v>
      </c>
      <c r="Y652" s="15">
        <f t="shared" si="150"/>
        <v>0.95</v>
      </c>
      <c r="Z652" s="15">
        <f t="shared" ca="1" si="151"/>
        <v>1</v>
      </c>
      <c r="AC652" s="15">
        <f t="shared" ca="1" si="152"/>
        <v>9.8373949055530516E-7</v>
      </c>
      <c r="AD652" s="15">
        <f t="shared" ca="1" si="153"/>
        <v>9.9183642328526389E-4</v>
      </c>
      <c r="AE652" s="15">
        <f t="shared" ca="1" si="154"/>
        <v>0.60502021820401097</v>
      </c>
    </row>
    <row r="653" spans="12:31" x14ac:dyDescent="0.3">
      <c r="L653" s="15">
        <v>651</v>
      </c>
      <c r="M653" s="15">
        <f t="shared" si="144"/>
        <v>1</v>
      </c>
      <c r="N653" s="15">
        <f t="shared" ca="1" si="145"/>
        <v>-9.9183642328526389E-4</v>
      </c>
      <c r="O653" s="15">
        <f t="shared" ca="1" si="142"/>
        <v>0.25040173941640526</v>
      </c>
      <c r="P653" s="15">
        <f t="shared" ref="P653:P716" ca="1" si="155">INT((2^$J$12-1)*O653/100)/(2^$J$12-1)*100</f>
        <v>0.25024795910582132</v>
      </c>
      <c r="Q653" s="15">
        <v>0</v>
      </c>
      <c r="R653" s="15">
        <f t="shared" ca="1" si="146"/>
        <v>0.25024795910582132</v>
      </c>
      <c r="S653" s="15">
        <f t="shared" ca="1" si="143"/>
        <v>1.0010699468319875</v>
      </c>
      <c r="T653" s="15">
        <v>0</v>
      </c>
      <c r="U653" s="15">
        <f t="shared" ca="1" si="147"/>
        <v>1.0010699468319875</v>
      </c>
      <c r="V653" s="15">
        <f t="shared" ca="1" si="148"/>
        <v>1.0009918364232853</v>
      </c>
      <c r="X653" s="15">
        <f t="shared" si="149"/>
        <v>1.05</v>
      </c>
      <c r="Y653" s="15">
        <f t="shared" si="150"/>
        <v>0.95</v>
      </c>
      <c r="Z653" s="15">
        <f t="shared" ca="1" si="151"/>
        <v>1</v>
      </c>
      <c r="AC653" s="15">
        <f t="shared" ca="1" si="152"/>
        <v>9.8373949055530516E-7</v>
      </c>
      <c r="AD653" s="15">
        <f t="shared" ca="1" si="153"/>
        <v>9.9183642328526389E-4</v>
      </c>
      <c r="AE653" s="15">
        <f t="shared" ca="1" si="154"/>
        <v>0.60601205462729624</v>
      </c>
    </row>
    <row r="654" spans="12:31" x14ac:dyDescent="0.3">
      <c r="L654" s="15">
        <v>652</v>
      </c>
      <c r="M654" s="15">
        <f t="shared" si="144"/>
        <v>1</v>
      </c>
      <c r="N654" s="15">
        <f t="shared" ca="1" si="145"/>
        <v>-9.9183642328526389E-4</v>
      </c>
      <c r="O654" s="15">
        <f t="shared" ca="1" si="142"/>
        <v>0.25040173941640526</v>
      </c>
      <c r="P654" s="15">
        <f t="shared" ca="1" si="155"/>
        <v>0.25024795910582132</v>
      </c>
      <c r="Q654" s="15">
        <v>0</v>
      </c>
      <c r="R654" s="15">
        <f t="shared" ca="1" si="146"/>
        <v>0.25024795910582132</v>
      </c>
      <c r="S654" s="15">
        <f t="shared" ca="1" si="143"/>
        <v>1.0010085973087812</v>
      </c>
      <c r="T654" s="15">
        <v>0</v>
      </c>
      <c r="U654" s="15">
        <f t="shared" ca="1" si="147"/>
        <v>1.0010085973087812</v>
      </c>
      <c r="V654" s="15">
        <f t="shared" ca="1" si="148"/>
        <v>1.0009918364232853</v>
      </c>
      <c r="X654" s="15">
        <f t="shared" si="149"/>
        <v>1.05</v>
      </c>
      <c r="Y654" s="15">
        <f t="shared" si="150"/>
        <v>0.95</v>
      </c>
      <c r="Z654" s="15">
        <f t="shared" ca="1" si="151"/>
        <v>1</v>
      </c>
      <c r="AC654" s="15">
        <f t="shared" ca="1" si="152"/>
        <v>9.8373949055530516E-7</v>
      </c>
      <c r="AD654" s="15">
        <f t="shared" ca="1" si="153"/>
        <v>9.9183642328526389E-4</v>
      </c>
      <c r="AE654" s="15">
        <f t="shared" ca="1" si="154"/>
        <v>0.6070038910505815</v>
      </c>
    </row>
    <row r="655" spans="12:31" x14ac:dyDescent="0.3">
      <c r="L655" s="15">
        <v>653</v>
      </c>
      <c r="M655" s="15">
        <f t="shared" si="144"/>
        <v>1</v>
      </c>
      <c r="N655" s="15">
        <f t="shared" ca="1" si="145"/>
        <v>5.3406576638448389E-4</v>
      </c>
      <c r="O655" s="15">
        <f t="shared" ca="1" si="142"/>
        <v>0.25040173941640526</v>
      </c>
      <c r="P655" s="15">
        <f t="shared" ca="1" si="155"/>
        <v>0.25024795910582132</v>
      </c>
      <c r="Q655" s="15">
        <v>0</v>
      </c>
      <c r="R655" s="15">
        <f t="shared" ca="1" si="146"/>
        <v>0.25024795910582132</v>
      </c>
      <c r="S655" s="15">
        <f t="shared" ca="1" si="143"/>
        <v>1.0009549643668565</v>
      </c>
      <c r="T655" s="15">
        <v>0</v>
      </c>
      <c r="U655" s="15">
        <f t="shared" ca="1" si="147"/>
        <v>1.0009549643668565</v>
      </c>
      <c r="V655" s="15">
        <f t="shared" ca="1" si="148"/>
        <v>0.99946593423361552</v>
      </c>
      <c r="X655" s="15">
        <f t="shared" si="149"/>
        <v>1.05</v>
      </c>
      <c r="Y655" s="15">
        <f t="shared" si="150"/>
        <v>0.95</v>
      </c>
      <c r="Z655" s="15">
        <f t="shared" ca="1" si="151"/>
        <v>1</v>
      </c>
      <c r="AC655" s="15">
        <f t="shared" ca="1" si="152"/>
        <v>2.852262428238461E-7</v>
      </c>
      <c r="AD655" s="15">
        <f t="shared" ca="1" si="153"/>
        <v>5.3406576638448389E-4</v>
      </c>
      <c r="AE655" s="15">
        <f t="shared" ca="1" si="154"/>
        <v>0.32738231479368862</v>
      </c>
    </row>
    <row r="656" spans="12:31" x14ac:dyDescent="0.3">
      <c r="L656" s="15">
        <v>654</v>
      </c>
      <c r="M656" s="15">
        <f t="shared" si="144"/>
        <v>1</v>
      </c>
      <c r="N656" s="15">
        <f t="shared" ca="1" si="145"/>
        <v>5.3406576638448389E-4</v>
      </c>
      <c r="O656" s="15">
        <f t="shared" ca="1" si="142"/>
        <v>0.25203939515684992</v>
      </c>
      <c r="P656" s="15">
        <f t="shared" ca="1" si="155"/>
        <v>0.25177386129549095</v>
      </c>
      <c r="Q656" s="15">
        <v>0</v>
      </c>
      <c r="R656" s="15">
        <f t="shared" ca="1" si="146"/>
        <v>0.25177386129549095</v>
      </c>
      <c r="S656" s="15">
        <f t="shared" ca="1" si="143"/>
        <v>1.0009082953394364</v>
      </c>
      <c r="T656" s="15">
        <v>0</v>
      </c>
      <c r="U656" s="15">
        <f t="shared" ca="1" si="147"/>
        <v>1.0009082953394364</v>
      </c>
      <c r="V656" s="15">
        <f t="shared" ca="1" si="148"/>
        <v>0.99946593423361552</v>
      </c>
      <c r="X656" s="15">
        <f t="shared" si="149"/>
        <v>1.05</v>
      </c>
      <c r="Y656" s="15">
        <f t="shared" si="150"/>
        <v>0.95</v>
      </c>
      <c r="Z656" s="15">
        <f t="shared" ca="1" si="151"/>
        <v>1</v>
      </c>
      <c r="AC656" s="15">
        <f t="shared" ca="1" si="152"/>
        <v>2.852262428238461E-7</v>
      </c>
      <c r="AD656" s="15">
        <f t="shared" ca="1" si="153"/>
        <v>5.3406576638448389E-4</v>
      </c>
      <c r="AE656" s="15">
        <f t="shared" ca="1" si="154"/>
        <v>0.32791638056007311</v>
      </c>
    </row>
    <row r="657" spans="12:31" x14ac:dyDescent="0.3">
      <c r="L657" s="15">
        <v>655</v>
      </c>
      <c r="M657" s="15">
        <f t="shared" si="144"/>
        <v>1</v>
      </c>
      <c r="N657" s="15">
        <f t="shared" ca="1" si="145"/>
        <v>5.3406576638448389E-4</v>
      </c>
      <c r="O657" s="15">
        <f t="shared" ca="1" si="142"/>
        <v>0.25203939515684992</v>
      </c>
      <c r="P657" s="15">
        <f t="shared" ca="1" si="155"/>
        <v>0.25177386129549095</v>
      </c>
      <c r="Q657" s="15">
        <v>0</v>
      </c>
      <c r="R657" s="15">
        <f t="shared" ca="1" si="146"/>
        <v>0.25177386129549095</v>
      </c>
      <c r="S657" s="15">
        <f t="shared" ca="1" si="143"/>
        <v>1.0008679036457313</v>
      </c>
      <c r="T657" s="15">
        <v>0</v>
      </c>
      <c r="U657" s="15">
        <f t="shared" ca="1" si="147"/>
        <v>1.0008679036457313</v>
      </c>
      <c r="V657" s="15">
        <f t="shared" ca="1" si="148"/>
        <v>0.99946593423361552</v>
      </c>
      <c r="X657" s="15">
        <f t="shared" si="149"/>
        <v>1.05</v>
      </c>
      <c r="Y657" s="15">
        <f t="shared" si="150"/>
        <v>0.95</v>
      </c>
      <c r="Z657" s="15">
        <f t="shared" ca="1" si="151"/>
        <v>1</v>
      </c>
      <c r="AC657" s="15">
        <f t="shared" ca="1" si="152"/>
        <v>2.852262428238461E-7</v>
      </c>
      <c r="AD657" s="15">
        <f t="shared" ca="1" si="153"/>
        <v>5.3406576638448389E-4</v>
      </c>
      <c r="AE657" s="15">
        <f t="shared" ca="1" si="154"/>
        <v>0.32845044632645759</v>
      </c>
    </row>
    <row r="658" spans="12:31" x14ac:dyDescent="0.3">
      <c r="L658" s="15">
        <v>656</v>
      </c>
      <c r="M658" s="15">
        <f t="shared" si="144"/>
        <v>1</v>
      </c>
      <c r="N658" s="15">
        <f t="shared" ca="1" si="145"/>
        <v>5.3406576638448389E-4</v>
      </c>
      <c r="O658" s="15">
        <f t="shared" ca="1" si="142"/>
        <v>0.25203939515684992</v>
      </c>
      <c r="P658" s="15">
        <f t="shared" ca="1" si="155"/>
        <v>0.25177386129549095</v>
      </c>
      <c r="Q658" s="15">
        <v>0</v>
      </c>
      <c r="R658" s="15">
        <f t="shared" ca="1" si="146"/>
        <v>0.25177386129549095</v>
      </c>
      <c r="S658" s="15">
        <f t="shared" ca="1" si="143"/>
        <v>1.0008331633062066</v>
      </c>
      <c r="T658" s="15">
        <v>0</v>
      </c>
      <c r="U658" s="15">
        <f t="shared" ca="1" si="147"/>
        <v>1.0008331633062066</v>
      </c>
      <c r="V658" s="15">
        <f t="shared" ca="1" si="148"/>
        <v>0.99946593423361552</v>
      </c>
      <c r="X658" s="15">
        <f t="shared" si="149"/>
        <v>1.05</v>
      </c>
      <c r="Y658" s="15">
        <f t="shared" si="150"/>
        <v>0.95</v>
      </c>
      <c r="Z658" s="15">
        <f t="shared" ca="1" si="151"/>
        <v>1</v>
      </c>
      <c r="AC658" s="15">
        <f t="shared" ca="1" si="152"/>
        <v>2.852262428238461E-7</v>
      </c>
      <c r="AD658" s="15">
        <f t="shared" ca="1" si="153"/>
        <v>5.3406576638448389E-4</v>
      </c>
      <c r="AE658" s="15">
        <f t="shared" ca="1" si="154"/>
        <v>0.32898451209284207</v>
      </c>
    </row>
    <row r="659" spans="12:31" x14ac:dyDescent="0.3">
      <c r="L659" s="15">
        <v>657</v>
      </c>
      <c r="M659" s="15">
        <f t="shared" si="144"/>
        <v>1</v>
      </c>
      <c r="N659" s="15">
        <f t="shared" ca="1" si="145"/>
        <v>5.3406576638448389E-4</v>
      </c>
      <c r="O659" s="15">
        <f t="shared" ca="1" si="142"/>
        <v>0.25075546059440113</v>
      </c>
      <c r="P659" s="15">
        <f t="shared" ca="1" si="155"/>
        <v>0.25024795910582132</v>
      </c>
      <c r="Q659" s="15">
        <v>0</v>
      </c>
      <c r="R659" s="15">
        <f t="shared" ca="1" si="146"/>
        <v>0.25024795910582132</v>
      </c>
      <c r="S659" s="15">
        <f t="shared" ca="1" si="143"/>
        <v>1.0008035038977416</v>
      </c>
      <c r="T659" s="15">
        <v>0</v>
      </c>
      <c r="U659" s="15">
        <f t="shared" ca="1" si="147"/>
        <v>1.0008035038977416</v>
      </c>
      <c r="V659" s="15">
        <f t="shared" ca="1" si="148"/>
        <v>0.99946593423361552</v>
      </c>
      <c r="X659" s="15">
        <f t="shared" si="149"/>
        <v>1.05</v>
      </c>
      <c r="Y659" s="15">
        <f t="shared" si="150"/>
        <v>0.95</v>
      </c>
      <c r="Z659" s="15">
        <f t="shared" ca="1" si="151"/>
        <v>1</v>
      </c>
      <c r="AC659" s="15">
        <f t="shared" ca="1" si="152"/>
        <v>2.852262428238461E-7</v>
      </c>
      <c r="AD659" s="15">
        <f t="shared" ca="1" si="153"/>
        <v>5.3406576638448389E-4</v>
      </c>
      <c r="AE659" s="15">
        <f t="shared" ca="1" si="154"/>
        <v>0.32951857785922656</v>
      </c>
    </row>
    <row r="660" spans="12:31" x14ac:dyDescent="0.3">
      <c r="L660" s="15">
        <v>658</v>
      </c>
      <c r="M660" s="15">
        <f t="shared" si="144"/>
        <v>1</v>
      </c>
      <c r="N660" s="15">
        <f t="shared" ca="1" si="145"/>
        <v>5.3406576638448389E-4</v>
      </c>
      <c r="O660" s="15">
        <f t="shared" ca="1" si="142"/>
        <v>0.25075546059440113</v>
      </c>
      <c r="P660" s="15">
        <f t="shared" ca="1" si="155"/>
        <v>0.25024795910582132</v>
      </c>
      <c r="Q660" s="15">
        <v>0</v>
      </c>
      <c r="R660" s="15">
        <f t="shared" ca="1" si="146"/>
        <v>0.25024795910582132</v>
      </c>
      <c r="S660" s="15">
        <f t="shared" ca="1" si="143"/>
        <v>1.0007784059141791</v>
      </c>
      <c r="T660" s="15">
        <v>0</v>
      </c>
      <c r="U660" s="15">
        <f t="shared" ca="1" si="147"/>
        <v>1.0007784059141791</v>
      </c>
      <c r="V660" s="15">
        <f t="shared" ca="1" si="148"/>
        <v>0.99946593423361552</v>
      </c>
      <c r="X660" s="15">
        <f t="shared" si="149"/>
        <v>1.05</v>
      </c>
      <c r="Y660" s="15">
        <f t="shared" si="150"/>
        <v>0.95</v>
      </c>
      <c r="Z660" s="15">
        <f t="shared" ca="1" si="151"/>
        <v>1</v>
      </c>
      <c r="AC660" s="15">
        <f t="shared" ca="1" si="152"/>
        <v>2.852262428238461E-7</v>
      </c>
      <c r="AD660" s="15">
        <f t="shared" ca="1" si="153"/>
        <v>5.3406576638448389E-4</v>
      </c>
      <c r="AE660" s="15">
        <f t="shared" ca="1" si="154"/>
        <v>0.33005264362561104</v>
      </c>
    </row>
    <row r="661" spans="12:31" x14ac:dyDescent="0.3">
      <c r="L661" s="15">
        <v>659</v>
      </c>
      <c r="M661" s="15">
        <f t="shared" si="144"/>
        <v>1</v>
      </c>
      <c r="N661" s="15">
        <f t="shared" ca="1" si="145"/>
        <v>5.3406576638448389E-4</v>
      </c>
      <c r="O661" s="15">
        <f t="shared" ca="1" si="142"/>
        <v>0.25075546059440113</v>
      </c>
      <c r="P661" s="15">
        <f t="shared" ca="1" si="155"/>
        <v>0.25024795910582132</v>
      </c>
      <c r="Q661" s="15">
        <v>0</v>
      </c>
      <c r="R661" s="15">
        <f t="shared" ca="1" si="146"/>
        <v>0.25024795910582132</v>
      </c>
      <c r="S661" s="15">
        <f t="shared" ca="1" si="143"/>
        <v>1.0007573965004297</v>
      </c>
      <c r="T661" s="15">
        <v>0</v>
      </c>
      <c r="U661" s="15">
        <f t="shared" ca="1" si="147"/>
        <v>1.0007573965004297</v>
      </c>
      <c r="V661" s="15">
        <f t="shared" ca="1" si="148"/>
        <v>0.99946593423361552</v>
      </c>
      <c r="X661" s="15">
        <f t="shared" si="149"/>
        <v>1.05</v>
      </c>
      <c r="Y661" s="15">
        <f t="shared" si="150"/>
        <v>0.95</v>
      </c>
      <c r="Z661" s="15">
        <f t="shared" ca="1" si="151"/>
        <v>1</v>
      </c>
      <c r="AC661" s="15">
        <f t="shared" ca="1" si="152"/>
        <v>2.852262428238461E-7</v>
      </c>
      <c r="AD661" s="15">
        <f t="shared" ca="1" si="153"/>
        <v>5.3406576638448389E-4</v>
      </c>
      <c r="AE661" s="15">
        <f t="shared" ca="1" si="154"/>
        <v>0.33058670939199553</v>
      </c>
    </row>
    <row r="662" spans="12:31" x14ac:dyDescent="0.3">
      <c r="L662" s="15">
        <v>660</v>
      </c>
      <c r="M662" s="15">
        <f t="shared" si="144"/>
        <v>1</v>
      </c>
      <c r="N662" s="15">
        <f t="shared" ca="1" si="145"/>
        <v>5.3406576638448389E-4</v>
      </c>
      <c r="O662" s="15">
        <f t="shared" ca="1" si="142"/>
        <v>0.25076555757235064</v>
      </c>
      <c r="P662" s="15">
        <f t="shared" ca="1" si="155"/>
        <v>0.25024795910582132</v>
      </c>
      <c r="Q662" s="15">
        <v>0</v>
      </c>
      <c r="R662" s="15">
        <f t="shared" ca="1" si="146"/>
        <v>0.25024795910582132</v>
      </c>
      <c r="S662" s="15">
        <f t="shared" ca="1" si="143"/>
        <v>1.0007400455307578</v>
      </c>
      <c r="T662" s="15">
        <v>0</v>
      </c>
      <c r="U662" s="15">
        <f t="shared" ca="1" si="147"/>
        <v>1.0007400455307578</v>
      </c>
      <c r="V662" s="15">
        <f t="shared" ca="1" si="148"/>
        <v>0.99946593423361552</v>
      </c>
      <c r="X662" s="15">
        <f t="shared" si="149"/>
        <v>1.05</v>
      </c>
      <c r="Y662" s="15">
        <f t="shared" si="150"/>
        <v>0.95</v>
      </c>
      <c r="Z662" s="15">
        <f t="shared" ca="1" si="151"/>
        <v>1</v>
      </c>
      <c r="AC662" s="15">
        <f t="shared" ca="1" si="152"/>
        <v>2.852262428238461E-7</v>
      </c>
      <c r="AD662" s="15">
        <f t="shared" ca="1" si="153"/>
        <v>5.3406576638448389E-4</v>
      </c>
      <c r="AE662" s="15">
        <f t="shared" ca="1" si="154"/>
        <v>0.33112077515838001</v>
      </c>
    </row>
    <row r="663" spans="12:31" x14ac:dyDescent="0.3">
      <c r="L663" s="15">
        <v>661</v>
      </c>
      <c r="M663" s="15">
        <f t="shared" si="144"/>
        <v>1</v>
      </c>
      <c r="N663" s="15">
        <f t="shared" ca="1" si="145"/>
        <v>5.3406576638448389E-4</v>
      </c>
      <c r="O663" s="15">
        <f t="shared" ca="1" si="142"/>
        <v>0.25076555757235064</v>
      </c>
      <c r="P663" s="15">
        <f t="shared" ca="1" si="155"/>
        <v>0.25024795910582132</v>
      </c>
      <c r="Q663" s="15">
        <v>0</v>
      </c>
      <c r="R663" s="15">
        <f t="shared" ca="1" si="146"/>
        <v>0.25024795910582132</v>
      </c>
      <c r="S663" s="15">
        <f t="shared" ca="1" si="143"/>
        <v>1.0007259620041449</v>
      </c>
      <c r="T663" s="15">
        <v>0</v>
      </c>
      <c r="U663" s="15">
        <f t="shared" ca="1" si="147"/>
        <v>1.0007259620041449</v>
      </c>
      <c r="V663" s="15">
        <f t="shared" ca="1" si="148"/>
        <v>0.99946593423361552</v>
      </c>
      <c r="X663" s="15">
        <f t="shared" si="149"/>
        <v>1.05</v>
      </c>
      <c r="Y663" s="15">
        <f t="shared" si="150"/>
        <v>0.95</v>
      </c>
      <c r="Z663" s="15">
        <f t="shared" ca="1" si="151"/>
        <v>1</v>
      </c>
      <c r="AC663" s="15">
        <f t="shared" ca="1" si="152"/>
        <v>2.852262428238461E-7</v>
      </c>
      <c r="AD663" s="15">
        <f t="shared" ca="1" si="153"/>
        <v>5.3406576638448389E-4</v>
      </c>
      <c r="AE663" s="15">
        <f t="shared" ca="1" si="154"/>
        <v>0.33165484092476449</v>
      </c>
    </row>
    <row r="664" spans="12:31" x14ac:dyDescent="0.3">
      <c r="L664" s="15">
        <v>662</v>
      </c>
      <c r="M664" s="15">
        <f t="shared" si="144"/>
        <v>1</v>
      </c>
      <c r="N664" s="15">
        <f t="shared" ca="1" si="145"/>
        <v>5.3406576638448389E-4</v>
      </c>
      <c r="O664" s="15">
        <f t="shared" ca="1" si="142"/>
        <v>0.25076555757235064</v>
      </c>
      <c r="P664" s="15">
        <f t="shared" ca="1" si="155"/>
        <v>0.25024795910582132</v>
      </c>
      <c r="Q664" s="15">
        <v>0</v>
      </c>
      <c r="R664" s="15">
        <f t="shared" ca="1" si="146"/>
        <v>0.25024795910582132</v>
      </c>
      <c r="S664" s="15">
        <f t="shared" ca="1" si="143"/>
        <v>1.0007147907317306</v>
      </c>
      <c r="T664" s="15">
        <v>0</v>
      </c>
      <c r="U664" s="15">
        <f t="shared" ca="1" si="147"/>
        <v>1.0007147907317306</v>
      </c>
      <c r="V664" s="15">
        <f t="shared" ca="1" si="148"/>
        <v>0.99946593423361552</v>
      </c>
      <c r="X664" s="15">
        <f t="shared" si="149"/>
        <v>1.05</v>
      </c>
      <c r="Y664" s="15">
        <f t="shared" si="150"/>
        <v>0.95</v>
      </c>
      <c r="Z664" s="15">
        <f t="shared" ca="1" si="151"/>
        <v>1</v>
      </c>
      <c r="AC664" s="15">
        <f t="shared" ca="1" si="152"/>
        <v>2.852262428238461E-7</v>
      </c>
      <c r="AD664" s="15">
        <f t="shared" ca="1" si="153"/>
        <v>5.3406576638448389E-4</v>
      </c>
      <c r="AE664" s="15">
        <f t="shared" ca="1" si="154"/>
        <v>0.33218890669114898</v>
      </c>
    </row>
    <row r="665" spans="12:31" x14ac:dyDescent="0.3">
      <c r="L665" s="15">
        <v>663</v>
      </c>
      <c r="M665" s="15">
        <f t="shared" si="144"/>
        <v>1</v>
      </c>
      <c r="N665" s="15">
        <f t="shared" ca="1" si="145"/>
        <v>5.3406576638448389E-4</v>
      </c>
      <c r="O665" s="15">
        <f t="shared" ca="1" si="142"/>
        <v>0.25077565455030015</v>
      </c>
      <c r="P665" s="15">
        <f t="shared" ca="1" si="155"/>
        <v>0.25024795910582132</v>
      </c>
      <c r="Q665" s="15">
        <v>0</v>
      </c>
      <c r="R665" s="15">
        <f t="shared" ca="1" si="146"/>
        <v>0.25024795910582132</v>
      </c>
      <c r="S665" s="15">
        <f t="shared" ca="1" si="143"/>
        <v>1.000706209293265</v>
      </c>
      <c r="T665" s="15">
        <v>0</v>
      </c>
      <c r="U665" s="15">
        <f t="shared" ca="1" si="147"/>
        <v>1.000706209293265</v>
      </c>
      <c r="V665" s="15">
        <f t="shared" ca="1" si="148"/>
        <v>0.99946593423361552</v>
      </c>
      <c r="X665" s="15">
        <f t="shared" si="149"/>
        <v>1.05</v>
      </c>
      <c r="Y665" s="15">
        <f t="shared" si="150"/>
        <v>0.95</v>
      </c>
      <c r="Z665" s="15">
        <f t="shared" ca="1" si="151"/>
        <v>1</v>
      </c>
      <c r="AC665" s="15">
        <f t="shared" ca="1" si="152"/>
        <v>2.852262428238461E-7</v>
      </c>
      <c r="AD665" s="15">
        <f t="shared" ca="1" si="153"/>
        <v>5.3406576638448389E-4</v>
      </c>
      <c r="AE665" s="15">
        <f t="shared" ca="1" si="154"/>
        <v>0.33272297245753346</v>
      </c>
    </row>
    <row r="666" spans="12:31" x14ac:dyDescent="0.3">
      <c r="L666" s="15">
        <v>664</v>
      </c>
      <c r="M666" s="15">
        <f t="shared" si="144"/>
        <v>1</v>
      </c>
      <c r="N666" s="15">
        <f t="shared" ca="1" si="145"/>
        <v>5.3406576638448389E-4</v>
      </c>
      <c r="O666" s="15">
        <f t="shared" ca="1" si="142"/>
        <v>0.25077565455030015</v>
      </c>
      <c r="P666" s="15">
        <f t="shared" ca="1" si="155"/>
        <v>0.25024795910582132</v>
      </c>
      <c r="Q666" s="15">
        <v>0</v>
      </c>
      <c r="R666" s="15">
        <f t="shared" ca="1" si="146"/>
        <v>0.25024795910582132</v>
      </c>
      <c r="S666" s="15">
        <f t="shared" ca="1" si="143"/>
        <v>1.0006999252412991</v>
      </c>
      <c r="T666" s="15">
        <v>0</v>
      </c>
      <c r="U666" s="15">
        <f t="shared" ca="1" si="147"/>
        <v>1.0006999252412991</v>
      </c>
      <c r="V666" s="15">
        <f t="shared" ca="1" si="148"/>
        <v>0.99946593423361552</v>
      </c>
      <c r="X666" s="15">
        <f t="shared" si="149"/>
        <v>1.05</v>
      </c>
      <c r="Y666" s="15">
        <f t="shared" si="150"/>
        <v>0.95</v>
      </c>
      <c r="Z666" s="15">
        <f t="shared" ca="1" si="151"/>
        <v>1</v>
      </c>
      <c r="AC666" s="15">
        <f t="shared" ca="1" si="152"/>
        <v>2.852262428238461E-7</v>
      </c>
      <c r="AD666" s="15">
        <f t="shared" ca="1" si="153"/>
        <v>5.3406576638448389E-4</v>
      </c>
      <c r="AE666" s="15">
        <f t="shared" ca="1" si="154"/>
        <v>0.33325703822391795</v>
      </c>
    </row>
    <row r="667" spans="12:31" x14ac:dyDescent="0.3">
      <c r="L667" s="15">
        <v>665</v>
      </c>
      <c r="M667" s="15">
        <f t="shared" si="144"/>
        <v>1</v>
      </c>
      <c r="N667" s="15">
        <f t="shared" ca="1" si="145"/>
        <v>5.3406576638448389E-4</v>
      </c>
      <c r="O667" s="15">
        <f t="shared" ca="1" si="142"/>
        <v>0.25077565455030015</v>
      </c>
      <c r="P667" s="15">
        <f t="shared" ca="1" si="155"/>
        <v>0.25024795910582132</v>
      </c>
      <c r="Q667" s="15">
        <v>0</v>
      </c>
      <c r="R667" s="15">
        <f t="shared" ca="1" si="146"/>
        <v>0.25024795910582132</v>
      </c>
      <c r="S667" s="15">
        <f t="shared" ca="1" si="143"/>
        <v>1.0006956735334915</v>
      </c>
      <c r="T667" s="15">
        <v>0</v>
      </c>
      <c r="U667" s="15">
        <f t="shared" ca="1" si="147"/>
        <v>1.0006956735334915</v>
      </c>
      <c r="V667" s="15">
        <f t="shared" ca="1" si="148"/>
        <v>0.99946593423361552</v>
      </c>
      <c r="X667" s="15">
        <f t="shared" si="149"/>
        <v>1.05</v>
      </c>
      <c r="Y667" s="15">
        <f t="shared" si="150"/>
        <v>0.95</v>
      </c>
      <c r="Z667" s="15">
        <f t="shared" ca="1" si="151"/>
        <v>1</v>
      </c>
      <c r="AC667" s="15">
        <f t="shared" ca="1" si="152"/>
        <v>2.852262428238461E-7</v>
      </c>
      <c r="AD667" s="15">
        <f t="shared" ca="1" si="153"/>
        <v>5.3406576638448389E-4</v>
      </c>
      <c r="AE667" s="15">
        <f t="shared" ca="1" si="154"/>
        <v>0.33379110399030243</v>
      </c>
    </row>
    <row r="668" spans="12:31" x14ac:dyDescent="0.3">
      <c r="L668" s="15">
        <v>666</v>
      </c>
      <c r="M668" s="15">
        <f t="shared" si="144"/>
        <v>1</v>
      </c>
      <c r="N668" s="15">
        <f t="shared" ca="1" si="145"/>
        <v>5.3406576638448389E-4</v>
      </c>
      <c r="O668" s="15">
        <f t="shared" ca="1" si="142"/>
        <v>0.25078575152824967</v>
      </c>
      <c r="P668" s="15">
        <f t="shared" ca="1" si="155"/>
        <v>0.25024795910582132</v>
      </c>
      <c r="Q668" s="15">
        <v>0</v>
      </c>
      <c r="R668" s="15">
        <f t="shared" ca="1" si="146"/>
        <v>0.25024795910582132</v>
      </c>
      <c r="S668" s="15">
        <f t="shared" ca="1" si="143"/>
        <v>1.0006932141749347</v>
      </c>
      <c r="T668" s="15">
        <v>0</v>
      </c>
      <c r="U668" s="15">
        <f t="shared" ca="1" si="147"/>
        <v>1.0006932141749347</v>
      </c>
      <c r="V668" s="15">
        <f t="shared" ca="1" si="148"/>
        <v>0.99946593423361552</v>
      </c>
      <c r="X668" s="15">
        <f t="shared" si="149"/>
        <v>1.05</v>
      </c>
      <c r="Y668" s="15">
        <f t="shared" si="150"/>
        <v>0.95</v>
      </c>
      <c r="Z668" s="15">
        <f t="shared" ca="1" si="151"/>
        <v>1</v>
      </c>
      <c r="AC668" s="15">
        <f t="shared" ca="1" si="152"/>
        <v>2.852262428238461E-7</v>
      </c>
      <c r="AD668" s="15">
        <f t="shared" ca="1" si="153"/>
        <v>5.3406576638448389E-4</v>
      </c>
      <c r="AE668" s="15">
        <f t="shared" ca="1" si="154"/>
        <v>0.33432516975668691</v>
      </c>
    </row>
    <row r="669" spans="12:31" x14ac:dyDescent="0.3">
      <c r="L669" s="15">
        <v>667</v>
      </c>
      <c r="M669" s="15">
        <f t="shared" si="144"/>
        <v>1</v>
      </c>
      <c r="N669" s="15">
        <f t="shared" ca="1" si="145"/>
        <v>5.3406576638448389E-4</v>
      </c>
      <c r="O669" s="15">
        <f t="shared" ca="1" si="142"/>
        <v>0.25078575152824967</v>
      </c>
      <c r="P669" s="15">
        <f t="shared" ca="1" si="155"/>
        <v>0.25024795910582132</v>
      </c>
      <c r="Q669" s="15">
        <v>0</v>
      </c>
      <c r="R669" s="15">
        <f t="shared" ca="1" si="146"/>
        <v>0.25024795910582132</v>
      </c>
      <c r="S669" s="15">
        <f t="shared" ca="1" si="143"/>
        <v>1.0006923300538149</v>
      </c>
      <c r="T669" s="15">
        <v>0</v>
      </c>
      <c r="U669" s="15">
        <f t="shared" ca="1" si="147"/>
        <v>1.0006923300538149</v>
      </c>
      <c r="V669" s="15">
        <f t="shared" ca="1" si="148"/>
        <v>0.99946593423361552</v>
      </c>
      <c r="X669" s="15">
        <f t="shared" si="149"/>
        <v>1.05</v>
      </c>
      <c r="Y669" s="15">
        <f t="shared" si="150"/>
        <v>0.95</v>
      </c>
      <c r="Z669" s="15">
        <f t="shared" ca="1" si="151"/>
        <v>1</v>
      </c>
      <c r="AC669" s="15">
        <f t="shared" ca="1" si="152"/>
        <v>2.852262428238461E-7</v>
      </c>
      <c r="AD669" s="15">
        <f t="shared" ca="1" si="153"/>
        <v>5.3406576638448389E-4</v>
      </c>
      <c r="AE669" s="15">
        <f t="shared" ca="1" si="154"/>
        <v>0.3348592355230714</v>
      </c>
    </row>
    <row r="670" spans="12:31" x14ac:dyDescent="0.3">
      <c r="L670" s="15">
        <v>668</v>
      </c>
      <c r="M670" s="15">
        <f t="shared" si="144"/>
        <v>1</v>
      </c>
      <c r="N670" s="15">
        <f t="shared" ca="1" si="145"/>
        <v>5.3406576638448389E-4</v>
      </c>
      <c r="O670" s="15">
        <f t="shared" ca="1" si="142"/>
        <v>0.25078575152824967</v>
      </c>
      <c r="P670" s="15">
        <f t="shared" ca="1" si="155"/>
        <v>0.25024795910582132</v>
      </c>
      <c r="Q670" s="15">
        <v>0</v>
      </c>
      <c r="R670" s="15">
        <f t="shared" ca="1" si="146"/>
        <v>0.25024795910582132</v>
      </c>
      <c r="S670" s="15">
        <f t="shared" ca="1" si="143"/>
        <v>1.0006928249550184</v>
      </c>
      <c r="T670" s="15">
        <v>0</v>
      </c>
      <c r="U670" s="15">
        <f t="shared" ca="1" si="147"/>
        <v>1.0006928249550184</v>
      </c>
      <c r="V670" s="15">
        <f t="shared" ca="1" si="148"/>
        <v>0.99946593423361552</v>
      </c>
      <c r="X670" s="15">
        <f t="shared" si="149"/>
        <v>1.05</v>
      </c>
      <c r="Y670" s="15">
        <f t="shared" si="150"/>
        <v>0.95</v>
      </c>
      <c r="Z670" s="15">
        <f t="shared" ca="1" si="151"/>
        <v>1</v>
      </c>
      <c r="AC670" s="15">
        <f t="shared" ca="1" si="152"/>
        <v>2.852262428238461E-7</v>
      </c>
      <c r="AD670" s="15">
        <f t="shared" ca="1" si="153"/>
        <v>5.3406576638448389E-4</v>
      </c>
      <c r="AE670" s="15">
        <f t="shared" ca="1" si="154"/>
        <v>0.33539330128945588</v>
      </c>
    </row>
    <row r="671" spans="12:31" x14ac:dyDescent="0.3">
      <c r="L671" s="15">
        <v>669</v>
      </c>
      <c r="M671" s="15">
        <f t="shared" si="144"/>
        <v>1</v>
      </c>
      <c r="N671" s="15">
        <f t="shared" ca="1" si="145"/>
        <v>5.3406576638448389E-4</v>
      </c>
      <c r="O671" s="15">
        <f t="shared" ca="1" si="142"/>
        <v>0.25079584850619918</v>
      </c>
      <c r="P671" s="15">
        <f t="shared" ca="1" si="155"/>
        <v>0.25024795910582132</v>
      </c>
      <c r="Q671" s="15">
        <v>0</v>
      </c>
      <c r="R671" s="15">
        <f t="shared" ca="1" si="146"/>
        <v>0.25024795910582132</v>
      </c>
      <c r="S671" s="15">
        <f t="shared" ca="1" si="143"/>
        <v>1.0006945217374983</v>
      </c>
      <c r="T671" s="15">
        <v>0</v>
      </c>
      <c r="U671" s="15">
        <f t="shared" ca="1" si="147"/>
        <v>1.0006945217374983</v>
      </c>
      <c r="V671" s="15">
        <f t="shared" ca="1" si="148"/>
        <v>0.99946593423361552</v>
      </c>
      <c r="X671" s="15">
        <f t="shared" si="149"/>
        <v>1.05</v>
      </c>
      <c r="Y671" s="15">
        <f t="shared" si="150"/>
        <v>0.95</v>
      </c>
      <c r="Z671" s="15">
        <f t="shared" ca="1" si="151"/>
        <v>1</v>
      </c>
      <c r="AC671" s="15">
        <f t="shared" ca="1" si="152"/>
        <v>2.852262428238461E-7</v>
      </c>
      <c r="AD671" s="15">
        <f t="shared" ca="1" si="153"/>
        <v>5.3406576638448389E-4</v>
      </c>
      <c r="AE671" s="15">
        <f t="shared" ca="1" si="154"/>
        <v>0.33592736705584036</v>
      </c>
    </row>
    <row r="672" spans="12:31" x14ac:dyDescent="0.3">
      <c r="L672" s="15">
        <v>670</v>
      </c>
      <c r="M672" s="15">
        <f t="shared" si="144"/>
        <v>1</v>
      </c>
      <c r="N672" s="15">
        <f t="shared" ca="1" si="145"/>
        <v>5.3406576638448389E-4</v>
      </c>
      <c r="O672" s="15">
        <f t="shared" ca="1" si="142"/>
        <v>0.25079584850619918</v>
      </c>
      <c r="P672" s="15">
        <f t="shared" ca="1" si="155"/>
        <v>0.25024795910582132</v>
      </c>
      <c r="Q672" s="15">
        <v>0</v>
      </c>
      <c r="R672" s="15">
        <f t="shared" ca="1" si="146"/>
        <v>0.25024795910582132</v>
      </c>
      <c r="S672" s="15">
        <f t="shared" ca="1" si="143"/>
        <v>1.0006972606623228</v>
      </c>
      <c r="T672" s="15">
        <v>0</v>
      </c>
      <c r="U672" s="15">
        <f t="shared" ca="1" si="147"/>
        <v>1.0006972606623228</v>
      </c>
      <c r="V672" s="15">
        <f t="shared" ca="1" si="148"/>
        <v>0.99946593423361552</v>
      </c>
      <c r="X672" s="15">
        <f t="shared" si="149"/>
        <v>1.05</v>
      </c>
      <c r="Y672" s="15">
        <f t="shared" si="150"/>
        <v>0.95</v>
      </c>
      <c r="Z672" s="15">
        <f t="shared" ca="1" si="151"/>
        <v>1</v>
      </c>
      <c r="AC672" s="15">
        <f t="shared" ca="1" si="152"/>
        <v>2.852262428238461E-7</v>
      </c>
      <c r="AD672" s="15">
        <f t="shared" ca="1" si="153"/>
        <v>5.3406576638448389E-4</v>
      </c>
      <c r="AE672" s="15">
        <f t="shared" ca="1" si="154"/>
        <v>0.33646143282222485</v>
      </c>
    </row>
    <row r="673" spans="12:31" x14ac:dyDescent="0.3">
      <c r="L673" s="15">
        <v>671</v>
      </c>
      <c r="M673" s="15">
        <f t="shared" si="144"/>
        <v>1</v>
      </c>
      <c r="N673" s="15">
        <f t="shared" ca="1" si="145"/>
        <v>5.3406576638448389E-4</v>
      </c>
      <c r="O673" s="15">
        <f t="shared" ca="1" si="142"/>
        <v>0.25079584850619918</v>
      </c>
      <c r="P673" s="15">
        <f t="shared" ca="1" si="155"/>
        <v>0.25024795910582132</v>
      </c>
      <c r="Q673" s="15">
        <v>0</v>
      </c>
      <c r="R673" s="15">
        <f t="shared" ca="1" si="146"/>
        <v>0.25024795910582132</v>
      </c>
      <c r="S673" s="15">
        <f t="shared" ca="1" si="143"/>
        <v>1.0007008978593517</v>
      </c>
      <c r="T673" s="15">
        <v>0</v>
      </c>
      <c r="U673" s="15">
        <f t="shared" ca="1" si="147"/>
        <v>1.0007008978593517</v>
      </c>
      <c r="V673" s="15">
        <f t="shared" ca="1" si="148"/>
        <v>0.99946593423361552</v>
      </c>
      <c r="X673" s="15">
        <f t="shared" si="149"/>
        <v>1.05</v>
      </c>
      <c r="Y673" s="15">
        <f t="shared" si="150"/>
        <v>0.95</v>
      </c>
      <c r="Z673" s="15">
        <f t="shared" ca="1" si="151"/>
        <v>1</v>
      </c>
      <c r="AC673" s="15">
        <f t="shared" ca="1" si="152"/>
        <v>2.852262428238461E-7</v>
      </c>
      <c r="AD673" s="15">
        <f t="shared" ca="1" si="153"/>
        <v>5.3406576638448389E-4</v>
      </c>
      <c r="AE673" s="15">
        <f t="shared" ca="1" si="154"/>
        <v>0.33699549858860933</v>
      </c>
    </row>
    <row r="674" spans="12:31" x14ac:dyDescent="0.3">
      <c r="L674" s="15">
        <v>672</v>
      </c>
      <c r="M674" s="15">
        <f t="shared" si="144"/>
        <v>1</v>
      </c>
      <c r="N674" s="15">
        <f t="shared" ca="1" si="145"/>
        <v>5.3406576638448389E-4</v>
      </c>
      <c r="O674" s="15">
        <f t="shared" ca="1" si="142"/>
        <v>0.2508059454841487</v>
      </c>
      <c r="P674" s="15">
        <f t="shared" ca="1" si="155"/>
        <v>0.25024795910582132</v>
      </c>
      <c r="Q674" s="15">
        <v>0</v>
      </c>
      <c r="R674" s="15">
        <f t="shared" ca="1" si="146"/>
        <v>0.25024795910582132</v>
      </c>
      <c r="S674" s="15">
        <f t="shared" ca="1" si="143"/>
        <v>1.0007053039214269</v>
      </c>
      <c r="T674" s="15">
        <v>0</v>
      </c>
      <c r="U674" s="15">
        <f t="shared" ca="1" si="147"/>
        <v>1.0007053039214269</v>
      </c>
      <c r="V674" s="15">
        <f t="shared" ca="1" si="148"/>
        <v>0.99946593423361552</v>
      </c>
      <c r="X674" s="15">
        <f t="shared" si="149"/>
        <v>1.05</v>
      </c>
      <c r="Y674" s="15">
        <f t="shared" si="150"/>
        <v>0.95</v>
      </c>
      <c r="Z674" s="15">
        <f t="shared" ca="1" si="151"/>
        <v>1</v>
      </c>
      <c r="AC674" s="15">
        <f t="shared" ca="1" si="152"/>
        <v>2.852262428238461E-7</v>
      </c>
      <c r="AD674" s="15">
        <f t="shared" ca="1" si="153"/>
        <v>5.3406576638448389E-4</v>
      </c>
      <c r="AE674" s="15">
        <f t="shared" ca="1" si="154"/>
        <v>0.33752956435499382</v>
      </c>
    </row>
    <row r="675" spans="12:31" x14ac:dyDescent="0.3">
      <c r="L675" s="15">
        <v>673</v>
      </c>
      <c r="M675" s="15">
        <f t="shared" si="144"/>
        <v>1</v>
      </c>
      <c r="N675" s="15">
        <f t="shared" ca="1" si="145"/>
        <v>5.3406576638448389E-4</v>
      </c>
      <c r="O675" s="15">
        <f t="shared" ca="1" si="142"/>
        <v>0.2508059454841487</v>
      </c>
      <c r="P675" s="15">
        <f t="shared" ca="1" si="155"/>
        <v>0.25024795910582132</v>
      </c>
      <c r="Q675" s="15">
        <v>0</v>
      </c>
      <c r="R675" s="15">
        <f t="shared" ca="1" si="146"/>
        <v>0.25024795910582132</v>
      </c>
      <c r="S675" s="15">
        <f t="shared" ca="1" si="143"/>
        <v>1.0007103626158389</v>
      </c>
      <c r="T675" s="15">
        <v>0</v>
      </c>
      <c r="U675" s="15">
        <f t="shared" ca="1" si="147"/>
        <v>1.0007103626158389</v>
      </c>
      <c r="V675" s="15">
        <f t="shared" ca="1" si="148"/>
        <v>0.99946593423361552</v>
      </c>
      <c r="X675" s="15">
        <f t="shared" si="149"/>
        <v>1.05</v>
      </c>
      <c r="Y675" s="15">
        <f t="shared" si="150"/>
        <v>0.95</v>
      </c>
      <c r="Z675" s="15">
        <f t="shared" ca="1" si="151"/>
        <v>1</v>
      </c>
      <c r="AC675" s="15">
        <f t="shared" ca="1" si="152"/>
        <v>2.852262428238461E-7</v>
      </c>
      <c r="AD675" s="15">
        <f t="shared" ca="1" si="153"/>
        <v>5.3406576638448389E-4</v>
      </c>
      <c r="AE675" s="15">
        <f t="shared" ca="1" si="154"/>
        <v>0.3380636301213783</v>
      </c>
    </row>
    <row r="676" spans="12:31" x14ac:dyDescent="0.3">
      <c r="L676" s="15">
        <v>674</v>
      </c>
      <c r="M676" s="15">
        <f t="shared" si="144"/>
        <v>1</v>
      </c>
      <c r="N676" s="15">
        <f t="shared" ca="1" si="145"/>
        <v>5.3406576638448389E-4</v>
      </c>
      <c r="O676" s="15">
        <f t="shared" ca="1" si="142"/>
        <v>0.2508059454841487</v>
      </c>
      <c r="P676" s="15">
        <f t="shared" ca="1" si="155"/>
        <v>0.25024795910582132</v>
      </c>
      <c r="Q676" s="15">
        <v>0</v>
      </c>
      <c r="R676" s="15">
        <f t="shared" ca="1" si="146"/>
        <v>0.25024795910582132</v>
      </c>
      <c r="S676" s="15">
        <f t="shared" ca="1" si="143"/>
        <v>1.0007159697036321</v>
      </c>
      <c r="T676" s="15">
        <v>0</v>
      </c>
      <c r="U676" s="15">
        <f t="shared" ca="1" si="147"/>
        <v>1.0007159697036321</v>
      </c>
      <c r="V676" s="15">
        <f t="shared" ca="1" si="148"/>
        <v>0.99946593423361552</v>
      </c>
      <c r="X676" s="15">
        <f t="shared" si="149"/>
        <v>1.05</v>
      </c>
      <c r="Y676" s="15">
        <f t="shared" si="150"/>
        <v>0.95</v>
      </c>
      <c r="Z676" s="15">
        <f t="shared" ca="1" si="151"/>
        <v>1</v>
      </c>
      <c r="AC676" s="15">
        <f t="shared" ca="1" si="152"/>
        <v>2.852262428238461E-7</v>
      </c>
      <c r="AD676" s="15">
        <f t="shared" ca="1" si="153"/>
        <v>5.3406576638448389E-4</v>
      </c>
      <c r="AE676" s="15">
        <f t="shared" ca="1" si="154"/>
        <v>0.33859769588776278</v>
      </c>
    </row>
    <row r="677" spans="12:31" x14ac:dyDescent="0.3">
      <c r="L677" s="15">
        <v>675</v>
      </c>
      <c r="M677" s="15">
        <f t="shared" si="144"/>
        <v>1</v>
      </c>
      <c r="N677" s="15">
        <f t="shared" ca="1" si="145"/>
        <v>5.3406576638448389E-4</v>
      </c>
      <c r="O677" s="15">
        <f t="shared" ca="1" si="142"/>
        <v>0.25081604246209821</v>
      </c>
      <c r="P677" s="15">
        <f t="shared" ca="1" si="155"/>
        <v>0.25024795910582132</v>
      </c>
      <c r="Q677" s="15">
        <v>0</v>
      </c>
      <c r="R677" s="15">
        <f t="shared" ca="1" si="146"/>
        <v>0.25024795910582132</v>
      </c>
      <c r="S677" s="15">
        <f t="shared" ca="1" si="143"/>
        <v>1.000735231792161</v>
      </c>
      <c r="T677" s="15">
        <v>0</v>
      </c>
      <c r="U677" s="15">
        <f t="shared" ca="1" si="147"/>
        <v>1.000735231792161</v>
      </c>
      <c r="V677" s="15">
        <f t="shared" ca="1" si="148"/>
        <v>0.99946593423361552</v>
      </c>
      <c r="X677" s="15">
        <f t="shared" si="149"/>
        <v>1.05</v>
      </c>
      <c r="Y677" s="15">
        <f t="shared" si="150"/>
        <v>0.95</v>
      </c>
      <c r="Z677" s="15">
        <f t="shared" ca="1" si="151"/>
        <v>1</v>
      </c>
      <c r="AC677" s="15">
        <f t="shared" ca="1" si="152"/>
        <v>2.852262428238461E-7</v>
      </c>
      <c r="AD677" s="15">
        <f t="shared" ca="1" si="153"/>
        <v>5.3406576638448389E-4</v>
      </c>
      <c r="AE677" s="15">
        <f t="shared" ca="1" si="154"/>
        <v>0.33913176165414727</v>
      </c>
    </row>
    <row r="678" spans="12:31" x14ac:dyDescent="0.3">
      <c r="L678" s="15">
        <v>676</v>
      </c>
      <c r="M678" s="15">
        <f t="shared" si="144"/>
        <v>1</v>
      </c>
      <c r="N678" s="15">
        <f t="shared" ca="1" si="145"/>
        <v>5.3406576638448389E-4</v>
      </c>
      <c r="O678" s="15">
        <f t="shared" ca="1" si="142"/>
        <v>0.25081604246209821</v>
      </c>
      <c r="P678" s="15">
        <f t="shared" ca="1" si="155"/>
        <v>0.25024795910582132</v>
      </c>
      <c r="Q678" s="15">
        <v>0</v>
      </c>
      <c r="R678" s="15">
        <f t="shared" ca="1" si="146"/>
        <v>0.25024795910582132</v>
      </c>
      <c r="S678" s="15">
        <f t="shared" ca="1" si="143"/>
        <v>1.0007789500523134</v>
      </c>
      <c r="T678" s="15">
        <v>0</v>
      </c>
      <c r="U678" s="15">
        <f t="shared" ca="1" si="147"/>
        <v>1.0007789500523134</v>
      </c>
      <c r="V678" s="15">
        <f t="shared" ca="1" si="148"/>
        <v>0.99946593423361552</v>
      </c>
      <c r="X678" s="15">
        <f t="shared" si="149"/>
        <v>1.05</v>
      </c>
      <c r="Y678" s="15">
        <f t="shared" si="150"/>
        <v>0.95</v>
      </c>
      <c r="Z678" s="15">
        <f t="shared" ca="1" si="151"/>
        <v>1</v>
      </c>
      <c r="AC678" s="15">
        <f t="shared" ca="1" si="152"/>
        <v>2.852262428238461E-7</v>
      </c>
      <c r="AD678" s="15">
        <f t="shared" ca="1" si="153"/>
        <v>5.3406576638448389E-4</v>
      </c>
      <c r="AE678" s="15">
        <f t="shared" ca="1" si="154"/>
        <v>0.33966582742053175</v>
      </c>
    </row>
    <row r="679" spans="12:31" x14ac:dyDescent="0.3">
      <c r="L679" s="15">
        <v>677</v>
      </c>
      <c r="M679" s="15">
        <f t="shared" si="144"/>
        <v>1</v>
      </c>
      <c r="N679" s="15">
        <f t="shared" ca="1" si="145"/>
        <v>5.3406576638448389E-4</v>
      </c>
      <c r="O679" s="15">
        <f t="shared" ca="1" si="142"/>
        <v>0.25081604246209821</v>
      </c>
      <c r="P679" s="15">
        <f t="shared" ca="1" si="155"/>
        <v>0.25024795910582132</v>
      </c>
      <c r="Q679" s="15">
        <v>0</v>
      </c>
      <c r="R679" s="15">
        <f t="shared" ca="1" si="146"/>
        <v>0.25024795910582132</v>
      </c>
      <c r="S679" s="15">
        <f t="shared" ca="1" si="143"/>
        <v>1.000843835200186</v>
      </c>
      <c r="T679" s="15">
        <v>0</v>
      </c>
      <c r="U679" s="15">
        <f t="shared" ca="1" si="147"/>
        <v>1.000843835200186</v>
      </c>
      <c r="V679" s="15">
        <f t="shared" ca="1" si="148"/>
        <v>0.99946593423361552</v>
      </c>
      <c r="X679" s="15">
        <f t="shared" si="149"/>
        <v>1.05</v>
      </c>
      <c r="Y679" s="15">
        <f t="shared" si="150"/>
        <v>0.95</v>
      </c>
      <c r="Z679" s="15">
        <f t="shared" ca="1" si="151"/>
        <v>1</v>
      </c>
      <c r="AC679" s="15">
        <f t="shared" ca="1" si="152"/>
        <v>2.852262428238461E-7</v>
      </c>
      <c r="AD679" s="15">
        <f t="shared" ca="1" si="153"/>
        <v>5.3406576638448389E-4</v>
      </c>
      <c r="AE679" s="15">
        <f t="shared" ca="1" si="154"/>
        <v>0.34019989318691624</v>
      </c>
    </row>
    <row r="680" spans="12:31" x14ac:dyDescent="0.3">
      <c r="L680" s="15">
        <v>678</v>
      </c>
      <c r="M680" s="15">
        <f t="shared" si="144"/>
        <v>1</v>
      </c>
      <c r="N680" s="15">
        <f t="shared" ca="1" si="145"/>
        <v>5.3406576638448389E-4</v>
      </c>
      <c r="O680" s="15">
        <f t="shared" ca="1" si="142"/>
        <v>0.25082613944004772</v>
      </c>
      <c r="P680" s="15">
        <f t="shared" ca="1" si="155"/>
        <v>0.25024795910582132</v>
      </c>
      <c r="Q680" s="15">
        <v>0</v>
      </c>
      <c r="R680" s="15">
        <f t="shared" ca="1" si="146"/>
        <v>0.25024795910582132</v>
      </c>
      <c r="S680" s="15">
        <f t="shared" ca="1" si="143"/>
        <v>1.0009137260191605</v>
      </c>
      <c r="T680" s="15">
        <v>0</v>
      </c>
      <c r="U680" s="15">
        <f t="shared" ca="1" si="147"/>
        <v>1.0009137260191605</v>
      </c>
      <c r="V680" s="15">
        <f t="shared" ca="1" si="148"/>
        <v>0.99946593423361552</v>
      </c>
      <c r="X680" s="15">
        <f t="shared" si="149"/>
        <v>1.05</v>
      </c>
      <c r="Y680" s="15">
        <f t="shared" si="150"/>
        <v>0.95</v>
      </c>
      <c r="Z680" s="15">
        <f t="shared" ca="1" si="151"/>
        <v>1</v>
      </c>
      <c r="AC680" s="15">
        <f t="shared" ca="1" si="152"/>
        <v>2.852262428238461E-7</v>
      </c>
      <c r="AD680" s="15">
        <f t="shared" ca="1" si="153"/>
        <v>5.3406576638448389E-4</v>
      </c>
      <c r="AE680" s="15">
        <f t="shared" ca="1" si="154"/>
        <v>0.34073395895330072</v>
      </c>
    </row>
    <row r="681" spans="12:31" x14ac:dyDescent="0.3">
      <c r="L681" s="15">
        <v>679</v>
      </c>
      <c r="M681" s="15">
        <f t="shared" si="144"/>
        <v>1</v>
      </c>
      <c r="N681" s="15">
        <f t="shared" ca="1" si="145"/>
        <v>5.3406576638448389E-4</v>
      </c>
      <c r="O681" s="15">
        <f t="shared" ca="1" si="142"/>
        <v>0.25082613944004772</v>
      </c>
      <c r="P681" s="15">
        <f t="shared" ca="1" si="155"/>
        <v>0.25024795910582132</v>
      </c>
      <c r="Q681" s="15">
        <v>0</v>
      </c>
      <c r="R681" s="15">
        <f t="shared" ca="1" si="146"/>
        <v>0.25024795910582132</v>
      </c>
      <c r="S681" s="15">
        <f t="shared" ca="1" si="143"/>
        <v>1.0009750755420965</v>
      </c>
      <c r="T681" s="15">
        <v>0</v>
      </c>
      <c r="U681" s="15">
        <f t="shared" ca="1" si="147"/>
        <v>1.0009750755420965</v>
      </c>
      <c r="V681" s="15">
        <f t="shared" ca="1" si="148"/>
        <v>0.99946593423361552</v>
      </c>
      <c r="X681" s="15">
        <f t="shared" si="149"/>
        <v>1.05</v>
      </c>
      <c r="Y681" s="15">
        <f t="shared" si="150"/>
        <v>0.95</v>
      </c>
      <c r="Z681" s="15">
        <f t="shared" ca="1" si="151"/>
        <v>1</v>
      </c>
      <c r="AC681" s="15">
        <f t="shared" ca="1" si="152"/>
        <v>2.852262428238461E-7</v>
      </c>
      <c r="AD681" s="15">
        <f t="shared" ca="1" si="153"/>
        <v>5.3406576638448389E-4</v>
      </c>
      <c r="AE681" s="15">
        <f t="shared" ca="1" si="154"/>
        <v>0.3412680247196852</v>
      </c>
    </row>
    <row r="682" spans="12:31" x14ac:dyDescent="0.3">
      <c r="L682" s="15">
        <v>680</v>
      </c>
      <c r="M682" s="15">
        <f t="shared" si="144"/>
        <v>1</v>
      </c>
      <c r="N682" s="15">
        <f t="shared" ca="1" si="145"/>
        <v>-9.9183642328526389E-4</v>
      </c>
      <c r="O682" s="15">
        <f t="shared" ca="1" si="142"/>
        <v>0.25082613944004772</v>
      </c>
      <c r="P682" s="15">
        <f t="shared" ca="1" si="155"/>
        <v>0.25024795910582132</v>
      </c>
      <c r="Q682" s="15">
        <v>0</v>
      </c>
      <c r="R682" s="15">
        <f t="shared" ca="1" si="146"/>
        <v>0.25024795910582132</v>
      </c>
      <c r="S682" s="15">
        <f t="shared" ca="1" si="143"/>
        <v>1.0010287084837663</v>
      </c>
      <c r="T682" s="15">
        <v>0</v>
      </c>
      <c r="U682" s="15">
        <f t="shared" ca="1" si="147"/>
        <v>1.0010287084837663</v>
      </c>
      <c r="V682" s="15">
        <f t="shared" ca="1" si="148"/>
        <v>1.0009918364232853</v>
      </c>
      <c r="X682" s="15">
        <f t="shared" si="149"/>
        <v>1.05</v>
      </c>
      <c r="Y682" s="15">
        <f t="shared" si="150"/>
        <v>0.95</v>
      </c>
      <c r="Z682" s="15">
        <f t="shared" ca="1" si="151"/>
        <v>1</v>
      </c>
      <c r="AC682" s="15">
        <f t="shared" ca="1" si="152"/>
        <v>9.8373949055530516E-7</v>
      </c>
      <c r="AD682" s="15">
        <f t="shared" ca="1" si="153"/>
        <v>9.9183642328526389E-4</v>
      </c>
      <c r="AE682" s="15">
        <f t="shared" ca="1" si="154"/>
        <v>0.63477531090256889</v>
      </c>
    </row>
    <row r="683" spans="12:31" x14ac:dyDescent="0.3">
      <c r="L683" s="15">
        <v>681</v>
      </c>
      <c r="M683" s="15">
        <f t="shared" si="144"/>
        <v>1</v>
      </c>
      <c r="N683" s="15">
        <f t="shared" ca="1" si="145"/>
        <v>-9.9183642328526389E-4</v>
      </c>
      <c r="O683" s="15">
        <f t="shared" ref="O683:O746" ca="1" si="156">IF(MOD(L683,$B$11)=0,OFFSET(O683,-$B$11,0)+ $E$2*N683+$E$3*OFFSET(N683,-$B$11,0)+ $E$4*OFFSET(N683,-2* $B$11,0), O682)</f>
        <v>0.2491798291470749</v>
      </c>
      <c r="P683" s="15">
        <f t="shared" ca="1" si="155"/>
        <v>0.24872205691615165</v>
      </c>
      <c r="Q683" s="15">
        <v>0</v>
      </c>
      <c r="R683" s="15">
        <f t="shared" ca="1" si="146"/>
        <v>0.24872205691615165</v>
      </c>
      <c r="S683" s="15">
        <f t="shared" ca="1" si="143"/>
        <v>1.0010753775109462</v>
      </c>
      <c r="T683" s="15">
        <v>0</v>
      </c>
      <c r="U683" s="15">
        <f t="shared" ca="1" si="147"/>
        <v>1.0010753775109462</v>
      </c>
      <c r="V683" s="15">
        <f t="shared" ca="1" si="148"/>
        <v>1.0009918364232853</v>
      </c>
      <c r="X683" s="15">
        <f t="shared" si="149"/>
        <v>1.05</v>
      </c>
      <c r="Y683" s="15">
        <f t="shared" si="150"/>
        <v>0.95</v>
      </c>
      <c r="Z683" s="15">
        <f t="shared" ca="1" si="151"/>
        <v>1</v>
      </c>
      <c r="AC683" s="15">
        <f t="shared" ca="1" si="152"/>
        <v>9.8373949055530516E-7</v>
      </c>
      <c r="AD683" s="15">
        <f t="shared" ca="1" si="153"/>
        <v>9.9183642328526389E-4</v>
      </c>
      <c r="AE683" s="15">
        <f t="shared" ca="1" si="154"/>
        <v>0.63576714732585415</v>
      </c>
    </row>
    <row r="684" spans="12:31" x14ac:dyDescent="0.3">
      <c r="L684" s="15">
        <v>682</v>
      </c>
      <c r="M684" s="15">
        <f t="shared" si="144"/>
        <v>1</v>
      </c>
      <c r="N684" s="15">
        <f t="shared" ca="1" si="145"/>
        <v>-9.9183642328526389E-4</v>
      </c>
      <c r="O684" s="15">
        <f t="shared" ca="1" si="156"/>
        <v>0.2491798291470749</v>
      </c>
      <c r="P684" s="15">
        <f t="shared" ca="1" si="155"/>
        <v>0.24872205691615165</v>
      </c>
      <c r="Q684" s="15">
        <v>0</v>
      </c>
      <c r="R684" s="15">
        <f t="shared" ca="1" si="146"/>
        <v>0.24872205691615165</v>
      </c>
      <c r="S684" s="15">
        <f t="shared" ca="1" si="143"/>
        <v>1.0011157692044248</v>
      </c>
      <c r="T684" s="15">
        <v>0</v>
      </c>
      <c r="U684" s="15">
        <f t="shared" ca="1" si="147"/>
        <v>1.0011157692044248</v>
      </c>
      <c r="V684" s="15">
        <f t="shared" ca="1" si="148"/>
        <v>1.0009918364232853</v>
      </c>
      <c r="X684" s="15">
        <f t="shared" si="149"/>
        <v>1.05</v>
      </c>
      <c r="Y684" s="15">
        <f t="shared" si="150"/>
        <v>0.95</v>
      </c>
      <c r="Z684" s="15">
        <f t="shared" ca="1" si="151"/>
        <v>1</v>
      </c>
      <c r="AC684" s="15">
        <f t="shared" ca="1" si="152"/>
        <v>9.8373949055530516E-7</v>
      </c>
      <c r="AD684" s="15">
        <f t="shared" ca="1" si="153"/>
        <v>9.9183642328526389E-4</v>
      </c>
      <c r="AE684" s="15">
        <f t="shared" ca="1" si="154"/>
        <v>0.63675898374913942</v>
      </c>
    </row>
    <row r="685" spans="12:31" x14ac:dyDescent="0.3">
      <c r="L685" s="15">
        <v>683</v>
      </c>
      <c r="M685" s="15">
        <f t="shared" si="144"/>
        <v>1</v>
      </c>
      <c r="N685" s="15">
        <f t="shared" ca="1" si="145"/>
        <v>-9.9183642328526389E-4</v>
      </c>
      <c r="O685" s="15">
        <f t="shared" ca="1" si="156"/>
        <v>0.2491798291470749</v>
      </c>
      <c r="P685" s="15">
        <f t="shared" ca="1" si="155"/>
        <v>0.24872205691615165</v>
      </c>
      <c r="Q685" s="15">
        <v>0</v>
      </c>
      <c r="R685" s="15">
        <f t="shared" ca="1" si="146"/>
        <v>0.24872205691615165</v>
      </c>
      <c r="S685" s="15">
        <f t="shared" ref="S685:S748" ca="1" si="157">$I$1*S684-$I$2*S683+$I$3*R664+$I$4*R663</f>
        <v>1.0011505095437361</v>
      </c>
      <c r="T685" s="15">
        <v>0</v>
      </c>
      <c r="U685" s="15">
        <f t="shared" ca="1" si="147"/>
        <v>1.0011505095437361</v>
      </c>
      <c r="V685" s="15">
        <f t="shared" ca="1" si="148"/>
        <v>1.0009918364232853</v>
      </c>
      <c r="X685" s="15">
        <f t="shared" si="149"/>
        <v>1.05</v>
      </c>
      <c r="Y685" s="15">
        <f t="shared" si="150"/>
        <v>0.95</v>
      </c>
      <c r="Z685" s="15">
        <f t="shared" ca="1" si="151"/>
        <v>1</v>
      </c>
      <c r="AC685" s="15">
        <f t="shared" ca="1" si="152"/>
        <v>9.8373949055530516E-7</v>
      </c>
      <c r="AD685" s="15">
        <f t="shared" ca="1" si="153"/>
        <v>9.9183642328526389E-4</v>
      </c>
      <c r="AE685" s="15">
        <f t="shared" ca="1" si="154"/>
        <v>0.63775082017242468</v>
      </c>
    </row>
    <row r="686" spans="12:31" x14ac:dyDescent="0.3">
      <c r="L686" s="15">
        <v>684</v>
      </c>
      <c r="M686" s="15">
        <f t="shared" si="144"/>
        <v>1</v>
      </c>
      <c r="N686" s="15">
        <f t="shared" ca="1" si="145"/>
        <v>-9.9183642328526389E-4</v>
      </c>
      <c r="O686" s="15">
        <f t="shared" ca="1" si="156"/>
        <v>0.25045510915699554</v>
      </c>
      <c r="P686" s="15">
        <f t="shared" ca="1" si="155"/>
        <v>0.25024795910582132</v>
      </c>
      <c r="Q686" s="15">
        <v>0</v>
      </c>
      <c r="R686" s="15">
        <f t="shared" ca="1" si="146"/>
        <v>0.25024795910582132</v>
      </c>
      <c r="S686" s="15">
        <f t="shared" ca="1" si="157"/>
        <v>1.0011801689519997</v>
      </c>
      <c r="T686" s="15">
        <v>0</v>
      </c>
      <c r="U686" s="15">
        <f t="shared" ca="1" si="147"/>
        <v>1.0011801689519997</v>
      </c>
      <c r="V686" s="15">
        <f t="shared" ca="1" si="148"/>
        <v>1.0009918364232853</v>
      </c>
      <c r="X686" s="15">
        <f t="shared" si="149"/>
        <v>1.05</v>
      </c>
      <c r="Y686" s="15">
        <f t="shared" si="150"/>
        <v>0.95</v>
      </c>
      <c r="Z686" s="15">
        <f t="shared" ca="1" si="151"/>
        <v>1</v>
      </c>
      <c r="AC686" s="15">
        <f t="shared" ca="1" si="152"/>
        <v>9.8373949055530516E-7</v>
      </c>
      <c r="AD686" s="15">
        <f t="shared" ca="1" si="153"/>
        <v>9.9183642328526389E-4</v>
      </c>
      <c r="AE686" s="15">
        <f t="shared" ca="1" si="154"/>
        <v>0.63874265659570995</v>
      </c>
    </row>
    <row r="687" spans="12:31" x14ac:dyDescent="0.3">
      <c r="L687" s="15">
        <v>685</v>
      </c>
      <c r="M687" s="15">
        <f t="shared" si="144"/>
        <v>1</v>
      </c>
      <c r="N687" s="15">
        <f t="shared" ca="1" si="145"/>
        <v>-9.9183642328526389E-4</v>
      </c>
      <c r="O687" s="15">
        <f t="shared" ca="1" si="156"/>
        <v>0.25045510915699554</v>
      </c>
      <c r="P687" s="15">
        <f t="shared" ca="1" si="155"/>
        <v>0.25024795910582132</v>
      </c>
      <c r="Q687" s="15">
        <v>0</v>
      </c>
      <c r="R687" s="15">
        <f t="shared" ca="1" si="146"/>
        <v>0.25024795910582132</v>
      </c>
      <c r="S687" s="15">
        <f t="shared" ca="1" si="157"/>
        <v>1.0012052669353724</v>
      </c>
      <c r="T687" s="15">
        <v>0</v>
      </c>
      <c r="U687" s="15">
        <f t="shared" ca="1" si="147"/>
        <v>1.0012052669353724</v>
      </c>
      <c r="V687" s="15">
        <f t="shared" ca="1" si="148"/>
        <v>1.0009918364232853</v>
      </c>
      <c r="X687" s="15">
        <f t="shared" si="149"/>
        <v>1.05</v>
      </c>
      <c r="Y687" s="15">
        <f t="shared" si="150"/>
        <v>0.95</v>
      </c>
      <c r="Z687" s="15">
        <f t="shared" ca="1" si="151"/>
        <v>1</v>
      </c>
      <c r="AC687" s="15">
        <f t="shared" ca="1" si="152"/>
        <v>9.8373949055530516E-7</v>
      </c>
      <c r="AD687" s="15">
        <f t="shared" ca="1" si="153"/>
        <v>9.9183642328526389E-4</v>
      </c>
      <c r="AE687" s="15">
        <f t="shared" ca="1" si="154"/>
        <v>0.63973449301899521</v>
      </c>
    </row>
    <row r="688" spans="12:31" x14ac:dyDescent="0.3">
      <c r="L688" s="15">
        <v>686</v>
      </c>
      <c r="M688" s="15">
        <f t="shared" si="144"/>
        <v>1</v>
      </c>
      <c r="N688" s="15">
        <f t="shared" ca="1" si="145"/>
        <v>-9.9183642328526389E-4</v>
      </c>
      <c r="O688" s="15">
        <f t="shared" ca="1" si="156"/>
        <v>0.25045510915699554</v>
      </c>
      <c r="P688" s="15">
        <f t="shared" ca="1" si="155"/>
        <v>0.25024795910582132</v>
      </c>
      <c r="Q688" s="15">
        <v>0</v>
      </c>
      <c r="R688" s="15">
        <f t="shared" ca="1" si="146"/>
        <v>0.25024795910582132</v>
      </c>
      <c r="S688" s="15">
        <f t="shared" ca="1" si="157"/>
        <v>1.0012262763489428</v>
      </c>
      <c r="T688" s="15">
        <v>0</v>
      </c>
      <c r="U688" s="15">
        <f t="shared" ca="1" si="147"/>
        <v>1.0012262763489428</v>
      </c>
      <c r="V688" s="15">
        <f t="shared" ca="1" si="148"/>
        <v>1.0009918364232853</v>
      </c>
      <c r="X688" s="15">
        <f t="shared" si="149"/>
        <v>1.05</v>
      </c>
      <c r="Y688" s="15">
        <f t="shared" si="150"/>
        <v>0.95</v>
      </c>
      <c r="Z688" s="15">
        <f t="shared" ca="1" si="151"/>
        <v>1</v>
      </c>
      <c r="AC688" s="15">
        <f t="shared" ca="1" si="152"/>
        <v>9.8373949055530516E-7</v>
      </c>
      <c r="AD688" s="15">
        <f t="shared" ca="1" si="153"/>
        <v>9.9183642328526389E-4</v>
      </c>
      <c r="AE688" s="15">
        <f t="shared" ca="1" si="154"/>
        <v>0.64072632944228047</v>
      </c>
    </row>
    <row r="689" spans="12:31" x14ac:dyDescent="0.3">
      <c r="L689" s="15">
        <v>687</v>
      </c>
      <c r="M689" s="15">
        <f t="shared" si="144"/>
        <v>1</v>
      </c>
      <c r="N689" s="15">
        <f t="shared" ca="1" si="145"/>
        <v>-9.9183642328526389E-4</v>
      </c>
      <c r="O689" s="15">
        <f t="shared" ca="1" si="156"/>
        <v>0.25043635762651784</v>
      </c>
      <c r="P689" s="15">
        <f t="shared" ca="1" si="155"/>
        <v>0.25024795910582132</v>
      </c>
      <c r="Q689" s="15">
        <v>0</v>
      </c>
      <c r="R689" s="15">
        <f t="shared" ca="1" si="146"/>
        <v>0.25024795910582132</v>
      </c>
      <c r="S689" s="15">
        <f t="shared" ca="1" si="157"/>
        <v>1.001243627318446</v>
      </c>
      <c r="T689" s="15">
        <v>0</v>
      </c>
      <c r="U689" s="15">
        <f t="shared" ca="1" si="147"/>
        <v>1.001243627318446</v>
      </c>
      <c r="V689" s="15">
        <f t="shared" ca="1" si="148"/>
        <v>1.0009918364232853</v>
      </c>
      <c r="X689" s="15">
        <f t="shared" si="149"/>
        <v>1.05</v>
      </c>
      <c r="Y689" s="15">
        <f t="shared" si="150"/>
        <v>0.95</v>
      </c>
      <c r="Z689" s="15">
        <f t="shared" ca="1" si="151"/>
        <v>1</v>
      </c>
      <c r="AC689" s="15">
        <f t="shared" ca="1" si="152"/>
        <v>9.8373949055530516E-7</v>
      </c>
      <c r="AD689" s="15">
        <f t="shared" ca="1" si="153"/>
        <v>9.9183642328526389E-4</v>
      </c>
      <c r="AE689" s="15">
        <f t="shared" ca="1" si="154"/>
        <v>0.64171816586556574</v>
      </c>
    </row>
    <row r="690" spans="12:31" x14ac:dyDescent="0.3">
      <c r="L690" s="15">
        <v>688</v>
      </c>
      <c r="M690" s="15">
        <f t="shared" si="144"/>
        <v>1</v>
      </c>
      <c r="N690" s="15">
        <f t="shared" ca="1" si="145"/>
        <v>-9.9183642328526389E-4</v>
      </c>
      <c r="O690" s="15">
        <f t="shared" ca="1" si="156"/>
        <v>0.25043635762651784</v>
      </c>
      <c r="P690" s="15">
        <f t="shared" ca="1" si="155"/>
        <v>0.25024795910582132</v>
      </c>
      <c r="Q690" s="15">
        <v>0</v>
      </c>
      <c r="R690" s="15">
        <f t="shared" ca="1" si="146"/>
        <v>0.25024795910582132</v>
      </c>
      <c r="S690" s="15">
        <f t="shared" ca="1" si="157"/>
        <v>1.0012577108448997</v>
      </c>
      <c r="T690" s="15">
        <v>0</v>
      </c>
      <c r="U690" s="15">
        <f t="shared" ca="1" si="147"/>
        <v>1.0012577108448997</v>
      </c>
      <c r="V690" s="15">
        <f t="shared" ca="1" si="148"/>
        <v>1.0009918364232853</v>
      </c>
      <c r="X690" s="15">
        <f t="shared" si="149"/>
        <v>1.05</v>
      </c>
      <c r="Y690" s="15">
        <f t="shared" si="150"/>
        <v>0.95</v>
      </c>
      <c r="Z690" s="15">
        <f t="shared" ca="1" si="151"/>
        <v>1</v>
      </c>
      <c r="AC690" s="15">
        <f t="shared" ca="1" si="152"/>
        <v>9.8373949055530516E-7</v>
      </c>
      <c r="AD690" s="15">
        <f t="shared" ca="1" si="153"/>
        <v>9.9183642328526389E-4</v>
      </c>
      <c r="AE690" s="15">
        <f t="shared" ca="1" si="154"/>
        <v>0.642710002288851</v>
      </c>
    </row>
    <row r="691" spans="12:31" x14ac:dyDescent="0.3">
      <c r="L691" s="15">
        <v>689</v>
      </c>
      <c r="M691" s="15">
        <f t="shared" si="144"/>
        <v>1</v>
      </c>
      <c r="N691" s="15">
        <f t="shared" ca="1" si="145"/>
        <v>-9.9183642328526389E-4</v>
      </c>
      <c r="O691" s="15">
        <f t="shared" ca="1" si="156"/>
        <v>0.25043635762651784</v>
      </c>
      <c r="P691" s="15">
        <f t="shared" ca="1" si="155"/>
        <v>0.25024795910582132</v>
      </c>
      <c r="Q691" s="15">
        <v>0</v>
      </c>
      <c r="R691" s="15">
        <f t="shared" ca="1" si="146"/>
        <v>0.25024795910582132</v>
      </c>
      <c r="S691" s="15">
        <f t="shared" ca="1" si="157"/>
        <v>1.001268882117164</v>
      </c>
      <c r="T691" s="15">
        <v>0</v>
      </c>
      <c r="U691" s="15">
        <f t="shared" ca="1" si="147"/>
        <v>1.001268882117164</v>
      </c>
      <c r="V691" s="15">
        <f t="shared" ca="1" si="148"/>
        <v>1.0009918364232853</v>
      </c>
      <c r="X691" s="15">
        <f t="shared" si="149"/>
        <v>1.05</v>
      </c>
      <c r="Y691" s="15">
        <f t="shared" si="150"/>
        <v>0.95</v>
      </c>
      <c r="Z691" s="15">
        <f t="shared" ca="1" si="151"/>
        <v>1</v>
      </c>
      <c r="AC691" s="15">
        <f t="shared" ca="1" si="152"/>
        <v>9.8373949055530516E-7</v>
      </c>
      <c r="AD691" s="15">
        <f t="shared" ca="1" si="153"/>
        <v>9.9183642328526389E-4</v>
      </c>
      <c r="AE691" s="15">
        <f t="shared" ca="1" si="154"/>
        <v>0.64370183871213627</v>
      </c>
    </row>
    <row r="692" spans="12:31" x14ac:dyDescent="0.3">
      <c r="L692" s="15">
        <v>690</v>
      </c>
      <c r="M692" s="15">
        <f t="shared" si="144"/>
        <v>1</v>
      </c>
      <c r="N692" s="15">
        <f t="shared" ca="1" si="145"/>
        <v>-9.9183642328526389E-4</v>
      </c>
      <c r="O692" s="15">
        <f t="shared" ca="1" si="156"/>
        <v>0.25041760609604014</v>
      </c>
      <c r="P692" s="15">
        <f t="shared" ca="1" si="155"/>
        <v>0.25024795910582132</v>
      </c>
      <c r="Q692" s="15">
        <v>0</v>
      </c>
      <c r="R692" s="15">
        <f t="shared" ca="1" si="146"/>
        <v>0.25024795910582132</v>
      </c>
      <c r="S692" s="15">
        <f t="shared" ca="1" si="157"/>
        <v>1.0012774635554882</v>
      </c>
      <c r="T692" s="15">
        <v>0</v>
      </c>
      <c r="U692" s="15">
        <f t="shared" ca="1" si="147"/>
        <v>1.0012774635554882</v>
      </c>
      <c r="V692" s="15">
        <f t="shared" ca="1" si="148"/>
        <v>1.0009918364232853</v>
      </c>
      <c r="X692" s="15">
        <f t="shared" si="149"/>
        <v>1.05</v>
      </c>
      <c r="Y692" s="15">
        <f t="shared" si="150"/>
        <v>0.95</v>
      </c>
      <c r="Z692" s="15">
        <f t="shared" ca="1" si="151"/>
        <v>1</v>
      </c>
      <c r="AC692" s="15">
        <f t="shared" ca="1" si="152"/>
        <v>9.8373949055530516E-7</v>
      </c>
      <c r="AD692" s="15">
        <f t="shared" ca="1" si="153"/>
        <v>9.9183642328526389E-4</v>
      </c>
      <c r="AE692" s="15">
        <f t="shared" ca="1" si="154"/>
        <v>0.64469367513542153</v>
      </c>
    </row>
    <row r="693" spans="12:31" x14ac:dyDescent="0.3">
      <c r="L693" s="15">
        <v>691</v>
      </c>
      <c r="M693" s="15">
        <f t="shared" si="144"/>
        <v>1</v>
      </c>
      <c r="N693" s="15">
        <f t="shared" ca="1" si="145"/>
        <v>-9.9183642328526389E-4</v>
      </c>
      <c r="O693" s="15">
        <f t="shared" ca="1" si="156"/>
        <v>0.25041760609604014</v>
      </c>
      <c r="P693" s="15">
        <f t="shared" ca="1" si="155"/>
        <v>0.25024795910582132</v>
      </c>
      <c r="Q693" s="15">
        <v>0</v>
      </c>
      <c r="R693" s="15">
        <f t="shared" ca="1" si="146"/>
        <v>0.25024795910582132</v>
      </c>
      <c r="S693" s="15">
        <f t="shared" ca="1" si="157"/>
        <v>1.0012837476073206</v>
      </c>
      <c r="T693" s="15">
        <v>0</v>
      </c>
      <c r="U693" s="15">
        <f t="shared" ca="1" si="147"/>
        <v>1.0012837476073206</v>
      </c>
      <c r="V693" s="15">
        <f t="shared" ca="1" si="148"/>
        <v>1.0009918364232853</v>
      </c>
      <c r="X693" s="15">
        <f t="shared" si="149"/>
        <v>1.05</v>
      </c>
      <c r="Y693" s="15">
        <f t="shared" si="150"/>
        <v>0.95</v>
      </c>
      <c r="Z693" s="15">
        <f t="shared" ca="1" si="151"/>
        <v>1</v>
      </c>
      <c r="AC693" s="15">
        <f t="shared" ca="1" si="152"/>
        <v>9.8373949055530516E-7</v>
      </c>
      <c r="AD693" s="15">
        <f t="shared" ca="1" si="153"/>
        <v>9.9183642328526389E-4</v>
      </c>
      <c r="AE693" s="15">
        <f t="shared" ca="1" si="154"/>
        <v>0.64568551155870679</v>
      </c>
    </row>
    <row r="694" spans="12:31" x14ac:dyDescent="0.3">
      <c r="L694" s="15">
        <v>692</v>
      </c>
      <c r="M694" s="15">
        <f t="shared" si="144"/>
        <v>1</v>
      </c>
      <c r="N694" s="15">
        <f t="shared" ca="1" si="145"/>
        <v>-9.9183642328526389E-4</v>
      </c>
      <c r="O694" s="15">
        <f t="shared" ca="1" si="156"/>
        <v>0.25041760609604014</v>
      </c>
      <c r="P694" s="15">
        <f t="shared" ca="1" si="155"/>
        <v>0.25024795910582132</v>
      </c>
      <c r="Q694" s="15">
        <v>0</v>
      </c>
      <c r="R694" s="15">
        <f t="shared" ca="1" si="146"/>
        <v>0.25024795910582132</v>
      </c>
      <c r="S694" s="15">
        <f t="shared" ca="1" si="157"/>
        <v>1.0012879993150026</v>
      </c>
      <c r="T694" s="15">
        <v>0</v>
      </c>
      <c r="U694" s="15">
        <f t="shared" ca="1" si="147"/>
        <v>1.0012879993150026</v>
      </c>
      <c r="V694" s="15">
        <f t="shared" ca="1" si="148"/>
        <v>1.0009918364232853</v>
      </c>
      <c r="X694" s="15">
        <f t="shared" si="149"/>
        <v>1.05</v>
      </c>
      <c r="Y694" s="15">
        <f t="shared" si="150"/>
        <v>0.95</v>
      </c>
      <c r="Z694" s="15">
        <f t="shared" ca="1" si="151"/>
        <v>1</v>
      </c>
      <c r="AC694" s="15">
        <f t="shared" ca="1" si="152"/>
        <v>9.8373949055530516E-7</v>
      </c>
      <c r="AD694" s="15">
        <f t="shared" ca="1" si="153"/>
        <v>9.9183642328526389E-4</v>
      </c>
      <c r="AE694" s="15">
        <f t="shared" ca="1" si="154"/>
        <v>0.64667734798199206</v>
      </c>
    </row>
    <row r="695" spans="12:31" x14ac:dyDescent="0.3">
      <c r="L695" s="15">
        <v>693</v>
      </c>
      <c r="M695" s="15">
        <f t="shared" si="144"/>
        <v>1</v>
      </c>
      <c r="N695" s="15">
        <f t="shared" ca="1" si="145"/>
        <v>-9.9183642328526389E-4</v>
      </c>
      <c r="O695" s="15">
        <f t="shared" ca="1" si="156"/>
        <v>0.25039885456556243</v>
      </c>
      <c r="P695" s="15">
        <f t="shared" ca="1" si="155"/>
        <v>0.25024795910582132</v>
      </c>
      <c r="Q695" s="15">
        <v>0</v>
      </c>
      <c r="R695" s="15">
        <f t="shared" ca="1" si="146"/>
        <v>0.25024795910582132</v>
      </c>
      <c r="S695" s="15">
        <f t="shared" ca="1" si="157"/>
        <v>1.001290458673441</v>
      </c>
      <c r="T695" s="15">
        <v>0</v>
      </c>
      <c r="U695" s="15">
        <f t="shared" ca="1" si="147"/>
        <v>1.001290458673441</v>
      </c>
      <c r="V695" s="15">
        <f t="shared" ca="1" si="148"/>
        <v>1.0009918364232853</v>
      </c>
      <c r="X695" s="15">
        <f t="shared" si="149"/>
        <v>1.05</v>
      </c>
      <c r="Y695" s="15">
        <f t="shared" si="150"/>
        <v>0.95</v>
      </c>
      <c r="Z695" s="15">
        <f t="shared" ca="1" si="151"/>
        <v>1</v>
      </c>
      <c r="AC695" s="15">
        <f t="shared" ca="1" si="152"/>
        <v>9.8373949055530516E-7</v>
      </c>
      <c r="AD695" s="15">
        <f t="shared" ca="1" si="153"/>
        <v>9.9183642328526389E-4</v>
      </c>
      <c r="AE695" s="15">
        <f t="shared" ca="1" si="154"/>
        <v>0.64766918440527732</v>
      </c>
    </row>
    <row r="696" spans="12:31" x14ac:dyDescent="0.3">
      <c r="L696" s="15">
        <v>694</v>
      </c>
      <c r="M696" s="15">
        <f t="shared" si="144"/>
        <v>1</v>
      </c>
      <c r="N696" s="15">
        <f t="shared" ca="1" si="145"/>
        <v>-9.9183642328526389E-4</v>
      </c>
      <c r="O696" s="15">
        <f t="shared" ca="1" si="156"/>
        <v>0.25039885456556243</v>
      </c>
      <c r="P696" s="15">
        <f t="shared" ca="1" si="155"/>
        <v>0.25024795910582132</v>
      </c>
      <c r="Q696" s="15">
        <v>0</v>
      </c>
      <c r="R696" s="15">
        <f t="shared" ca="1" si="146"/>
        <v>0.25024795910582132</v>
      </c>
      <c r="S696" s="15">
        <f t="shared" ca="1" si="157"/>
        <v>1.0012913427944492</v>
      </c>
      <c r="T696" s="15">
        <v>0</v>
      </c>
      <c r="U696" s="15">
        <f t="shared" ca="1" si="147"/>
        <v>1.0012913427944492</v>
      </c>
      <c r="V696" s="15">
        <f t="shared" ca="1" si="148"/>
        <v>1.0009918364232853</v>
      </c>
      <c r="X696" s="15">
        <f t="shared" si="149"/>
        <v>1.05</v>
      </c>
      <c r="Y696" s="15">
        <f t="shared" si="150"/>
        <v>0.95</v>
      </c>
      <c r="Z696" s="15">
        <f t="shared" ca="1" si="151"/>
        <v>1</v>
      </c>
      <c r="AC696" s="15">
        <f t="shared" ca="1" si="152"/>
        <v>9.8373949055530516E-7</v>
      </c>
      <c r="AD696" s="15">
        <f t="shared" ca="1" si="153"/>
        <v>9.9183642328526389E-4</v>
      </c>
      <c r="AE696" s="15">
        <f t="shared" ca="1" si="154"/>
        <v>0.64866102082856258</v>
      </c>
    </row>
    <row r="697" spans="12:31" x14ac:dyDescent="0.3">
      <c r="L697" s="15">
        <v>695</v>
      </c>
      <c r="M697" s="15">
        <f t="shared" si="144"/>
        <v>1</v>
      </c>
      <c r="N697" s="15">
        <f t="shared" ca="1" si="145"/>
        <v>-9.9183642328526389E-4</v>
      </c>
      <c r="O697" s="15">
        <f t="shared" ca="1" si="156"/>
        <v>0.25039885456556243</v>
      </c>
      <c r="P697" s="15">
        <f t="shared" ca="1" si="155"/>
        <v>0.25024795910582132</v>
      </c>
      <c r="Q697" s="15">
        <v>0</v>
      </c>
      <c r="R697" s="15">
        <f t="shared" ca="1" si="146"/>
        <v>0.25024795910582132</v>
      </c>
      <c r="S697" s="15">
        <f t="shared" ca="1" si="157"/>
        <v>1.0012908478931404</v>
      </c>
      <c r="T697" s="15">
        <v>0</v>
      </c>
      <c r="U697" s="15">
        <f t="shared" ca="1" si="147"/>
        <v>1.0012908478931404</v>
      </c>
      <c r="V697" s="15">
        <f t="shared" ca="1" si="148"/>
        <v>1.0009918364232853</v>
      </c>
      <c r="X697" s="15">
        <f t="shared" si="149"/>
        <v>1.05</v>
      </c>
      <c r="Y697" s="15">
        <f t="shared" si="150"/>
        <v>0.95</v>
      </c>
      <c r="Z697" s="15">
        <f t="shared" ca="1" si="151"/>
        <v>1</v>
      </c>
      <c r="AC697" s="15">
        <f t="shared" ca="1" si="152"/>
        <v>9.8373949055530516E-7</v>
      </c>
      <c r="AD697" s="15">
        <f t="shared" ca="1" si="153"/>
        <v>9.9183642328526389E-4</v>
      </c>
      <c r="AE697" s="15">
        <f t="shared" ca="1" si="154"/>
        <v>0.64965285725184785</v>
      </c>
    </row>
    <row r="698" spans="12:31" x14ac:dyDescent="0.3">
      <c r="L698" s="15">
        <v>696</v>
      </c>
      <c r="M698" s="15">
        <f t="shared" si="144"/>
        <v>1</v>
      </c>
      <c r="N698" s="15">
        <f t="shared" ca="1" si="145"/>
        <v>-9.9183642328526389E-4</v>
      </c>
      <c r="O698" s="15">
        <f t="shared" ca="1" si="156"/>
        <v>0.25038010303508473</v>
      </c>
      <c r="P698" s="15">
        <f t="shared" ca="1" si="155"/>
        <v>0.25024795910582132</v>
      </c>
      <c r="Q698" s="15">
        <v>0</v>
      </c>
      <c r="R698" s="15">
        <f t="shared" ca="1" si="146"/>
        <v>0.25024795910582132</v>
      </c>
      <c r="S698" s="15">
        <f t="shared" ca="1" si="157"/>
        <v>1.001289151110561</v>
      </c>
      <c r="T698" s="15">
        <v>0</v>
      </c>
      <c r="U698" s="15">
        <f t="shared" ca="1" si="147"/>
        <v>1.001289151110561</v>
      </c>
      <c r="V698" s="15">
        <f t="shared" ca="1" si="148"/>
        <v>1.0009918364232853</v>
      </c>
      <c r="X698" s="15">
        <f t="shared" si="149"/>
        <v>1.05</v>
      </c>
      <c r="Y698" s="15">
        <f t="shared" si="150"/>
        <v>0.95</v>
      </c>
      <c r="Z698" s="15">
        <f t="shared" ca="1" si="151"/>
        <v>1</v>
      </c>
      <c r="AC698" s="15">
        <f t="shared" ca="1" si="152"/>
        <v>9.8373949055530516E-7</v>
      </c>
      <c r="AD698" s="15">
        <f t="shared" ca="1" si="153"/>
        <v>9.9183642328526389E-4</v>
      </c>
      <c r="AE698" s="15">
        <f t="shared" ca="1" si="154"/>
        <v>0.65064469367513311</v>
      </c>
    </row>
    <row r="699" spans="12:31" x14ac:dyDescent="0.3">
      <c r="L699" s="15">
        <v>697</v>
      </c>
      <c r="M699" s="15">
        <f t="shared" si="144"/>
        <v>1</v>
      </c>
      <c r="N699" s="15">
        <f t="shared" ca="1" si="145"/>
        <v>-9.9183642328526389E-4</v>
      </c>
      <c r="O699" s="15">
        <f t="shared" ca="1" si="156"/>
        <v>0.25038010303508473</v>
      </c>
      <c r="P699" s="15">
        <f t="shared" ca="1" si="155"/>
        <v>0.25024795910582132</v>
      </c>
      <c r="Q699" s="15">
        <v>0</v>
      </c>
      <c r="R699" s="15">
        <f t="shared" ca="1" si="146"/>
        <v>0.25024795910582132</v>
      </c>
      <c r="S699" s="15">
        <f t="shared" ca="1" si="157"/>
        <v>1.0012864121856426</v>
      </c>
      <c r="T699" s="15">
        <v>0</v>
      </c>
      <c r="U699" s="15">
        <f t="shared" ca="1" si="147"/>
        <v>1.0012864121856426</v>
      </c>
      <c r="V699" s="15">
        <f t="shared" ca="1" si="148"/>
        <v>1.0009918364232853</v>
      </c>
      <c r="X699" s="15">
        <f t="shared" si="149"/>
        <v>1.05</v>
      </c>
      <c r="Y699" s="15">
        <f t="shared" si="150"/>
        <v>0.95</v>
      </c>
      <c r="Z699" s="15">
        <f t="shared" ca="1" si="151"/>
        <v>1</v>
      </c>
      <c r="AC699" s="15">
        <f t="shared" ca="1" si="152"/>
        <v>9.8373949055530516E-7</v>
      </c>
      <c r="AD699" s="15">
        <f t="shared" ca="1" si="153"/>
        <v>9.9183642328526389E-4</v>
      </c>
      <c r="AE699" s="15">
        <f t="shared" ca="1" si="154"/>
        <v>0.65163653009841838</v>
      </c>
    </row>
    <row r="700" spans="12:31" x14ac:dyDescent="0.3">
      <c r="L700" s="15">
        <v>698</v>
      </c>
      <c r="M700" s="15">
        <f t="shared" si="144"/>
        <v>1</v>
      </c>
      <c r="N700" s="15">
        <f t="shared" ca="1" si="145"/>
        <v>-9.9183642328526389E-4</v>
      </c>
      <c r="O700" s="15">
        <f t="shared" ca="1" si="156"/>
        <v>0.25038010303508473</v>
      </c>
      <c r="P700" s="15">
        <f t="shared" ca="1" si="155"/>
        <v>0.25024795910582132</v>
      </c>
      <c r="Q700" s="15">
        <v>0</v>
      </c>
      <c r="R700" s="15">
        <f t="shared" ca="1" si="146"/>
        <v>0.25024795910582132</v>
      </c>
      <c r="S700" s="15">
        <f t="shared" ca="1" si="157"/>
        <v>1.0012827749885254</v>
      </c>
      <c r="T700" s="15">
        <v>0</v>
      </c>
      <c r="U700" s="15">
        <f t="shared" ca="1" si="147"/>
        <v>1.0012827749885254</v>
      </c>
      <c r="V700" s="15">
        <f t="shared" ca="1" si="148"/>
        <v>1.0009918364232853</v>
      </c>
      <c r="X700" s="15">
        <f t="shared" si="149"/>
        <v>1.05</v>
      </c>
      <c r="Y700" s="15">
        <f t="shared" si="150"/>
        <v>0.95</v>
      </c>
      <c r="Z700" s="15">
        <f t="shared" ca="1" si="151"/>
        <v>1</v>
      </c>
      <c r="AC700" s="15">
        <f t="shared" ca="1" si="152"/>
        <v>9.8373949055530516E-7</v>
      </c>
      <c r="AD700" s="15">
        <f t="shared" ca="1" si="153"/>
        <v>9.9183642328526389E-4</v>
      </c>
      <c r="AE700" s="15">
        <f t="shared" ca="1" si="154"/>
        <v>0.65262836652170364</v>
      </c>
    </row>
    <row r="701" spans="12:31" x14ac:dyDescent="0.3">
      <c r="L701" s="15">
        <v>699</v>
      </c>
      <c r="M701" s="15">
        <f t="shared" si="144"/>
        <v>1</v>
      </c>
      <c r="N701" s="15">
        <f t="shared" ca="1" si="145"/>
        <v>-9.9183642328526389E-4</v>
      </c>
      <c r="O701" s="15">
        <f t="shared" ca="1" si="156"/>
        <v>0.25036135150460703</v>
      </c>
      <c r="P701" s="15">
        <f t="shared" ca="1" si="155"/>
        <v>0.25024795910582132</v>
      </c>
      <c r="Q701" s="15">
        <v>0</v>
      </c>
      <c r="R701" s="15">
        <f t="shared" ca="1" si="146"/>
        <v>0.25024795910582132</v>
      </c>
      <c r="S701" s="15">
        <f t="shared" ca="1" si="157"/>
        <v>1.0012783689263669</v>
      </c>
      <c r="T701" s="15">
        <v>0</v>
      </c>
      <c r="U701" s="15">
        <f t="shared" ca="1" si="147"/>
        <v>1.0012783689263669</v>
      </c>
      <c r="V701" s="15">
        <f t="shared" ca="1" si="148"/>
        <v>1.0009918364232853</v>
      </c>
      <c r="X701" s="15">
        <f t="shared" si="149"/>
        <v>1.05</v>
      </c>
      <c r="Y701" s="15">
        <f t="shared" si="150"/>
        <v>0.95</v>
      </c>
      <c r="Z701" s="15">
        <f t="shared" ca="1" si="151"/>
        <v>1</v>
      </c>
      <c r="AC701" s="15">
        <f t="shared" ca="1" si="152"/>
        <v>9.8373949055530516E-7</v>
      </c>
      <c r="AD701" s="15">
        <f t="shared" ca="1" si="153"/>
        <v>9.9183642328526389E-4</v>
      </c>
      <c r="AE701" s="15">
        <f t="shared" ca="1" si="154"/>
        <v>0.6536202029449889</v>
      </c>
    </row>
    <row r="702" spans="12:31" x14ac:dyDescent="0.3">
      <c r="L702" s="15">
        <v>700</v>
      </c>
      <c r="M702" s="15">
        <f t="shared" si="144"/>
        <v>1</v>
      </c>
      <c r="N702" s="15">
        <f t="shared" ca="1" si="145"/>
        <v>-9.9183642328526389E-4</v>
      </c>
      <c r="O702" s="15">
        <f t="shared" ca="1" si="156"/>
        <v>0.25036135150460703</v>
      </c>
      <c r="P702" s="15">
        <f t="shared" ca="1" si="155"/>
        <v>0.25024795910582132</v>
      </c>
      <c r="Q702" s="15">
        <v>0</v>
      </c>
      <c r="R702" s="15">
        <f t="shared" ca="1" si="146"/>
        <v>0.25024795910582132</v>
      </c>
      <c r="S702" s="15">
        <f t="shared" ca="1" si="157"/>
        <v>1.0012733102318763</v>
      </c>
      <c r="T702" s="15">
        <v>0</v>
      </c>
      <c r="U702" s="15">
        <f t="shared" ca="1" si="147"/>
        <v>1.0012733102318763</v>
      </c>
      <c r="V702" s="15">
        <f t="shared" ca="1" si="148"/>
        <v>1.0009918364232853</v>
      </c>
      <c r="X702" s="15">
        <f t="shared" si="149"/>
        <v>1.05</v>
      </c>
      <c r="Y702" s="15">
        <f t="shared" si="150"/>
        <v>0.95</v>
      </c>
      <c r="Z702" s="15">
        <f t="shared" ca="1" si="151"/>
        <v>1</v>
      </c>
      <c r="AC702" s="15">
        <f t="shared" ca="1" si="152"/>
        <v>9.8373949055530516E-7</v>
      </c>
      <c r="AD702" s="15">
        <f t="shared" ca="1" si="153"/>
        <v>9.9183642328526389E-4</v>
      </c>
      <c r="AE702" s="15">
        <f t="shared" ca="1" si="154"/>
        <v>0.65461203936827417</v>
      </c>
    </row>
    <row r="703" spans="12:31" x14ac:dyDescent="0.3">
      <c r="L703" s="15">
        <v>701</v>
      </c>
      <c r="M703" s="15">
        <f t="shared" si="144"/>
        <v>1</v>
      </c>
      <c r="N703" s="15">
        <f t="shared" ca="1" si="145"/>
        <v>-9.9183642328526389E-4</v>
      </c>
      <c r="O703" s="15">
        <f t="shared" ca="1" si="156"/>
        <v>0.25036135150460703</v>
      </c>
      <c r="P703" s="15">
        <f t="shared" ca="1" si="155"/>
        <v>0.25024795910582132</v>
      </c>
      <c r="Q703" s="15">
        <v>0</v>
      </c>
      <c r="R703" s="15">
        <f t="shared" ca="1" si="146"/>
        <v>0.25024795910582132</v>
      </c>
      <c r="S703" s="15">
        <f t="shared" ca="1" si="157"/>
        <v>1.0012677031440089</v>
      </c>
      <c r="T703" s="15">
        <v>0</v>
      </c>
      <c r="U703" s="15">
        <f t="shared" ca="1" si="147"/>
        <v>1.0012677031440089</v>
      </c>
      <c r="V703" s="15">
        <f t="shared" ca="1" si="148"/>
        <v>1.0009918364232853</v>
      </c>
      <c r="X703" s="15">
        <f t="shared" si="149"/>
        <v>1.05</v>
      </c>
      <c r="Y703" s="15">
        <f t="shared" si="150"/>
        <v>0.95</v>
      </c>
      <c r="Z703" s="15">
        <f t="shared" ca="1" si="151"/>
        <v>1</v>
      </c>
      <c r="AC703" s="15">
        <f t="shared" ca="1" si="152"/>
        <v>9.8373949055530516E-7</v>
      </c>
      <c r="AD703" s="15">
        <f t="shared" ca="1" si="153"/>
        <v>9.9183642328526389E-4</v>
      </c>
      <c r="AE703" s="15">
        <f t="shared" ca="1" si="154"/>
        <v>0.65560387579155943</v>
      </c>
    </row>
    <row r="704" spans="12:31" x14ac:dyDescent="0.3">
      <c r="L704" s="15">
        <v>702</v>
      </c>
      <c r="M704" s="15">
        <f t="shared" si="144"/>
        <v>1</v>
      </c>
      <c r="N704" s="15">
        <f t="shared" ca="1" si="145"/>
        <v>-9.9183642328526389E-4</v>
      </c>
      <c r="O704" s="15">
        <f t="shared" ca="1" si="156"/>
        <v>0.25034259997412933</v>
      </c>
      <c r="P704" s="15">
        <f t="shared" ca="1" si="155"/>
        <v>0.25024795910582132</v>
      </c>
      <c r="Q704" s="15">
        <v>0</v>
      </c>
      <c r="R704" s="15">
        <f t="shared" ca="1" si="146"/>
        <v>0.25024795910582132</v>
      </c>
      <c r="S704" s="15">
        <f t="shared" ca="1" si="157"/>
        <v>1.0012484410554103</v>
      </c>
      <c r="T704" s="15">
        <v>0</v>
      </c>
      <c r="U704" s="15">
        <f t="shared" ca="1" si="147"/>
        <v>1.0012484410554103</v>
      </c>
      <c r="V704" s="15">
        <f t="shared" ca="1" si="148"/>
        <v>1.0009918364232853</v>
      </c>
      <c r="X704" s="15">
        <f t="shared" si="149"/>
        <v>1.05</v>
      </c>
      <c r="Y704" s="15">
        <f t="shared" si="150"/>
        <v>0.95</v>
      </c>
      <c r="Z704" s="15">
        <f t="shared" ca="1" si="151"/>
        <v>1</v>
      </c>
      <c r="AC704" s="15">
        <f t="shared" ca="1" si="152"/>
        <v>9.8373949055530516E-7</v>
      </c>
      <c r="AD704" s="15">
        <f t="shared" ca="1" si="153"/>
        <v>9.9183642328526389E-4</v>
      </c>
      <c r="AE704" s="15">
        <f t="shared" ca="1" si="154"/>
        <v>0.6565957122148447</v>
      </c>
    </row>
    <row r="705" spans="12:31" x14ac:dyDescent="0.3">
      <c r="L705" s="15">
        <v>703</v>
      </c>
      <c r="M705" s="15">
        <f t="shared" si="144"/>
        <v>1</v>
      </c>
      <c r="N705" s="15">
        <f t="shared" ca="1" si="145"/>
        <v>-9.9183642328526389E-4</v>
      </c>
      <c r="O705" s="15">
        <f t="shared" ca="1" si="156"/>
        <v>0.25034259997412933</v>
      </c>
      <c r="P705" s="15">
        <f t="shared" ca="1" si="155"/>
        <v>0.25024795910582132</v>
      </c>
      <c r="Q705" s="15">
        <v>0</v>
      </c>
      <c r="R705" s="15">
        <f t="shared" ca="1" si="146"/>
        <v>0.25024795910582132</v>
      </c>
      <c r="S705" s="15">
        <f t="shared" ca="1" si="157"/>
        <v>1.0012047227951919</v>
      </c>
      <c r="T705" s="15">
        <v>0</v>
      </c>
      <c r="U705" s="15">
        <f t="shared" ca="1" si="147"/>
        <v>1.0012047227951919</v>
      </c>
      <c r="V705" s="15">
        <f t="shared" ca="1" si="148"/>
        <v>1.0009918364232853</v>
      </c>
      <c r="X705" s="15">
        <f t="shared" si="149"/>
        <v>1.05</v>
      </c>
      <c r="Y705" s="15">
        <f t="shared" si="150"/>
        <v>0.95</v>
      </c>
      <c r="Z705" s="15">
        <f t="shared" ca="1" si="151"/>
        <v>1</v>
      </c>
      <c r="AC705" s="15">
        <f t="shared" ca="1" si="152"/>
        <v>9.8373949055530516E-7</v>
      </c>
      <c r="AD705" s="15">
        <f t="shared" ca="1" si="153"/>
        <v>9.9183642328526389E-4</v>
      </c>
      <c r="AE705" s="15">
        <f t="shared" ca="1" si="154"/>
        <v>0.65758754863812996</v>
      </c>
    </row>
    <row r="706" spans="12:31" x14ac:dyDescent="0.3">
      <c r="L706" s="15">
        <v>704</v>
      </c>
      <c r="M706" s="15">
        <f t="shared" si="144"/>
        <v>1</v>
      </c>
      <c r="N706" s="15">
        <f t="shared" ca="1" si="145"/>
        <v>-9.9183642328526389E-4</v>
      </c>
      <c r="O706" s="15">
        <f t="shared" ca="1" si="156"/>
        <v>0.25034259997412933</v>
      </c>
      <c r="P706" s="15">
        <f t="shared" ca="1" si="155"/>
        <v>0.25024795910582132</v>
      </c>
      <c r="Q706" s="15">
        <v>0</v>
      </c>
      <c r="R706" s="15">
        <f t="shared" ca="1" si="146"/>
        <v>0.25024795910582132</v>
      </c>
      <c r="S706" s="15">
        <f t="shared" ca="1" si="157"/>
        <v>1.0011398376472571</v>
      </c>
      <c r="T706" s="15">
        <v>0</v>
      </c>
      <c r="U706" s="15">
        <f t="shared" ca="1" si="147"/>
        <v>1.0011398376472571</v>
      </c>
      <c r="V706" s="15">
        <f t="shared" ca="1" si="148"/>
        <v>1.0009918364232853</v>
      </c>
      <c r="X706" s="15">
        <f t="shared" si="149"/>
        <v>1.05</v>
      </c>
      <c r="Y706" s="15">
        <f t="shared" si="150"/>
        <v>0.95</v>
      </c>
      <c r="Z706" s="15">
        <f t="shared" ca="1" si="151"/>
        <v>1</v>
      </c>
      <c r="AC706" s="15">
        <f t="shared" ca="1" si="152"/>
        <v>9.8373949055530516E-7</v>
      </c>
      <c r="AD706" s="15">
        <f t="shared" ca="1" si="153"/>
        <v>9.9183642328526389E-4</v>
      </c>
      <c r="AE706" s="15">
        <f t="shared" ca="1" si="154"/>
        <v>0.65857938506141522</v>
      </c>
    </row>
    <row r="707" spans="12:31" x14ac:dyDescent="0.3">
      <c r="L707" s="15">
        <v>705</v>
      </c>
      <c r="M707" s="15">
        <f t="shared" ref="M707:M770" si="158">IF(L707&lt;$D$16,$D$12,IF(L707&lt;$E$16,$E$12,$F$13))</f>
        <v>1</v>
      </c>
      <c r="N707" s="15">
        <f t="shared" ref="N707:N770" ca="1" si="159">M707-V707</f>
        <v>-9.9183642328526389E-4</v>
      </c>
      <c r="O707" s="15">
        <f t="shared" ca="1" si="156"/>
        <v>0.25032384844365163</v>
      </c>
      <c r="P707" s="15">
        <f t="shared" ca="1" si="155"/>
        <v>0.25024795910582132</v>
      </c>
      <c r="Q707" s="15">
        <v>0</v>
      </c>
      <c r="R707" s="15">
        <f t="shared" ref="R707:R770" ca="1" si="160">P707+Q707</f>
        <v>0.25024795910582132</v>
      </c>
      <c r="S707" s="15">
        <f t="shared" ca="1" si="157"/>
        <v>1.0010699468282238</v>
      </c>
      <c r="T707" s="15">
        <v>0</v>
      </c>
      <c r="U707" s="15">
        <f t="shared" ref="U707:U770" ca="1" si="161">S707+T707</f>
        <v>1.0010699468282238</v>
      </c>
      <c r="V707" s="15">
        <f t="shared" ref="V707:V770" ca="1" si="162">INT((2^$J$12-1)*U707/100)/(2^$J$12-1)*100</f>
        <v>1.0009918364232853</v>
      </c>
      <c r="X707" s="15">
        <f t="shared" ref="X707:X770" si="163">M707 * 1.05</f>
        <v>1.05</v>
      </c>
      <c r="Y707" s="15">
        <f t="shared" ref="Y707:Y770" si="164">M707 * 0.95</f>
        <v>0.95</v>
      </c>
      <c r="Z707" s="15">
        <f t="shared" ref="Z707:Z770" ca="1" si="165">IF(AND(V707 &lt;= X707, V707 &gt;= Y707), 1, 0)</f>
        <v>1</v>
      </c>
      <c r="AC707" s="15">
        <f t="shared" ref="AC707:AC770" ca="1" si="166">N707^2</f>
        <v>9.8373949055530516E-7</v>
      </c>
      <c r="AD707" s="15">
        <f t="shared" ref="AD707:AD770" ca="1" si="167">ABS(N707)</f>
        <v>9.9183642328526389E-4</v>
      </c>
      <c r="AE707" s="15">
        <f t="shared" ref="AE707:AE770" ca="1" si="168">IF(M707&gt;0, ABS(N707)*(L707-$D$16),0)</f>
        <v>0.65957122148470049</v>
      </c>
    </row>
    <row r="708" spans="12:31" x14ac:dyDescent="0.3">
      <c r="L708" s="15">
        <v>706</v>
      </c>
      <c r="M708" s="15">
        <f t="shared" si="158"/>
        <v>1</v>
      </c>
      <c r="N708" s="15">
        <f t="shared" ca="1" si="159"/>
        <v>-9.9183642328526389E-4</v>
      </c>
      <c r="O708" s="15">
        <f t="shared" ca="1" si="156"/>
        <v>0.25032384844365163</v>
      </c>
      <c r="P708" s="15">
        <f t="shared" ca="1" si="155"/>
        <v>0.25024795910582132</v>
      </c>
      <c r="Q708" s="15">
        <v>0</v>
      </c>
      <c r="R708" s="15">
        <f t="shared" ca="1" si="160"/>
        <v>0.25024795910582132</v>
      </c>
      <c r="S708" s="15">
        <f t="shared" ca="1" si="157"/>
        <v>1.0010085973052323</v>
      </c>
      <c r="T708" s="15">
        <v>0</v>
      </c>
      <c r="U708" s="15">
        <f t="shared" ca="1" si="161"/>
        <v>1.0010085973052323</v>
      </c>
      <c r="V708" s="15">
        <f t="shared" ca="1" si="162"/>
        <v>1.0009918364232853</v>
      </c>
      <c r="X708" s="15">
        <f t="shared" si="163"/>
        <v>1.05</v>
      </c>
      <c r="Y708" s="15">
        <f t="shared" si="164"/>
        <v>0.95</v>
      </c>
      <c r="Z708" s="15">
        <f t="shared" ca="1" si="165"/>
        <v>1</v>
      </c>
      <c r="AC708" s="15">
        <f t="shared" ca="1" si="166"/>
        <v>9.8373949055530516E-7</v>
      </c>
      <c r="AD708" s="15">
        <f t="shared" ca="1" si="167"/>
        <v>9.9183642328526389E-4</v>
      </c>
      <c r="AE708" s="15">
        <f t="shared" ca="1" si="168"/>
        <v>0.66056305790798575</v>
      </c>
    </row>
    <row r="709" spans="12:31" x14ac:dyDescent="0.3">
      <c r="L709" s="15">
        <v>707</v>
      </c>
      <c r="M709" s="15">
        <f t="shared" si="158"/>
        <v>1</v>
      </c>
      <c r="N709" s="15">
        <f t="shared" ca="1" si="159"/>
        <v>5.3406576638448389E-4</v>
      </c>
      <c r="O709" s="15">
        <f t="shared" ca="1" si="156"/>
        <v>0.25032384844365163</v>
      </c>
      <c r="P709" s="15">
        <f t="shared" ca="1" si="155"/>
        <v>0.25024795910582132</v>
      </c>
      <c r="Q709" s="15">
        <v>0</v>
      </c>
      <c r="R709" s="15">
        <f t="shared" ca="1" si="160"/>
        <v>0.25024795910582132</v>
      </c>
      <c r="S709" s="15">
        <f t="shared" ca="1" si="157"/>
        <v>1.0009549643635098</v>
      </c>
      <c r="T709" s="15">
        <v>0</v>
      </c>
      <c r="U709" s="15">
        <f t="shared" ca="1" si="161"/>
        <v>1.0009549643635098</v>
      </c>
      <c r="V709" s="15">
        <f t="shared" ca="1" si="162"/>
        <v>0.99946593423361552</v>
      </c>
      <c r="X709" s="15">
        <f t="shared" si="163"/>
        <v>1.05</v>
      </c>
      <c r="Y709" s="15">
        <f t="shared" si="164"/>
        <v>0.95</v>
      </c>
      <c r="Z709" s="15">
        <f t="shared" ca="1" si="165"/>
        <v>1</v>
      </c>
      <c r="AC709" s="15">
        <f t="shared" ca="1" si="166"/>
        <v>2.852262428238461E-7</v>
      </c>
      <c r="AD709" s="15">
        <f t="shared" ca="1" si="167"/>
        <v>5.3406576638448389E-4</v>
      </c>
      <c r="AE709" s="15">
        <f t="shared" ca="1" si="168"/>
        <v>0.35622186617845075</v>
      </c>
    </row>
    <row r="710" spans="12:31" x14ac:dyDescent="0.3">
      <c r="L710" s="15">
        <v>708</v>
      </c>
      <c r="M710" s="15">
        <f t="shared" si="158"/>
        <v>1</v>
      </c>
      <c r="N710" s="15">
        <f t="shared" ca="1" si="159"/>
        <v>5.3406576638448389E-4</v>
      </c>
      <c r="O710" s="15">
        <f t="shared" ca="1" si="156"/>
        <v>0.2519615041840963</v>
      </c>
      <c r="P710" s="15">
        <f t="shared" ca="1" si="155"/>
        <v>0.25177386129549095</v>
      </c>
      <c r="Q710" s="15">
        <v>0</v>
      </c>
      <c r="R710" s="15">
        <f t="shared" ca="1" si="160"/>
        <v>0.25177386129549095</v>
      </c>
      <c r="S710" s="15">
        <f t="shared" ca="1" si="157"/>
        <v>1.0009082953362805</v>
      </c>
      <c r="T710" s="15">
        <v>0</v>
      </c>
      <c r="U710" s="15">
        <f t="shared" ca="1" si="161"/>
        <v>1.0009082953362805</v>
      </c>
      <c r="V710" s="15">
        <f t="shared" ca="1" si="162"/>
        <v>0.99946593423361552</v>
      </c>
      <c r="X710" s="15">
        <f t="shared" si="163"/>
        <v>1.05</v>
      </c>
      <c r="Y710" s="15">
        <f t="shared" si="164"/>
        <v>0.95</v>
      </c>
      <c r="Z710" s="15">
        <f t="shared" ca="1" si="165"/>
        <v>1</v>
      </c>
      <c r="AC710" s="15">
        <f t="shared" ca="1" si="166"/>
        <v>2.852262428238461E-7</v>
      </c>
      <c r="AD710" s="15">
        <f t="shared" ca="1" si="167"/>
        <v>5.3406576638448389E-4</v>
      </c>
      <c r="AE710" s="15">
        <f t="shared" ca="1" si="168"/>
        <v>0.35675593194483524</v>
      </c>
    </row>
    <row r="711" spans="12:31" x14ac:dyDescent="0.3">
      <c r="L711" s="15">
        <v>709</v>
      </c>
      <c r="M711" s="15">
        <f t="shared" si="158"/>
        <v>1</v>
      </c>
      <c r="N711" s="15">
        <f t="shared" ca="1" si="159"/>
        <v>5.3406576638448389E-4</v>
      </c>
      <c r="O711" s="15">
        <f t="shared" ca="1" si="156"/>
        <v>0.2519615041840963</v>
      </c>
      <c r="P711" s="15">
        <f t="shared" ca="1" si="155"/>
        <v>0.25177386129549095</v>
      </c>
      <c r="Q711" s="15">
        <v>0</v>
      </c>
      <c r="R711" s="15">
        <f t="shared" ca="1" si="160"/>
        <v>0.25177386129549095</v>
      </c>
      <c r="S711" s="15">
        <f t="shared" ca="1" si="157"/>
        <v>1.000867903642755</v>
      </c>
      <c r="T711" s="15">
        <v>0</v>
      </c>
      <c r="U711" s="15">
        <f t="shared" ca="1" si="161"/>
        <v>1.000867903642755</v>
      </c>
      <c r="V711" s="15">
        <f t="shared" ca="1" si="162"/>
        <v>0.99946593423361552</v>
      </c>
      <c r="X711" s="15">
        <f t="shared" si="163"/>
        <v>1.05</v>
      </c>
      <c r="Y711" s="15">
        <f t="shared" si="164"/>
        <v>0.95</v>
      </c>
      <c r="Z711" s="15">
        <f t="shared" ca="1" si="165"/>
        <v>1</v>
      </c>
      <c r="AC711" s="15">
        <f t="shared" ca="1" si="166"/>
        <v>2.852262428238461E-7</v>
      </c>
      <c r="AD711" s="15">
        <f t="shared" ca="1" si="167"/>
        <v>5.3406576638448389E-4</v>
      </c>
      <c r="AE711" s="15">
        <f t="shared" ca="1" si="168"/>
        <v>0.35728999771121972</v>
      </c>
    </row>
    <row r="712" spans="12:31" x14ac:dyDescent="0.3">
      <c r="L712" s="15">
        <v>710</v>
      </c>
      <c r="M712" s="15">
        <f t="shared" si="158"/>
        <v>1</v>
      </c>
      <c r="N712" s="15">
        <f t="shared" ca="1" si="159"/>
        <v>5.3406576638448389E-4</v>
      </c>
      <c r="O712" s="15">
        <f t="shared" ca="1" si="156"/>
        <v>0.2519615041840963</v>
      </c>
      <c r="P712" s="15">
        <f t="shared" ca="1" si="155"/>
        <v>0.25177386129549095</v>
      </c>
      <c r="Q712" s="15">
        <v>0</v>
      </c>
      <c r="R712" s="15">
        <f t="shared" ca="1" si="160"/>
        <v>0.25177386129549095</v>
      </c>
      <c r="S712" s="15">
        <f t="shared" ca="1" si="157"/>
        <v>1.0008331633033998</v>
      </c>
      <c r="T712" s="15">
        <v>0</v>
      </c>
      <c r="U712" s="15">
        <f t="shared" ca="1" si="161"/>
        <v>1.0008331633033998</v>
      </c>
      <c r="V712" s="15">
        <f t="shared" ca="1" si="162"/>
        <v>0.99946593423361552</v>
      </c>
      <c r="X712" s="15">
        <f t="shared" si="163"/>
        <v>1.05</v>
      </c>
      <c r="Y712" s="15">
        <f t="shared" si="164"/>
        <v>0.95</v>
      </c>
      <c r="Z712" s="15">
        <f t="shared" ca="1" si="165"/>
        <v>1</v>
      </c>
      <c r="AC712" s="15">
        <f t="shared" ca="1" si="166"/>
        <v>2.852262428238461E-7</v>
      </c>
      <c r="AD712" s="15">
        <f t="shared" ca="1" si="167"/>
        <v>5.3406576638448389E-4</v>
      </c>
      <c r="AE712" s="15">
        <f t="shared" ca="1" si="168"/>
        <v>0.3578240634776042</v>
      </c>
    </row>
    <row r="713" spans="12:31" x14ac:dyDescent="0.3">
      <c r="L713" s="15">
        <v>711</v>
      </c>
      <c r="M713" s="15">
        <f t="shared" si="158"/>
        <v>1</v>
      </c>
      <c r="N713" s="15">
        <f t="shared" ca="1" si="159"/>
        <v>5.3406576638448389E-4</v>
      </c>
      <c r="O713" s="15">
        <f t="shared" ca="1" si="156"/>
        <v>0.2506775696216475</v>
      </c>
      <c r="P713" s="15">
        <f t="shared" ca="1" si="155"/>
        <v>0.25024795910582132</v>
      </c>
      <c r="Q713" s="15">
        <v>0</v>
      </c>
      <c r="R713" s="15">
        <f t="shared" ca="1" si="160"/>
        <v>0.25024795910582132</v>
      </c>
      <c r="S713" s="15">
        <f t="shared" ca="1" si="157"/>
        <v>1.0008035038950946</v>
      </c>
      <c r="T713" s="15">
        <v>0</v>
      </c>
      <c r="U713" s="15">
        <f t="shared" ca="1" si="161"/>
        <v>1.0008035038950946</v>
      </c>
      <c r="V713" s="15">
        <f t="shared" ca="1" si="162"/>
        <v>0.99946593423361552</v>
      </c>
      <c r="X713" s="15">
        <f t="shared" si="163"/>
        <v>1.05</v>
      </c>
      <c r="Y713" s="15">
        <f t="shared" si="164"/>
        <v>0.95</v>
      </c>
      <c r="Z713" s="15">
        <f t="shared" ca="1" si="165"/>
        <v>1</v>
      </c>
      <c r="AC713" s="15">
        <f t="shared" ca="1" si="166"/>
        <v>2.852262428238461E-7</v>
      </c>
      <c r="AD713" s="15">
        <f t="shared" ca="1" si="167"/>
        <v>5.3406576638448389E-4</v>
      </c>
      <c r="AE713" s="15">
        <f t="shared" ca="1" si="168"/>
        <v>0.35835812924398869</v>
      </c>
    </row>
    <row r="714" spans="12:31" x14ac:dyDescent="0.3">
      <c r="L714" s="15">
        <v>712</v>
      </c>
      <c r="M714" s="15">
        <f t="shared" si="158"/>
        <v>1</v>
      </c>
      <c r="N714" s="15">
        <f t="shared" ca="1" si="159"/>
        <v>5.3406576638448389E-4</v>
      </c>
      <c r="O714" s="15">
        <f t="shared" ca="1" si="156"/>
        <v>0.2506775696216475</v>
      </c>
      <c r="P714" s="15">
        <f t="shared" ca="1" si="155"/>
        <v>0.25024795910582132</v>
      </c>
      <c r="Q714" s="15">
        <v>0</v>
      </c>
      <c r="R714" s="15">
        <f t="shared" ca="1" si="160"/>
        <v>0.25024795910582132</v>
      </c>
      <c r="S714" s="15">
        <f t="shared" ca="1" si="157"/>
        <v>1.0007784059116829</v>
      </c>
      <c r="T714" s="15">
        <v>0</v>
      </c>
      <c r="U714" s="15">
        <f t="shared" ca="1" si="161"/>
        <v>1.0007784059116829</v>
      </c>
      <c r="V714" s="15">
        <f t="shared" ca="1" si="162"/>
        <v>0.99946593423361552</v>
      </c>
      <c r="X714" s="15">
        <f t="shared" si="163"/>
        <v>1.05</v>
      </c>
      <c r="Y714" s="15">
        <f t="shared" si="164"/>
        <v>0.95</v>
      </c>
      <c r="Z714" s="15">
        <f t="shared" ca="1" si="165"/>
        <v>1</v>
      </c>
      <c r="AC714" s="15">
        <f t="shared" ca="1" si="166"/>
        <v>2.852262428238461E-7</v>
      </c>
      <c r="AD714" s="15">
        <f t="shared" ca="1" si="167"/>
        <v>5.3406576638448389E-4</v>
      </c>
      <c r="AE714" s="15">
        <f t="shared" ca="1" si="168"/>
        <v>0.35889219501037317</v>
      </c>
    </row>
    <row r="715" spans="12:31" x14ac:dyDescent="0.3">
      <c r="L715" s="15">
        <v>713</v>
      </c>
      <c r="M715" s="15">
        <f t="shared" si="158"/>
        <v>1</v>
      </c>
      <c r="N715" s="15">
        <f t="shared" ca="1" si="159"/>
        <v>5.3406576638448389E-4</v>
      </c>
      <c r="O715" s="15">
        <f t="shared" ca="1" si="156"/>
        <v>0.2506775696216475</v>
      </c>
      <c r="P715" s="15">
        <f t="shared" ca="1" si="155"/>
        <v>0.25024795910582132</v>
      </c>
      <c r="Q715" s="15">
        <v>0</v>
      </c>
      <c r="R715" s="15">
        <f t="shared" ca="1" si="160"/>
        <v>0.25024795910582132</v>
      </c>
      <c r="S715" s="15">
        <f t="shared" ca="1" si="157"/>
        <v>1.0007573964980758</v>
      </c>
      <c r="T715" s="15">
        <v>0</v>
      </c>
      <c r="U715" s="15">
        <f t="shared" ca="1" si="161"/>
        <v>1.0007573964980758</v>
      </c>
      <c r="V715" s="15">
        <f t="shared" ca="1" si="162"/>
        <v>0.99946593423361552</v>
      </c>
      <c r="X715" s="15">
        <f t="shared" si="163"/>
        <v>1.05</v>
      </c>
      <c r="Y715" s="15">
        <f t="shared" si="164"/>
        <v>0.95</v>
      </c>
      <c r="Z715" s="15">
        <f t="shared" ca="1" si="165"/>
        <v>1</v>
      </c>
      <c r="AC715" s="15">
        <f t="shared" ca="1" si="166"/>
        <v>2.852262428238461E-7</v>
      </c>
      <c r="AD715" s="15">
        <f t="shared" ca="1" si="167"/>
        <v>5.3406576638448389E-4</v>
      </c>
      <c r="AE715" s="15">
        <f t="shared" ca="1" si="168"/>
        <v>0.35942626077675766</v>
      </c>
    </row>
    <row r="716" spans="12:31" x14ac:dyDescent="0.3">
      <c r="L716" s="15">
        <v>714</v>
      </c>
      <c r="M716" s="15">
        <f t="shared" si="158"/>
        <v>1</v>
      </c>
      <c r="N716" s="15">
        <f t="shared" ca="1" si="159"/>
        <v>5.3406576638448389E-4</v>
      </c>
      <c r="O716" s="15">
        <f t="shared" ca="1" si="156"/>
        <v>0.25068766659959701</v>
      </c>
      <c r="P716" s="15">
        <f t="shared" ca="1" si="155"/>
        <v>0.25024795910582132</v>
      </c>
      <c r="Q716" s="15">
        <v>0</v>
      </c>
      <c r="R716" s="15">
        <f t="shared" ca="1" si="160"/>
        <v>0.25024795910582132</v>
      </c>
      <c r="S716" s="15">
        <f t="shared" ca="1" si="157"/>
        <v>1.0007400455285382</v>
      </c>
      <c r="T716" s="15">
        <v>0</v>
      </c>
      <c r="U716" s="15">
        <f t="shared" ca="1" si="161"/>
        <v>1.0007400455285382</v>
      </c>
      <c r="V716" s="15">
        <f t="shared" ca="1" si="162"/>
        <v>0.99946593423361552</v>
      </c>
      <c r="X716" s="15">
        <f t="shared" si="163"/>
        <v>1.05</v>
      </c>
      <c r="Y716" s="15">
        <f t="shared" si="164"/>
        <v>0.95</v>
      </c>
      <c r="Z716" s="15">
        <f t="shared" ca="1" si="165"/>
        <v>1</v>
      </c>
      <c r="AC716" s="15">
        <f t="shared" ca="1" si="166"/>
        <v>2.852262428238461E-7</v>
      </c>
      <c r="AD716" s="15">
        <f t="shared" ca="1" si="167"/>
        <v>5.3406576638448389E-4</v>
      </c>
      <c r="AE716" s="15">
        <f t="shared" ca="1" si="168"/>
        <v>0.35996032654314214</v>
      </c>
    </row>
    <row r="717" spans="12:31" x14ac:dyDescent="0.3">
      <c r="L717" s="15">
        <v>715</v>
      </c>
      <c r="M717" s="15">
        <f t="shared" si="158"/>
        <v>1</v>
      </c>
      <c r="N717" s="15">
        <f t="shared" ca="1" si="159"/>
        <v>5.3406576638448389E-4</v>
      </c>
      <c r="O717" s="15">
        <f t="shared" ca="1" si="156"/>
        <v>0.25068766659959701</v>
      </c>
      <c r="P717" s="15">
        <f t="shared" ref="P717:P780" ca="1" si="169">INT((2^$J$12-1)*O717/100)/(2^$J$12-1)*100</f>
        <v>0.25024795910582132</v>
      </c>
      <c r="Q717" s="15">
        <v>0</v>
      </c>
      <c r="R717" s="15">
        <f t="shared" ca="1" si="160"/>
        <v>0.25024795910582132</v>
      </c>
      <c r="S717" s="15">
        <f t="shared" ca="1" si="157"/>
        <v>1.0007259620020519</v>
      </c>
      <c r="T717" s="15">
        <v>0</v>
      </c>
      <c r="U717" s="15">
        <f t="shared" ca="1" si="161"/>
        <v>1.0007259620020519</v>
      </c>
      <c r="V717" s="15">
        <f t="shared" ca="1" si="162"/>
        <v>0.99946593423361552</v>
      </c>
      <c r="X717" s="15">
        <f t="shared" si="163"/>
        <v>1.05</v>
      </c>
      <c r="Y717" s="15">
        <f t="shared" si="164"/>
        <v>0.95</v>
      </c>
      <c r="Z717" s="15">
        <f t="shared" ca="1" si="165"/>
        <v>1</v>
      </c>
      <c r="AC717" s="15">
        <f t="shared" ca="1" si="166"/>
        <v>2.852262428238461E-7</v>
      </c>
      <c r="AD717" s="15">
        <f t="shared" ca="1" si="167"/>
        <v>5.3406576638448389E-4</v>
      </c>
      <c r="AE717" s="15">
        <f t="shared" ca="1" si="168"/>
        <v>0.36049439230952662</v>
      </c>
    </row>
    <row r="718" spans="12:31" x14ac:dyDescent="0.3">
      <c r="L718" s="15">
        <v>716</v>
      </c>
      <c r="M718" s="15">
        <f t="shared" si="158"/>
        <v>1</v>
      </c>
      <c r="N718" s="15">
        <f t="shared" ca="1" si="159"/>
        <v>5.3406576638448389E-4</v>
      </c>
      <c r="O718" s="15">
        <f t="shared" ca="1" si="156"/>
        <v>0.25068766659959701</v>
      </c>
      <c r="P718" s="15">
        <f t="shared" ca="1" si="169"/>
        <v>0.25024795910582132</v>
      </c>
      <c r="Q718" s="15">
        <v>0</v>
      </c>
      <c r="R718" s="15">
        <f t="shared" ca="1" si="160"/>
        <v>0.25024795910582132</v>
      </c>
      <c r="S718" s="15">
        <f t="shared" ca="1" si="157"/>
        <v>1.0007147907297569</v>
      </c>
      <c r="T718" s="15">
        <v>0</v>
      </c>
      <c r="U718" s="15">
        <f t="shared" ca="1" si="161"/>
        <v>1.0007147907297569</v>
      </c>
      <c r="V718" s="15">
        <f t="shared" ca="1" si="162"/>
        <v>0.99946593423361552</v>
      </c>
      <c r="X718" s="15">
        <f t="shared" si="163"/>
        <v>1.05</v>
      </c>
      <c r="Y718" s="15">
        <f t="shared" si="164"/>
        <v>0.95</v>
      </c>
      <c r="Z718" s="15">
        <f t="shared" ca="1" si="165"/>
        <v>1</v>
      </c>
      <c r="AC718" s="15">
        <f t="shared" ca="1" si="166"/>
        <v>2.852262428238461E-7</v>
      </c>
      <c r="AD718" s="15">
        <f t="shared" ca="1" si="167"/>
        <v>5.3406576638448389E-4</v>
      </c>
      <c r="AE718" s="15">
        <f t="shared" ca="1" si="168"/>
        <v>0.36102845807591111</v>
      </c>
    </row>
    <row r="719" spans="12:31" x14ac:dyDescent="0.3">
      <c r="L719" s="15">
        <v>717</v>
      </c>
      <c r="M719" s="15">
        <f t="shared" si="158"/>
        <v>1</v>
      </c>
      <c r="N719" s="15">
        <f t="shared" ca="1" si="159"/>
        <v>5.3406576638448389E-4</v>
      </c>
      <c r="O719" s="15">
        <f t="shared" ca="1" si="156"/>
        <v>0.25069776357754653</v>
      </c>
      <c r="P719" s="15">
        <f t="shared" ca="1" si="169"/>
        <v>0.25024795910582132</v>
      </c>
      <c r="Q719" s="15">
        <v>0</v>
      </c>
      <c r="R719" s="15">
        <f t="shared" ca="1" si="160"/>
        <v>0.25024795910582132</v>
      </c>
      <c r="S719" s="15">
        <f t="shared" ca="1" si="157"/>
        <v>1.0007062092914039</v>
      </c>
      <c r="T719" s="15">
        <v>0</v>
      </c>
      <c r="U719" s="15">
        <f t="shared" ca="1" si="161"/>
        <v>1.0007062092914039</v>
      </c>
      <c r="V719" s="15">
        <f t="shared" ca="1" si="162"/>
        <v>0.99946593423361552</v>
      </c>
      <c r="X719" s="15">
        <f t="shared" si="163"/>
        <v>1.05</v>
      </c>
      <c r="Y719" s="15">
        <f t="shared" si="164"/>
        <v>0.95</v>
      </c>
      <c r="Z719" s="15">
        <f t="shared" ca="1" si="165"/>
        <v>1</v>
      </c>
      <c r="AC719" s="15">
        <f t="shared" ca="1" si="166"/>
        <v>2.852262428238461E-7</v>
      </c>
      <c r="AD719" s="15">
        <f t="shared" ca="1" si="167"/>
        <v>5.3406576638448389E-4</v>
      </c>
      <c r="AE719" s="15">
        <f t="shared" ca="1" si="168"/>
        <v>0.36156252384229559</v>
      </c>
    </row>
    <row r="720" spans="12:31" x14ac:dyDescent="0.3">
      <c r="L720" s="15">
        <v>718</v>
      </c>
      <c r="M720" s="15">
        <f t="shared" si="158"/>
        <v>1</v>
      </c>
      <c r="N720" s="15">
        <f t="shared" ca="1" si="159"/>
        <v>5.3406576638448389E-4</v>
      </c>
      <c r="O720" s="15">
        <f t="shared" ca="1" si="156"/>
        <v>0.25069776357754653</v>
      </c>
      <c r="P720" s="15">
        <f t="shared" ca="1" si="169"/>
        <v>0.25024795910582132</v>
      </c>
      <c r="Q720" s="15">
        <v>0</v>
      </c>
      <c r="R720" s="15">
        <f t="shared" ca="1" si="160"/>
        <v>0.25024795910582132</v>
      </c>
      <c r="S720" s="15">
        <f t="shared" ca="1" si="157"/>
        <v>1.0006999252395443</v>
      </c>
      <c r="T720" s="15">
        <v>0</v>
      </c>
      <c r="U720" s="15">
        <f t="shared" ca="1" si="161"/>
        <v>1.0006999252395443</v>
      </c>
      <c r="V720" s="15">
        <f t="shared" ca="1" si="162"/>
        <v>0.99946593423361552</v>
      </c>
      <c r="X720" s="15">
        <f t="shared" si="163"/>
        <v>1.05</v>
      </c>
      <c r="Y720" s="15">
        <f t="shared" si="164"/>
        <v>0.95</v>
      </c>
      <c r="Z720" s="15">
        <f t="shared" ca="1" si="165"/>
        <v>1</v>
      </c>
      <c r="AC720" s="15">
        <f t="shared" ca="1" si="166"/>
        <v>2.852262428238461E-7</v>
      </c>
      <c r="AD720" s="15">
        <f t="shared" ca="1" si="167"/>
        <v>5.3406576638448389E-4</v>
      </c>
      <c r="AE720" s="15">
        <f t="shared" ca="1" si="168"/>
        <v>0.36209658960868008</v>
      </c>
    </row>
    <row r="721" spans="12:31" x14ac:dyDescent="0.3">
      <c r="L721" s="15">
        <v>719</v>
      </c>
      <c r="M721" s="15">
        <f t="shared" si="158"/>
        <v>1</v>
      </c>
      <c r="N721" s="15">
        <f t="shared" ca="1" si="159"/>
        <v>5.3406576638448389E-4</v>
      </c>
      <c r="O721" s="15">
        <f t="shared" ca="1" si="156"/>
        <v>0.25069776357754653</v>
      </c>
      <c r="P721" s="15">
        <f t="shared" ca="1" si="169"/>
        <v>0.25024795910582132</v>
      </c>
      <c r="Q721" s="15">
        <v>0</v>
      </c>
      <c r="R721" s="15">
        <f t="shared" ca="1" si="160"/>
        <v>0.25024795910582132</v>
      </c>
      <c r="S721" s="15">
        <f t="shared" ca="1" si="157"/>
        <v>1.0006956735318371</v>
      </c>
      <c r="T721" s="15">
        <v>0</v>
      </c>
      <c r="U721" s="15">
        <f t="shared" ca="1" si="161"/>
        <v>1.0006956735318371</v>
      </c>
      <c r="V721" s="15">
        <f t="shared" ca="1" si="162"/>
        <v>0.99946593423361552</v>
      </c>
      <c r="X721" s="15">
        <f t="shared" si="163"/>
        <v>1.05</v>
      </c>
      <c r="Y721" s="15">
        <f t="shared" si="164"/>
        <v>0.95</v>
      </c>
      <c r="Z721" s="15">
        <f t="shared" ca="1" si="165"/>
        <v>1</v>
      </c>
      <c r="AC721" s="15">
        <f t="shared" ca="1" si="166"/>
        <v>2.852262428238461E-7</v>
      </c>
      <c r="AD721" s="15">
        <f t="shared" ca="1" si="167"/>
        <v>5.3406576638448389E-4</v>
      </c>
      <c r="AE721" s="15">
        <f t="shared" ca="1" si="168"/>
        <v>0.36263065537506456</v>
      </c>
    </row>
    <row r="722" spans="12:31" x14ac:dyDescent="0.3">
      <c r="L722" s="15">
        <v>720</v>
      </c>
      <c r="M722" s="15">
        <f t="shared" si="158"/>
        <v>1</v>
      </c>
      <c r="N722" s="15">
        <f t="shared" ca="1" si="159"/>
        <v>5.3406576638448389E-4</v>
      </c>
      <c r="O722" s="15">
        <f t="shared" ca="1" si="156"/>
        <v>0.25070786055549604</v>
      </c>
      <c r="P722" s="15">
        <f t="shared" ca="1" si="169"/>
        <v>0.25024795910582132</v>
      </c>
      <c r="Q722" s="15">
        <v>0</v>
      </c>
      <c r="R722" s="15">
        <f t="shared" ca="1" si="160"/>
        <v>0.25024795910582132</v>
      </c>
      <c r="S722" s="15">
        <f t="shared" ca="1" si="157"/>
        <v>1.0006932141733749</v>
      </c>
      <c r="T722" s="15">
        <v>0</v>
      </c>
      <c r="U722" s="15">
        <f t="shared" ca="1" si="161"/>
        <v>1.0006932141733749</v>
      </c>
      <c r="V722" s="15">
        <f t="shared" ca="1" si="162"/>
        <v>0.99946593423361552</v>
      </c>
      <c r="X722" s="15">
        <f t="shared" si="163"/>
        <v>1.05</v>
      </c>
      <c r="Y722" s="15">
        <f t="shared" si="164"/>
        <v>0.95</v>
      </c>
      <c r="Z722" s="15">
        <f t="shared" ca="1" si="165"/>
        <v>1</v>
      </c>
      <c r="AC722" s="15">
        <f t="shared" ca="1" si="166"/>
        <v>2.852262428238461E-7</v>
      </c>
      <c r="AD722" s="15">
        <f t="shared" ca="1" si="167"/>
        <v>5.3406576638448389E-4</v>
      </c>
      <c r="AE722" s="15">
        <f t="shared" ca="1" si="168"/>
        <v>0.36316472114144904</v>
      </c>
    </row>
    <row r="723" spans="12:31" x14ac:dyDescent="0.3">
      <c r="L723" s="15">
        <v>721</v>
      </c>
      <c r="M723" s="15">
        <f t="shared" si="158"/>
        <v>1</v>
      </c>
      <c r="N723" s="15">
        <f t="shared" ca="1" si="159"/>
        <v>5.3406576638448389E-4</v>
      </c>
      <c r="O723" s="15">
        <f t="shared" ca="1" si="156"/>
        <v>0.25070786055549604</v>
      </c>
      <c r="P723" s="15">
        <f t="shared" ca="1" si="169"/>
        <v>0.25024795910582132</v>
      </c>
      <c r="Q723" s="15">
        <v>0</v>
      </c>
      <c r="R723" s="15">
        <f t="shared" ca="1" si="160"/>
        <v>0.25024795910582132</v>
      </c>
      <c r="S723" s="15">
        <f t="shared" ca="1" si="157"/>
        <v>1.0006923300523443</v>
      </c>
      <c r="T723" s="15">
        <v>0</v>
      </c>
      <c r="U723" s="15">
        <f t="shared" ca="1" si="161"/>
        <v>1.0006923300523443</v>
      </c>
      <c r="V723" s="15">
        <f t="shared" ca="1" si="162"/>
        <v>0.99946593423361552</v>
      </c>
      <c r="X723" s="15">
        <f t="shared" si="163"/>
        <v>1.05</v>
      </c>
      <c r="Y723" s="15">
        <f t="shared" si="164"/>
        <v>0.95</v>
      </c>
      <c r="Z723" s="15">
        <f t="shared" ca="1" si="165"/>
        <v>1</v>
      </c>
      <c r="AC723" s="15">
        <f t="shared" ca="1" si="166"/>
        <v>2.852262428238461E-7</v>
      </c>
      <c r="AD723" s="15">
        <f t="shared" ca="1" si="167"/>
        <v>5.3406576638448389E-4</v>
      </c>
      <c r="AE723" s="15">
        <f t="shared" ca="1" si="168"/>
        <v>0.36369878690783353</v>
      </c>
    </row>
    <row r="724" spans="12:31" x14ac:dyDescent="0.3">
      <c r="L724" s="15">
        <v>722</v>
      </c>
      <c r="M724" s="15">
        <f t="shared" si="158"/>
        <v>1</v>
      </c>
      <c r="N724" s="15">
        <f t="shared" ca="1" si="159"/>
        <v>5.3406576638448389E-4</v>
      </c>
      <c r="O724" s="15">
        <f t="shared" ca="1" si="156"/>
        <v>0.25070786055549604</v>
      </c>
      <c r="P724" s="15">
        <f t="shared" ca="1" si="169"/>
        <v>0.25024795910582132</v>
      </c>
      <c r="Q724" s="15">
        <v>0</v>
      </c>
      <c r="R724" s="15">
        <f t="shared" ca="1" si="160"/>
        <v>0.25024795910582132</v>
      </c>
      <c r="S724" s="15">
        <f t="shared" ca="1" si="157"/>
        <v>1.000692824953632</v>
      </c>
      <c r="T724" s="15">
        <v>0</v>
      </c>
      <c r="U724" s="15">
        <f t="shared" ca="1" si="161"/>
        <v>1.000692824953632</v>
      </c>
      <c r="V724" s="15">
        <f t="shared" ca="1" si="162"/>
        <v>0.99946593423361552</v>
      </c>
      <c r="X724" s="15">
        <f t="shared" si="163"/>
        <v>1.05</v>
      </c>
      <c r="Y724" s="15">
        <f t="shared" si="164"/>
        <v>0.95</v>
      </c>
      <c r="Z724" s="15">
        <f t="shared" ca="1" si="165"/>
        <v>1</v>
      </c>
      <c r="AC724" s="15">
        <f t="shared" ca="1" si="166"/>
        <v>2.852262428238461E-7</v>
      </c>
      <c r="AD724" s="15">
        <f t="shared" ca="1" si="167"/>
        <v>5.3406576638448389E-4</v>
      </c>
      <c r="AE724" s="15">
        <f t="shared" ca="1" si="168"/>
        <v>0.36423285267421801</v>
      </c>
    </row>
    <row r="725" spans="12:31" x14ac:dyDescent="0.3">
      <c r="L725" s="15">
        <v>723</v>
      </c>
      <c r="M725" s="15">
        <f t="shared" si="158"/>
        <v>1</v>
      </c>
      <c r="N725" s="15">
        <f t="shared" ca="1" si="159"/>
        <v>5.3406576638448389E-4</v>
      </c>
      <c r="O725" s="15">
        <f t="shared" ca="1" si="156"/>
        <v>0.25071795753344556</v>
      </c>
      <c r="P725" s="15">
        <f t="shared" ca="1" si="169"/>
        <v>0.25024795910582132</v>
      </c>
      <c r="Q725" s="15">
        <v>0</v>
      </c>
      <c r="R725" s="15">
        <f t="shared" ca="1" si="160"/>
        <v>0.25024795910582132</v>
      </c>
      <c r="S725" s="15">
        <f t="shared" ca="1" si="157"/>
        <v>1.0006945217361913</v>
      </c>
      <c r="T725" s="15">
        <v>0</v>
      </c>
      <c r="U725" s="15">
        <f t="shared" ca="1" si="161"/>
        <v>1.0006945217361913</v>
      </c>
      <c r="V725" s="15">
        <f t="shared" ca="1" si="162"/>
        <v>0.99946593423361552</v>
      </c>
      <c r="X725" s="15">
        <f t="shared" si="163"/>
        <v>1.05</v>
      </c>
      <c r="Y725" s="15">
        <f t="shared" si="164"/>
        <v>0.95</v>
      </c>
      <c r="Z725" s="15">
        <f t="shared" ca="1" si="165"/>
        <v>1</v>
      </c>
      <c r="AC725" s="15">
        <f t="shared" ca="1" si="166"/>
        <v>2.852262428238461E-7</v>
      </c>
      <c r="AD725" s="15">
        <f t="shared" ca="1" si="167"/>
        <v>5.3406576638448389E-4</v>
      </c>
      <c r="AE725" s="15">
        <f t="shared" ca="1" si="168"/>
        <v>0.36476691844060249</v>
      </c>
    </row>
    <row r="726" spans="12:31" x14ac:dyDescent="0.3">
      <c r="L726" s="15">
        <v>724</v>
      </c>
      <c r="M726" s="15">
        <f t="shared" si="158"/>
        <v>1</v>
      </c>
      <c r="N726" s="15">
        <f t="shared" ca="1" si="159"/>
        <v>5.3406576638448389E-4</v>
      </c>
      <c r="O726" s="15">
        <f t="shared" ca="1" si="156"/>
        <v>0.25071795753344556</v>
      </c>
      <c r="P726" s="15">
        <f t="shared" ca="1" si="169"/>
        <v>0.25024795910582132</v>
      </c>
      <c r="Q726" s="15">
        <v>0</v>
      </c>
      <c r="R726" s="15">
        <f t="shared" ca="1" si="160"/>
        <v>0.25024795910582132</v>
      </c>
      <c r="S726" s="15">
        <f t="shared" ca="1" si="157"/>
        <v>1.0006972606610909</v>
      </c>
      <c r="T726" s="15">
        <v>0</v>
      </c>
      <c r="U726" s="15">
        <f t="shared" ca="1" si="161"/>
        <v>1.0006972606610909</v>
      </c>
      <c r="V726" s="15">
        <f t="shared" ca="1" si="162"/>
        <v>0.99946593423361552</v>
      </c>
      <c r="X726" s="15">
        <f t="shared" si="163"/>
        <v>1.05</v>
      </c>
      <c r="Y726" s="15">
        <f t="shared" si="164"/>
        <v>0.95</v>
      </c>
      <c r="Z726" s="15">
        <f t="shared" ca="1" si="165"/>
        <v>1</v>
      </c>
      <c r="AC726" s="15">
        <f t="shared" ca="1" si="166"/>
        <v>2.852262428238461E-7</v>
      </c>
      <c r="AD726" s="15">
        <f t="shared" ca="1" si="167"/>
        <v>5.3406576638448389E-4</v>
      </c>
      <c r="AE726" s="15">
        <f t="shared" ca="1" si="168"/>
        <v>0.36530098420698698</v>
      </c>
    </row>
    <row r="727" spans="12:31" x14ac:dyDescent="0.3">
      <c r="L727" s="15">
        <v>725</v>
      </c>
      <c r="M727" s="15">
        <f t="shared" si="158"/>
        <v>1</v>
      </c>
      <c r="N727" s="15">
        <f t="shared" ca="1" si="159"/>
        <v>5.3406576638448389E-4</v>
      </c>
      <c r="O727" s="15">
        <f t="shared" ca="1" si="156"/>
        <v>0.25071795753344556</v>
      </c>
      <c r="P727" s="15">
        <f t="shared" ca="1" si="169"/>
        <v>0.25024795910582132</v>
      </c>
      <c r="Q727" s="15">
        <v>0</v>
      </c>
      <c r="R727" s="15">
        <f t="shared" ca="1" si="160"/>
        <v>0.25024795910582132</v>
      </c>
      <c r="S727" s="15">
        <f t="shared" ca="1" si="157"/>
        <v>1.0007008978581906</v>
      </c>
      <c r="T727" s="15">
        <v>0</v>
      </c>
      <c r="U727" s="15">
        <f t="shared" ca="1" si="161"/>
        <v>1.0007008978581906</v>
      </c>
      <c r="V727" s="15">
        <f t="shared" ca="1" si="162"/>
        <v>0.99946593423361552</v>
      </c>
      <c r="X727" s="15">
        <f t="shared" si="163"/>
        <v>1.05</v>
      </c>
      <c r="Y727" s="15">
        <f t="shared" si="164"/>
        <v>0.95</v>
      </c>
      <c r="Z727" s="15">
        <f t="shared" ca="1" si="165"/>
        <v>1</v>
      </c>
      <c r="AC727" s="15">
        <f t="shared" ca="1" si="166"/>
        <v>2.852262428238461E-7</v>
      </c>
      <c r="AD727" s="15">
        <f t="shared" ca="1" si="167"/>
        <v>5.3406576638448389E-4</v>
      </c>
      <c r="AE727" s="15">
        <f t="shared" ca="1" si="168"/>
        <v>0.36583504997337146</v>
      </c>
    </row>
    <row r="728" spans="12:31" x14ac:dyDescent="0.3">
      <c r="L728" s="15">
        <v>726</v>
      </c>
      <c r="M728" s="15">
        <f t="shared" si="158"/>
        <v>1</v>
      </c>
      <c r="N728" s="15">
        <f t="shared" ca="1" si="159"/>
        <v>5.3406576638448389E-4</v>
      </c>
      <c r="O728" s="15">
        <f t="shared" ca="1" si="156"/>
        <v>0.25072805451139507</v>
      </c>
      <c r="P728" s="15">
        <f t="shared" ca="1" si="169"/>
        <v>0.25024795910582132</v>
      </c>
      <c r="Q728" s="15">
        <v>0</v>
      </c>
      <c r="R728" s="15">
        <f t="shared" ca="1" si="160"/>
        <v>0.25024795910582132</v>
      </c>
      <c r="S728" s="15">
        <f t="shared" ca="1" si="157"/>
        <v>1.0007053039203326</v>
      </c>
      <c r="T728" s="15">
        <v>0</v>
      </c>
      <c r="U728" s="15">
        <f t="shared" ca="1" si="161"/>
        <v>1.0007053039203326</v>
      </c>
      <c r="V728" s="15">
        <f t="shared" ca="1" si="162"/>
        <v>0.99946593423361552</v>
      </c>
      <c r="X728" s="15">
        <f t="shared" si="163"/>
        <v>1.05</v>
      </c>
      <c r="Y728" s="15">
        <f t="shared" si="164"/>
        <v>0.95</v>
      </c>
      <c r="Z728" s="15">
        <f t="shared" ca="1" si="165"/>
        <v>1</v>
      </c>
      <c r="AC728" s="15">
        <f t="shared" ca="1" si="166"/>
        <v>2.852262428238461E-7</v>
      </c>
      <c r="AD728" s="15">
        <f t="shared" ca="1" si="167"/>
        <v>5.3406576638448389E-4</v>
      </c>
      <c r="AE728" s="15">
        <f t="shared" ca="1" si="168"/>
        <v>0.36636911573975595</v>
      </c>
    </row>
    <row r="729" spans="12:31" x14ac:dyDescent="0.3">
      <c r="L729" s="15">
        <v>727</v>
      </c>
      <c r="M729" s="15">
        <f t="shared" si="158"/>
        <v>1</v>
      </c>
      <c r="N729" s="15">
        <f t="shared" ca="1" si="159"/>
        <v>5.3406576638448389E-4</v>
      </c>
      <c r="O729" s="15">
        <f t="shared" ca="1" si="156"/>
        <v>0.25072805451139507</v>
      </c>
      <c r="P729" s="15">
        <f t="shared" ca="1" si="169"/>
        <v>0.25024795910582132</v>
      </c>
      <c r="Q729" s="15">
        <v>0</v>
      </c>
      <c r="R729" s="15">
        <f t="shared" ca="1" si="160"/>
        <v>0.25024795910582132</v>
      </c>
      <c r="S729" s="15">
        <f t="shared" ca="1" si="157"/>
        <v>1.0007103626148075</v>
      </c>
      <c r="T729" s="15">
        <v>0</v>
      </c>
      <c r="U729" s="15">
        <f t="shared" ca="1" si="161"/>
        <v>1.0007103626148075</v>
      </c>
      <c r="V729" s="15">
        <f t="shared" ca="1" si="162"/>
        <v>0.99946593423361552</v>
      </c>
      <c r="X729" s="15">
        <f t="shared" si="163"/>
        <v>1.05</v>
      </c>
      <c r="Y729" s="15">
        <f t="shared" si="164"/>
        <v>0.95</v>
      </c>
      <c r="Z729" s="15">
        <f t="shared" ca="1" si="165"/>
        <v>1</v>
      </c>
      <c r="AC729" s="15">
        <f t="shared" ca="1" si="166"/>
        <v>2.852262428238461E-7</v>
      </c>
      <c r="AD729" s="15">
        <f t="shared" ca="1" si="167"/>
        <v>5.3406576638448389E-4</v>
      </c>
      <c r="AE729" s="15">
        <f t="shared" ca="1" si="168"/>
        <v>0.36690318150614043</v>
      </c>
    </row>
    <row r="730" spans="12:31" x14ac:dyDescent="0.3">
      <c r="L730" s="15">
        <v>728</v>
      </c>
      <c r="M730" s="15">
        <f t="shared" si="158"/>
        <v>1</v>
      </c>
      <c r="N730" s="15">
        <f t="shared" ca="1" si="159"/>
        <v>5.3406576638448389E-4</v>
      </c>
      <c r="O730" s="15">
        <f t="shared" ca="1" si="156"/>
        <v>0.25072805451139507</v>
      </c>
      <c r="P730" s="15">
        <f t="shared" ca="1" si="169"/>
        <v>0.25024795910582132</v>
      </c>
      <c r="Q730" s="15">
        <v>0</v>
      </c>
      <c r="R730" s="15">
        <f t="shared" ca="1" si="160"/>
        <v>0.25024795910582132</v>
      </c>
      <c r="S730" s="15">
        <f t="shared" ca="1" si="157"/>
        <v>1.0007159697026597</v>
      </c>
      <c r="T730" s="15">
        <v>0</v>
      </c>
      <c r="U730" s="15">
        <f t="shared" ca="1" si="161"/>
        <v>1.0007159697026597</v>
      </c>
      <c r="V730" s="15">
        <f t="shared" ca="1" si="162"/>
        <v>0.99946593423361552</v>
      </c>
      <c r="X730" s="15">
        <f t="shared" si="163"/>
        <v>1.05</v>
      </c>
      <c r="Y730" s="15">
        <f t="shared" si="164"/>
        <v>0.95</v>
      </c>
      <c r="Z730" s="15">
        <f t="shared" ca="1" si="165"/>
        <v>1</v>
      </c>
      <c r="AC730" s="15">
        <f t="shared" ca="1" si="166"/>
        <v>2.852262428238461E-7</v>
      </c>
      <c r="AD730" s="15">
        <f t="shared" ca="1" si="167"/>
        <v>5.3406576638448389E-4</v>
      </c>
      <c r="AE730" s="15">
        <f t="shared" ca="1" si="168"/>
        <v>0.36743724727252491</v>
      </c>
    </row>
    <row r="731" spans="12:31" x14ac:dyDescent="0.3">
      <c r="L731" s="15">
        <v>729</v>
      </c>
      <c r="M731" s="15">
        <f t="shared" si="158"/>
        <v>1</v>
      </c>
      <c r="N731" s="15">
        <f t="shared" ca="1" si="159"/>
        <v>5.3406576638448389E-4</v>
      </c>
      <c r="O731" s="15">
        <f t="shared" ca="1" si="156"/>
        <v>0.25073815148934459</v>
      </c>
      <c r="P731" s="15">
        <f t="shared" ca="1" si="169"/>
        <v>0.25024795910582132</v>
      </c>
      <c r="Q731" s="15">
        <v>0</v>
      </c>
      <c r="R731" s="15">
        <f t="shared" ca="1" si="160"/>
        <v>0.25024795910582132</v>
      </c>
      <c r="S731" s="15">
        <f t="shared" ca="1" si="157"/>
        <v>1.0007352317912444</v>
      </c>
      <c r="T731" s="15">
        <v>0</v>
      </c>
      <c r="U731" s="15">
        <f t="shared" ca="1" si="161"/>
        <v>1.0007352317912444</v>
      </c>
      <c r="V731" s="15">
        <f t="shared" ca="1" si="162"/>
        <v>0.99946593423361552</v>
      </c>
      <c r="X731" s="15">
        <f t="shared" si="163"/>
        <v>1.05</v>
      </c>
      <c r="Y731" s="15">
        <f t="shared" si="164"/>
        <v>0.95</v>
      </c>
      <c r="Z731" s="15">
        <f t="shared" ca="1" si="165"/>
        <v>1</v>
      </c>
      <c r="AC731" s="15">
        <f t="shared" ca="1" si="166"/>
        <v>2.852262428238461E-7</v>
      </c>
      <c r="AD731" s="15">
        <f t="shared" ca="1" si="167"/>
        <v>5.3406576638448389E-4</v>
      </c>
      <c r="AE731" s="15">
        <f t="shared" ca="1" si="168"/>
        <v>0.3679713130389094</v>
      </c>
    </row>
    <row r="732" spans="12:31" x14ac:dyDescent="0.3">
      <c r="L732" s="15">
        <v>730</v>
      </c>
      <c r="M732" s="15">
        <f t="shared" si="158"/>
        <v>1</v>
      </c>
      <c r="N732" s="15">
        <f t="shared" ca="1" si="159"/>
        <v>5.3406576638448389E-4</v>
      </c>
      <c r="O732" s="15">
        <f t="shared" ca="1" si="156"/>
        <v>0.25073815148934459</v>
      </c>
      <c r="P732" s="15">
        <f t="shared" ca="1" si="169"/>
        <v>0.25024795910582132</v>
      </c>
      <c r="Q732" s="15">
        <v>0</v>
      </c>
      <c r="R732" s="15">
        <f t="shared" ca="1" si="160"/>
        <v>0.25024795910582132</v>
      </c>
      <c r="S732" s="15">
        <f t="shared" ca="1" si="157"/>
        <v>1.0007789500514495</v>
      </c>
      <c r="T732" s="15">
        <v>0</v>
      </c>
      <c r="U732" s="15">
        <f t="shared" ca="1" si="161"/>
        <v>1.0007789500514495</v>
      </c>
      <c r="V732" s="15">
        <f t="shared" ca="1" si="162"/>
        <v>0.99946593423361552</v>
      </c>
      <c r="X732" s="15">
        <f t="shared" si="163"/>
        <v>1.05</v>
      </c>
      <c r="Y732" s="15">
        <f t="shared" si="164"/>
        <v>0.95</v>
      </c>
      <c r="Z732" s="15">
        <f t="shared" ca="1" si="165"/>
        <v>1</v>
      </c>
      <c r="AC732" s="15">
        <f t="shared" ca="1" si="166"/>
        <v>2.852262428238461E-7</v>
      </c>
      <c r="AD732" s="15">
        <f t="shared" ca="1" si="167"/>
        <v>5.3406576638448389E-4</v>
      </c>
      <c r="AE732" s="15">
        <f t="shared" ca="1" si="168"/>
        <v>0.36850537880529388</v>
      </c>
    </row>
    <row r="733" spans="12:31" x14ac:dyDescent="0.3">
      <c r="L733" s="15">
        <v>731</v>
      </c>
      <c r="M733" s="15">
        <f t="shared" si="158"/>
        <v>1</v>
      </c>
      <c r="N733" s="15">
        <f t="shared" ca="1" si="159"/>
        <v>5.3406576638448389E-4</v>
      </c>
      <c r="O733" s="15">
        <f t="shared" ca="1" si="156"/>
        <v>0.25073815148934459</v>
      </c>
      <c r="P733" s="15">
        <f t="shared" ca="1" si="169"/>
        <v>0.25024795910582132</v>
      </c>
      <c r="Q733" s="15">
        <v>0</v>
      </c>
      <c r="R733" s="15">
        <f t="shared" ca="1" si="160"/>
        <v>0.25024795910582132</v>
      </c>
      <c r="S733" s="15">
        <f t="shared" ca="1" si="157"/>
        <v>1.0008438351993716</v>
      </c>
      <c r="T733" s="15">
        <v>0</v>
      </c>
      <c r="U733" s="15">
        <f t="shared" ca="1" si="161"/>
        <v>1.0008438351993716</v>
      </c>
      <c r="V733" s="15">
        <f t="shared" ca="1" si="162"/>
        <v>0.99946593423361552</v>
      </c>
      <c r="X733" s="15">
        <f t="shared" si="163"/>
        <v>1.05</v>
      </c>
      <c r="Y733" s="15">
        <f t="shared" si="164"/>
        <v>0.95</v>
      </c>
      <c r="Z733" s="15">
        <f t="shared" ca="1" si="165"/>
        <v>1</v>
      </c>
      <c r="AC733" s="15">
        <f t="shared" ca="1" si="166"/>
        <v>2.852262428238461E-7</v>
      </c>
      <c r="AD733" s="15">
        <f t="shared" ca="1" si="167"/>
        <v>5.3406576638448389E-4</v>
      </c>
      <c r="AE733" s="15">
        <f t="shared" ca="1" si="168"/>
        <v>0.36903944457167837</v>
      </c>
    </row>
    <row r="734" spans="12:31" x14ac:dyDescent="0.3">
      <c r="L734" s="15">
        <v>732</v>
      </c>
      <c r="M734" s="15">
        <f t="shared" si="158"/>
        <v>1</v>
      </c>
      <c r="N734" s="15">
        <f t="shared" ca="1" si="159"/>
        <v>5.3406576638448389E-4</v>
      </c>
      <c r="O734" s="15">
        <f t="shared" ca="1" si="156"/>
        <v>0.2507482484672941</v>
      </c>
      <c r="P734" s="15">
        <f t="shared" ca="1" si="169"/>
        <v>0.25024795910582132</v>
      </c>
      <c r="Q734" s="15">
        <v>0</v>
      </c>
      <c r="R734" s="15">
        <f t="shared" ca="1" si="160"/>
        <v>0.25024795910582132</v>
      </c>
      <c r="S734" s="15">
        <f t="shared" ca="1" si="157"/>
        <v>1.0009137260183927</v>
      </c>
      <c r="T734" s="15">
        <v>0</v>
      </c>
      <c r="U734" s="15">
        <f t="shared" ca="1" si="161"/>
        <v>1.0009137260183927</v>
      </c>
      <c r="V734" s="15">
        <f t="shared" ca="1" si="162"/>
        <v>0.99946593423361552</v>
      </c>
      <c r="X734" s="15">
        <f t="shared" si="163"/>
        <v>1.05</v>
      </c>
      <c r="Y734" s="15">
        <f t="shared" si="164"/>
        <v>0.95</v>
      </c>
      <c r="Z734" s="15">
        <f t="shared" ca="1" si="165"/>
        <v>1</v>
      </c>
      <c r="AC734" s="15">
        <f t="shared" ca="1" si="166"/>
        <v>2.852262428238461E-7</v>
      </c>
      <c r="AD734" s="15">
        <f t="shared" ca="1" si="167"/>
        <v>5.3406576638448389E-4</v>
      </c>
      <c r="AE734" s="15">
        <f t="shared" ca="1" si="168"/>
        <v>0.36957351033806285</v>
      </c>
    </row>
    <row r="735" spans="12:31" x14ac:dyDescent="0.3">
      <c r="L735" s="15">
        <v>733</v>
      </c>
      <c r="M735" s="15">
        <f t="shared" si="158"/>
        <v>1</v>
      </c>
      <c r="N735" s="15">
        <f t="shared" ca="1" si="159"/>
        <v>5.3406576638448389E-4</v>
      </c>
      <c r="O735" s="15">
        <f t="shared" ca="1" si="156"/>
        <v>0.2507482484672941</v>
      </c>
      <c r="P735" s="15">
        <f t="shared" ca="1" si="169"/>
        <v>0.25024795910582132</v>
      </c>
      <c r="Q735" s="15">
        <v>0</v>
      </c>
      <c r="R735" s="15">
        <f t="shared" ca="1" si="160"/>
        <v>0.25024795910582132</v>
      </c>
      <c r="S735" s="15">
        <f t="shared" ca="1" si="157"/>
        <v>1.0009750755413727</v>
      </c>
      <c r="T735" s="15">
        <v>0</v>
      </c>
      <c r="U735" s="15">
        <f t="shared" ca="1" si="161"/>
        <v>1.0009750755413727</v>
      </c>
      <c r="V735" s="15">
        <f t="shared" ca="1" si="162"/>
        <v>0.99946593423361552</v>
      </c>
      <c r="X735" s="15">
        <f t="shared" si="163"/>
        <v>1.05</v>
      </c>
      <c r="Y735" s="15">
        <f t="shared" si="164"/>
        <v>0.95</v>
      </c>
      <c r="Z735" s="15">
        <f t="shared" ca="1" si="165"/>
        <v>1</v>
      </c>
      <c r="AC735" s="15">
        <f t="shared" ca="1" si="166"/>
        <v>2.852262428238461E-7</v>
      </c>
      <c r="AD735" s="15">
        <f t="shared" ca="1" si="167"/>
        <v>5.3406576638448389E-4</v>
      </c>
      <c r="AE735" s="15">
        <f t="shared" ca="1" si="168"/>
        <v>0.37010757610444733</v>
      </c>
    </row>
    <row r="736" spans="12:31" x14ac:dyDescent="0.3">
      <c r="L736" s="15">
        <v>734</v>
      </c>
      <c r="M736" s="15">
        <f t="shared" si="158"/>
        <v>1</v>
      </c>
      <c r="N736" s="15">
        <f t="shared" ca="1" si="159"/>
        <v>-9.9183642328526389E-4</v>
      </c>
      <c r="O736" s="15">
        <f t="shared" ca="1" si="156"/>
        <v>0.2507482484672941</v>
      </c>
      <c r="P736" s="15">
        <f t="shared" ca="1" si="169"/>
        <v>0.25024795910582132</v>
      </c>
      <c r="Q736" s="15">
        <v>0</v>
      </c>
      <c r="R736" s="15">
        <f t="shared" ca="1" si="160"/>
        <v>0.25024795910582132</v>
      </c>
      <c r="S736" s="15">
        <f t="shared" ca="1" si="157"/>
        <v>1.001028708483084</v>
      </c>
      <c r="T736" s="15">
        <v>0</v>
      </c>
      <c r="U736" s="15">
        <f t="shared" ca="1" si="161"/>
        <v>1.001028708483084</v>
      </c>
      <c r="V736" s="15">
        <f t="shared" ca="1" si="162"/>
        <v>1.0009918364232853</v>
      </c>
      <c r="X736" s="15">
        <f t="shared" si="163"/>
        <v>1.05</v>
      </c>
      <c r="Y736" s="15">
        <f t="shared" si="164"/>
        <v>0.95</v>
      </c>
      <c r="Z736" s="15">
        <f t="shared" ca="1" si="165"/>
        <v>1</v>
      </c>
      <c r="AC736" s="15">
        <f t="shared" ca="1" si="166"/>
        <v>9.8373949055530516E-7</v>
      </c>
      <c r="AD736" s="15">
        <f t="shared" ca="1" si="167"/>
        <v>9.9183642328526389E-4</v>
      </c>
      <c r="AE736" s="15">
        <f t="shared" ca="1" si="168"/>
        <v>0.68833447775997314</v>
      </c>
    </row>
    <row r="737" spans="12:31" x14ac:dyDescent="0.3">
      <c r="L737" s="15">
        <v>735</v>
      </c>
      <c r="M737" s="15">
        <f t="shared" si="158"/>
        <v>1</v>
      </c>
      <c r="N737" s="15">
        <f t="shared" ca="1" si="159"/>
        <v>-9.9183642328526389E-4</v>
      </c>
      <c r="O737" s="15">
        <f t="shared" ca="1" si="156"/>
        <v>0.24910193817432127</v>
      </c>
      <c r="P737" s="15">
        <f t="shared" ca="1" si="169"/>
        <v>0.24872205691615165</v>
      </c>
      <c r="Q737" s="15">
        <v>0</v>
      </c>
      <c r="R737" s="15">
        <f t="shared" ca="1" si="160"/>
        <v>0.24872205691615165</v>
      </c>
      <c r="S737" s="15">
        <f t="shared" ca="1" si="157"/>
        <v>1.001075377510303</v>
      </c>
      <c r="T737" s="15">
        <v>0</v>
      </c>
      <c r="U737" s="15">
        <f t="shared" ca="1" si="161"/>
        <v>1.001075377510303</v>
      </c>
      <c r="V737" s="15">
        <f t="shared" ca="1" si="162"/>
        <v>1.0009918364232853</v>
      </c>
      <c r="X737" s="15">
        <f t="shared" si="163"/>
        <v>1.05</v>
      </c>
      <c r="Y737" s="15">
        <f t="shared" si="164"/>
        <v>0.95</v>
      </c>
      <c r="Z737" s="15">
        <f t="shared" ca="1" si="165"/>
        <v>1</v>
      </c>
      <c r="AC737" s="15">
        <f t="shared" ca="1" si="166"/>
        <v>9.8373949055530516E-7</v>
      </c>
      <c r="AD737" s="15">
        <f t="shared" ca="1" si="167"/>
        <v>9.9183642328526389E-4</v>
      </c>
      <c r="AE737" s="15">
        <f t="shared" ca="1" si="168"/>
        <v>0.6893263141832584</v>
      </c>
    </row>
    <row r="738" spans="12:31" x14ac:dyDescent="0.3">
      <c r="L738" s="15">
        <v>736</v>
      </c>
      <c r="M738" s="15">
        <f t="shared" si="158"/>
        <v>1</v>
      </c>
      <c r="N738" s="15">
        <f t="shared" ca="1" si="159"/>
        <v>-9.9183642328526389E-4</v>
      </c>
      <c r="O738" s="15">
        <f t="shared" ca="1" si="156"/>
        <v>0.24910193817432127</v>
      </c>
      <c r="P738" s="15">
        <f t="shared" ca="1" si="169"/>
        <v>0.24872205691615165</v>
      </c>
      <c r="Q738" s="15">
        <v>0</v>
      </c>
      <c r="R738" s="15">
        <f t="shared" ca="1" si="160"/>
        <v>0.24872205691615165</v>
      </c>
      <c r="S738" s="15">
        <f t="shared" ca="1" si="157"/>
        <v>1.0011157692038184</v>
      </c>
      <c r="T738" s="15">
        <v>0</v>
      </c>
      <c r="U738" s="15">
        <f t="shared" ca="1" si="161"/>
        <v>1.0011157692038184</v>
      </c>
      <c r="V738" s="15">
        <f t="shared" ca="1" si="162"/>
        <v>1.0009918364232853</v>
      </c>
      <c r="X738" s="15">
        <f t="shared" si="163"/>
        <v>1.05</v>
      </c>
      <c r="Y738" s="15">
        <f t="shared" si="164"/>
        <v>0.95</v>
      </c>
      <c r="Z738" s="15">
        <f t="shared" ca="1" si="165"/>
        <v>1</v>
      </c>
      <c r="AC738" s="15">
        <f t="shared" ca="1" si="166"/>
        <v>9.8373949055530516E-7</v>
      </c>
      <c r="AD738" s="15">
        <f t="shared" ca="1" si="167"/>
        <v>9.9183642328526389E-4</v>
      </c>
      <c r="AE738" s="15">
        <f t="shared" ca="1" si="168"/>
        <v>0.69031815060654367</v>
      </c>
    </row>
    <row r="739" spans="12:31" x14ac:dyDescent="0.3">
      <c r="L739" s="15">
        <v>737</v>
      </c>
      <c r="M739" s="15">
        <f t="shared" si="158"/>
        <v>1</v>
      </c>
      <c r="N739" s="15">
        <f t="shared" ca="1" si="159"/>
        <v>-9.9183642328526389E-4</v>
      </c>
      <c r="O739" s="15">
        <f t="shared" ca="1" si="156"/>
        <v>0.24910193817432127</v>
      </c>
      <c r="P739" s="15">
        <f t="shared" ca="1" si="169"/>
        <v>0.24872205691615165</v>
      </c>
      <c r="Q739" s="15">
        <v>0</v>
      </c>
      <c r="R739" s="15">
        <f t="shared" ca="1" si="160"/>
        <v>0.24872205691615165</v>
      </c>
      <c r="S739" s="15">
        <f t="shared" ca="1" si="157"/>
        <v>1.0011505095431643</v>
      </c>
      <c r="T739" s="15">
        <v>0</v>
      </c>
      <c r="U739" s="15">
        <f t="shared" ca="1" si="161"/>
        <v>1.0011505095431643</v>
      </c>
      <c r="V739" s="15">
        <f t="shared" ca="1" si="162"/>
        <v>1.0009918364232853</v>
      </c>
      <c r="X739" s="15">
        <f t="shared" si="163"/>
        <v>1.05</v>
      </c>
      <c r="Y739" s="15">
        <f t="shared" si="164"/>
        <v>0.95</v>
      </c>
      <c r="Z739" s="15">
        <f t="shared" ca="1" si="165"/>
        <v>1</v>
      </c>
      <c r="AC739" s="15">
        <f t="shared" ca="1" si="166"/>
        <v>9.8373949055530516E-7</v>
      </c>
      <c r="AD739" s="15">
        <f t="shared" ca="1" si="167"/>
        <v>9.9183642328526389E-4</v>
      </c>
      <c r="AE739" s="15">
        <f t="shared" ca="1" si="168"/>
        <v>0.69130998702982893</v>
      </c>
    </row>
    <row r="740" spans="12:31" x14ac:dyDescent="0.3">
      <c r="L740" s="15">
        <v>738</v>
      </c>
      <c r="M740" s="15">
        <f t="shared" si="158"/>
        <v>1</v>
      </c>
      <c r="N740" s="15">
        <f t="shared" ca="1" si="159"/>
        <v>-9.9183642328526389E-4</v>
      </c>
      <c r="O740" s="15">
        <f t="shared" ca="1" si="156"/>
        <v>0.25037721818424191</v>
      </c>
      <c r="P740" s="15">
        <f t="shared" ca="1" si="169"/>
        <v>0.25024795910582132</v>
      </c>
      <c r="Q740" s="15">
        <v>0</v>
      </c>
      <c r="R740" s="15">
        <f t="shared" ca="1" si="160"/>
        <v>0.25024795910582132</v>
      </c>
      <c r="S740" s="15">
        <f t="shared" ca="1" si="157"/>
        <v>1.0011801689514606</v>
      </c>
      <c r="T740" s="15">
        <v>0</v>
      </c>
      <c r="U740" s="15">
        <f t="shared" ca="1" si="161"/>
        <v>1.0011801689514606</v>
      </c>
      <c r="V740" s="15">
        <f t="shared" ca="1" si="162"/>
        <v>1.0009918364232853</v>
      </c>
      <c r="X740" s="15">
        <f t="shared" si="163"/>
        <v>1.05</v>
      </c>
      <c r="Y740" s="15">
        <f t="shared" si="164"/>
        <v>0.95</v>
      </c>
      <c r="Z740" s="15">
        <f t="shared" ca="1" si="165"/>
        <v>1</v>
      </c>
      <c r="AC740" s="15">
        <f t="shared" ca="1" si="166"/>
        <v>9.8373949055530516E-7</v>
      </c>
      <c r="AD740" s="15">
        <f t="shared" ca="1" si="167"/>
        <v>9.9183642328526389E-4</v>
      </c>
      <c r="AE740" s="15">
        <f t="shared" ca="1" si="168"/>
        <v>0.6923018234531142</v>
      </c>
    </row>
    <row r="741" spans="12:31" x14ac:dyDescent="0.3">
      <c r="L741" s="15">
        <v>739</v>
      </c>
      <c r="M741" s="15">
        <f t="shared" si="158"/>
        <v>1</v>
      </c>
      <c r="N741" s="15">
        <f t="shared" ca="1" si="159"/>
        <v>-9.9183642328526389E-4</v>
      </c>
      <c r="O741" s="15">
        <f t="shared" ca="1" si="156"/>
        <v>0.25037721818424191</v>
      </c>
      <c r="P741" s="15">
        <f t="shared" ca="1" si="169"/>
        <v>0.25024795910582132</v>
      </c>
      <c r="Q741" s="15">
        <v>0</v>
      </c>
      <c r="R741" s="15">
        <f t="shared" ca="1" si="160"/>
        <v>0.25024795910582132</v>
      </c>
      <c r="S741" s="15">
        <f t="shared" ca="1" si="157"/>
        <v>1.0012052669348641</v>
      </c>
      <c r="T741" s="15">
        <v>0</v>
      </c>
      <c r="U741" s="15">
        <f t="shared" ca="1" si="161"/>
        <v>1.0012052669348641</v>
      </c>
      <c r="V741" s="15">
        <f t="shared" ca="1" si="162"/>
        <v>1.0009918364232853</v>
      </c>
      <c r="X741" s="15">
        <f t="shared" si="163"/>
        <v>1.05</v>
      </c>
      <c r="Y741" s="15">
        <f t="shared" si="164"/>
        <v>0.95</v>
      </c>
      <c r="Z741" s="15">
        <f t="shared" ca="1" si="165"/>
        <v>1</v>
      </c>
      <c r="AC741" s="15">
        <f t="shared" ca="1" si="166"/>
        <v>9.8373949055530516E-7</v>
      </c>
      <c r="AD741" s="15">
        <f t="shared" ca="1" si="167"/>
        <v>9.9183642328526389E-4</v>
      </c>
      <c r="AE741" s="15">
        <f t="shared" ca="1" si="168"/>
        <v>0.69329365987639946</v>
      </c>
    </row>
    <row r="742" spans="12:31" x14ac:dyDescent="0.3">
      <c r="L742" s="15">
        <v>740</v>
      </c>
      <c r="M742" s="15">
        <f t="shared" si="158"/>
        <v>1</v>
      </c>
      <c r="N742" s="15">
        <f t="shared" ca="1" si="159"/>
        <v>-9.9183642328526389E-4</v>
      </c>
      <c r="O742" s="15">
        <f t="shared" ca="1" si="156"/>
        <v>0.25037721818424191</v>
      </c>
      <c r="P742" s="15">
        <f t="shared" ca="1" si="169"/>
        <v>0.25024795910582132</v>
      </c>
      <c r="Q742" s="15">
        <v>0</v>
      </c>
      <c r="R742" s="15">
        <f t="shared" ca="1" si="160"/>
        <v>0.25024795910582132</v>
      </c>
      <c r="S742" s="15">
        <f t="shared" ca="1" si="157"/>
        <v>1.0012262763484636</v>
      </c>
      <c r="T742" s="15">
        <v>0</v>
      </c>
      <c r="U742" s="15">
        <f t="shared" ca="1" si="161"/>
        <v>1.0012262763484636</v>
      </c>
      <c r="V742" s="15">
        <f t="shared" ca="1" si="162"/>
        <v>1.0009918364232853</v>
      </c>
      <c r="X742" s="15">
        <f t="shared" si="163"/>
        <v>1.05</v>
      </c>
      <c r="Y742" s="15">
        <f t="shared" si="164"/>
        <v>0.95</v>
      </c>
      <c r="Z742" s="15">
        <f t="shared" ca="1" si="165"/>
        <v>1</v>
      </c>
      <c r="AC742" s="15">
        <f t="shared" ca="1" si="166"/>
        <v>9.8373949055530516E-7</v>
      </c>
      <c r="AD742" s="15">
        <f t="shared" ca="1" si="167"/>
        <v>9.9183642328526389E-4</v>
      </c>
      <c r="AE742" s="15">
        <f t="shared" ca="1" si="168"/>
        <v>0.69428549629968472</v>
      </c>
    </row>
    <row r="743" spans="12:31" x14ac:dyDescent="0.3">
      <c r="L743" s="15">
        <v>741</v>
      </c>
      <c r="M743" s="15">
        <f t="shared" si="158"/>
        <v>1</v>
      </c>
      <c r="N743" s="15">
        <f t="shared" ca="1" si="159"/>
        <v>-9.9183642328526389E-4</v>
      </c>
      <c r="O743" s="15">
        <f t="shared" ca="1" si="156"/>
        <v>0.25035846665376421</v>
      </c>
      <c r="P743" s="15">
        <f t="shared" ca="1" si="169"/>
        <v>0.25024795910582132</v>
      </c>
      <c r="Q743" s="15">
        <v>0</v>
      </c>
      <c r="R743" s="15">
        <f t="shared" ca="1" si="160"/>
        <v>0.25024795910582132</v>
      </c>
      <c r="S743" s="15">
        <f t="shared" ca="1" si="157"/>
        <v>1.0012436273179941</v>
      </c>
      <c r="T743" s="15">
        <v>0</v>
      </c>
      <c r="U743" s="15">
        <f t="shared" ca="1" si="161"/>
        <v>1.0012436273179941</v>
      </c>
      <c r="V743" s="15">
        <f t="shared" ca="1" si="162"/>
        <v>1.0009918364232853</v>
      </c>
      <c r="X743" s="15">
        <f t="shared" si="163"/>
        <v>1.05</v>
      </c>
      <c r="Y743" s="15">
        <f t="shared" si="164"/>
        <v>0.95</v>
      </c>
      <c r="Z743" s="15">
        <f t="shared" ca="1" si="165"/>
        <v>1</v>
      </c>
      <c r="AC743" s="15">
        <f t="shared" ca="1" si="166"/>
        <v>9.8373949055530516E-7</v>
      </c>
      <c r="AD743" s="15">
        <f t="shared" ca="1" si="167"/>
        <v>9.9183642328526389E-4</v>
      </c>
      <c r="AE743" s="15">
        <f t="shared" ca="1" si="168"/>
        <v>0.69527733272296999</v>
      </c>
    </row>
    <row r="744" spans="12:31" x14ac:dyDescent="0.3">
      <c r="L744" s="15">
        <v>742</v>
      </c>
      <c r="M744" s="15">
        <f t="shared" si="158"/>
        <v>1</v>
      </c>
      <c r="N744" s="15">
        <f t="shared" ca="1" si="159"/>
        <v>-9.9183642328526389E-4</v>
      </c>
      <c r="O744" s="15">
        <f t="shared" ca="1" si="156"/>
        <v>0.25035846665376421</v>
      </c>
      <c r="P744" s="15">
        <f t="shared" ca="1" si="169"/>
        <v>0.25024795910582132</v>
      </c>
      <c r="Q744" s="15">
        <v>0</v>
      </c>
      <c r="R744" s="15">
        <f t="shared" ca="1" si="160"/>
        <v>0.25024795910582132</v>
      </c>
      <c r="S744" s="15">
        <f t="shared" ca="1" si="157"/>
        <v>1.0012577108444736</v>
      </c>
      <c r="T744" s="15">
        <v>0</v>
      </c>
      <c r="U744" s="15">
        <f t="shared" ca="1" si="161"/>
        <v>1.0012577108444736</v>
      </c>
      <c r="V744" s="15">
        <f t="shared" ca="1" si="162"/>
        <v>1.0009918364232853</v>
      </c>
      <c r="X744" s="15">
        <f t="shared" si="163"/>
        <v>1.05</v>
      </c>
      <c r="Y744" s="15">
        <f t="shared" si="164"/>
        <v>0.95</v>
      </c>
      <c r="Z744" s="15">
        <f t="shared" ca="1" si="165"/>
        <v>1</v>
      </c>
      <c r="AC744" s="15">
        <f t="shared" ca="1" si="166"/>
        <v>9.8373949055530516E-7</v>
      </c>
      <c r="AD744" s="15">
        <f t="shared" ca="1" si="167"/>
        <v>9.9183642328526389E-4</v>
      </c>
      <c r="AE744" s="15">
        <f t="shared" ca="1" si="168"/>
        <v>0.69626916914625525</v>
      </c>
    </row>
    <row r="745" spans="12:31" x14ac:dyDescent="0.3">
      <c r="L745" s="15">
        <v>743</v>
      </c>
      <c r="M745" s="15">
        <f t="shared" si="158"/>
        <v>1</v>
      </c>
      <c r="N745" s="15">
        <f t="shared" ca="1" si="159"/>
        <v>-9.9183642328526389E-4</v>
      </c>
      <c r="O745" s="15">
        <f t="shared" ca="1" si="156"/>
        <v>0.25035846665376421</v>
      </c>
      <c r="P745" s="15">
        <f t="shared" ca="1" si="169"/>
        <v>0.25024795910582132</v>
      </c>
      <c r="Q745" s="15">
        <v>0</v>
      </c>
      <c r="R745" s="15">
        <f t="shared" ca="1" si="160"/>
        <v>0.25024795910582132</v>
      </c>
      <c r="S745" s="15">
        <f t="shared" ca="1" si="157"/>
        <v>1.0012688821167619</v>
      </c>
      <c r="T745" s="15">
        <v>0</v>
      </c>
      <c r="U745" s="15">
        <f t="shared" ca="1" si="161"/>
        <v>1.0012688821167619</v>
      </c>
      <c r="V745" s="15">
        <f t="shared" ca="1" si="162"/>
        <v>1.0009918364232853</v>
      </c>
      <c r="X745" s="15">
        <f t="shared" si="163"/>
        <v>1.05</v>
      </c>
      <c r="Y745" s="15">
        <f t="shared" si="164"/>
        <v>0.95</v>
      </c>
      <c r="Z745" s="15">
        <f t="shared" ca="1" si="165"/>
        <v>1</v>
      </c>
      <c r="AC745" s="15">
        <f t="shared" ca="1" si="166"/>
        <v>9.8373949055530516E-7</v>
      </c>
      <c r="AD745" s="15">
        <f t="shared" ca="1" si="167"/>
        <v>9.9183642328526389E-4</v>
      </c>
      <c r="AE745" s="15">
        <f t="shared" ca="1" si="168"/>
        <v>0.69726100556954052</v>
      </c>
    </row>
    <row r="746" spans="12:31" x14ac:dyDescent="0.3">
      <c r="L746" s="15">
        <v>744</v>
      </c>
      <c r="M746" s="15">
        <f t="shared" si="158"/>
        <v>1</v>
      </c>
      <c r="N746" s="15">
        <f t="shared" ca="1" si="159"/>
        <v>-9.9183642328526389E-4</v>
      </c>
      <c r="O746" s="15">
        <f t="shared" ca="1" si="156"/>
        <v>0.25033971512328651</v>
      </c>
      <c r="P746" s="15">
        <f t="shared" ca="1" si="169"/>
        <v>0.25024795910582132</v>
      </c>
      <c r="Q746" s="15">
        <v>0</v>
      </c>
      <c r="R746" s="15">
        <f t="shared" ca="1" si="160"/>
        <v>0.25024795910582132</v>
      </c>
      <c r="S746" s="15">
        <f t="shared" ca="1" si="157"/>
        <v>1.0012774635551087</v>
      </c>
      <c r="T746" s="15">
        <v>0</v>
      </c>
      <c r="U746" s="15">
        <f t="shared" ca="1" si="161"/>
        <v>1.0012774635551087</v>
      </c>
      <c r="V746" s="15">
        <f t="shared" ca="1" si="162"/>
        <v>1.0009918364232853</v>
      </c>
      <c r="X746" s="15">
        <f t="shared" si="163"/>
        <v>1.05</v>
      </c>
      <c r="Y746" s="15">
        <f t="shared" si="164"/>
        <v>0.95</v>
      </c>
      <c r="Z746" s="15">
        <f t="shared" ca="1" si="165"/>
        <v>1</v>
      </c>
      <c r="AC746" s="15">
        <f t="shared" ca="1" si="166"/>
        <v>9.8373949055530516E-7</v>
      </c>
      <c r="AD746" s="15">
        <f t="shared" ca="1" si="167"/>
        <v>9.9183642328526389E-4</v>
      </c>
      <c r="AE746" s="15">
        <f t="shared" ca="1" si="168"/>
        <v>0.69825284199282578</v>
      </c>
    </row>
    <row r="747" spans="12:31" x14ac:dyDescent="0.3">
      <c r="L747" s="15">
        <v>745</v>
      </c>
      <c r="M747" s="15">
        <f t="shared" si="158"/>
        <v>1</v>
      </c>
      <c r="N747" s="15">
        <f t="shared" ca="1" si="159"/>
        <v>-9.9183642328526389E-4</v>
      </c>
      <c r="O747" s="15">
        <f t="shared" ref="O747:O810" ca="1" si="170">IF(MOD(L747,$B$11)=0,OFFSET(O747,-$B$11,0)+ $E$2*N747+$E$3*OFFSET(N747,-$B$11,0)+ $E$4*OFFSET(N747,-2* $B$11,0), O746)</f>
        <v>0.25033971512328651</v>
      </c>
      <c r="P747" s="15">
        <f t="shared" ca="1" si="169"/>
        <v>0.25024795910582132</v>
      </c>
      <c r="Q747" s="15">
        <v>0</v>
      </c>
      <c r="R747" s="15">
        <f t="shared" ca="1" si="160"/>
        <v>0.25024795910582132</v>
      </c>
      <c r="S747" s="15">
        <f t="shared" ca="1" si="157"/>
        <v>1.0012837476069625</v>
      </c>
      <c r="T747" s="15">
        <v>0</v>
      </c>
      <c r="U747" s="15">
        <f t="shared" ca="1" si="161"/>
        <v>1.0012837476069625</v>
      </c>
      <c r="V747" s="15">
        <f t="shared" ca="1" si="162"/>
        <v>1.0009918364232853</v>
      </c>
      <c r="X747" s="15">
        <f t="shared" si="163"/>
        <v>1.05</v>
      </c>
      <c r="Y747" s="15">
        <f t="shared" si="164"/>
        <v>0.95</v>
      </c>
      <c r="Z747" s="15">
        <f t="shared" ca="1" si="165"/>
        <v>1</v>
      </c>
      <c r="AC747" s="15">
        <f t="shared" ca="1" si="166"/>
        <v>9.8373949055530516E-7</v>
      </c>
      <c r="AD747" s="15">
        <f t="shared" ca="1" si="167"/>
        <v>9.9183642328526389E-4</v>
      </c>
      <c r="AE747" s="15">
        <f t="shared" ca="1" si="168"/>
        <v>0.69924467841611104</v>
      </c>
    </row>
    <row r="748" spans="12:31" x14ac:dyDescent="0.3">
      <c r="L748" s="15">
        <v>746</v>
      </c>
      <c r="M748" s="15">
        <f t="shared" si="158"/>
        <v>1</v>
      </c>
      <c r="N748" s="15">
        <f t="shared" ca="1" si="159"/>
        <v>-9.9183642328526389E-4</v>
      </c>
      <c r="O748" s="15">
        <f t="shared" ca="1" si="170"/>
        <v>0.25033971512328651</v>
      </c>
      <c r="P748" s="15">
        <f t="shared" ca="1" si="169"/>
        <v>0.25024795910582132</v>
      </c>
      <c r="Q748" s="15">
        <v>0</v>
      </c>
      <c r="R748" s="15">
        <f t="shared" ca="1" si="160"/>
        <v>0.25024795910582132</v>
      </c>
      <c r="S748" s="15">
        <f t="shared" ca="1" si="157"/>
        <v>1.0012879993146644</v>
      </c>
      <c r="T748" s="15">
        <v>0</v>
      </c>
      <c r="U748" s="15">
        <f t="shared" ca="1" si="161"/>
        <v>1.0012879993146644</v>
      </c>
      <c r="V748" s="15">
        <f t="shared" ca="1" si="162"/>
        <v>1.0009918364232853</v>
      </c>
      <c r="X748" s="15">
        <f t="shared" si="163"/>
        <v>1.05</v>
      </c>
      <c r="Y748" s="15">
        <f t="shared" si="164"/>
        <v>0.95</v>
      </c>
      <c r="Z748" s="15">
        <f t="shared" ca="1" si="165"/>
        <v>1</v>
      </c>
      <c r="AC748" s="15">
        <f t="shared" ca="1" si="166"/>
        <v>9.8373949055530516E-7</v>
      </c>
      <c r="AD748" s="15">
        <f t="shared" ca="1" si="167"/>
        <v>9.9183642328526389E-4</v>
      </c>
      <c r="AE748" s="15">
        <f t="shared" ca="1" si="168"/>
        <v>0.70023651483939631</v>
      </c>
    </row>
    <row r="749" spans="12:31" x14ac:dyDescent="0.3">
      <c r="L749" s="15">
        <v>747</v>
      </c>
      <c r="M749" s="15">
        <f t="shared" si="158"/>
        <v>1</v>
      </c>
      <c r="N749" s="15">
        <f t="shared" ca="1" si="159"/>
        <v>-9.9183642328526389E-4</v>
      </c>
      <c r="O749" s="15">
        <f t="shared" ca="1" si="170"/>
        <v>0.25032096359280881</v>
      </c>
      <c r="P749" s="15">
        <f t="shared" ca="1" si="169"/>
        <v>0.25024795910582132</v>
      </c>
      <c r="Q749" s="15">
        <v>0</v>
      </c>
      <c r="R749" s="15">
        <f t="shared" ca="1" si="160"/>
        <v>0.25024795910582132</v>
      </c>
      <c r="S749" s="15">
        <f t="shared" ref="S749:S812" ca="1" si="171">$I$1*S748-$I$2*S747+$I$3*R728+$I$4*R727</f>
        <v>1.0012904586731215</v>
      </c>
      <c r="T749" s="15">
        <v>0</v>
      </c>
      <c r="U749" s="15">
        <f t="shared" ca="1" si="161"/>
        <v>1.0012904586731215</v>
      </c>
      <c r="V749" s="15">
        <f t="shared" ca="1" si="162"/>
        <v>1.0009918364232853</v>
      </c>
      <c r="X749" s="15">
        <f t="shared" si="163"/>
        <v>1.05</v>
      </c>
      <c r="Y749" s="15">
        <f t="shared" si="164"/>
        <v>0.95</v>
      </c>
      <c r="Z749" s="15">
        <f t="shared" ca="1" si="165"/>
        <v>1</v>
      </c>
      <c r="AC749" s="15">
        <f t="shared" ca="1" si="166"/>
        <v>9.8373949055530516E-7</v>
      </c>
      <c r="AD749" s="15">
        <f t="shared" ca="1" si="167"/>
        <v>9.9183642328526389E-4</v>
      </c>
      <c r="AE749" s="15">
        <f t="shared" ca="1" si="168"/>
        <v>0.70122835126268157</v>
      </c>
    </row>
    <row r="750" spans="12:31" x14ac:dyDescent="0.3">
      <c r="L750" s="15">
        <v>748</v>
      </c>
      <c r="M750" s="15">
        <f t="shared" si="158"/>
        <v>1</v>
      </c>
      <c r="N750" s="15">
        <f t="shared" ca="1" si="159"/>
        <v>-9.9183642328526389E-4</v>
      </c>
      <c r="O750" s="15">
        <f t="shared" ca="1" si="170"/>
        <v>0.25032096359280881</v>
      </c>
      <c r="P750" s="15">
        <f t="shared" ca="1" si="169"/>
        <v>0.25024795910582132</v>
      </c>
      <c r="Q750" s="15">
        <v>0</v>
      </c>
      <c r="R750" s="15">
        <f t="shared" ca="1" si="160"/>
        <v>0.25024795910582132</v>
      </c>
      <c r="S750" s="15">
        <f t="shared" ca="1" si="171"/>
        <v>1.0012913427941474</v>
      </c>
      <c r="T750" s="15">
        <v>0</v>
      </c>
      <c r="U750" s="15">
        <f t="shared" ca="1" si="161"/>
        <v>1.0012913427941474</v>
      </c>
      <c r="V750" s="15">
        <f t="shared" ca="1" si="162"/>
        <v>1.0009918364232853</v>
      </c>
      <c r="X750" s="15">
        <f t="shared" si="163"/>
        <v>1.05</v>
      </c>
      <c r="Y750" s="15">
        <f t="shared" si="164"/>
        <v>0.95</v>
      </c>
      <c r="Z750" s="15">
        <f t="shared" ca="1" si="165"/>
        <v>1</v>
      </c>
      <c r="AC750" s="15">
        <f t="shared" ca="1" si="166"/>
        <v>9.8373949055530516E-7</v>
      </c>
      <c r="AD750" s="15">
        <f t="shared" ca="1" si="167"/>
        <v>9.9183642328526389E-4</v>
      </c>
      <c r="AE750" s="15">
        <f t="shared" ca="1" si="168"/>
        <v>0.70222018768596683</v>
      </c>
    </row>
    <row r="751" spans="12:31" x14ac:dyDescent="0.3">
      <c r="L751" s="15">
        <v>749</v>
      </c>
      <c r="M751" s="15">
        <f t="shared" si="158"/>
        <v>1</v>
      </c>
      <c r="N751" s="15">
        <f t="shared" ca="1" si="159"/>
        <v>-9.9183642328526389E-4</v>
      </c>
      <c r="O751" s="15">
        <f t="shared" ca="1" si="170"/>
        <v>0.25032096359280881</v>
      </c>
      <c r="P751" s="15">
        <f t="shared" ca="1" si="169"/>
        <v>0.25024795910582132</v>
      </c>
      <c r="Q751" s="15">
        <v>0</v>
      </c>
      <c r="R751" s="15">
        <f t="shared" ca="1" si="160"/>
        <v>0.25024795910582132</v>
      </c>
      <c r="S751" s="15">
        <f t="shared" ca="1" si="171"/>
        <v>1.0012908478928555</v>
      </c>
      <c r="T751" s="15">
        <v>0</v>
      </c>
      <c r="U751" s="15">
        <f t="shared" ca="1" si="161"/>
        <v>1.0012908478928555</v>
      </c>
      <c r="V751" s="15">
        <f t="shared" ca="1" si="162"/>
        <v>1.0009918364232853</v>
      </c>
      <c r="X751" s="15">
        <f t="shared" si="163"/>
        <v>1.05</v>
      </c>
      <c r="Y751" s="15">
        <f t="shared" si="164"/>
        <v>0.95</v>
      </c>
      <c r="Z751" s="15">
        <f t="shared" ca="1" si="165"/>
        <v>1</v>
      </c>
      <c r="AC751" s="15">
        <f t="shared" ca="1" si="166"/>
        <v>9.8373949055530516E-7</v>
      </c>
      <c r="AD751" s="15">
        <f t="shared" ca="1" si="167"/>
        <v>9.9183642328526389E-4</v>
      </c>
      <c r="AE751" s="15">
        <f t="shared" ca="1" si="168"/>
        <v>0.7032120241092521</v>
      </c>
    </row>
    <row r="752" spans="12:31" x14ac:dyDescent="0.3">
      <c r="L752" s="15">
        <v>750</v>
      </c>
      <c r="M752" s="15">
        <f t="shared" si="158"/>
        <v>1</v>
      </c>
      <c r="N752" s="15">
        <f t="shared" ca="1" si="159"/>
        <v>-9.9183642328526389E-4</v>
      </c>
      <c r="O752" s="15">
        <f t="shared" ca="1" si="170"/>
        <v>0.25030221206233111</v>
      </c>
      <c r="P752" s="15">
        <f t="shared" ca="1" si="169"/>
        <v>0.25024795910582132</v>
      </c>
      <c r="Q752" s="15">
        <v>0</v>
      </c>
      <c r="R752" s="15">
        <f t="shared" ca="1" si="160"/>
        <v>0.25024795910582132</v>
      </c>
      <c r="S752" s="15">
        <f t="shared" ca="1" si="171"/>
        <v>1.0012891511102924</v>
      </c>
      <c r="T752" s="15">
        <v>0</v>
      </c>
      <c r="U752" s="15">
        <f t="shared" ca="1" si="161"/>
        <v>1.0012891511102924</v>
      </c>
      <c r="V752" s="15">
        <f t="shared" ca="1" si="162"/>
        <v>1.0009918364232853</v>
      </c>
      <c r="X752" s="15">
        <f t="shared" si="163"/>
        <v>1.05</v>
      </c>
      <c r="Y752" s="15">
        <f t="shared" si="164"/>
        <v>0.95</v>
      </c>
      <c r="Z752" s="15">
        <f t="shared" ca="1" si="165"/>
        <v>1</v>
      </c>
      <c r="AC752" s="15">
        <f t="shared" ca="1" si="166"/>
        <v>9.8373949055530516E-7</v>
      </c>
      <c r="AD752" s="15">
        <f t="shared" ca="1" si="167"/>
        <v>9.9183642328526389E-4</v>
      </c>
      <c r="AE752" s="15">
        <f t="shared" ca="1" si="168"/>
        <v>0.70420386053253736</v>
      </c>
    </row>
    <row r="753" spans="12:31" x14ac:dyDescent="0.3">
      <c r="L753" s="15">
        <v>751</v>
      </c>
      <c r="M753" s="15">
        <f t="shared" si="158"/>
        <v>1</v>
      </c>
      <c r="N753" s="15">
        <f t="shared" ca="1" si="159"/>
        <v>-9.9183642328526389E-4</v>
      </c>
      <c r="O753" s="15">
        <f t="shared" ca="1" si="170"/>
        <v>0.25030221206233111</v>
      </c>
      <c r="P753" s="15">
        <f t="shared" ca="1" si="169"/>
        <v>0.25024795910582132</v>
      </c>
      <c r="Q753" s="15">
        <v>0</v>
      </c>
      <c r="R753" s="15">
        <f t="shared" ca="1" si="160"/>
        <v>0.25024795910582132</v>
      </c>
      <c r="S753" s="15">
        <f t="shared" ca="1" si="171"/>
        <v>1.0012864121853893</v>
      </c>
      <c r="T753" s="15">
        <v>0</v>
      </c>
      <c r="U753" s="15">
        <f t="shared" ca="1" si="161"/>
        <v>1.0012864121853893</v>
      </c>
      <c r="V753" s="15">
        <f t="shared" ca="1" si="162"/>
        <v>1.0009918364232853</v>
      </c>
      <c r="X753" s="15">
        <f t="shared" si="163"/>
        <v>1.05</v>
      </c>
      <c r="Y753" s="15">
        <f t="shared" si="164"/>
        <v>0.95</v>
      </c>
      <c r="Z753" s="15">
        <f t="shared" ca="1" si="165"/>
        <v>1</v>
      </c>
      <c r="AC753" s="15">
        <f t="shared" ca="1" si="166"/>
        <v>9.8373949055530516E-7</v>
      </c>
      <c r="AD753" s="15">
        <f t="shared" ca="1" si="167"/>
        <v>9.9183642328526389E-4</v>
      </c>
      <c r="AE753" s="15">
        <f t="shared" ca="1" si="168"/>
        <v>0.70519569695582263</v>
      </c>
    </row>
    <row r="754" spans="12:31" x14ac:dyDescent="0.3">
      <c r="L754" s="15">
        <v>752</v>
      </c>
      <c r="M754" s="15">
        <f t="shared" si="158"/>
        <v>1</v>
      </c>
      <c r="N754" s="15">
        <f t="shared" ca="1" si="159"/>
        <v>-9.9183642328526389E-4</v>
      </c>
      <c r="O754" s="15">
        <f t="shared" ca="1" si="170"/>
        <v>0.25030221206233111</v>
      </c>
      <c r="P754" s="15">
        <f t="shared" ca="1" si="169"/>
        <v>0.25024795910582132</v>
      </c>
      <c r="Q754" s="15">
        <v>0</v>
      </c>
      <c r="R754" s="15">
        <f t="shared" ca="1" si="160"/>
        <v>0.25024795910582132</v>
      </c>
      <c r="S754" s="15">
        <f t="shared" ca="1" si="171"/>
        <v>1.0012827749882862</v>
      </c>
      <c r="T754" s="15">
        <v>0</v>
      </c>
      <c r="U754" s="15">
        <f t="shared" ca="1" si="161"/>
        <v>1.0012827749882862</v>
      </c>
      <c r="V754" s="15">
        <f t="shared" ca="1" si="162"/>
        <v>1.0009918364232853</v>
      </c>
      <c r="X754" s="15">
        <f t="shared" si="163"/>
        <v>1.05</v>
      </c>
      <c r="Y754" s="15">
        <f t="shared" si="164"/>
        <v>0.95</v>
      </c>
      <c r="Z754" s="15">
        <f t="shared" ca="1" si="165"/>
        <v>1</v>
      </c>
      <c r="AC754" s="15">
        <f t="shared" ca="1" si="166"/>
        <v>9.8373949055530516E-7</v>
      </c>
      <c r="AD754" s="15">
        <f t="shared" ca="1" si="167"/>
        <v>9.9183642328526389E-4</v>
      </c>
      <c r="AE754" s="15">
        <f t="shared" ca="1" si="168"/>
        <v>0.70618753337910789</v>
      </c>
    </row>
    <row r="755" spans="12:31" x14ac:dyDescent="0.3">
      <c r="L755" s="15">
        <v>753</v>
      </c>
      <c r="M755" s="15">
        <f t="shared" si="158"/>
        <v>1</v>
      </c>
      <c r="N755" s="15">
        <f t="shared" ca="1" si="159"/>
        <v>-9.9183642328526389E-4</v>
      </c>
      <c r="O755" s="15">
        <f t="shared" ca="1" si="170"/>
        <v>0.25028346053185341</v>
      </c>
      <c r="P755" s="15">
        <f t="shared" ca="1" si="169"/>
        <v>0.25024795910582132</v>
      </c>
      <c r="Q755" s="15">
        <v>0</v>
      </c>
      <c r="R755" s="15">
        <f t="shared" ca="1" si="160"/>
        <v>0.25024795910582132</v>
      </c>
      <c r="S755" s="15">
        <f t="shared" ca="1" si="171"/>
        <v>1.0012783689261411</v>
      </c>
      <c r="T755" s="15">
        <v>0</v>
      </c>
      <c r="U755" s="15">
        <f t="shared" ca="1" si="161"/>
        <v>1.0012783689261411</v>
      </c>
      <c r="V755" s="15">
        <f t="shared" ca="1" si="162"/>
        <v>1.0009918364232853</v>
      </c>
      <c r="X755" s="15">
        <f t="shared" si="163"/>
        <v>1.05</v>
      </c>
      <c r="Y755" s="15">
        <f t="shared" si="164"/>
        <v>0.95</v>
      </c>
      <c r="Z755" s="15">
        <f t="shared" ca="1" si="165"/>
        <v>1</v>
      </c>
      <c r="AC755" s="15">
        <f t="shared" ca="1" si="166"/>
        <v>9.8373949055530516E-7</v>
      </c>
      <c r="AD755" s="15">
        <f t="shared" ca="1" si="167"/>
        <v>9.9183642328526389E-4</v>
      </c>
      <c r="AE755" s="15">
        <f t="shared" ca="1" si="168"/>
        <v>0.70717936980239315</v>
      </c>
    </row>
    <row r="756" spans="12:31" x14ac:dyDescent="0.3">
      <c r="L756" s="15">
        <v>754</v>
      </c>
      <c r="M756" s="15">
        <f t="shared" si="158"/>
        <v>1</v>
      </c>
      <c r="N756" s="15">
        <f t="shared" ca="1" si="159"/>
        <v>-9.9183642328526389E-4</v>
      </c>
      <c r="O756" s="15">
        <f t="shared" ca="1" si="170"/>
        <v>0.25028346053185341</v>
      </c>
      <c r="P756" s="15">
        <f t="shared" ca="1" si="169"/>
        <v>0.25024795910582132</v>
      </c>
      <c r="Q756" s="15">
        <v>0</v>
      </c>
      <c r="R756" s="15">
        <f t="shared" ca="1" si="160"/>
        <v>0.25024795910582132</v>
      </c>
      <c r="S756" s="15">
        <f t="shared" ca="1" si="171"/>
        <v>1.0012733102316633</v>
      </c>
      <c r="T756" s="15">
        <v>0</v>
      </c>
      <c r="U756" s="15">
        <f t="shared" ca="1" si="161"/>
        <v>1.0012733102316633</v>
      </c>
      <c r="V756" s="15">
        <f t="shared" ca="1" si="162"/>
        <v>1.0009918364232853</v>
      </c>
      <c r="X756" s="15">
        <f t="shared" si="163"/>
        <v>1.05</v>
      </c>
      <c r="Y756" s="15">
        <f t="shared" si="164"/>
        <v>0.95</v>
      </c>
      <c r="Z756" s="15">
        <f t="shared" ca="1" si="165"/>
        <v>1</v>
      </c>
      <c r="AC756" s="15">
        <f t="shared" ca="1" si="166"/>
        <v>9.8373949055530516E-7</v>
      </c>
      <c r="AD756" s="15">
        <f t="shared" ca="1" si="167"/>
        <v>9.9183642328526389E-4</v>
      </c>
      <c r="AE756" s="15">
        <f t="shared" ca="1" si="168"/>
        <v>0.70817120622567842</v>
      </c>
    </row>
    <row r="757" spans="12:31" x14ac:dyDescent="0.3">
      <c r="L757" s="15">
        <v>755</v>
      </c>
      <c r="M757" s="15">
        <f t="shared" si="158"/>
        <v>1</v>
      </c>
      <c r="N757" s="15">
        <f t="shared" ca="1" si="159"/>
        <v>-9.9183642328526389E-4</v>
      </c>
      <c r="O757" s="15">
        <f t="shared" ca="1" si="170"/>
        <v>0.25028346053185341</v>
      </c>
      <c r="P757" s="15">
        <f t="shared" ca="1" si="169"/>
        <v>0.25024795910582132</v>
      </c>
      <c r="Q757" s="15">
        <v>0</v>
      </c>
      <c r="R757" s="15">
        <f t="shared" ca="1" si="160"/>
        <v>0.25024795910582132</v>
      </c>
      <c r="S757" s="15">
        <f t="shared" ca="1" si="171"/>
        <v>1.0012677031438082</v>
      </c>
      <c r="T757" s="15">
        <v>0</v>
      </c>
      <c r="U757" s="15">
        <f t="shared" ca="1" si="161"/>
        <v>1.0012677031438082</v>
      </c>
      <c r="V757" s="15">
        <f t="shared" ca="1" si="162"/>
        <v>1.0009918364232853</v>
      </c>
      <c r="X757" s="15">
        <f t="shared" si="163"/>
        <v>1.05</v>
      </c>
      <c r="Y757" s="15">
        <f t="shared" si="164"/>
        <v>0.95</v>
      </c>
      <c r="Z757" s="15">
        <f t="shared" ca="1" si="165"/>
        <v>1</v>
      </c>
      <c r="AC757" s="15">
        <f t="shared" ca="1" si="166"/>
        <v>9.8373949055530516E-7</v>
      </c>
      <c r="AD757" s="15">
        <f t="shared" ca="1" si="167"/>
        <v>9.9183642328526389E-4</v>
      </c>
      <c r="AE757" s="15">
        <f t="shared" ca="1" si="168"/>
        <v>0.70916304264896368</v>
      </c>
    </row>
    <row r="758" spans="12:31" x14ac:dyDescent="0.3">
      <c r="L758" s="15">
        <v>756</v>
      </c>
      <c r="M758" s="15">
        <f t="shared" si="158"/>
        <v>1</v>
      </c>
      <c r="N758" s="15">
        <f t="shared" ca="1" si="159"/>
        <v>-9.9183642328526389E-4</v>
      </c>
      <c r="O758" s="15">
        <f t="shared" ca="1" si="170"/>
        <v>0.25026470900137571</v>
      </c>
      <c r="P758" s="15">
        <f t="shared" ca="1" si="169"/>
        <v>0.25024795910582132</v>
      </c>
      <c r="Q758" s="15">
        <v>0</v>
      </c>
      <c r="R758" s="15">
        <f t="shared" ca="1" si="160"/>
        <v>0.25024795910582132</v>
      </c>
      <c r="S758" s="15">
        <f t="shared" ca="1" si="171"/>
        <v>1.0012484410552209</v>
      </c>
      <c r="T758" s="15">
        <v>0</v>
      </c>
      <c r="U758" s="15">
        <f t="shared" ca="1" si="161"/>
        <v>1.0012484410552209</v>
      </c>
      <c r="V758" s="15">
        <f t="shared" ca="1" si="162"/>
        <v>1.0009918364232853</v>
      </c>
      <c r="X758" s="15">
        <f t="shared" si="163"/>
        <v>1.05</v>
      </c>
      <c r="Y758" s="15">
        <f t="shared" si="164"/>
        <v>0.95</v>
      </c>
      <c r="Z758" s="15">
        <f t="shared" ca="1" si="165"/>
        <v>1</v>
      </c>
      <c r="AC758" s="15">
        <f t="shared" ca="1" si="166"/>
        <v>9.8373949055530516E-7</v>
      </c>
      <c r="AD758" s="15">
        <f t="shared" ca="1" si="167"/>
        <v>9.9183642328526389E-4</v>
      </c>
      <c r="AE758" s="15">
        <f t="shared" ca="1" si="168"/>
        <v>0.71015487907224895</v>
      </c>
    </row>
    <row r="759" spans="12:31" x14ac:dyDescent="0.3">
      <c r="L759" s="15">
        <v>757</v>
      </c>
      <c r="M759" s="15">
        <f t="shared" si="158"/>
        <v>1</v>
      </c>
      <c r="N759" s="15">
        <f t="shared" ca="1" si="159"/>
        <v>-9.9183642328526389E-4</v>
      </c>
      <c r="O759" s="15">
        <f t="shared" ca="1" si="170"/>
        <v>0.25026470900137571</v>
      </c>
      <c r="P759" s="15">
        <f t="shared" ca="1" si="169"/>
        <v>0.25024795910582132</v>
      </c>
      <c r="Q759" s="15">
        <v>0</v>
      </c>
      <c r="R759" s="15">
        <f t="shared" ca="1" si="160"/>
        <v>0.25024795910582132</v>
      </c>
      <c r="S759" s="15">
        <f t="shared" ca="1" si="171"/>
        <v>1.0012047227950132</v>
      </c>
      <c r="T759" s="15">
        <v>0</v>
      </c>
      <c r="U759" s="15">
        <f t="shared" ca="1" si="161"/>
        <v>1.0012047227950132</v>
      </c>
      <c r="V759" s="15">
        <f t="shared" ca="1" si="162"/>
        <v>1.0009918364232853</v>
      </c>
      <c r="X759" s="15">
        <f t="shared" si="163"/>
        <v>1.05</v>
      </c>
      <c r="Y759" s="15">
        <f t="shared" si="164"/>
        <v>0.95</v>
      </c>
      <c r="Z759" s="15">
        <f t="shared" ca="1" si="165"/>
        <v>1</v>
      </c>
      <c r="AC759" s="15">
        <f t="shared" ca="1" si="166"/>
        <v>9.8373949055530516E-7</v>
      </c>
      <c r="AD759" s="15">
        <f t="shared" ca="1" si="167"/>
        <v>9.9183642328526389E-4</v>
      </c>
      <c r="AE759" s="15">
        <f t="shared" ca="1" si="168"/>
        <v>0.71114671549553421</v>
      </c>
    </row>
    <row r="760" spans="12:31" x14ac:dyDescent="0.3">
      <c r="L760" s="15">
        <v>758</v>
      </c>
      <c r="M760" s="15">
        <f t="shared" si="158"/>
        <v>1</v>
      </c>
      <c r="N760" s="15">
        <f t="shared" ca="1" si="159"/>
        <v>-9.9183642328526389E-4</v>
      </c>
      <c r="O760" s="15">
        <f t="shared" ca="1" si="170"/>
        <v>0.25026470900137571</v>
      </c>
      <c r="P760" s="15">
        <f t="shared" ca="1" si="169"/>
        <v>0.25024795910582132</v>
      </c>
      <c r="Q760" s="15">
        <v>0</v>
      </c>
      <c r="R760" s="15">
        <f t="shared" ca="1" si="160"/>
        <v>0.25024795910582132</v>
      </c>
      <c r="S760" s="15">
        <f t="shared" ca="1" si="171"/>
        <v>1.0011398376470884</v>
      </c>
      <c r="T760" s="15">
        <v>0</v>
      </c>
      <c r="U760" s="15">
        <f t="shared" ca="1" si="161"/>
        <v>1.0011398376470884</v>
      </c>
      <c r="V760" s="15">
        <f t="shared" ca="1" si="162"/>
        <v>1.0009918364232853</v>
      </c>
      <c r="X760" s="15">
        <f t="shared" si="163"/>
        <v>1.05</v>
      </c>
      <c r="Y760" s="15">
        <f t="shared" si="164"/>
        <v>0.95</v>
      </c>
      <c r="Z760" s="15">
        <f t="shared" ca="1" si="165"/>
        <v>1</v>
      </c>
      <c r="AC760" s="15">
        <f t="shared" ca="1" si="166"/>
        <v>9.8373949055530516E-7</v>
      </c>
      <c r="AD760" s="15">
        <f t="shared" ca="1" si="167"/>
        <v>9.9183642328526389E-4</v>
      </c>
      <c r="AE760" s="15">
        <f t="shared" ca="1" si="168"/>
        <v>0.71213855191881947</v>
      </c>
    </row>
    <row r="761" spans="12:31" x14ac:dyDescent="0.3">
      <c r="L761" s="15">
        <v>759</v>
      </c>
      <c r="M761" s="15">
        <f t="shared" si="158"/>
        <v>1</v>
      </c>
      <c r="N761" s="15">
        <f t="shared" ca="1" si="159"/>
        <v>-9.9183642328526389E-4</v>
      </c>
      <c r="O761" s="15">
        <f t="shared" ca="1" si="170"/>
        <v>0.25024595747089801</v>
      </c>
      <c r="P761" s="15">
        <f t="shared" ca="1" si="169"/>
        <v>0.24872205691615165</v>
      </c>
      <c r="Q761" s="15">
        <v>0</v>
      </c>
      <c r="R761" s="15">
        <f t="shared" ca="1" si="160"/>
        <v>0.24872205691615165</v>
      </c>
      <c r="S761" s="15">
        <f t="shared" ca="1" si="171"/>
        <v>1.0010699468280646</v>
      </c>
      <c r="T761" s="15">
        <v>0</v>
      </c>
      <c r="U761" s="15">
        <f t="shared" ca="1" si="161"/>
        <v>1.0010699468280646</v>
      </c>
      <c r="V761" s="15">
        <f t="shared" ca="1" si="162"/>
        <v>1.0009918364232853</v>
      </c>
      <c r="X761" s="15">
        <f t="shared" si="163"/>
        <v>1.05</v>
      </c>
      <c r="Y761" s="15">
        <f t="shared" si="164"/>
        <v>0.95</v>
      </c>
      <c r="Z761" s="15">
        <f t="shared" ca="1" si="165"/>
        <v>1</v>
      </c>
      <c r="AC761" s="15">
        <f t="shared" ca="1" si="166"/>
        <v>9.8373949055530516E-7</v>
      </c>
      <c r="AD761" s="15">
        <f t="shared" ca="1" si="167"/>
        <v>9.9183642328526389E-4</v>
      </c>
      <c r="AE761" s="15">
        <f t="shared" ca="1" si="168"/>
        <v>0.71313038834210474</v>
      </c>
    </row>
    <row r="762" spans="12:31" x14ac:dyDescent="0.3">
      <c r="L762" s="15">
        <v>760</v>
      </c>
      <c r="M762" s="15">
        <f t="shared" si="158"/>
        <v>1</v>
      </c>
      <c r="N762" s="15">
        <f t="shared" ca="1" si="159"/>
        <v>-9.9183642328526389E-4</v>
      </c>
      <c r="O762" s="15">
        <f t="shared" ca="1" si="170"/>
        <v>0.25024595747089801</v>
      </c>
      <c r="P762" s="15">
        <f t="shared" ca="1" si="169"/>
        <v>0.24872205691615165</v>
      </c>
      <c r="Q762" s="15">
        <v>0</v>
      </c>
      <c r="R762" s="15">
        <f t="shared" ca="1" si="160"/>
        <v>0.24872205691615165</v>
      </c>
      <c r="S762" s="15">
        <f t="shared" ca="1" si="171"/>
        <v>1.0010085973050822</v>
      </c>
      <c r="T762" s="15">
        <v>0</v>
      </c>
      <c r="U762" s="15">
        <f t="shared" ca="1" si="161"/>
        <v>1.0010085973050822</v>
      </c>
      <c r="V762" s="15">
        <f t="shared" ca="1" si="162"/>
        <v>1.0009918364232853</v>
      </c>
      <c r="X762" s="15">
        <f t="shared" si="163"/>
        <v>1.05</v>
      </c>
      <c r="Y762" s="15">
        <f t="shared" si="164"/>
        <v>0.95</v>
      </c>
      <c r="Z762" s="15">
        <f t="shared" ca="1" si="165"/>
        <v>1</v>
      </c>
      <c r="AC762" s="15">
        <f t="shared" ca="1" si="166"/>
        <v>9.8373949055530516E-7</v>
      </c>
      <c r="AD762" s="15">
        <f t="shared" ca="1" si="167"/>
        <v>9.9183642328526389E-4</v>
      </c>
      <c r="AE762" s="15">
        <f t="shared" ca="1" si="168"/>
        <v>0.71412222476539</v>
      </c>
    </row>
    <row r="763" spans="12:31" x14ac:dyDescent="0.3">
      <c r="L763" s="15">
        <v>761</v>
      </c>
      <c r="M763" s="15">
        <f t="shared" si="158"/>
        <v>1</v>
      </c>
      <c r="N763" s="15">
        <f t="shared" ca="1" si="159"/>
        <v>5.3406576638448389E-4</v>
      </c>
      <c r="O763" s="15">
        <f t="shared" ca="1" si="170"/>
        <v>0.25024595747089801</v>
      </c>
      <c r="P763" s="15">
        <f t="shared" ca="1" si="169"/>
        <v>0.24872205691615165</v>
      </c>
      <c r="Q763" s="15">
        <v>0</v>
      </c>
      <c r="R763" s="15">
        <f t="shared" ca="1" si="160"/>
        <v>0.24872205691615165</v>
      </c>
      <c r="S763" s="15">
        <f t="shared" ca="1" si="171"/>
        <v>1.0009549643633684</v>
      </c>
      <c r="T763" s="15">
        <v>0</v>
      </c>
      <c r="U763" s="15">
        <f t="shared" ca="1" si="161"/>
        <v>1.0009549643633684</v>
      </c>
      <c r="V763" s="15">
        <f t="shared" ca="1" si="162"/>
        <v>0.99946593423361552</v>
      </c>
      <c r="X763" s="15">
        <f t="shared" si="163"/>
        <v>1.05</v>
      </c>
      <c r="Y763" s="15">
        <f t="shared" si="164"/>
        <v>0.95</v>
      </c>
      <c r="Z763" s="15">
        <f t="shared" ca="1" si="165"/>
        <v>1</v>
      </c>
      <c r="AC763" s="15">
        <f t="shared" ca="1" si="166"/>
        <v>2.852262428238461E-7</v>
      </c>
      <c r="AD763" s="15">
        <f t="shared" ca="1" si="167"/>
        <v>5.3406576638448389E-4</v>
      </c>
      <c r="AE763" s="15">
        <f t="shared" ca="1" si="168"/>
        <v>0.38506141756321288</v>
      </c>
    </row>
    <row r="764" spans="12:31" x14ac:dyDescent="0.3">
      <c r="L764" s="15">
        <v>762</v>
      </c>
      <c r="M764" s="15">
        <f t="shared" si="158"/>
        <v>1</v>
      </c>
      <c r="N764" s="15">
        <f t="shared" ca="1" si="159"/>
        <v>5.3406576638448389E-4</v>
      </c>
      <c r="O764" s="15">
        <f t="shared" ca="1" si="170"/>
        <v>0.25188361321134267</v>
      </c>
      <c r="P764" s="15">
        <f t="shared" ca="1" si="169"/>
        <v>0.25177386129549095</v>
      </c>
      <c r="Q764" s="15">
        <v>0</v>
      </c>
      <c r="R764" s="15">
        <f t="shared" ca="1" si="160"/>
        <v>0.25177386129549095</v>
      </c>
      <c r="S764" s="15">
        <f t="shared" ca="1" si="171"/>
        <v>1.000908295336147</v>
      </c>
      <c r="T764" s="15">
        <v>0</v>
      </c>
      <c r="U764" s="15">
        <f t="shared" ca="1" si="161"/>
        <v>1.000908295336147</v>
      </c>
      <c r="V764" s="15">
        <f t="shared" ca="1" si="162"/>
        <v>0.99946593423361552</v>
      </c>
      <c r="X764" s="15">
        <f t="shared" si="163"/>
        <v>1.05</v>
      </c>
      <c r="Y764" s="15">
        <f t="shared" si="164"/>
        <v>0.95</v>
      </c>
      <c r="Z764" s="15">
        <f t="shared" ca="1" si="165"/>
        <v>1</v>
      </c>
      <c r="AC764" s="15">
        <f t="shared" ca="1" si="166"/>
        <v>2.852262428238461E-7</v>
      </c>
      <c r="AD764" s="15">
        <f t="shared" ca="1" si="167"/>
        <v>5.3406576638448389E-4</v>
      </c>
      <c r="AE764" s="15">
        <f t="shared" ca="1" si="168"/>
        <v>0.38559548332959737</v>
      </c>
    </row>
    <row r="765" spans="12:31" x14ac:dyDescent="0.3">
      <c r="L765" s="15">
        <v>763</v>
      </c>
      <c r="M765" s="15">
        <f t="shared" si="158"/>
        <v>1</v>
      </c>
      <c r="N765" s="15">
        <f t="shared" ca="1" si="159"/>
        <v>5.3406576638448389E-4</v>
      </c>
      <c r="O765" s="15">
        <f t="shared" ca="1" si="170"/>
        <v>0.25188361321134267</v>
      </c>
      <c r="P765" s="15">
        <f t="shared" ca="1" si="169"/>
        <v>0.25177386129549095</v>
      </c>
      <c r="Q765" s="15">
        <v>0</v>
      </c>
      <c r="R765" s="15">
        <f t="shared" ca="1" si="160"/>
        <v>0.25177386129549095</v>
      </c>
      <c r="S765" s="15">
        <f t="shared" ca="1" si="171"/>
        <v>1.0008679036426291</v>
      </c>
      <c r="T765" s="15">
        <v>0</v>
      </c>
      <c r="U765" s="15">
        <f t="shared" ca="1" si="161"/>
        <v>1.0008679036426291</v>
      </c>
      <c r="V765" s="15">
        <f t="shared" ca="1" si="162"/>
        <v>0.99946593423361552</v>
      </c>
      <c r="X765" s="15">
        <f t="shared" si="163"/>
        <v>1.05</v>
      </c>
      <c r="Y765" s="15">
        <f t="shared" si="164"/>
        <v>0.95</v>
      </c>
      <c r="Z765" s="15">
        <f t="shared" ca="1" si="165"/>
        <v>1</v>
      </c>
      <c r="AC765" s="15">
        <f t="shared" ca="1" si="166"/>
        <v>2.852262428238461E-7</v>
      </c>
      <c r="AD765" s="15">
        <f t="shared" ca="1" si="167"/>
        <v>5.3406576638448389E-4</v>
      </c>
      <c r="AE765" s="15">
        <f t="shared" ca="1" si="168"/>
        <v>0.38612954909598185</v>
      </c>
    </row>
    <row r="766" spans="12:31" x14ac:dyDescent="0.3">
      <c r="L766" s="15">
        <v>764</v>
      </c>
      <c r="M766" s="15">
        <f t="shared" si="158"/>
        <v>1</v>
      </c>
      <c r="N766" s="15">
        <f t="shared" ca="1" si="159"/>
        <v>5.3406576638448389E-4</v>
      </c>
      <c r="O766" s="15">
        <f t="shared" ca="1" si="170"/>
        <v>0.25188361321134267</v>
      </c>
      <c r="P766" s="15">
        <f t="shared" ca="1" si="169"/>
        <v>0.25177386129549095</v>
      </c>
      <c r="Q766" s="15">
        <v>0</v>
      </c>
      <c r="R766" s="15">
        <f t="shared" ca="1" si="160"/>
        <v>0.25177386129549095</v>
      </c>
      <c r="S766" s="15">
        <f t="shared" ca="1" si="171"/>
        <v>1.0008331633032812</v>
      </c>
      <c r="T766" s="15">
        <v>0</v>
      </c>
      <c r="U766" s="15">
        <f t="shared" ca="1" si="161"/>
        <v>1.0008331633032812</v>
      </c>
      <c r="V766" s="15">
        <f t="shared" ca="1" si="162"/>
        <v>0.99946593423361552</v>
      </c>
      <c r="X766" s="15">
        <f t="shared" si="163"/>
        <v>1.05</v>
      </c>
      <c r="Y766" s="15">
        <f t="shared" si="164"/>
        <v>0.95</v>
      </c>
      <c r="Z766" s="15">
        <f t="shared" ca="1" si="165"/>
        <v>1</v>
      </c>
      <c r="AC766" s="15">
        <f t="shared" ca="1" si="166"/>
        <v>2.852262428238461E-7</v>
      </c>
      <c r="AD766" s="15">
        <f t="shared" ca="1" si="167"/>
        <v>5.3406576638448389E-4</v>
      </c>
      <c r="AE766" s="15">
        <f t="shared" ca="1" si="168"/>
        <v>0.38666361486236633</v>
      </c>
    </row>
    <row r="767" spans="12:31" x14ac:dyDescent="0.3">
      <c r="L767" s="15">
        <v>765</v>
      </c>
      <c r="M767" s="15">
        <f t="shared" si="158"/>
        <v>1</v>
      </c>
      <c r="N767" s="15">
        <f t="shared" ca="1" si="159"/>
        <v>5.3406576638448389E-4</v>
      </c>
      <c r="O767" s="15">
        <f t="shared" ca="1" si="170"/>
        <v>0.25059967864889388</v>
      </c>
      <c r="P767" s="15">
        <f t="shared" ca="1" si="169"/>
        <v>0.25024795910582132</v>
      </c>
      <c r="Q767" s="15">
        <v>0</v>
      </c>
      <c r="R767" s="15">
        <f t="shared" ca="1" si="160"/>
        <v>0.25024795910582132</v>
      </c>
      <c r="S767" s="15">
        <f t="shared" ca="1" si="171"/>
        <v>1.000803503894983</v>
      </c>
      <c r="T767" s="15">
        <v>0</v>
      </c>
      <c r="U767" s="15">
        <f t="shared" ca="1" si="161"/>
        <v>1.000803503894983</v>
      </c>
      <c r="V767" s="15">
        <f t="shared" ca="1" si="162"/>
        <v>0.99946593423361552</v>
      </c>
      <c r="X767" s="15">
        <f t="shared" si="163"/>
        <v>1.05</v>
      </c>
      <c r="Y767" s="15">
        <f t="shared" si="164"/>
        <v>0.95</v>
      </c>
      <c r="Z767" s="15">
        <f t="shared" ca="1" si="165"/>
        <v>1</v>
      </c>
      <c r="AC767" s="15">
        <f t="shared" ca="1" si="166"/>
        <v>2.852262428238461E-7</v>
      </c>
      <c r="AD767" s="15">
        <f t="shared" ca="1" si="167"/>
        <v>5.3406576638448389E-4</v>
      </c>
      <c r="AE767" s="15">
        <f t="shared" ca="1" si="168"/>
        <v>0.38719768062875082</v>
      </c>
    </row>
    <row r="768" spans="12:31" x14ac:dyDescent="0.3">
      <c r="L768" s="15">
        <v>766</v>
      </c>
      <c r="M768" s="15">
        <f t="shared" si="158"/>
        <v>1</v>
      </c>
      <c r="N768" s="15">
        <f t="shared" ca="1" si="159"/>
        <v>5.3406576638448389E-4</v>
      </c>
      <c r="O768" s="15">
        <f t="shared" ca="1" si="170"/>
        <v>0.25059967864889388</v>
      </c>
      <c r="P768" s="15">
        <f t="shared" ca="1" si="169"/>
        <v>0.25024795910582132</v>
      </c>
      <c r="Q768" s="15">
        <v>0</v>
      </c>
      <c r="R768" s="15">
        <f t="shared" ca="1" si="160"/>
        <v>0.25024795910582132</v>
      </c>
      <c r="S768" s="15">
        <f t="shared" ca="1" si="171"/>
        <v>1.0007784059115776</v>
      </c>
      <c r="T768" s="15">
        <v>0</v>
      </c>
      <c r="U768" s="15">
        <f t="shared" ca="1" si="161"/>
        <v>1.0007784059115776</v>
      </c>
      <c r="V768" s="15">
        <f t="shared" ca="1" si="162"/>
        <v>0.99946593423361552</v>
      </c>
      <c r="X768" s="15">
        <f t="shared" si="163"/>
        <v>1.05</v>
      </c>
      <c r="Y768" s="15">
        <f t="shared" si="164"/>
        <v>0.95</v>
      </c>
      <c r="Z768" s="15">
        <f t="shared" ca="1" si="165"/>
        <v>1</v>
      </c>
      <c r="AC768" s="15">
        <f t="shared" ca="1" si="166"/>
        <v>2.852262428238461E-7</v>
      </c>
      <c r="AD768" s="15">
        <f t="shared" ca="1" si="167"/>
        <v>5.3406576638448389E-4</v>
      </c>
      <c r="AE768" s="15">
        <f t="shared" ca="1" si="168"/>
        <v>0.3877317463951353</v>
      </c>
    </row>
    <row r="769" spans="12:31" x14ac:dyDescent="0.3">
      <c r="L769" s="15">
        <v>767</v>
      </c>
      <c r="M769" s="15">
        <f t="shared" si="158"/>
        <v>1</v>
      </c>
      <c r="N769" s="15">
        <f t="shared" ca="1" si="159"/>
        <v>5.3406576638448389E-4</v>
      </c>
      <c r="O769" s="15">
        <f t="shared" ca="1" si="170"/>
        <v>0.25059967864889388</v>
      </c>
      <c r="P769" s="15">
        <f t="shared" ca="1" si="169"/>
        <v>0.25024795910582132</v>
      </c>
      <c r="Q769" s="15">
        <v>0</v>
      </c>
      <c r="R769" s="15">
        <f t="shared" ca="1" si="160"/>
        <v>0.25024795910582132</v>
      </c>
      <c r="S769" s="15">
        <f t="shared" ca="1" si="171"/>
        <v>1.0007573964979766</v>
      </c>
      <c r="T769" s="15">
        <v>0</v>
      </c>
      <c r="U769" s="15">
        <f t="shared" ca="1" si="161"/>
        <v>1.0007573964979766</v>
      </c>
      <c r="V769" s="15">
        <f t="shared" ca="1" si="162"/>
        <v>0.99946593423361552</v>
      </c>
      <c r="X769" s="15">
        <f t="shared" si="163"/>
        <v>1.05</v>
      </c>
      <c r="Y769" s="15">
        <f t="shared" si="164"/>
        <v>0.95</v>
      </c>
      <c r="Z769" s="15">
        <f t="shared" ca="1" si="165"/>
        <v>1</v>
      </c>
      <c r="AC769" s="15">
        <f t="shared" ca="1" si="166"/>
        <v>2.852262428238461E-7</v>
      </c>
      <c r="AD769" s="15">
        <f t="shared" ca="1" si="167"/>
        <v>5.3406576638448389E-4</v>
      </c>
      <c r="AE769" s="15">
        <f t="shared" ca="1" si="168"/>
        <v>0.38826581216151979</v>
      </c>
    </row>
    <row r="770" spans="12:31" x14ac:dyDescent="0.3">
      <c r="L770" s="15">
        <v>768</v>
      </c>
      <c r="M770" s="15">
        <f t="shared" si="158"/>
        <v>1</v>
      </c>
      <c r="N770" s="15">
        <f t="shared" ca="1" si="159"/>
        <v>5.3406576638448389E-4</v>
      </c>
      <c r="O770" s="15">
        <f t="shared" ca="1" si="170"/>
        <v>0.25060977562684339</v>
      </c>
      <c r="P770" s="15">
        <f t="shared" ca="1" si="169"/>
        <v>0.25024795910582132</v>
      </c>
      <c r="Q770" s="15">
        <v>0</v>
      </c>
      <c r="R770" s="15">
        <f t="shared" ca="1" si="160"/>
        <v>0.25024795910582132</v>
      </c>
      <c r="S770" s="15">
        <f t="shared" ca="1" si="171"/>
        <v>1.0007400455284443</v>
      </c>
      <c r="T770" s="15">
        <v>0</v>
      </c>
      <c r="U770" s="15">
        <f t="shared" ca="1" si="161"/>
        <v>1.0007400455284443</v>
      </c>
      <c r="V770" s="15">
        <f t="shared" ca="1" si="162"/>
        <v>0.99946593423361552</v>
      </c>
      <c r="X770" s="15">
        <f t="shared" si="163"/>
        <v>1.05</v>
      </c>
      <c r="Y770" s="15">
        <f t="shared" si="164"/>
        <v>0.95</v>
      </c>
      <c r="Z770" s="15">
        <f t="shared" ca="1" si="165"/>
        <v>1</v>
      </c>
      <c r="AC770" s="15">
        <f t="shared" ca="1" si="166"/>
        <v>2.852262428238461E-7</v>
      </c>
      <c r="AD770" s="15">
        <f t="shared" ca="1" si="167"/>
        <v>5.3406576638448389E-4</v>
      </c>
      <c r="AE770" s="15">
        <f t="shared" ca="1" si="168"/>
        <v>0.38879987792790427</v>
      </c>
    </row>
    <row r="771" spans="12:31" x14ac:dyDescent="0.3">
      <c r="L771" s="15">
        <v>769</v>
      </c>
      <c r="M771" s="15">
        <f t="shared" ref="M771:M834" si="172">IF(L771&lt;$D$16,$D$12,IF(L771&lt;$E$16,$E$12,$F$13))</f>
        <v>1</v>
      </c>
      <c r="N771" s="15">
        <f t="shared" ref="N771:N834" ca="1" si="173">M771-V771</f>
        <v>5.3406576638448389E-4</v>
      </c>
      <c r="O771" s="15">
        <f t="shared" ca="1" si="170"/>
        <v>0.25060977562684339</v>
      </c>
      <c r="P771" s="15">
        <f t="shared" ca="1" si="169"/>
        <v>0.25024795910582132</v>
      </c>
      <c r="Q771" s="15">
        <v>0</v>
      </c>
      <c r="R771" s="15">
        <f t="shared" ref="R771:R834" ca="1" si="174">P771+Q771</f>
        <v>0.25024795910582132</v>
      </c>
      <c r="S771" s="15">
        <f t="shared" ca="1" si="171"/>
        <v>1.0007259620019633</v>
      </c>
      <c r="T771" s="15">
        <v>0</v>
      </c>
      <c r="U771" s="15">
        <f t="shared" ref="U771:U834" ca="1" si="175">S771+T771</f>
        <v>1.0007259620019633</v>
      </c>
      <c r="V771" s="15">
        <f t="shared" ref="V771:V834" ca="1" si="176">INT((2^$J$12-1)*U771/100)/(2^$J$12-1)*100</f>
        <v>0.99946593423361552</v>
      </c>
      <c r="X771" s="15">
        <f t="shared" ref="X771:X834" si="177">M771 * 1.05</f>
        <v>1.05</v>
      </c>
      <c r="Y771" s="15">
        <f t="shared" ref="Y771:Y834" si="178">M771 * 0.95</f>
        <v>0.95</v>
      </c>
      <c r="Z771" s="15">
        <f t="shared" ref="Z771:Z834" ca="1" si="179">IF(AND(V771 &lt;= X771, V771 &gt;= Y771), 1, 0)</f>
        <v>1</v>
      </c>
      <c r="AC771" s="15">
        <f t="shared" ref="AC771:AC834" ca="1" si="180">N771^2</f>
        <v>2.852262428238461E-7</v>
      </c>
      <c r="AD771" s="15">
        <f t="shared" ref="AD771:AD834" ca="1" si="181">ABS(N771)</f>
        <v>5.3406576638448389E-4</v>
      </c>
      <c r="AE771" s="15">
        <f t="shared" ref="AE771:AE834" ca="1" si="182">IF(M771&gt;0, ABS(N771)*(L771-$D$16),0)</f>
        <v>0.38933394369428875</v>
      </c>
    </row>
    <row r="772" spans="12:31" x14ac:dyDescent="0.3">
      <c r="L772" s="15">
        <v>770</v>
      </c>
      <c r="M772" s="15">
        <f t="shared" si="172"/>
        <v>1</v>
      </c>
      <c r="N772" s="15">
        <f t="shared" ca="1" si="173"/>
        <v>5.3406576638448389E-4</v>
      </c>
      <c r="O772" s="15">
        <f t="shared" ca="1" si="170"/>
        <v>0.25060977562684339</v>
      </c>
      <c r="P772" s="15">
        <f t="shared" ca="1" si="169"/>
        <v>0.25024795910582132</v>
      </c>
      <c r="Q772" s="15">
        <v>0</v>
      </c>
      <c r="R772" s="15">
        <f t="shared" ca="1" si="174"/>
        <v>0.25024795910582132</v>
      </c>
      <c r="S772" s="15">
        <f t="shared" ca="1" si="171"/>
        <v>1.0007147907296734</v>
      </c>
      <c r="T772" s="15">
        <v>0</v>
      </c>
      <c r="U772" s="15">
        <f t="shared" ca="1" si="175"/>
        <v>1.0007147907296734</v>
      </c>
      <c r="V772" s="15">
        <f t="shared" ca="1" si="176"/>
        <v>0.99946593423361552</v>
      </c>
      <c r="X772" s="15">
        <f t="shared" si="177"/>
        <v>1.05</v>
      </c>
      <c r="Y772" s="15">
        <f t="shared" si="178"/>
        <v>0.95</v>
      </c>
      <c r="Z772" s="15">
        <f t="shared" ca="1" si="179"/>
        <v>1</v>
      </c>
      <c r="AC772" s="15">
        <f t="shared" ca="1" si="180"/>
        <v>2.852262428238461E-7</v>
      </c>
      <c r="AD772" s="15">
        <f t="shared" ca="1" si="181"/>
        <v>5.3406576638448389E-4</v>
      </c>
      <c r="AE772" s="15">
        <f t="shared" ca="1" si="182"/>
        <v>0.38986800946067324</v>
      </c>
    </row>
    <row r="773" spans="12:31" x14ac:dyDescent="0.3">
      <c r="L773" s="15">
        <v>771</v>
      </c>
      <c r="M773" s="15">
        <f t="shared" si="172"/>
        <v>1</v>
      </c>
      <c r="N773" s="15">
        <f t="shared" ca="1" si="173"/>
        <v>5.3406576638448389E-4</v>
      </c>
      <c r="O773" s="15">
        <f t="shared" ca="1" si="170"/>
        <v>0.2506198726047929</v>
      </c>
      <c r="P773" s="15">
        <f t="shared" ca="1" si="169"/>
        <v>0.25024795910582132</v>
      </c>
      <c r="Q773" s="15">
        <v>0</v>
      </c>
      <c r="R773" s="15">
        <f t="shared" ca="1" si="174"/>
        <v>0.25024795910582132</v>
      </c>
      <c r="S773" s="15">
        <f t="shared" ca="1" si="171"/>
        <v>1.000706209291325</v>
      </c>
      <c r="T773" s="15">
        <v>0</v>
      </c>
      <c r="U773" s="15">
        <f t="shared" ca="1" si="175"/>
        <v>1.000706209291325</v>
      </c>
      <c r="V773" s="15">
        <f t="shared" ca="1" si="176"/>
        <v>0.99946593423361552</v>
      </c>
      <c r="X773" s="15">
        <f t="shared" si="177"/>
        <v>1.05</v>
      </c>
      <c r="Y773" s="15">
        <f t="shared" si="178"/>
        <v>0.95</v>
      </c>
      <c r="Z773" s="15">
        <f t="shared" ca="1" si="179"/>
        <v>1</v>
      </c>
      <c r="AC773" s="15">
        <f t="shared" ca="1" si="180"/>
        <v>2.852262428238461E-7</v>
      </c>
      <c r="AD773" s="15">
        <f t="shared" ca="1" si="181"/>
        <v>5.3406576638448389E-4</v>
      </c>
      <c r="AE773" s="15">
        <f t="shared" ca="1" si="182"/>
        <v>0.39040207522705772</v>
      </c>
    </row>
    <row r="774" spans="12:31" x14ac:dyDescent="0.3">
      <c r="L774" s="15">
        <v>772</v>
      </c>
      <c r="M774" s="15">
        <f t="shared" si="172"/>
        <v>1</v>
      </c>
      <c r="N774" s="15">
        <f t="shared" ca="1" si="173"/>
        <v>5.3406576638448389E-4</v>
      </c>
      <c r="O774" s="15">
        <f t="shared" ca="1" si="170"/>
        <v>0.2506198726047929</v>
      </c>
      <c r="P774" s="15">
        <f t="shared" ca="1" si="169"/>
        <v>0.25024795910582132</v>
      </c>
      <c r="Q774" s="15">
        <v>0</v>
      </c>
      <c r="R774" s="15">
        <f t="shared" ca="1" si="174"/>
        <v>0.25024795910582132</v>
      </c>
      <c r="S774" s="15">
        <f t="shared" ca="1" si="171"/>
        <v>1.0006999252394697</v>
      </c>
      <c r="T774" s="15">
        <v>0</v>
      </c>
      <c r="U774" s="15">
        <f t="shared" ca="1" si="175"/>
        <v>1.0006999252394697</v>
      </c>
      <c r="V774" s="15">
        <f t="shared" ca="1" si="176"/>
        <v>0.99946593423361552</v>
      </c>
      <c r="X774" s="15">
        <f t="shared" si="177"/>
        <v>1.05</v>
      </c>
      <c r="Y774" s="15">
        <f t="shared" si="178"/>
        <v>0.95</v>
      </c>
      <c r="Z774" s="15">
        <f t="shared" ca="1" si="179"/>
        <v>1</v>
      </c>
      <c r="AC774" s="15">
        <f t="shared" ca="1" si="180"/>
        <v>2.852262428238461E-7</v>
      </c>
      <c r="AD774" s="15">
        <f t="shared" ca="1" si="181"/>
        <v>5.3406576638448389E-4</v>
      </c>
      <c r="AE774" s="15">
        <f t="shared" ca="1" si="182"/>
        <v>0.3909361409934422</v>
      </c>
    </row>
    <row r="775" spans="12:31" x14ac:dyDescent="0.3">
      <c r="L775" s="15">
        <v>773</v>
      </c>
      <c r="M775" s="15">
        <f t="shared" si="172"/>
        <v>1</v>
      </c>
      <c r="N775" s="15">
        <f t="shared" ca="1" si="173"/>
        <v>5.3406576638448389E-4</v>
      </c>
      <c r="O775" s="15">
        <f t="shared" ca="1" si="170"/>
        <v>0.2506198726047929</v>
      </c>
      <c r="P775" s="15">
        <f t="shared" ca="1" si="169"/>
        <v>0.25024795910582132</v>
      </c>
      <c r="Q775" s="15">
        <v>0</v>
      </c>
      <c r="R775" s="15">
        <f t="shared" ca="1" si="174"/>
        <v>0.25024795910582132</v>
      </c>
      <c r="S775" s="15">
        <f t="shared" ca="1" si="171"/>
        <v>1.0006956735317662</v>
      </c>
      <c r="T775" s="15">
        <v>0</v>
      </c>
      <c r="U775" s="15">
        <f t="shared" ca="1" si="175"/>
        <v>1.0006956735317662</v>
      </c>
      <c r="V775" s="15">
        <f t="shared" ca="1" si="176"/>
        <v>0.99946593423361552</v>
      </c>
      <c r="X775" s="15">
        <f t="shared" si="177"/>
        <v>1.05</v>
      </c>
      <c r="Y775" s="15">
        <f t="shared" si="178"/>
        <v>0.95</v>
      </c>
      <c r="Z775" s="15">
        <f t="shared" ca="1" si="179"/>
        <v>1</v>
      </c>
      <c r="AC775" s="15">
        <f t="shared" ca="1" si="180"/>
        <v>2.852262428238461E-7</v>
      </c>
      <c r="AD775" s="15">
        <f t="shared" ca="1" si="181"/>
        <v>5.3406576638448389E-4</v>
      </c>
      <c r="AE775" s="15">
        <f t="shared" ca="1" si="182"/>
        <v>0.39147020675982669</v>
      </c>
    </row>
    <row r="776" spans="12:31" x14ac:dyDescent="0.3">
      <c r="L776" s="15">
        <v>774</v>
      </c>
      <c r="M776" s="15">
        <f t="shared" si="172"/>
        <v>1</v>
      </c>
      <c r="N776" s="15">
        <f t="shared" ca="1" si="173"/>
        <v>5.3406576638448389E-4</v>
      </c>
      <c r="O776" s="15">
        <f t="shared" ca="1" si="170"/>
        <v>0.25062996958274242</v>
      </c>
      <c r="P776" s="15">
        <f t="shared" ca="1" si="169"/>
        <v>0.25024795910582132</v>
      </c>
      <c r="Q776" s="15">
        <v>0</v>
      </c>
      <c r="R776" s="15">
        <f t="shared" ca="1" si="174"/>
        <v>0.25024795910582132</v>
      </c>
      <c r="S776" s="15">
        <f t="shared" ca="1" si="171"/>
        <v>1.0006932141733076</v>
      </c>
      <c r="T776" s="15">
        <v>0</v>
      </c>
      <c r="U776" s="15">
        <f t="shared" ca="1" si="175"/>
        <v>1.0006932141733076</v>
      </c>
      <c r="V776" s="15">
        <f t="shared" ca="1" si="176"/>
        <v>0.99946593423361552</v>
      </c>
      <c r="X776" s="15">
        <f t="shared" si="177"/>
        <v>1.05</v>
      </c>
      <c r="Y776" s="15">
        <f t="shared" si="178"/>
        <v>0.95</v>
      </c>
      <c r="Z776" s="15">
        <f t="shared" ca="1" si="179"/>
        <v>1</v>
      </c>
      <c r="AC776" s="15">
        <f t="shared" ca="1" si="180"/>
        <v>2.852262428238461E-7</v>
      </c>
      <c r="AD776" s="15">
        <f t="shared" ca="1" si="181"/>
        <v>5.3406576638448389E-4</v>
      </c>
      <c r="AE776" s="15">
        <f t="shared" ca="1" si="182"/>
        <v>0.39200427252621117</v>
      </c>
    </row>
    <row r="777" spans="12:31" x14ac:dyDescent="0.3">
      <c r="L777" s="15">
        <v>775</v>
      </c>
      <c r="M777" s="15">
        <f t="shared" si="172"/>
        <v>1</v>
      </c>
      <c r="N777" s="15">
        <f t="shared" ca="1" si="173"/>
        <v>5.3406576638448389E-4</v>
      </c>
      <c r="O777" s="15">
        <f t="shared" ca="1" si="170"/>
        <v>0.25062996958274242</v>
      </c>
      <c r="P777" s="15">
        <f t="shared" ca="1" si="169"/>
        <v>0.25024795910582132</v>
      </c>
      <c r="Q777" s="15">
        <v>0</v>
      </c>
      <c r="R777" s="15">
        <f t="shared" ca="1" si="174"/>
        <v>0.25024795910582132</v>
      </c>
      <c r="S777" s="15">
        <f t="shared" ca="1" si="171"/>
        <v>1.0006923300522803</v>
      </c>
      <c r="T777" s="15">
        <v>0</v>
      </c>
      <c r="U777" s="15">
        <f t="shared" ca="1" si="175"/>
        <v>1.0006923300522803</v>
      </c>
      <c r="V777" s="15">
        <f t="shared" ca="1" si="176"/>
        <v>0.99946593423361552</v>
      </c>
      <c r="X777" s="15">
        <f t="shared" si="177"/>
        <v>1.05</v>
      </c>
      <c r="Y777" s="15">
        <f t="shared" si="178"/>
        <v>0.95</v>
      </c>
      <c r="Z777" s="15">
        <f t="shared" ca="1" si="179"/>
        <v>1</v>
      </c>
      <c r="AC777" s="15">
        <f t="shared" ca="1" si="180"/>
        <v>2.852262428238461E-7</v>
      </c>
      <c r="AD777" s="15">
        <f t="shared" ca="1" si="181"/>
        <v>5.3406576638448389E-4</v>
      </c>
      <c r="AE777" s="15">
        <f t="shared" ca="1" si="182"/>
        <v>0.39253833829259566</v>
      </c>
    </row>
    <row r="778" spans="12:31" x14ac:dyDescent="0.3">
      <c r="L778" s="15">
        <v>776</v>
      </c>
      <c r="M778" s="15">
        <f t="shared" si="172"/>
        <v>1</v>
      </c>
      <c r="N778" s="15">
        <f t="shared" ca="1" si="173"/>
        <v>5.3406576638448389E-4</v>
      </c>
      <c r="O778" s="15">
        <f t="shared" ca="1" si="170"/>
        <v>0.25062996958274242</v>
      </c>
      <c r="P778" s="15">
        <f t="shared" ca="1" si="169"/>
        <v>0.25024795910582132</v>
      </c>
      <c r="Q778" s="15">
        <v>0</v>
      </c>
      <c r="R778" s="15">
        <f t="shared" ca="1" si="174"/>
        <v>0.25024795910582132</v>
      </c>
      <c r="S778" s="15">
        <f t="shared" ca="1" si="171"/>
        <v>1.0006928249535711</v>
      </c>
      <c r="T778" s="15">
        <v>0</v>
      </c>
      <c r="U778" s="15">
        <f t="shared" ca="1" si="175"/>
        <v>1.0006928249535711</v>
      </c>
      <c r="V778" s="15">
        <f t="shared" ca="1" si="176"/>
        <v>0.99946593423361552</v>
      </c>
      <c r="X778" s="15">
        <f t="shared" si="177"/>
        <v>1.05</v>
      </c>
      <c r="Y778" s="15">
        <f t="shared" si="178"/>
        <v>0.95</v>
      </c>
      <c r="Z778" s="15">
        <f t="shared" ca="1" si="179"/>
        <v>1</v>
      </c>
      <c r="AC778" s="15">
        <f t="shared" ca="1" si="180"/>
        <v>2.852262428238461E-7</v>
      </c>
      <c r="AD778" s="15">
        <f t="shared" ca="1" si="181"/>
        <v>5.3406576638448389E-4</v>
      </c>
      <c r="AE778" s="15">
        <f t="shared" ca="1" si="182"/>
        <v>0.39307240405898014</v>
      </c>
    </row>
    <row r="779" spans="12:31" x14ac:dyDescent="0.3">
      <c r="L779" s="15">
        <v>777</v>
      </c>
      <c r="M779" s="15">
        <f t="shared" si="172"/>
        <v>1</v>
      </c>
      <c r="N779" s="15">
        <f t="shared" ca="1" si="173"/>
        <v>5.3406576638448389E-4</v>
      </c>
      <c r="O779" s="15">
        <f t="shared" ca="1" si="170"/>
        <v>0.25064006656069193</v>
      </c>
      <c r="P779" s="15">
        <f t="shared" ca="1" si="169"/>
        <v>0.25024795910582132</v>
      </c>
      <c r="Q779" s="15">
        <v>0</v>
      </c>
      <c r="R779" s="15">
        <f t="shared" ca="1" si="174"/>
        <v>0.25024795910582132</v>
      </c>
      <c r="S779" s="15">
        <f t="shared" ca="1" si="171"/>
        <v>1.0006945217361334</v>
      </c>
      <c r="T779" s="15">
        <v>0</v>
      </c>
      <c r="U779" s="15">
        <f t="shared" ca="1" si="175"/>
        <v>1.0006945217361334</v>
      </c>
      <c r="V779" s="15">
        <f t="shared" ca="1" si="176"/>
        <v>0.99946593423361552</v>
      </c>
      <c r="X779" s="15">
        <f t="shared" si="177"/>
        <v>1.05</v>
      </c>
      <c r="Y779" s="15">
        <f t="shared" si="178"/>
        <v>0.95</v>
      </c>
      <c r="Z779" s="15">
        <f t="shared" ca="1" si="179"/>
        <v>1</v>
      </c>
      <c r="AC779" s="15">
        <f t="shared" ca="1" si="180"/>
        <v>2.852262428238461E-7</v>
      </c>
      <c r="AD779" s="15">
        <f t="shared" ca="1" si="181"/>
        <v>5.3406576638448389E-4</v>
      </c>
      <c r="AE779" s="15">
        <f t="shared" ca="1" si="182"/>
        <v>0.39360646982536462</v>
      </c>
    </row>
    <row r="780" spans="12:31" x14ac:dyDescent="0.3">
      <c r="L780" s="15">
        <v>778</v>
      </c>
      <c r="M780" s="15">
        <f t="shared" si="172"/>
        <v>1</v>
      </c>
      <c r="N780" s="15">
        <f t="shared" ca="1" si="173"/>
        <v>5.3406576638448389E-4</v>
      </c>
      <c r="O780" s="15">
        <f t="shared" ca="1" si="170"/>
        <v>0.25064006656069193</v>
      </c>
      <c r="P780" s="15">
        <f t="shared" ca="1" si="169"/>
        <v>0.25024795910582132</v>
      </c>
      <c r="Q780" s="15">
        <v>0</v>
      </c>
      <c r="R780" s="15">
        <f t="shared" ca="1" si="174"/>
        <v>0.25024795910582132</v>
      </c>
      <c r="S780" s="15">
        <f t="shared" ca="1" si="171"/>
        <v>1.0006972606610358</v>
      </c>
      <c r="T780" s="15">
        <v>0</v>
      </c>
      <c r="U780" s="15">
        <f t="shared" ca="1" si="175"/>
        <v>1.0006972606610358</v>
      </c>
      <c r="V780" s="15">
        <f t="shared" ca="1" si="176"/>
        <v>0.99946593423361552</v>
      </c>
      <c r="X780" s="15">
        <f t="shared" si="177"/>
        <v>1.05</v>
      </c>
      <c r="Y780" s="15">
        <f t="shared" si="178"/>
        <v>0.95</v>
      </c>
      <c r="Z780" s="15">
        <f t="shared" ca="1" si="179"/>
        <v>1</v>
      </c>
      <c r="AC780" s="15">
        <f t="shared" ca="1" si="180"/>
        <v>2.852262428238461E-7</v>
      </c>
      <c r="AD780" s="15">
        <f t="shared" ca="1" si="181"/>
        <v>5.3406576638448389E-4</v>
      </c>
      <c r="AE780" s="15">
        <f t="shared" ca="1" si="182"/>
        <v>0.39414053559174911</v>
      </c>
    </row>
    <row r="781" spans="12:31" x14ac:dyDescent="0.3">
      <c r="L781" s="15">
        <v>779</v>
      </c>
      <c r="M781" s="15">
        <f t="shared" si="172"/>
        <v>1</v>
      </c>
      <c r="N781" s="15">
        <f t="shared" ca="1" si="173"/>
        <v>5.3406576638448389E-4</v>
      </c>
      <c r="O781" s="15">
        <f t="shared" ca="1" si="170"/>
        <v>0.25064006656069193</v>
      </c>
      <c r="P781" s="15">
        <f t="shared" ref="P781:P844" ca="1" si="183">INT((2^$J$12-1)*O781/100)/(2^$J$12-1)*100</f>
        <v>0.25024795910582132</v>
      </c>
      <c r="Q781" s="15">
        <v>0</v>
      </c>
      <c r="R781" s="15">
        <f t="shared" ca="1" si="174"/>
        <v>0.25024795910582132</v>
      </c>
      <c r="S781" s="15">
        <f t="shared" ca="1" si="171"/>
        <v>1.0007008978581382</v>
      </c>
      <c r="T781" s="15">
        <v>0</v>
      </c>
      <c r="U781" s="15">
        <f t="shared" ca="1" si="175"/>
        <v>1.0007008978581382</v>
      </c>
      <c r="V781" s="15">
        <f t="shared" ca="1" si="176"/>
        <v>0.99946593423361552</v>
      </c>
      <c r="X781" s="15">
        <f t="shared" si="177"/>
        <v>1.05</v>
      </c>
      <c r="Y781" s="15">
        <f t="shared" si="178"/>
        <v>0.95</v>
      </c>
      <c r="Z781" s="15">
        <f t="shared" ca="1" si="179"/>
        <v>1</v>
      </c>
      <c r="AC781" s="15">
        <f t="shared" ca="1" si="180"/>
        <v>2.852262428238461E-7</v>
      </c>
      <c r="AD781" s="15">
        <f t="shared" ca="1" si="181"/>
        <v>5.3406576638448389E-4</v>
      </c>
      <c r="AE781" s="15">
        <f t="shared" ca="1" si="182"/>
        <v>0.39467460135813359</v>
      </c>
    </row>
    <row r="782" spans="12:31" x14ac:dyDescent="0.3">
      <c r="L782" s="15">
        <v>780</v>
      </c>
      <c r="M782" s="15">
        <f t="shared" si="172"/>
        <v>1</v>
      </c>
      <c r="N782" s="15">
        <f t="shared" ca="1" si="173"/>
        <v>5.3406576638448389E-4</v>
      </c>
      <c r="O782" s="15">
        <f t="shared" ca="1" si="170"/>
        <v>0.25065016353864145</v>
      </c>
      <c r="P782" s="15">
        <f t="shared" ca="1" si="183"/>
        <v>0.25024795910582132</v>
      </c>
      <c r="Q782" s="15">
        <v>0</v>
      </c>
      <c r="R782" s="15">
        <f t="shared" ca="1" si="174"/>
        <v>0.25024795910582132</v>
      </c>
      <c r="S782" s="15">
        <f t="shared" ca="1" si="171"/>
        <v>1.0006921039861754</v>
      </c>
      <c r="T782" s="15">
        <v>0</v>
      </c>
      <c r="U782" s="15">
        <f t="shared" ca="1" si="175"/>
        <v>1.0006921039861754</v>
      </c>
      <c r="V782" s="15">
        <f t="shared" ca="1" si="176"/>
        <v>0.99946593423361552</v>
      </c>
      <c r="X782" s="15">
        <f t="shared" si="177"/>
        <v>1.05</v>
      </c>
      <c r="Y782" s="15">
        <f t="shared" si="178"/>
        <v>0.95</v>
      </c>
      <c r="Z782" s="15">
        <f t="shared" ca="1" si="179"/>
        <v>1</v>
      </c>
      <c r="AC782" s="15">
        <f t="shared" ca="1" si="180"/>
        <v>2.852262428238461E-7</v>
      </c>
      <c r="AD782" s="15">
        <f t="shared" ca="1" si="181"/>
        <v>5.3406576638448389E-4</v>
      </c>
      <c r="AE782" s="15">
        <f t="shared" ca="1" si="182"/>
        <v>0.39520866712451808</v>
      </c>
    </row>
    <row r="783" spans="12:31" x14ac:dyDescent="0.3">
      <c r="L783" s="15">
        <v>781</v>
      </c>
      <c r="M783" s="15">
        <f t="shared" si="172"/>
        <v>1</v>
      </c>
      <c r="N783" s="15">
        <f t="shared" ca="1" si="173"/>
        <v>5.3406576638448389E-4</v>
      </c>
      <c r="O783" s="15">
        <f t="shared" ca="1" si="170"/>
        <v>0.25065016353864145</v>
      </c>
      <c r="P783" s="15">
        <f t="shared" ca="1" si="183"/>
        <v>0.25024795910582132</v>
      </c>
      <c r="Q783" s="15">
        <v>0</v>
      </c>
      <c r="R783" s="15">
        <f t="shared" ca="1" si="174"/>
        <v>0.25024795910582132</v>
      </c>
      <c r="S783" s="15">
        <f t="shared" ca="1" si="171"/>
        <v>1.0006598782365825</v>
      </c>
      <c r="T783" s="15">
        <v>0</v>
      </c>
      <c r="U783" s="15">
        <f t="shared" ca="1" si="175"/>
        <v>1.0006598782365825</v>
      </c>
      <c r="V783" s="15">
        <f t="shared" ca="1" si="176"/>
        <v>0.99946593423361552</v>
      </c>
      <c r="X783" s="15">
        <f t="shared" si="177"/>
        <v>1.05</v>
      </c>
      <c r="Y783" s="15">
        <f t="shared" si="178"/>
        <v>0.95</v>
      </c>
      <c r="Z783" s="15">
        <f t="shared" ca="1" si="179"/>
        <v>1</v>
      </c>
      <c r="AC783" s="15">
        <f t="shared" ca="1" si="180"/>
        <v>2.852262428238461E-7</v>
      </c>
      <c r="AD783" s="15">
        <f t="shared" ca="1" si="181"/>
        <v>5.3406576638448389E-4</v>
      </c>
      <c r="AE783" s="15">
        <f t="shared" ca="1" si="182"/>
        <v>0.39574273289090256</v>
      </c>
    </row>
    <row r="784" spans="12:31" x14ac:dyDescent="0.3">
      <c r="L784" s="15">
        <v>782</v>
      </c>
      <c r="M784" s="15">
        <f t="shared" si="172"/>
        <v>1</v>
      </c>
      <c r="N784" s="15">
        <f t="shared" ca="1" si="173"/>
        <v>5.3406576638448389E-4</v>
      </c>
      <c r="O784" s="15">
        <f t="shared" ca="1" si="170"/>
        <v>0.25065016353864145</v>
      </c>
      <c r="P784" s="15">
        <f t="shared" ca="1" si="183"/>
        <v>0.25024795910582132</v>
      </c>
      <c r="Q784" s="15">
        <v>0</v>
      </c>
      <c r="R784" s="15">
        <f t="shared" ca="1" si="174"/>
        <v>0.25024795910582132</v>
      </c>
      <c r="S784" s="15">
        <f t="shared" ca="1" si="171"/>
        <v>1.0006073312644634</v>
      </c>
      <c r="T784" s="15">
        <v>0</v>
      </c>
      <c r="U784" s="15">
        <f t="shared" ca="1" si="175"/>
        <v>1.0006073312644634</v>
      </c>
      <c r="V784" s="15">
        <f t="shared" ca="1" si="176"/>
        <v>0.99946593423361552</v>
      </c>
      <c r="X784" s="15">
        <f t="shared" si="177"/>
        <v>1.05</v>
      </c>
      <c r="Y784" s="15">
        <f t="shared" si="178"/>
        <v>0.95</v>
      </c>
      <c r="Z784" s="15">
        <f t="shared" ca="1" si="179"/>
        <v>1</v>
      </c>
      <c r="AC784" s="15">
        <f t="shared" ca="1" si="180"/>
        <v>2.852262428238461E-7</v>
      </c>
      <c r="AD784" s="15">
        <f t="shared" ca="1" si="181"/>
        <v>5.3406576638448389E-4</v>
      </c>
      <c r="AE784" s="15">
        <f t="shared" ca="1" si="182"/>
        <v>0.39627679865728704</v>
      </c>
    </row>
    <row r="785" spans="12:31" x14ac:dyDescent="0.3">
      <c r="L785" s="15">
        <v>783</v>
      </c>
      <c r="M785" s="15">
        <f t="shared" si="172"/>
        <v>1</v>
      </c>
      <c r="N785" s="15">
        <f t="shared" ca="1" si="173"/>
        <v>5.3406576638448389E-4</v>
      </c>
      <c r="O785" s="15">
        <f t="shared" ca="1" si="170"/>
        <v>0.25066026051659096</v>
      </c>
      <c r="P785" s="15">
        <f t="shared" ca="1" si="183"/>
        <v>0.25024795910582132</v>
      </c>
      <c r="Q785" s="15">
        <v>0</v>
      </c>
      <c r="R785" s="15">
        <f t="shared" ca="1" si="174"/>
        <v>0.25024795910582132</v>
      </c>
      <c r="S785" s="15">
        <f t="shared" ca="1" si="171"/>
        <v>1.0005636646893639</v>
      </c>
      <c r="T785" s="15">
        <v>0</v>
      </c>
      <c r="U785" s="15">
        <f t="shared" ca="1" si="175"/>
        <v>1.0005636646893639</v>
      </c>
      <c r="V785" s="15">
        <f t="shared" ca="1" si="176"/>
        <v>0.99946593423361552</v>
      </c>
      <c r="X785" s="15">
        <f t="shared" si="177"/>
        <v>1.05</v>
      </c>
      <c r="Y785" s="15">
        <f t="shared" si="178"/>
        <v>0.95</v>
      </c>
      <c r="Z785" s="15">
        <f t="shared" ca="1" si="179"/>
        <v>1</v>
      </c>
      <c r="AC785" s="15">
        <f t="shared" ca="1" si="180"/>
        <v>2.852262428238461E-7</v>
      </c>
      <c r="AD785" s="15">
        <f t="shared" ca="1" si="181"/>
        <v>5.3406576638448389E-4</v>
      </c>
      <c r="AE785" s="15">
        <f t="shared" ca="1" si="182"/>
        <v>0.39681086442367153</v>
      </c>
    </row>
    <row r="786" spans="12:31" x14ac:dyDescent="0.3">
      <c r="L786" s="15">
        <v>784</v>
      </c>
      <c r="M786" s="15">
        <f t="shared" si="172"/>
        <v>1</v>
      </c>
      <c r="N786" s="15">
        <f t="shared" ca="1" si="173"/>
        <v>5.3406576638448389E-4</v>
      </c>
      <c r="O786" s="15">
        <f t="shared" ca="1" si="170"/>
        <v>0.25066026051659096</v>
      </c>
      <c r="P786" s="15">
        <f t="shared" ca="1" si="183"/>
        <v>0.25024795910582132</v>
      </c>
      <c r="Q786" s="15">
        <v>0</v>
      </c>
      <c r="R786" s="15">
        <f t="shared" ca="1" si="174"/>
        <v>0.25024795910582132</v>
      </c>
      <c r="S786" s="15">
        <f t="shared" ca="1" si="171"/>
        <v>1.0005531678712967</v>
      </c>
      <c r="T786" s="15">
        <v>0</v>
      </c>
      <c r="U786" s="15">
        <f t="shared" ca="1" si="175"/>
        <v>1.0005531678712967</v>
      </c>
      <c r="V786" s="15">
        <f t="shared" ca="1" si="176"/>
        <v>0.99946593423361552</v>
      </c>
      <c r="X786" s="15">
        <f t="shared" si="177"/>
        <v>1.05</v>
      </c>
      <c r="Y786" s="15">
        <f t="shared" si="178"/>
        <v>0.95</v>
      </c>
      <c r="Z786" s="15">
        <f t="shared" ca="1" si="179"/>
        <v>1</v>
      </c>
      <c r="AC786" s="15">
        <f t="shared" ca="1" si="180"/>
        <v>2.852262428238461E-7</v>
      </c>
      <c r="AD786" s="15">
        <f t="shared" ca="1" si="181"/>
        <v>5.3406576638448389E-4</v>
      </c>
      <c r="AE786" s="15">
        <f t="shared" ca="1" si="182"/>
        <v>0.39734493019005601</v>
      </c>
    </row>
    <row r="787" spans="12:31" x14ac:dyDescent="0.3">
      <c r="L787" s="15">
        <v>785</v>
      </c>
      <c r="M787" s="15">
        <f t="shared" si="172"/>
        <v>1</v>
      </c>
      <c r="N787" s="15">
        <f t="shared" ca="1" si="173"/>
        <v>5.3406576638448389E-4</v>
      </c>
      <c r="O787" s="15">
        <f t="shared" ca="1" si="170"/>
        <v>0.25066026051659096</v>
      </c>
      <c r="P787" s="15">
        <f t="shared" ca="1" si="183"/>
        <v>0.25024795910582132</v>
      </c>
      <c r="Q787" s="15">
        <v>0</v>
      </c>
      <c r="R787" s="15">
        <f t="shared" ca="1" si="174"/>
        <v>0.25024795910582132</v>
      </c>
      <c r="S787" s="15">
        <f t="shared" ca="1" si="171"/>
        <v>1.0005716747659092</v>
      </c>
      <c r="T787" s="15">
        <v>0</v>
      </c>
      <c r="U787" s="15">
        <f t="shared" ca="1" si="175"/>
        <v>1.0005716747659092</v>
      </c>
      <c r="V787" s="15">
        <f t="shared" ca="1" si="176"/>
        <v>0.99946593423361552</v>
      </c>
      <c r="X787" s="15">
        <f t="shared" si="177"/>
        <v>1.05</v>
      </c>
      <c r="Y787" s="15">
        <f t="shared" si="178"/>
        <v>0.95</v>
      </c>
      <c r="Z787" s="15">
        <f t="shared" ca="1" si="179"/>
        <v>1</v>
      </c>
      <c r="AC787" s="15">
        <f t="shared" ca="1" si="180"/>
        <v>2.852262428238461E-7</v>
      </c>
      <c r="AD787" s="15">
        <f t="shared" ca="1" si="181"/>
        <v>5.3406576638448389E-4</v>
      </c>
      <c r="AE787" s="15">
        <f t="shared" ca="1" si="182"/>
        <v>0.3978789959564405</v>
      </c>
    </row>
    <row r="788" spans="12:31" x14ac:dyDescent="0.3">
      <c r="L788" s="15">
        <v>786</v>
      </c>
      <c r="M788" s="15">
        <f t="shared" si="172"/>
        <v>1</v>
      </c>
      <c r="N788" s="15">
        <f t="shared" ca="1" si="173"/>
        <v>5.3406576638448389E-4</v>
      </c>
      <c r="O788" s="15">
        <f t="shared" ca="1" si="170"/>
        <v>0.25067035749454047</v>
      </c>
      <c r="P788" s="15">
        <f t="shared" ca="1" si="183"/>
        <v>0.25024795910582132</v>
      </c>
      <c r="Q788" s="15">
        <v>0</v>
      </c>
      <c r="R788" s="15">
        <f t="shared" ca="1" si="174"/>
        <v>0.25024795910582132</v>
      </c>
      <c r="S788" s="15">
        <f t="shared" ca="1" si="171"/>
        <v>1.0006022255420253</v>
      </c>
      <c r="T788" s="15">
        <v>0</v>
      </c>
      <c r="U788" s="15">
        <f t="shared" ca="1" si="175"/>
        <v>1.0006022255420253</v>
      </c>
      <c r="V788" s="15">
        <f t="shared" ca="1" si="176"/>
        <v>0.99946593423361552</v>
      </c>
      <c r="X788" s="15">
        <f t="shared" si="177"/>
        <v>1.05</v>
      </c>
      <c r="Y788" s="15">
        <f t="shared" si="178"/>
        <v>0.95</v>
      </c>
      <c r="Z788" s="15">
        <f t="shared" ca="1" si="179"/>
        <v>1</v>
      </c>
      <c r="AC788" s="15">
        <f t="shared" ca="1" si="180"/>
        <v>2.852262428238461E-7</v>
      </c>
      <c r="AD788" s="15">
        <f t="shared" ca="1" si="181"/>
        <v>5.3406576638448389E-4</v>
      </c>
      <c r="AE788" s="15">
        <f t="shared" ca="1" si="182"/>
        <v>0.39841306172282498</v>
      </c>
    </row>
    <row r="789" spans="12:31" x14ac:dyDescent="0.3">
      <c r="L789" s="15">
        <v>787</v>
      </c>
      <c r="M789" s="15">
        <f t="shared" si="172"/>
        <v>1</v>
      </c>
      <c r="N789" s="15">
        <f t="shared" ca="1" si="173"/>
        <v>5.3406576638448389E-4</v>
      </c>
      <c r="O789" s="15">
        <f t="shared" ca="1" si="170"/>
        <v>0.25067035749454047</v>
      </c>
      <c r="P789" s="15">
        <f t="shared" ca="1" si="183"/>
        <v>0.25024795910582132</v>
      </c>
      <c r="Q789" s="15">
        <v>0</v>
      </c>
      <c r="R789" s="15">
        <f t="shared" ca="1" si="174"/>
        <v>0.25024795910582132</v>
      </c>
      <c r="S789" s="15">
        <f t="shared" ca="1" si="171"/>
        <v>1.0006305462221261</v>
      </c>
      <c r="T789" s="15">
        <v>0</v>
      </c>
      <c r="U789" s="15">
        <f t="shared" ca="1" si="175"/>
        <v>1.0006305462221261</v>
      </c>
      <c r="V789" s="15">
        <f t="shared" ca="1" si="176"/>
        <v>0.99946593423361552</v>
      </c>
      <c r="X789" s="15">
        <f t="shared" si="177"/>
        <v>1.05</v>
      </c>
      <c r="Y789" s="15">
        <f t="shared" si="178"/>
        <v>0.95</v>
      </c>
      <c r="Z789" s="15">
        <f t="shared" ca="1" si="179"/>
        <v>1</v>
      </c>
      <c r="AC789" s="15">
        <f t="shared" ca="1" si="180"/>
        <v>2.852262428238461E-7</v>
      </c>
      <c r="AD789" s="15">
        <f t="shared" ca="1" si="181"/>
        <v>5.3406576638448389E-4</v>
      </c>
      <c r="AE789" s="15">
        <f t="shared" ca="1" si="182"/>
        <v>0.39894712748920946</v>
      </c>
    </row>
    <row r="790" spans="12:31" x14ac:dyDescent="0.3">
      <c r="L790" s="15">
        <v>788</v>
      </c>
      <c r="M790" s="15">
        <f t="shared" si="172"/>
        <v>1</v>
      </c>
      <c r="N790" s="15">
        <f t="shared" ca="1" si="173"/>
        <v>5.3406576638448389E-4</v>
      </c>
      <c r="O790" s="15">
        <f t="shared" ca="1" si="170"/>
        <v>0.25067035749454047</v>
      </c>
      <c r="P790" s="15">
        <f t="shared" ca="1" si="183"/>
        <v>0.25024795910582132</v>
      </c>
      <c r="Q790" s="15">
        <v>0</v>
      </c>
      <c r="R790" s="15">
        <f t="shared" ca="1" si="174"/>
        <v>0.25024795910582132</v>
      </c>
      <c r="S790" s="15">
        <f t="shared" ca="1" si="171"/>
        <v>1.0006568001005967</v>
      </c>
      <c r="T790" s="15">
        <v>0</v>
      </c>
      <c r="U790" s="15">
        <f t="shared" ca="1" si="175"/>
        <v>1.0006568001005967</v>
      </c>
      <c r="V790" s="15">
        <f t="shared" ca="1" si="176"/>
        <v>0.99946593423361552</v>
      </c>
      <c r="X790" s="15">
        <f t="shared" si="177"/>
        <v>1.05</v>
      </c>
      <c r="Y790" s="15">
        <f t="shared" si="178"/>
        <v>0.95</v>
      </c>
      <c r="Z790" s="15">
        <f t="shared" ca="1" si="179"/>
        <v>1</v>
      </c>
      <c r="AC790" s="15">
        <f t="shared" ca="1" si="180"/>
        <v>2.852262428238461E-7</v>
      </c>
      <c r="AD790" s="15">
        <f t="shared" ca="1" si="181"/>
        <v>5.3406576638448389E-4</v>
      </c>
      <c r="AE790" s="15">
        <f t="shared" ca="1" si="182"/>
        <v>0.39948119325559395</v>
      </c>
    </row>
    <row r="791" spans="12:31" x14ac:dyDescent="0.3">
      <c r="L791" s="15">
        <v>789</v>
      </c>
      <c r="M791" s="15">
        <f t="shared" si="172"/>
        <v>1</v>
      </c>
      <c r="N791" s="15">
        <f t="shared" ca="1" si="173"/>
        <v>5.3406576638448389E-4</v>
      </c>
      <c r="O791" s="15">
        <f t="shared" ca="1" si="170"/>
        <v>0.25068045447248999</v>
      </c>
      <c r="P791" s="15">
        <f t="shared" ca="1" si="183"/>
        <v>0.25024795910582132</v>
      </c>
      <c r="Q791" s="15">
        <v>0</v>
      </c>
      <c r="R791" s="15">
        <f t="shared" ca="1" si="174"/>
        <v>0.25024795910582132</v>
      </c>
      <c r="S791" s="15">
        <f t="shared" ca="1" si="171"/>
        <v>1.0006811384856251</v>
      </c>
      <c r="T791" s="15">
        <v>0</v>
      </c>
      <c r="U791" s="15">
        <f t="shared" ca="1" si="175"/>
        <v>1.0006811384856251</v>
      </c>
      <c r="V791" s="15">
        <f t="shared" ca="1" si="176"/>
        <v>0.99946593423361552</v>
      </c>
      <c r="X791" s="15">
        <f t="shared" si="177"/>
        <v>1.05</v>
      </c>
      <c r="Y791" s="15">
        <f t="shared" si="178"/>
        <v>0.95</v>
      </c>
      <c r="Z791" s="15">
        <f t="shared" ca="1" si="179"/>
        <v>1</v>
      </c>
      <c r="AC791" s="15">
        <f t="shared" ca="1" si="180"/>
        <v>2.852262428238461E-7</v>
      </c>
      <c r="AD791" s="15">
        <f t="shared" ca="1" si="181"/>
        <v>5.3406576638448389E-4</v>
      </c>
      <c r="AE791" s="15">
        <f t="shared" ca="1" si="182"/>
        <v>0.40001525902197843</v>
      </c>
    </row>
    <row r="792" spans="12:31" x14ac:dyDescent="0.3">
      <c r="L792" s="15">
        <v>790</v>
      </c>
      <c r="M792" s="15">
        <f t="shared" si="172"/>
        <v>1</v>
      </c>
      <c r="N792" s="15">
        <f t="shared" ca="1" si="173"/>
        <v>5.3406576638448389E-4</v>
      </c>
      <c r="O792" s="15">
        <f t="shared" ca="1" si="170"/>
        <v>0.25068045447248999</v>
      </c>
      <c r="P792" s="15">
        <f t="shared" ca="1" si="183"/>
        <v>0.25024795910582132</v>
      </c>
      <c r="Q792" s="15">
        <v>0</v>
      </c>
      <c r="R792" s="15">
        <f t="shared" ca="1" si="174"/>
        <v>0.25024795910582132</v>
      </c>
      <c r="S792" s="15">
        <f t="shared" ca="1" si="171"/>
        <v>1.0007037015807099</v>
      </c>
      <c r="T792" s="15">
        <v>0</v>
      </c>
      <c r="U792" s="15">
        <f t="shared" ca="1" si="175"/>
        <v>1.0007037015807099</v>
      </c>
      <c r="V792" s="15">
        <f t="shared" ca="1" si="176"/>
        <v>0.99946593423361552</v>
      </c>
      <c r="X792" s="15">
        <f t="shared" si="177"/>
        <v>1.05</v>
      </c>
      <c r="Y792" s="15">
        <f t="shared" si="178"/>
        <v>0.95</v>
      </c>
      <c r="Z792" s="15">
        <f t="shared" ca="1" si="179"/>
        <v>1</v>
      </c>
      <c r="AC792" s="15">
        <f t="shared" ca="1" si="180"/>
        <v>2.852262428238461E-7</v>
      </c>
      <c r="AD792" s="15">
        <f t="shared" ca="1" si="181"/>
        <v>5.3406576638448389E-4</v>
      </c>
      <c r="AE792" s="15">
        <f t="shared" ca="1" si="182"/>
        <v>0.40054932478836291</v>
      </c>
    </row>
    <row r="793" spans="12:31" x14ac:dyDescent="0.3">
      <c r="L793" s="15">
        <v>791</v>
      </c>
      <c r="M793" s="15">
        <f t="shared" si="172"/>
        <v>1</v>
      </c>
      <c r="N793" s="15">
        <f t="shared" ca="1" si="173"/>
        <v>5.3406576638448389E-4</v>
      </c>
      <c r="O793" s="15">
        <f t="shared" ca="1" si="170"/>
        <v>0.25068045447248999</v>
      </c>
      <c r="P793" s="15">
        <f t="shared" ca="1" si="183"/>
        <v>0.25024795910582132</v>
      </c>
      <c r="Q793" s="15">
        <v>0</v>
      </c>
      <c r="R793" s="15">
        <f t="shared" ca="1" si="174"/>
        <v>0.25024795910582132</v>
      </c>
      <c r="S793" s="15">
        <f t="shared" ca="1" si="171"/>
        <v>1.0007246193012402</v>
      </c>
      <c r="T793" s="15">
        <v>0</v>
      </c>
      <c r="U793" s="15">
        <f t="shared" ca="1" si="175"/>
        <v>1.0007246193012402</v>
      </c>
      <c r="V793" s="15">
        <f t="shared" ca="1" si="176"/>
        <v>0.99946593423361552</v>
      </c>
      <c r="X793" s="15">
        <f t="shared" si="177"/>
        <v>1.05</v>
      </c>
      <c r="Y793" s="15">
        <f t="shared" si="178"/>
        <v>0.95</v>
      </c>
      <c r="Z793" s="15">
        <f t="shared" ca="1" si="179"/>
        <v>1</v>
      </c>
      <c r="AC793" s="15">
        <f t="shared" ca="1" si="180"/>
        <v>2.852262428238461E-7</v>
      </c>
      <c r="AD793" s="15">
        <f t="shared" ca="1" si="181"/>
        <v>5.3406576638448389E-4</v>
      </c>
      <c r="AE793" s="15">
        <f t="shared" ca="1" si="182"/>
        <v>0.4010833905547474</v>
      </c>
    </row>
    <row r="794" spans="12:31" x14ac:dyDescent="0.3">
      <c r="L794" s="15">
        <v>792</v>
      </c>
      <c r="M794" s="15">
        <f t="shared" si="172"/>
        <v>1</v>
      </c>
      <c r="N794" s="15">
        <f t="shared" ca="1" si="173"/>
        <v>5.3406576638448389E-4</v>
      </c>
      <c r="O794" s="15">
        <f t="shared" ca="1" si="170"/>
        <v>0.2506905514504395</v>
      </c>
      <c r="P794" s="15">
        <f t="shared" ca="1" si="183"/>
        <v>0.25024795910582132</v>
      </c>
      <c r="Q794" s="15">
        <v>0</v>
      </c>
      <c r="R794" s="15">
        <f t="shared" ca="1" si="174"/>
        <v>0.25024795910582132</v>
      </c>
      <c r="S794" s="15">
        <f t="shared" ca="1" si="171"/>
        <v>1.0007440120309381</v>
      </c>
      <c r="T794" s="15">
        <v>0</v>
      </c>
      <c r="U794" s="15">
        <f t="shared" ca="1" si="175"/>
        <v>1.0007440120309381</v>
      </c>
      <c r="V794" s="15">
        <f t="shared" ca="1" si="176"/>
        <v>0.99946593423361552</v>
      </c>
      <c r="X794" s="15">
        <f t="shared" si="177"/>
        <v>1.05</v>
      </c>
      <c r="Y794" s="15">
        <f t="shared" si="178"/>
        <v>0.95</v>
      </c>
      <c r="Z794" s="15">
        <f t="shared" ca="1" si="179"/>
        <v>1</v>
      </c>
      <c r="AC794" s="15">
        <f t="shared" ca="1" si="180"/>
        <v>2.852262428238461E-7</v>
      </c>
      <c r="AD794" s="15">
        <f t="shared" ca="1" si="181"/>
        <v>5.3406576638448389E-4</v>
      </c>
      <c r="AE794" s="15">
        <f t="shared" ca="1" si="182"/>
        <v>0.40161745632113188</v>
      </c>
    </row>
    <row r="795" spans="12:31" x14ac:dyDescent="0.3">
      <c r="L795" s="15">
        <v>793</v>
      </c>
      <c r="M795" s="15">
        <f t="shared" si="172"/>
        <v>1</v>
      </c>
      <c r="N795" s="15">
        <f t="shared" ca="1" si="173"/>
        <v>5.3406576638448389E-4</v>
      </c>
      <c r="O795" s="15">
        <f t="shared" ca="1" si="170"/>
        <v>0.2506905514504395</v>
      </c>
      <c r="P795" s="15">
        <f t="shared" ca="1" si="183"/>
        <v>0.25024795910582132</v>
      </c>
      <c r="Q795" s="15">
        <v>0</v>
      </c>
      <c r="R795" s="15">
        <f t="shared" ca="1" si="174"/>
        <v>0.25024795910582132</v>
      </c>
      <c r="S795" s="15">
        <f t="shared" ca="1" si="171"/>
        <v>1.0007619913225949</v>
      </c>
      <c r="T795" s="15">
        <v>0</v>
      </c>
      <c r="U795" s="15">
        <f t="shared" ca="1" si="175"/>
        <v>1.0007619913225949</v>
      </c>
      <c r="V795" s="15">
        <f t="shared" ca="1" si="176"/>
        <v>0.99946593423361552</v>
      </c>
      <c r="X795" s="15">
        <f t="shared" si="177"/>
        <v>1.05</v>
      </c>
      <c r="Y795" s="15">
        <f t="shared" si="178"/>
        <v>0.95</v>
      </c>
      <c r="Z795" s="15">
        <f t="shared" ca="1" si="179"/>
        <v>1</v>
      </c>
      <c r="AC795" s="15">
        <f t="shared" ca="1" si="180"/>
        <v>2.852262428238461E-7</v>
      </c>
      <c r="AD795" s="15">
        <f t="shared" ca="1" si="181"/>
        <v>5.3406576638448389E-4</v>
      </c>
      <c r="AE795" s="15">
        <f t="shared" ca="1" si="182"/>
        <v>0.40215152208751637</v>
      </c>
    </row>
    <row r="796" spans="12:31" x14ac:dyDescent="0.3">
      <c r="L796" s="15">
        <v>794</v>
      </c>
      <c r="M796" s="15">
        <f t="shared" si="172"/>
        <v>1</v>
      </c>
      <c r="N796" s="15">
        <f t="shared" ca="1" si="173"/>
        <v>5.3406576638448389E-4</v>
      </c>
      <c r="O796" s="15">
        <f t="shared" ca="1" si="170"/>
        <v>0.2506905514504395</v>
      </c>
      <c r="P796" s="15">
        <f t="shared" ca="1" si="183"/>
        <v>0.25024795910582132</v>
      </c>
      <c r="Q796" s="15">
        <v>0</v>
      </c>
      <c r="R796" s="15">
        <f t="shared" ca="1" si="174"/>
        <v>0.25024795910582132</v>
      </c>
      <c r="S796" s="15">
        <f t="shared" ca="1" si="171"/>
        <v>1.0007786605472109</v>
      </c>
      <c r="T796" s="15">
        <v>0</v>
      </c>
      <c r="U796" s="15">
        <f t="shared" ca="1" si="175"/>
        <v>1.0007786605472109</v>
      </c>
      <c r="V796" s="15">
        <f t="shared" ca="1" si="176"/>
        <v>0.99946593423361552</v>
      </c>
      <c r="X796" s="15">
        <f t="shared" si="177"/>
        <v>1.05</v>
      </c>
      <c r="Y796" s="15">
        <f t="shared" si="178"/>
        <v>0.95</v>
      </c>
      <c r="Z796" s="15">
        <f t="shared" ca="1" si="179"/>
        <v>1</v>
      </c>
      <c r="AC796" s="15">
        <f t="shared" ca="1" si="180"/>
        <v>2.852262428238461E-7</v>
      </c>
      <c r="AD796" s="15">
        <f t="shared" ca="1" si="181"/>
        <v>5.3406576638448389E-4</v>
      </c>
      <c r="AE796" s="15">
        <f t="shared" ca="1" si="182"/>
        <v>0.40268558785390085</v>
      </c>
    </row>
    <row r="797" spans="12:31" x14ac:dyDescent="0.3">
      <c r="L797" s="15">
        <v>795</v>
      </c>
      <c r="M797" s="15">
        <f t="shared" si="172"/>
        <v>1</v>
      </c>
      <c r="N797" s="15">
        <f t="shared" ca="1" si="173"/>
        <v>5.3406576638448389E-4</v>
      </c>
      <c r="O797" s="15">
        <f t="shared" ca="1" si="170"/>
        <v>0.25070064842838902</v>
      </c>
      <c r="P797" s="15">
        <f t="shared" ca="1" si="183"/>
        <v>0.25024795910582132</v>
      </c>
      <c r="Q797" s="15">
        <v>0</v>
      </c>
      <c r="R797" s="15">
        <f t="shared" ca="1" si="174"/>
        <v>0.25024795910582132</v>
      </c>
      <c r="S797" s="15">
        <f t="shared" ca="1" si="171"/>
        <v>1.0007941154953419</v>
      </c>
      <c r="T797" s="15">
        <v>0</v>
      </c>
      <c r="U797" s="15">
        <f t="shared" ca="1" si="175"/>
        <v>1.0007941154953419</v>
      </c>
      <c r="V797" s="15">
        <f t="shared" ca="1" si="176"/>
        <v>0.99946593423361552</v>
      </c>
      <c r="X797" s="15">
        <f t="shared" si="177"/>
        <v>1.05</v>
      </c>
      <c r="Y797" s="15">
        <f t="shared" si="178"/>
        <v>0.95</v>
      </c>
      <c r="Z797" s="15">
        <f t="shared" ca="1" si="179"/>
        <v>1</v>
      </c>
      <c r="AC797" s="15">
        <f t="shared" ca="1" si="180"/>
        <v>2.852262428238461E-7</v>
      </c>
      <c r="AD797" s="15">
        <f t="shared" ca="1" si="181"/>
        <v>5.3406576638448389E-4</v>
      </c>
      <c r="AE797" s="15">
        <f t="shared" ca="1" si="182"/>
        <v>0.40321965362028533</v>
      </c>
    </row>
    <row r="798" spans="12:31" x14ac:dyDescent="0.3">
      <c r="L798" s="15">
        <v>796</v>
      </c>
      <c r="M798" s="15">
        <f t="shared" si="172"/>
        <v>1</v>
      </c>
      <c r="N798" s="15">
        <f t="shared" ca="1" si="173"/>
        <v>5.3406576638448389E-4</v>
      </c>
      <c r="O798" s="15">
        <f t="shared" ca="1" si="170"/>
        <v>0.25070064842838902</v>
      </c>
      <c r="P798" s="15">
        <f t="shared" ca="1" si="183"/>
        <v>0.25024795910582132</v>
      </c>
      <c r="Q798" s="15">
        <v>0</v>
      </c>
      <c r="R798" s="15">
        <f t="shared" ca="1" si="174"/>
        <v>0.25024795910582132</v>
      </c>
      <c r="S798" s="15">
        <f t="shared" ca="1" si="171"/>
        <v>1.0008084449341745</v>
      </c>
      <c r="T798" s="15">
        <v>0</v>
      </c>
      <c r="U798" s="15">
        <f t="shared" ca="1" si="175"/>
        <v>1.0008084449341745</v>
      </c>
      <c r="V798" s="15">
        <f t="shared" ca="1" si="176"/>
        <v>0.99946593423361552</v>
      </c>
      <c r="X798" s="15">
        <f t="shared" si="177"/>
        <v>1.05</v>
      </c>
      <c r="Y798" s="15">
        <f t="shared" si="178"/>
        <v>0.95</v>
      </c>
      <c r="Z798" s="15">
        <f t="shared" ca="1" si="179"/>
        <v>1</v>
      </c>
      <c r="AC798" s="15">
        <f t="shared" ca="1" si="180"/>
        <v>2.852262428238461E-7</v>
      </c>
      <c r="AD798" s="15">
        <f t="shared" ca="1" si="181"/>
        <v>5.3406576638448389E-4</v>
      </c>
      <c r="AE798" s="15">
        <f t="shared" ca="1" si="182"/>
        <v>0.40375371938666982</v>
      </c>
    </row>
    <row r="799" spans="12:31" x14ac:dyDescent="0.3">
      <c r="L799" s="15">
        <v>797</v>
      </c>
      <c r="M799" s="15">
        <f t="shared" si="172"/>
        <v>1</v>
      </c>
      <c r="N799" s="15">
        <f t="shared" ca="1" si="173"/>
        <v>5.3406576638448389E-4</v>
      </c>
      <c r="O799" s="15">
        <f t="shared" ca="1" si="170"/>
        <v>0.25070064842838902</v>
      </c>
      <c r="P799" s="15">
        <f t="shared" ca="1" si="183"/>
        <v>0.25024795910582132</v>
      </c>
      <c r="Q799" s="15">
        <v>0</v>
      </c>
      <c r="R799" s="15">
        <f t="shared" ca="1" si="174"/>
        <v>0.25024795910582132</v>
      </c>
      <c r="S799" s="15">
        <f t="shared" ca="1" si="171"/>
        <v>1.0008217311235952</v>
      </c>
      <c r="T799" s="15">
        <v>0</v>
      </c>
      <c r="U799" s="15">
        <f t="shared" ca="1" si="175"/>
        <v>1.0008217311235952</v>
      </c>
      <c r="V799" s="15">
        <f t="shared" ca="1" si="176"/>
        <v>0.99946593423361552</v>
      </c>
      <c r="X799" s="15">
        <f t="shared" si="177"/>
        <v>1.05</v>
      </c>
      <c r="Y799" s="15">
        <f t="shared" si="178"/>
        <v>0.95</v>
      </c>
      <c r="Z799" s="15">
        <f t="shared" ca="1" si="179"/>
        <v>1</v>
      </c>
      <c r="AC799" s="15">
        <f t="shared" ca="1" si="180"/>
        <v>2.852262428238461E-7</v>
      </c>
      <c r="AD799" s="15">
        <f t="shared" ca="1" si="181"/>
        <v>5.3406576638448389E-4</v>
      </c>
      <c r="AE799" s="15">
        <f t="shared" ca="1" si="182"/>
        <v>0.4042877851530543</v>
      </c>
    </row>
    <row r="800" spans="12:31" x14ac:dyDescent="0.3">
      <c r="L800" s="15">
        <v>798</v>
      </c>
      <c r="M800" s="15">
        <f t="shared" si="172"/>
        <v>1</v>
      </c>
      <c r="N800" s="15">
        <f t="shared" ca="1" si="173"/>
        <v>5.3406576638448389E-4</v>
      </c>
      <c r="O800" s="15">
        <f t="shared" ca="1" si="170"/>
        <v>0.25071074540633853</v>
      </c>
      <c r="P800" s="15">
        <f t="shared" ca="1" si="183"/>
        <v>0.25024795910582132</v>
      </c>
      <c r="Q800" s="15">
        <v>0</v>
      </c>
      <c r="R800" s="15">
        <f t="shared" ca="1" si="174"/>
        <v>0.25024795910582132</v>
      </c>
      <c r="S800" s="15">
        <f t="shared" ca="1" si="171"/>
        <v>1.0008340502942747</v>
      </c>
      <c r="T800" s="15">
        <v>0</v>
      </c>
      <c r="U800" s="15">
        <f t="shared" ca="1" si="175"/>
        <v>1.0008340502942747</v>
      </c>
      <c r="V800" s="15">
        <f t="shared" ca="1" si="176"/>
        <v>0.99946593423361552</v>
      </c>
      <c r="X800" s="15">
        <f t="shared" si="177"/>
        <v>1.05</v>
      </c>
      <c r="Y800" s="15">
        <f t="shared" si="178"/>
        <v>0.95</v>
      </c>
      <c r="Z800" s="15">
        <f t="shared" ca="1" si="179"/>
        <v>1</v>
      </c>
      <c r="AC800" s="15">
        <f t="shared" ca="1" si="180"/>
        <v>2.852262428238461E-7</v>
      </c>
      <c r="AD800" s="15">
        <f t="shared" ca="1" si="181"/>
        <v>5.3406576638448389E-4</v>
      </c>
      <c r="AE800" s="15">
        <f t="shared" ca="1" si="182"/>
        <v>0.40482185091943879</v>
      </c>
    </row>
    <row r="801" spans="12:31" x14ac:dyDescent="0.3">
      <c r="L801" s="15">
        <v>799</v>
      </c>
      <c r="M801" s="15">
        <f t="shared" si="172"/>
        <v>1</v>
      </c>
      <c r="N801" s="15">
        <f t="shared" ca="1" si="173"/>
        <v>5.3406576638448389E-4</v>
      </c>
      <c r="O801" s="15">
        <f t="shared" ca="1" si="170"/>
        <v>0.25071074540633853</v>
      </c>
      <c r="P801" s="15">
        <f t="shared" ca="1" si="183"/>
        <v>0.25024795910582132</v>
      </c>
      <c r="Q801" s="15">
        <v>0</v>
      </c>
      <c r="R801" s="15">
        <f t="shared" ca="1" si="174"/>
        <v>0.25024795910582132</v>
      </c>
      <c r="S801" s="15">
        <f t="shared" ca="1" si="171"/>
        <v>1.000845473090568</v>
      </c>
      <c r="T801" s="15">
        <v>0</v>
      </c>
      <c r="U801" s="15">
        <f t="shared" ca="1" si="175"/>
        <v>1.000845473090568</v>
      </c>
      <c r="V801" s="15">
        <f t="shared" ca="1" si="176"/>
        <v>0.99946593423361552</v>
      </c>
      <c r="X801" s="15">
        <f t="shared" si="177"/>
        <v>1.05</v>
      </c>
      <c r="Y801" s="15">
        <f t="shared" si="178"/>
        <v>0.95</v>
      </c>
      <c r="Z801" s="15">
        <f t="shared" ca="1" si="179"/>
        <v>1</v>
      </c>
      <c r="AC801" s="15">
        <f t="shared" ca="1" si="180"/>
        <v>2.852262428238461E-7</v>
      </c>
      <c r="AD801" s="15">
        <f t="shared" ca="1" si="181"/>
        <v>5.3406576638448389E-4</v>
      </c>
      <c r="AE801" s="15">
        <f t="shared" ca="1" si="182"/>
        <v>0.40535591668582327</v>
      </c>
    </row>
    <row r="802" spans="12:31" x14ac:dyDescent="0.3">
      <c r="L802" s="15">
        <v>800</v>
      </c>
      <c r="M802" s="15">
        <f t="shared" si="172"/>
        <v>1</v>
      </c>
      <c r="N802" s="15">
        <f t="shared" ca="1" si="173"/>
        <v>5.3406576638448389E-4</v>
      </c>
      <c r="O802" s="15">
        <f t="shared" ca="1" si="170"/>
        <v>0.25071074540633853</v>
      </c>
      <c r="P802" s="15">
        <f t="shared" ca="1" si="183"/>
        <v>0.25024795910582132</v>
      </c>
      <c r="Q802" s="15">
        <v>0</v>
      </c>
      <c r="R802" s="15">
        <f t="shared" ca="1" si="174"/>
        <v>0.25024795910582132</v>
      </c>
      <c r="S802" s="15">
        <f t="shared" ca="1" si="171"/>
        <v>1.0008560649808207</v>
      </c>
      <c r="T802" s="15">
        <v>0</v>
      </c>
      <c r="U802" s="15">
        <f t="shared" ca="1" si="175"/>
        <v>1.0008560649808207</v>
      </c>
      <c r="V802" s="15">
        <f t="shared" ca="1" si="176"/>
        <v>0.99946593423361552</v>
      </c>
      <c r="X802" s="15">
        <f t="shared" si="177"/>
        <v>1.05</v>
      </c>
      <c r="Y802" s="15">
        <f t="shared" si="178"/>
        <v>0.95</v>
      </c>
      <c r="Z802" s="15">
        <f t="shared" ca="1" si="179"/>
        <v>1</v>
      </c>
      <c r="AC802" s="15">
        <f t="shared" ca="1" si="180"/>
        <v>2.852262428238461E-7</v>
      </c>
      <c r="AD802" s="15">
        <f t="shared" ca="1" si="181"/>
        <v>5.3406576638448389E-4</v>
      </c>
      <c r="AE802" s="15">
        <f t="shared" ca="1" si="182"/>
        <v>0.40588998245220775</v>
      </c>
    </row>
    <row r="803" spans="12:31" x14ac:dyDescent="0.3">
      <c r="L803" s="15">
        <v>801</v>
      </c>
      <c r="M803" s="15">
        <f t="shared" si="172"/>
        <v>1</v>
      </c>
      <c r="N803" s="15">
        <f t="shared" ca="1" si="173"/>
        <v>5.3406576638448389E-4</v>
      </c>
      <c r="O803" s="15">
        <f t="shared" ca="1" si="170"/>
        <v>0.25072084238428805</v>
      </c>
      <c r="P803" s="15">
        <f t="shared" ca="1" si="183"/>
        <v>0.25024795910582132</v>
      </c>
      <c r="Q803" s="15">
        <v>0</v>
      </c>
      <c r="R803" s="15">
        <f t="shared" ca="1" si="174"/>
        <v>0.25024795910582132</v>
      </c>
      <c r="S803" s="15">
        <f t="shared" ca="1" si="171"/>
        <v>1.0008658866374869</v>
      </c>
      <c r="T803" s="15">
        <v>0</v>
      </c>
      <c r="U803" s="15">
        <f t="shared" ca="1" si="175"/>
        <v>1.0008658866374869</v>
      </c>
      <c r="V803" s="15">
        <f t="shared" ca="1" si="176"/>
        <v>0.99946593423361552</v>
      </c>
      <c r="X803" s="15">
        <f t="shared" si="177"/>
        <v>1.05</v>
      </c>
      <c r="Y803" s="15">
        <f t="shared" si="178"/>
        <v>0.95</v>
      </c>
      <c r="Z803" s="15">
        <f t="shared" ca="1" si="179"/>
        <v>1</v>
      </c>
      <c r="AC803" s="15">
        <f t="shared" ca="1" si="180"/>
        <v>2.852262428238461E-7</v>
      </c>
      <c r="AD803" s="15">
        <f t="shared" ca="1" si="181"/>
        <v>5.3406576638448389E-4</v>
      </c>
      <c r="AE803" s="15">
        <f t="shared" ca="1" si="182"/>
        <v>0.40642404821859224</v>
      </c>
    </row>
    <row r="804" spans="12:31" x14ac:dyDescent="0.3">
      <c r="L804" s="15">
        <v>802</v>
      </c>
      <c r="M804" s="15">
        <f t="shared" si="172"/>
        <v>1</v>
      </c>
      <c r="N804" s="15">
        <f t="shared" ca="1" si="173"/>
        <v>5.3406576638448389E-4</v>
      </c>
      <c r="O804" s="15">
        <f t="shared" ca="1" si="170"/>
        <v>0.25072084238428805</v>
      </c>
      <c r="P804" s="15">
        <f t="shared" ca="1" si="183"/>
        <v>0.25024795910582132</v>
      </c>
      <c r="Q804" s="15">
        <v>0</v>
      </c>
      <c r="R804" s="15">
        <f t="shared" ca="1" si="174"/>
        <v>0.25024795910582132</v>
      </c>
      <c r="S804" s="15">
        <f t="shared" ca="1" si="171"/>
        <v>1.0008749942892805</v>
      </c>
      <c r="T804" s="15">
        <v>0</v>
      </c>
      <c r="U804" s="15">
        <f t="shared" ca="1" si="175"/>
        <v>1.0008749942892805</v>
      </c>
      <c r="V804" s="15">
        <f t="shared" ca="1" si="176"/>
        <v>0.99946593423361552</v>
      </c>
      <c r="X804" s="15">
        <f t="shared" si="177"/>
        <v>1.05</v>
      </c>
      <c r="Y804" s="15">
        <f t="shared" si="178"/>
        <v>0.95</v>
      </c>
      <c r="Z804" s="15">
        <f t="shared" ca="1" si="179"/>
        <v>1</v>
      </c>
      <c r="AC804" s="15">
        <f t="shared" ca="1" si="180"/>
        <v>2.852262428238461E-7</v>
      </c>
      <c r="AD804" s="15">
        <f t="shared" ca="1" si="181"/>
        <v>5.3406576638448389E-4</v>
      </c>
      <c r="AE804" s="15">
        <f t="shared" ca="1" si="182"/>
        <v>0.40695811398497672</v>
      </c>
    </row>
    <row r="805" spans="12:31" x14ac:dyDescent="0.3">
      <c r="L805" s="15">
        <v>803</v>
      </c>
      <c r="M805" s="15">
        <f t="shared" si="172"/>
        <v>1</v>
      </c>
      <c r="N805" s="15">
        <f t="shared" ca="1" si="173"/>
        <v>5.3406576638448389E-4</v>
      </c>
      <c r="O805" s="15">
        <f t="shared" ca="1" si="170"/>
        <v>0.25072084238428805</v>
      </c>
      <c r="P805" s="15">
        <f t="shared" ca="1" si="183"/>
        <v>0.25024795910582132</v>
      </c>
      <c r="Q805" s="15">
        <v>0</v>
      </c>
      <c r="R805" s="15">
        <f t="shared" ca="1" si="174"/>
        <v>0.25024795910582132</v>
      </c>
      <c r="S805" s="15">
        <f t="shared" ca="1" si="171"/>
        <v>1.0008834400474205</v>
      </c>
      <c r="T805" s="15">
        <v>0</v>
      </c>
      <c r="U805" s="15">
        <f t="shared" ca="1" si="175"/>
        <v>1.0008834400474205</v>
      </c>
      <c r="V805" s="15">
        <f t="shared" ca="1" si="176"/>
        <v>0.99946593423361552</v>
      </c>
      <c r="X805" s="15">
        <f t="shared" si="177"/>
        <v>1.05</v>
      </c>
      <c r="Y805" s="15">
        <f t="shared" si="178"/>
        <v>0.95</v>
      </c>
      <c r="Z805" s="15">
        <f t="shared" ca="1" si="179"/>
        <v>1</v>
      </c>
      <c r="AC805" s="15">
        <f t="shared" ca="1" si="180"/>
        <v>2.852262428238461E-7</v>
      </c>
      <c r="AD805" s="15">
        <f t="shared" ca="1" si="181"/>
        <v>5.3406576638448389E-4</v>
      </c>
      <c r="AE805" s="15">
        <f t="shared" ca="1" si="182"/>
        <v>0.40749217975136121</v>
      </c>
    </row>
    <row r="806" spans="12:31" x14ac:dyDescent="0.3">
      <c r="L806" s="15">
        <v>804</v>
      </c>
      <c r="M806" s="15">
        <f t="shared" si="172"/>
        <v>1</v>
      </c>
      <c r="N806" s="15">
        <f t="shared" ca="1" si="173"/>
        <v>5.3406576638448389E-4</v>
      </c>
      <c r="O806" s="15">
        <f t="shared" ca="1" si="170"/>
        <v>0.25073093936223756</v>
      </c>
      <c r="P806" s="15">
        <f t="shared" ca="1" si="183"/>
        <v>0.25024795910582132</v>
      </c>
      <c r="Q806" s="15">
        <v>0</v>
      </c>
      <c r="R806" s="15">
        <f t="shared" ca="1" si="174"/>
        <v>0.25024795910582132</v>
      </c>
      <c r="S806" s="15">
        <f t="shared" ca="1" si="171"/>
        <v>1.00089127220788</v>
      </c>
      <c r="T806" s="15">
        <v>0</v>
      </c>
      <c r="U806" s="15">
        <f t="shared" ca="1" si="175"/>
        <v>1.00089127220788</v>
      </c>
      <c r="V806" s="15">
        <f t="shared" ca="1" si="176"/>
        <v>0.99946593423361552</v>
      </c>
      <c r="X806" s="15">
        <f t="shared" si="177"/>
        <v>1.05</v>
      </c>
      <c r="Y806" s="15">
        <f t="shared" si="178"/>
        <v>0.95</v>
      </c>
      <c r="Z806" s="15">
        <f t="shared" ca="1" si="179"/>
        <v>1</v>
      </c>
      <c r="AC806" s="15">
        <f t="shared" ca="1" si="180"/>
        <v>2.852262428238461E-7</v>
      </c>
      <c r="AD806" s="15">
        <f t="shared" ca="1" si="181"/>
        <v>5.3406576638448389E-4</v>
      </c>
      <c r="AE806" s="15">
        <f t="shared" ca="1" si="182"/>
        <v>0.40802624551774569</v>
      </c>
    </row>
    <row r="807" spans="12:31" x14ac:dyDescent="0.3">
      <c r="L807" s="15">
        <v>805</v>
      </c>
      <c r="M807" s="15">
        <f t="shared" si="172"/>
        <v>1</v>
      </c>
      <c r="N807" s="15">
        <f t="shared" ca="1" si="173"/>
        <v>5.3406576638448389E-4</v>
      </c>
      <c r="O807" s="15">
        <f t="shared" ca="1" si="170"/>
        <v>0.25073093936223756</v>
      </c>
      <c r="P807" s="15">
        <f t="shared" ca="1" si="183"/>
        <v>0.25024795910582132</v>
      </c>
      <c r="Q807" s="15">
        <v>0</v>
      </c>
      <c r="R807" s="15">
        <f t="shared" ca="1" si="174"/>
        <v>0.25024795910582132</v>
      </c>
      <c r="S807" s="15">
        <f t="shared" ca="1" si="171"/>
        <v>1.0008985355314062</v>
      </c>
      <c r="T807" s="15">
        <v>0</v>
      </c>
      <c r="U807" s="15">
        <f t="shared" ca="1" si="175"/>
        <v>1.0008985355314062</v>
      </c>
      <c r="V807" s="15">
        <f t="shared" ca="1" si="176"/>
        <v>0.99946593423361552</v>
      </c>
      <c r="X807" s="15">
        <f t="shared" si="177"/>
        <v>1.05</v>
      </c>
      <c r="Y807" s="15">
        <f t="shared" si="178"/>
        <v>0.95</v>
      </c>
      <c r="Z807" s="15">
        <f t="shared" ca="1" si="179"/>
        <v>1</v>
      </c>
      <c r="AC807" s="15">
        <f t="shared" ca="1" si="180"/>
        <v>2.852262428238461E-7</v>
      </c>
      <c r="AD807" s="15">
        <f t="shared" ca="1" si="181"/>
        <v>5.3406576638448389E-4</v>
      </c>
      <c r="AE807" s="15">
        <f t="shared" ca="1" si="182"/>
        <v>0.40856031128413017</v>
      </c>
    </row>
    <row r="808" spans="12:31" x14ac:dyDescent="0.3">
      <c r="L808" s="15">
        <v>806</v>
      </c>
      <c r="M808" s="15">
        <f t="shared" si="172"/>
        <v>1</v>
      </c>
      <c r="N808" s="15">
        <f t="shared" ca="1" si="173"/>
        <v>5.3406576638448389E-4</v>
      </c>
      <c r="O808" s="15">
        <f t="shared" ca="1" si="170"/>
        <v>0.25073093936223756</v>
      </c>
      <c r="P808" s="15">
        <f t="shared" ca="1" si="183"/>
        <v>0.25024795910582132</v>
      </c>
      <c r="Q808" s="15">
        <v>0</v>
      </c>
      <c r="R808" s="15">
        <f t="shared" ca="1" si="174"/>
        <v>0.25024795910582132</v>
      </c>
      <c r="S808" s="15">
        <f t="shared" ca="1" si="171"/>
        <v>1.0009052715029469</v>
      </c>
      <c r="T808" s="15">
        <v>0</v>
      </c>
      <c r="U808" s="15">
        <f t="shared" ca="1" si="175"/>
        <v>1.0009052715029469</v>
      </c>
      <c r="V808" s="15">
        <f t="shared" ca="1" si="176"/>
        <v>0.99946593423361552</v>
      </c>
      <c r="X808" s="15">
        <f t="shared" si="177"/>
        <v>1.05</v>
      </c>
      <c r="Y808" s="15">
        <f t="shared" si="178"/>
        <v>0.95</v>
      </c>
      <c r="Z808" s="15">
        <f t="shared" ca="1" si="179"/>
        <v>1</v>
      </c>
      <c r="AC808" s="15">
        <f t="shared" ca="1" si="180"/>
        <v>2.852262428238461E-7</v>
      </c>
      <c r="AD808" s="15">
        <f t="shared" ca="1" si="181"/>
        <v>5.3406576638448389E-4</v>
      </c>
      <c r="AE808" s="15">
        <f t="shared" ca="1" si="182"/>
        <v>0.40909437705051466</v>
      </c>
    </row>
    <row r="809" spans="12:31" x14ac:dyDescent="0.3">
      <c r="L809" s="15">
        <v>807</v>
      </c>
      <c r="M809" s="15">
        <f t="shared" si="172"/>
        <v>1</v>
      </c>
      <c r="N809" s="15">
        <f t="shared" ca="1" si="173"/>
        <v>5.3406576638448389E-4</v>
      </c>
      <c r="O809" s="15">
        <f t="shared" ca="1" si="170"/>
        <v>0.25074103634018707</v>
      </c>
      <c r="P809" s="15">
        <f t="shared" ca="1" si="183"/>
        <v>0.25024795910582132</v>
      </c>
      <c r="Q809" s="15">
        <v>0</v>
      </c>
      <c r="R809" s="15">
        <f t="shared" ca="1" si="174"/>
        <v>0.25024795910582132</v>
      </c>
      <c r="S809" s="15">
        <f t="shared" ca="1" si="171"/>
        <v>1.0009115185720039</v>
      </c>
      <c r="T809" s="15">
        <v>0</v>
      </c>
      <c r="U809" s="15">
        <f t="shared" ca="1" si="175"/>
        <v>1.0009115185720039</v>
      </c>
      <c r="V809" s="15">
        <f t="shared" ca="1" si="176"/>
        <v>0.99946593423361552</v>
      </c>
      <c r="X809" s="15">
        <f t="shared" si="177"/>
        <v>1.05</v>
      </c>
      <c r="Y809" s="15">
        <f t="shared" si="178"/>
        <v>0.95</v>
      </c>
      <c r="Z809" s="15">
        <f t="shared" ca="1" si="179"/>
        <v>1</v>
      </c>
      <c r="AC809" s="15">
        <f t="shared" ca="1" si="180"/>
        <v>2.852262428238461E-7</v>
      </c>
      <c r="AD809" s="15">
        <f t="shared" ca="1" si="181"/>
        <v>5.3406576638448389E-4</v>
      </c>
      <c r="AE809" s="15">
        <f t="shared" ca="1" si="182"/>
        <v>0.40962844281689914</v>
      </c>
    </row>
    <row r="810" spans="12:31" x14ac:dyDescent="0.3">
      <c r="L810" s="15">
        <v>808</v>
      </c>
      <c r="M810" s="15">
        <f t="shared" si="172"/>
        <v>1</v>
      </c>
      <c r="N810" s="15">
        <f t="shared" ca="1" si="173"/>
        <v>5.3406576638448389E-4</v>
      </c>
      <c r="O810" s="15">
        <f t="shared" ca="1" si="170"/>
        <v>0.25074103634018707</v>
      </c>
      <c r="P810" s="15">
        <f t="shared" ca="1" si="183"/>
        <v>0.25024795910582132</v>
      </c>
      <c r="Q810" s="15">
        <v>0</v>
      </c>
      <c r="R810" s="15">
        <f t="shared" ca="1" si="174"/>
        <v>0.25024795910582132</v>
      </c>
      <c r="S810" s="15">
        <f t="shared" ca="1" si="171"/>
        <v>1.0009173123753135</v>
      </c>
      <c r="T810" s="15">
        <v>0</v>
      </c>
      <c r="U810" s="15">
        <f t="shared" ca="1" si="175"/>
        <v>1.0009173123753135</v>
      </c>
      <c r="V810" s="15">
        <f t="shared" ca="1" si="176"/>
        <v>0.99946593423361552</v>
      </c>
      <c r="X810" s="15">
        <f t="shared" si="177"/>
        <v>1.05</v>
      </c>
      <c r="Y810" s="15">
        <f t="shared" si="178"/>
        <v>0.95</v>
      </c>
      <c r="Z810" s="15">
        <f t="shared" ca="1" si="179"/>
        <v>1</v>
      </c>
      <c r="AC810" s="15">
        <f t="shared" ca="1" si="180"/>
        <v>2.852262428238461E-7</v>
      </c>
      <c r="AD810" s="15">
        <f t="shared" ca="1" si="181"/>
        <v>5.3406576638448389E-4</v>
      </c>
      <c r="AE810" s="15">
        <f t="shared" ca="1" si="182"/>
        <v>0.41016250858328362</v>
      </c>
    </row>
    <row r="811" spans="12:31" x14ac:dyDescent="0.3">
      <c r="L811" s="15">
        <v>809</v>
      </c>
      <c r="M811" s="15">
        <f t="shared" si="172"/>
        <v>1</v>
      </c>
      <c r="N811" s="15">
        <f t="shared" ca="1" si="173"/>
        <v>5.3406576638448389E-4</v>
      </c>
      <c r="O811" s="15">
        <f t="shared" ref="O811:O874" ca="1" si="184">IF(MOD(L811,$B$11)=0,OFFSET(O811,-$B$11,0)+ $E$2*N811+$E$3*OFFSET(N811,-$B$11,0)+ $E$4*OFFSET(N811,-2* $B$11,0), O810)</f>
        <v>0.25074103634018707</v>
      </c>
      <c r="P811" s="15">
        <f t="shared" ca="1" si="183"/>
        <v>0.25024795910582132</v>
      </c>
      <c r="Q811" s="15">
        <v>0</v>
      </c>
      <c r="R811" s="15">
        <f t="shared" ca="1" si="174"/>
        <v>0.25024795910582132</v>
      </c>
      <c r="S811" s="15">
        <f t="shared" ca="1" si="171"/>
        <v>1.0009226859431588</v>
      </c>
      <c r="T811" s="15">
        <v>0</v>
      </c>
      <c r="U811" s="15">
        <f t="shared" ca="1" si="175"/>
        <v>1.0009226859431588</v>
      </c>
      <c r="V811" s="15">
        <f t="shared" ca="1" si="176"/>
        <v>0.99946593423361552</v>
      </c>
      <c r="X811" s="15">
        <f t="shared" si="177"/>
        <v>1.05</v>
      </c>
      <c r="Y811" s="15">
        <f t="shared" si="178"/>
        <v>0.95</v>
      </c>
      <c r="Z811" s="15">
        <f t="shared" ca="1" si="179"/>
        <v>1</v>
      </c>
      <c r="AC811" s="15">
        <f t="shared" ca="1" si="180"/>
        <v>2.852262428238461E-7</v>
      </c>
      <c r="AD811" s="15">
        <f t="shared" ca="1" si="181"/>
        <v>5.3406576638448389E-4</v>
      </c>
      <c r="AE811" s="15">
        <f t="shared" ca="1" si="182"/>
        <v>0.41069657434966811</v>
      </c>
    </row>
    <row r="812" spans="12:31" x14ac:dyDescent="0.3">
      <c r="L812" s="15">
        <v>810</v>
      </c>
      <c r="M812" s="15">
        <f t="shared" si="172"/>
        <v>1</v>
      </c>
      <c r="N812" s="15">
        <f t="shared" ca="1" si="173"/>
        <v>5.3406576638448389E-4</v>
      </c>
      <c r="O812" s="15">
        <f t="shared" ca="1" si="184"/>
        <v>0.25075113331813659</v>
      </c>
      <c r="P812" s="15">
        <f t="shared" ca="1" si="183"/>
        <v>0.25024795910582132</v>
      </c>
      <c r="Q812" s="15">
        <v>0</v>
      </c>
      <c r="R812" s="15">
        <f t="shared" ca="1" si="174"/>
        <v>0.25024795910582132</v>
      </c>
      <c r="S812" s="15">
        <f t="shared" ca="1" si="171"/>
        <v>1.0009276698905185</v>
      </c>
      <c r="T812" s="15">
        <v>0</v>
      </c>
      <c r="U812" s="15">
        <f t="shared" ca="1" si="175"/>
        <v>1.0009276698905185</v>
      </c>
      <c r="V812" s="15">
        <f t="shared" ca="1" si="176"/>
        <v>0.99946593423361552</v>
      </c>
      <c r="X812" s="15">
        <f t="shared" si="177"/>
        <v>1.05</v>
      </c>
      <c r="Y812" s="15">
        <f t="shared" si="178"/>
        <v>0.95</v>
      </c>
      <c r="Z812" s="15">
        <f t="shared" ca="1" si="179"/>
        <v>1</v>
      </c>
      <c r="AC812" s="15">
        <f t="shared" ca="1" si="180"/>
        <v>2.852262428238461E-7</v>
      </c>
      <c r="AD812" s="15">
        <f t="shared" ca="1" si="181"/>
        <v>5.3406576638448389E-4</v>
      </c>
      <c r="AE812" s="15">
        <f t="shared" ca="1" si="182"/>
        <v>0.41123064011605259</v>
      </c>
    </row>
    <row r="813" spans="12:31" x14ac:dyDescent="0.3">
      <c r="L813" s="15">
        <v>811</v>
      </c>
      <c r="M813" s="15">
        <f t="shared" si="172"/>
        <v>1</v>
      </c>
      <c r="N813" s="15">
        <f t="shared" ca="1" si="173"/>
        <v>5.3406576638448389E-4</v>
      </c>
      <c r="O813" s="15">
        <f t="shared" ca="1" si="184"/>
        <v>0.25075113331813659</v>
      </c>
      <c r="P813" s="15">
        <f t="shared" ca="1" si="183"/>
        <v>0.25024795910582132</v>
      </c>
      <c r="Q813" s="15">
        <v>0</v>
      </c>
      <c r="R813" s="15">
        <f t="shared" ca="1" si="174"/>
        <v>0.25024795910582132</v>
      </c>
      <c r="S813" s="15">
        <f t="shared" ref="S813:S876" ca="1" si="185">$I$1*S812-$I$2*S811+$I$3*R792+$I$4*R791</f>
        <v>1.0009322925941657</v>
      </c>
      <c r="T813" s="15">
        <v>0</v>
      </c>
      <c r="U813" s="15">
        <f t="shared" ca="1" si="175"/>
        <v>1.0009322925941657</v>
      </c>
      <c r="V813" s="15">
        <f t="shared" ca="1" si="176"/>
        <v>0.99946593423361552</v>
      </c>
      <c r="X813" s="15">
        <f t="shared" si="177"/>
        <v>1.05</v>
      </c>
      <c r="Y813" s="15">
        <f t="shared" si="178"/>
        <v>0.95</v>
      </c>
      <c r="Z813" s="15">
        <f t="shared" ca="1" si="179"/>
        <v>1</v>
      </c>
      <c r="AC813" s="15">
        <f t="shared" ca="1" si="180"/>
        <v>2.852262428238461E-7</v>
      </c>
      <c r="AD813" s="15">
        <f t="shared" ca="1" si="181"/>
        <v>5.3406576638448389E-4</v>
      </c>
      <c r="AE813" s="15">
        <f t="shared" ca="1" si="182"/>
        <v>0.41176470588243708</v>
      </c>
    </row>
    <row r="814" spans="12:31" x14ac:dyDescent="0.3">
      <c r="L814" s="15">
        <v>812</v>
      </c>
      <c r="M814" s="15">
        <f t="shared" si="172"/>
        <v>1</v>
      </c>
      <c r="N814" s="15">
        <f t="shared" ca="1" si="173"/>
        <v>5.3406576638448389E-4</v>
      </c>
      <c r="O814" s="15">
        <f t="shared" ca="1" si="184"/>
        <v>0.25075113331813659</v>
      </c>
      <c r="P814" s="15">
        <f t="shared" ca="1" si="183"/>
        <v>0.25024795910582132</v>
      </c>
      <c r="Q814" s="15">
        <v>0</v>
      </c>
      <c r="R814" s="15">
        <f t="shared" ca="1" si="174"/>
        <v>0.25024795910582132</v>
      </c>
      <c r="S814" s="15">
        <f t="shared" ca="1" si="185"/>
        <v>1.0009365803567551</v>
      </c>
      <c r="T814" s="15">
        <v>0</v>
      </c>
      <c r="U814" s="15">
        <f t="shared" ca="1" si="175"/>
        <v>1.0009365803567551</v>
      </c>
      <c r="V814" s="15">
        <f t="shared" ca="1" si="176"/>
        <v>0.99946593423361552</v>
      </c>
      <c r="X814" s="15">
        <f t="shared" si="177"/>
        <v>1.05</v>
      </c>
      <c r="Y814" s="15">
        <f t="shared" si="178"/>
        <v>0.95</v>
      </c>
      <c r="Z814" s="15">
        <f t="shared" ca="1" si="179"/>
        <v>1</v>
      </c>
      <c r="AC814" s="15">
        <f t="shared" ca="1" si="180"/>
        <v>2.852262428238461E-7</v>
      </c>
      <c r="AD814" s="15">
        <f t="shared" ca="1" si="181"/>
        <v>5.3406576638448389E-4</v>
      </c>
      <c r="AE814" s="15">
        <f t="shared" ca="1" si="182"/>
        <v>0.41229877164882156</v>
      </c>
    </row>
    <row r="815" spans="12:31" x14ac:dyDescent="0.3">
      <c r="L815" s="15">
        <v>813</v>
      </c>
      <c r="M815" s="15">
        <f t="shared" si="172"/>
        <v>1</v>
      </c>
      <c r="N815" s="15">
        <f t="shared" ca="1" si="173"/>
        <v>5.3406576638448389E-4</v>
      </c>
      <c r="O815" s="15">
        <f t="shared" ca="1" si="184"/>
        <v>0.2507612302960861</v>
      </c>
      <c r="P815" s="15">
        <f t="shared" ca="1" si="183"/>
        <v>0.25024795910582132</v>
      </c>
      <c r="Q815" s="15">
        <v>0</v>
      </c>
      <c r="R815" s="15">
        <f t="shared" ca="1" si="174"/>
        <v>0.25024795910582132</v>
      </c>
      <c r="S815" s="15">
        <f t="shared" ca="1" si="185"/>
        <v>1.0009405575588539</v>
      </c>
      <c r="T815" s="15">
        <v>0</v>
      </c>
      <c r="U815" s="15">
        <f t="shared" ca="1" si="175"/>
        <v>1.0009405575588539</v>
      </c>
      <c r="V815" s="15">
        <f t="shared" ca="1" si="176"/>
        <v>0.99946593423361552</v>
      </c>
      <c r="X815" s="15">
        <f t="shared" si="177"/>
        <v>1.05</v>
      </c>
      <c r="Y815" s="15">
        <f t="shared" si="178"/>
        <v>0.95</v>
      </c>
      <c r="Z815" s="15">
        <f t="shared" ca="1" si="179"/>
        <v>1</v>
      </c>
      <c r="AC815" s="15">
        <f t="shared" ca="1" si="180"/>
        <v>2.852262428238461E-7</v>
      </c>
      <c r="AD815" s="15">
        <f t="shared" ca="1" si="181"/>
        <v>5.3406576638448389E-4</v>
      </c>
      <c r="AE815" s="15">
        <f t="shared" ca="1" si="182"/>
        <v>0.41283283741520604</v>
      </c>
    </row>
    <row r="816" spans="12:31" x14ac:dyDescent="0.3">
      <c r="L816" s="15">
        <v>814</v>
      </c>
      <c r="M816" s="15">
        <f t="shared" si="172"/>
        <v>1</v>
      </c>
      <c r="N816" s="15">
        <f t="shared" ca="1" si="173"/>
        <v>5.3406576638448389E-4</v>
      </c>
      <c r="O816" s="15">
        <f t="shared" ca="1" si="184"/>
        <v>0.2507612302960861</v>
      </c>
      <c r="P816" s="15">
        <f t="shared" ca="1" si="183"/>
        <v>0.25024795910582132</v>
      </c>
      <c r="Q816" s="15">
        <v>0</v>
      </c>
      <c r="R816" s="15">
        <f t="shared" ca="1" si="174"/>
        <v>0.25024795910582132</v>
      </c>
      <c r="S816" s="15">
        <f t="shared" ca="1" si="185"/>
        <v>1.0009442467998031</v>
      </c>
      <c r="T816" s="15">
        <v>0</v>
      </c>
      <c r="U816" s="15">
        <f t="shared" ca="1" si="175"/>
        <v>1.0009442467998031</v>
      </c>
      <c r="V816" s="15">
        <f t="shared" ca="1" si="176"/>
        <v>0.99946593423361552</v>
      </c>
      <c r="X816" s="15">
        <f t="shared" si="177"/>
        <v>1.05</v>
      </c>
      <c r="Y816" s="15">
        <f t="shared" si="178"/>
        <v>0.95</v>
      </c>
      <c r="Z816" s="15">
        <f t="shared" ca="1" si="179"/>
        <v>1</v>
      </c>
      <c r="AC816" s="15">
        <f t="shared" ca="1" si="180"/>
        <v>2.852262428238461E-7</v>
      </c>
      <c r="AD816" s="15">
        <f t="shared" ca="1" si="181"/>
        <v>5.3406576638448389E-4</v>
      </c>
      <c r="AE816" s="15">
        <f t="shared" ca="1" si="182"/>
        <v>0.41336690318159053</v>
      </c>
    </row>
    <row r="817" spans="12:31" x14ac:dyDescent="0.3">
      <c r="L817" s="15">
        <v>815</v>
      </c>
      <c r="M817" s="15">
        <f t="shared" si="172"/>
        <v>1</v>
      </c>
      <c r="N817" s="15">
        <f t="shared" ca="1" si="173"/>
        <v>5.3406576638448389E-4</v>
      </c>
      <c r="O817" s="15">
        <f t="shared" ca="1" si="184"/>
        <v>0.2507612302960861</v>
      </c>
      <c r="P817" s="15">
        <f t="shared" ca="1" si="183"/>
        <v>0.25024795910582132</v>
      </c>
      <c r="Q817" s="15">
        <v>0</v>
      </c>
      <c r="R817" s="15">
        <f t="shared" ca="1" si="174"/>
        <v>0.25024795910582132</v>
      </c>
      <c r="S817" s="15">
        <f t="shared" ca="1" si="185"/>
        <v>1.0009476690282337</v>
      </c>
      <c r="T817" s="15">
        <v>0</v>
      </c>
      <c r="U817" s="15">
        <f t="shared" ca="1" si="175"/>
        <v>1.0009476690282337</v>
      </c>
      <c r="V817" s="15">
        <f t="shared" ca="1" si="176"/>
        <v>0.99946593423361552</v>
      </c>
      <c r="X817" s="15">
        <f t="shared" si="177"/>
        <v>1.05</v>
      </c>
      <c r="Y817" s="15">
        <f t="shared" si="178"/>
        <v>0.95</v>
      </c>
      <c r="Z817" s="15">
        <f t="shared" ca="1" si="179"/>
        <v>1</v>
      </c>
      <c r="AC817" s="15">
        <f t="shared" ca="1" si="180"/>
        <v>2.852262428238461E-7</v>
      </c>
      <c r="AD817" s="15">
        <f t="shared" ca="1" si="181"/>
        <v>5.3406576638448389E-4</v>
      </c>
      <c r="AE817" s="15">
        <f t="shared" ca="1" si="182"/>
        <v>0.41390096894797501</v>
      </c>
    </row>
    <row r="818" spans="12:31" x14ac:dyDescent="0.3">
      <c r="L818" s="15">
        <v>816</v>
      </c>
      <c r="M818" s="15">
        <f t="shared" si="172"/>
        <v>1</v>
      </c>
      <c r="N818" s="15">
        <f t="shared" ca="1" si="173"/>
        <v>5.3406576638448389E-4</v>
      </c>
      <c r="O818" s="15">
        <f t="shared" ca="1" si="184"/>
        <v>0.25077132727403562</v>
      </c>
      <c r="P818" s="15">
        <f t="shared" ca="1" si="183"/>
        <v>0.25024795910582132</v>
      </c>
      <c r="Q818" s="15">
        <v>0</v>
      </c>
      <c r="R818" s="15">
        <f t="shared" ca="1" si="174"/>
        <v>0.25024795910582132</v>
      </c>
      <c r="S818" s="15">
        <f t="shared" ca="1" si="185"/>
        <v>1.0009508436629972</v>
      </c>
      <c r="T818" s="15">
        <v>0</v>
      </c>
      <c r="U818" s="15">
        <f t="shared" ca="1" si="175"/>
        <v>1.0009508436629972</v>
      </c>
      <c r="V818" s="15">
        <f t="shared" ca="1" si="176"/>
        <v>0.99946593423361552</v>
      </c>
      <c r="X818" s="15">
        <f t="shared" si="177"/>
        <v>1.05</v>
      </c>
      <c r="Y818" s="15">
        <f t="shared" si="178"/>
        <v>0.95</v>
      </c>
      <c r="Z818" s="15">
        <f t="shared" ca="1" si="179"/>
        <v>1</v>
      </c>
      <c r="AC818" s="15">
        <f t="shared" ca="1" si="180"/>
        <v>2.852262428238461E-7</v>
      </c>
      <c r="AD818" s="15">
        <f t="shared" ca="1" si="181"/>
        <v>5.3406576638448389E-4</v>
      </c>
      <c r="AE818" s="15">
        <f t="shared" ca="1" si="182"/>
        <v>0.4144350347143595</v>
      </c>
    </row>
    <row r="819" spans="12:31" x14ac:dyDescent="0.3">
      <c r="L819" s="15">
        <v>817</v>
      </c>
      <c r="M819" s="15">
        <f t="shared" si="172"/>
        <v>1</v>
      </c>
      <c r="N819" s="15">
        <f t="shared" ca="1" si="173"/>
        <v>5.3406576638448389E-4</v>
      </c>
      <c r="O819" s="15">
        <f t="shared" ca="1" si="184"/>
        <v>0.25077132727403562</v>
      </c>
      <c r="P819" s="15">
        <f t="shared" ca="1" si="183"/>
        <v>0.25024795910582132</v>
      </c>
      <c r="Q819" s="15">
        <v>0</v>
      </c>
      <c r="R819" s="15">
        <f t="shared" ca="1" si="174"/>
        <v>0.25024795910582132</v>
      </c>
      <c r="S819" s="15">
        <f t="shared" ca="1" si="185"/>
        <v>1.0009537887052149</v>
      </c>
      <c r="T819" s="15">
        <v>0</v>
      </c>
      <c r="U819" s="15">
        <f t="shared" ca="1" si="175"/>
        <v>1.0009537887052149</v>
      </c>
      <c r="V819" s="15">
        <f t="shared" ca="1" si="176"/>
        <v>0.99946593423361552</v>
      </c>
      <c r="X819" s="15">
        <f t="shared" si="177"/>
        <v>1.05</v>
      </c>
      <c r="Y819" s="15">
        <f t="shared" si="178"/>
        <v>0.95</v>
      </c>
      <c r="Z819" s="15">
        <f t="shared" ca="1" si="179"/>
        <v>1</v>
      </c>
      <c r="AC819" s="15">
        <f t="shared" ca="1" si="180"/>
        <v>2.852262428238461E-7</v>
      </c>
      <c r="AD819" s="15">
        <f t="shared" ca="1" si="181"/>
        <v>5.3406576638448389E-4</v>
      </c>
      <c r="AE819" s="15">
        <f t="shared" ca="1" si="182"/>
        <v>0.41496910048074398</v>
      </c>
    </row>
    <row r="820" spans="12:31" x14ac:dyDescent="0.3">
      <c r="L820" s="15">
        <v>818</v>
      </c>
      <c r="M820" s="15">
        <f t="shared" si="172"/>
        <v>1</v>
      </c>
      <c r="N820" s="15">
        <f t="shared" ca="1" si="173"/>
        <v>5.3406576638448389E-4</v>
      </c>
      <c r="O820" s="15">
        <f t="shared" ca="1" si="184"/>
        <v>0.25077132727403562</v>
      </c>
      <c r="P820" s="15">
        <f t="shared" ca="1" si="183"/>
        <v>0.25024795910582132</v>
      </c>
      <c r="Q820" s="15">
        <v>0</v>
      </c>
      <c r="R820" s="15">
        <f t="shared" ca="1" si="174"/>
        <v>0.25024795910582132</v>
      </c>
      <c r="S820" s="15">
        <f t="shared" ca="1" si="185"/>
        <v>1.0009565208421021</v>
      </c>
      <c r="T820" s="15">
        <v>0</v>
      </c>
      <c r="U820" s="15">
        <f t="shared" ca="1" si="175"/>
        <v>1.0009565208421021</v>
      </c>
      <c r="V820" s="15">
        <f t="shared" ca="1" si="176"/>
        <v>0.99946593423361552</v>
      </c>
      <c r="X820" s="15">
        <f t="shared" si="177"/>
        <v>1.05</v>
      </c>
      <c r="Y820" s="15">
        <f t="shared" si="178"/>
        <v>0.95</v>
      </c>
      <c r="Z820" s="15">
        <f t="shared" ca="1" si="179"/>
        <v>1</v>
      </c>
      <c r="AC820" s="15">
        <f t="shared" ca="1" si="180"/>
        <v>2.852262428238461E-7</v>
      </c>
      <c r="AD820" s="15">
        <f t="shared" ca="1" si="181"/>
        <v>5.3406576638448389E-4</v>
      </c>
      <c r="AE820" s="15">
        <f t="shared" ca="1" si="182"/>
        <v>0.41550316624712846</v>
      </c>
    </row>
    <row r="821" spans="12:31" x14ac:dyDescent="0.3">
      <c r="L821" s="15">
        <v>819</v>
      </c>
      <c r="M821" s="15">
        <f t="shared" si="172"/>
        <v>1</v>
      </c>
      <c r="N821" s="15">
        <f t="shared" ca="1" si="173"/>
        <v>5.3406576638448389E-4</v>
      </c>
      <c r="O821" s="15">
        <f t="shared" ca="1" si="184"/>
        <v>0.25078142425198513</v>
      </c>
      <c r="P821" s="15">
        <f t="shared" ca="1" si="183"/>
        <v>0.25024795910582132</v>
      </c>
      <c r="Q821" s="15">
        <v>0</v>
      </c>
      <c r="R821" s="15">
        <f t="shared" ca="1" si="174"/>
        <v>0.25024795910582132</v>
      </c>
      <c r="S821" s="15">
        <f t="shared" ca="1" si="185"/>
        <v>1.0009590555431693</v>
      </c>
      <c r="T821" s="15">
        <v>0</v>
      </c>
      <c r="U821" s="15">
        <f t="shared" ca="1" si="175"/>
        <v>1.0009590555431693</v>
      </c>
      <c r="V821" s="15">
        <f t="shared" ca="1" si="176"/>
        <v>0.99946593423361552</v>
      </c>
      <c r="X821" s="15">
        <f t="shared" si="177"/>
        <v>1.05</v>
      </c>
      <c r="Y821" s="15">
        <f t="shared" si="178"/>
        <v>0.95</v>
      </c>
      <c r="Z821" s="15">
        <f t="shared" ca="1" si="179"/>
        <v>1</v>
      </c>
      <c r="AC821" s="15">
        <f t="shared" ca="1" si="180"/>
        <v>2.852262428238461E-7</v>
      </c>
      <c r="AD821" s="15">
        <f t="shared" ca="1" si="181"/>
        <v>5.3406576638448389E-4</v>
      </c>
      <c r="AE821" s="15">
        <f t="shared" ca="1" si="182"/>
        <v>0.41603723201351295</v>
      </c>
    </row>
    <row r="822" spans="12:31" x14ac:dyDescent="0.3">
      <c r="L822" s="15">
        <v>820</v>
      </c>
      <c r="M822" s="15">
        <f t="shared" si="172"/>
        <v>1</v>
      </c>
      <c r="N822" s="15">
        <f t="shared" ca="1" si="173"/>
        <v>5.3406576638448389E-4</v>
      </c>
      <c r="O822" s="15">
        <f t="shared" ca="1" si="184"/>
        <v>0.25078142425198513</v>
      </c>
      <c r="P822" s="15">
        <f t="shared" ca="1" si="183"/>
        <v>0.25024795910582132</v>
      </c>
      <c r="Q822" s="15">
        <v>0</v>
      </c>
      <c r="R822" s="15">
        <f t="shared" ca="1" si="174"/>
        <v>0.25024795910582132</v>
      </c>
      <c r="S822" s="15">
        <f t="shared" ca="1" si="185"/>
        <v>1.000961407149364</v>
      </c>
      <c r="T822" s="15">
        <v>0</v>
      </c>
      <c r="U822" s="15">
        <f t="shared" ca="1" si="175"/>
        <v>1.000961407149364</v>
      </c>
      <c r="V822" s="15">
        <f t="shared" ca="1" si="176"/>
        <v>0.99946593423361552</v>
      </c>
      <c r="X822" s="15">
        <f t="shared" si="177"/>
        <v>1.05</v>
      </c>
      <c r="Y822" s="15">
        <f t="shared" si="178"/>
        <v>0.95</v>
      </c>
      <c r="Z822" s="15">
        <f t="shared" ca="1" si="179"/>
        <v>1</v>
      </c>
      <c r="AC822" s="15">
        <f t="shared" ca="1" si="180"/>
        <v>2.852262428238461E-7</v>
      </c>
      <c r="AD822" s="15">
        <f t="shared" ca="1" si="181"/>
        <v>5.3406576638448389E-4</v>
      </c>
      <c r="AE822" s="15">
        <f t="shared" ca="1" si="182"/>
        <v>0.41657129777989743</v>
      </c>
    </row>
    <row r="823" spans="12:31" x14ac:dyDescent="0.3">
      <c r="L823" s="15">
        <v>821</v>
      </c>
      <c r="M823" s="15">
        <f t="shared" si="172"/>
        <v>1</v>
      </c>
      <c r="N823" s="15">
        <f t="shared" ca="1" si="173"/>
        <v>5.3406576638448389E-4</v>
      </c>
      <c r="O823" s="15">
        <f t="shared" ca="1" si="184"/>
        <v>0.25078142425198513</v>
      </c>
      <c r="P823" s="15">
        <f t="shared" ca="1" si="183"/>
        <v>0.25024795910582132</v>
      </c>
      <c r="Q823" s="15">
        <v>0</v>
      </c>
      <c r="R823" s="15">
        <f t="shared" ca="1" si="174"/>
        <v>0.25024795910582132</v>
      </c>
      <c r="S823" s="15">
        <f t="shared" ca="1" si="185"/>
        <v>1.0009635889556685</v>
      </c>
      <c r="T823" s="15">
        <v>0</v>
      </c>
      <c r="U823" s="15">
        <f t="shared" ca="1" si="175"/>
        <v>1.0009635889556685</v>
      </c>
      <c r="V823" s="15">
        <f t="shared" ca="1" si="176"/>
        <v>0.99946593423361552</v>
      </c>
      <c r="X823" s="15">
        <f t="shared" si="177"/>
        <v>1.05</v>
      </c>
      <c r="Y823" s="15">
        <f t="shared" si="178"/>
        <v>0.95</v>
      </c>
      <c r="Z823" s="15">
        <f t="shared" ca="1" si="179"/>
        <v>1</v>
      </c>
      <c r="AC823" s="15">
        <f t="shared" ca="1" si="180"/>
        <v>2.852262428238461E-7</v>
      </c>
      <c r="AD823" s="15">
        <f t="shared" ca="1" si="181"/>
        <v>5.3406576638448389E-4</v>
      </c>
      <c r="AE823" s="15">
        <f t="shared" ca="1" si="182"/>
        <v>0.41710536354628192</v>
      </c>
    </row>
    <row r="824" spans="12:31" x14ac:dyDescent="0.3">
      <c r="L824" s="15">
        <v>822</v>
      </c>
      <c r="M824" s="15">
        <f t="shared" si="172"/>
        <v>1</v>
      </c>
      <c r="N824" s="15">
        <f t="shared" ca="1" si="173"/>
        <v>5.3406576638448389E-4</v>
      </c>
      <c r="O824" s="15">
        <f t="shared" ca="1" si="184"/>
        <v>0.25079152122993464</v>
      </c>
      <c r="P824" s="15">
        <f t="shared" ca="1" si="183"/>
        <v>0.25024795910582132</v>
      </c>
      <c r="Q824" s="15">
        <v>0</v>
      </c>
      <c r="R824" s="15">
        <f t="shared" ca="1" si="174"/>
        <v>0.25024795910582132</v>
      </c>
      <c r="S824" s="15">
        <f t="shared" ca="1" si="185"/>
        <v>1.0009656132876383</v>
      </c>
      <c r="T824" s="15">
        <v>0</v>
      </c>
      <c r="U824" s="15">
        <f t="shared" ca="1" si="175"/>
        <v>1.0009656132876383</v>
      </c>
      <c r="V824" s="15">
        <f t="shared" ca="1" si="176"/>
        <v>0.99946593423361552</v>
      </c>
      <c r="X824" s="15">
        <f t="shared" si="177"/>
        <v>1.05</v>
      </c>
      <c r="Y824" s="15">
        <f t="shared" si="178"/>
        <v>0.95</v>
      </c>
      <c r="Z824" s="15">
        <f t="shared" ca="1" si="179"/>
        <v>1</v>
      </c>
      <c r="AC824" s="15">
        <f t="shared" ca="1" si="180"/>
        <v>2.852262428238461E-7</v>
      </c>
      <c r="AD824" s="15">
        <f t="shared" ca="1" si="181"/>
        <v>5.3406576638448389E-4</v>
      </c>
      <c r="AE824" s="15">
        <f t="shared" ca="1" si="182"/>
        <v>0.4176394293126664</v>
      </c>
    </row>
    <row r="825" spans="12:31" x14ac:dyDescent="0.3">
      <c r="L825" s="15">
        <v>823</v>
      </c>
      <c r="M825" s="15">
        <f t="shared" si="172"/>
        <v>1</v>
      </c>
      <c r="N825" s="15">
        <f t="shared" ca="1" si="173"/>
        <v>5.3406576638448389E-4</v>
      </c>
      <c r="O825" s="15">
        <f t="shared" ca="1" si="184"/>
        <v>0.25079152122993464</v>
      </c>
      <c r="P825" s="15">
        <f t="shared" ca="1" si="183"/>
        <v>0.25024795910582132</v>
      </c>
      <c r="Q825" s="15">
        <v>0</v>
      </c>
      <c r="R825" s="15">
        <f t="shared" ca="1" si="174"/>
        <v>0.25024795910582132</v>
      </c>
      <c r="S825" s="15">
        <f t="shared" ca="1" si="185"/>
        <v>1.0009674915723255</v>
      </c>
      <c r="T825" s="15">
        <v>0</v>
      </c>
      <c r="U825" s="15">
        <f t="shared" ca="1" si="175"/>
        <v>1.0009674915723255</v>
      </c>
      <c r="V825" s="15">
        <f t="shared" ca="1" si="176"/>
        <v>0.99946593423361552</v>
      </c>
      <c r="X825" s="15">
        <f t="shared" si="177"/>
        <v>1.05</v>
      </c>
      <c r="Y825" s="15">
        <f t="shared" si="178"/>
        <v>0.95</v>
      </c>
      <c r="Z825" s="15">
        <f t="shared" ca="1" si="179"/>
        <v>1</v>
      </c>
      <c r="AC825" s="15">
        <f t="shared" ca="1" si="180"/>
        <v>2.852262428238461E-7</v>
      </c>
      <c r="AD825" s="15">
        <f t="shared" ca="1" si="181"/>
        <v>5.3406576638448389E-4</v>
      </c>
      <c r="AE825" s="15">
        <f t="shared" ca="1" si="182"/>
        <v>0.41817349507905088</v>
      </c>
    </row>
    <row r="826" spans="12:31" x14ac:dyDescent="0.3">
      <c r="L826" s="15">
        <v>824</v>
      </c>
      <c r="M826" s="15">
        <f t="shared" si="172"/>
        <v>1</v>
      </c>
      <c r="N826" s="15">
        <f t="shared" ca="1" si="173"/>
        <v>5.3406576638448389E-4</v>
      </c>
      <c r="O826" s="15">
        <f t="shared" ca="1" si="184"/>
        <v>0.25079152122993464</v>
      </c>
      <c r="P826" s="15">
        <f t="shared" ca="1" si="183"/>
        <v>0.25024795910582132</v>
      </c>
      <c r="Q826" s="15">
        <v>0</v>
      </c>
      <c r="R826" s="15">
        <f t="shared" ca="1" si="174"/>
        <v>0.25024795910582132</v>
      </c>
      <c r="S826" s="15">
        <f t="shared" ca="1" si="185"/>
        <v>1.0009692344039989</v>
      </c>
      <c r="T826" s="15">
        <v>0</v>
      </c>
      <c r="U826" s="15">
        <f t="shared" ca="1" si="175"/>
        <v>1.0009692344039989</v>
      </c>
      <c r="V826" s="15">
        <f t="shared" ca="1" si="176"/>
        <v>0.99946593423361552</v>
      </c>
      <c r="X826" s="15">
        <f t="shared" si="177"/>
        <v>1.05</v>
      </c>
      <c r="Y826" s="15">
        <f t="shared" si="178"/>
        <v>0.95</v>
      </c>
      <c r="Z826" s="15">
        <f t="shared" ca="1" si="179"/>
        <v>1</v>
      </c>
      <c r="AC826" s="15">
        <f t="shared" ca="1" si="180"/>
        <v>2.852262428238461E-7</v>
      </c>
      <c r="AD826" s="15">
        <f t="shared" ca="1" si="181"/>
        <v>5.3406576638448389E-4</v>
      </c>
      <c r="AE826" s="15">
        <f t="shared" ca="1" si="182"/>
        <v>0.41870756084543537</v>
      </c>
    </row>
    <row r="827" spans="12:31" x14ac:dyDescent="0.3">
      <c r="L827" s="15">
        <v>825</v>
      </c>
      <c r="M827" s="15">
        <f t="shared" si="172"/>
        <v>1</v>
      </c>
      <c r="N827" s="15">
        <f t="shared" ca="1" si="173"/>
        <v>5.3406576638448389E-4</v>
      </c>
      <c r="O827" s="15">
        <f t="shared" ca="1" si="184"/>
        <v>0.25080161820788416</v>
      </c>
      <c r="P827" s="15">
        <f t="shared" ca="1" si="183"/>
        <v>0.25024795910582132</v>
      </c>
      <c r="Q827" s="15">
        <v>0</v>
      </c>
      <c r="R827" s="15">
        <f t="shared" ca="1" si="174"/>
        <v>0.25024795910582132</v>
      </c>
      <c r="S827" s="15">
        <f t="shared" ca="1" si="185"/>
        <v>1.0009708516050453</v>
      </c>
      <c r="T827" s="15">
        <v>0</v>
      </c>
      <c r="U827" s="15">
        <f t="shared" ca="1" si="175"/>
        <v>1.0009708516050453</v>
      </c>
      <c r="V827" s="15">
        <f t="shared" ca="1" si="176"/>
        <v>0.99946593423361552</v>
      </c>
      <c r="X827" s="15">
        <f t="shared" si="177"/>
        <v>1.05</v>
      </c>
      <c r="Y827" s="15">
        <f t="shared" si="178"/>
        <v>0.95</v>
      </c>
      <c r="Z827" s="15">
        <f t="shared" ca="1" si="179"/>
        <v>1</v>
      </c>
      <c r="AC827" s="15">
        <f t="shared" ca="1" si="180"/>
        <v>2.852262428238461E-7</v>
      </c>
      <c r="AD827" s="15">
        <f t="shared" ca="1" si="181"/>
        <v>5.3406576638448389E-4</v>
      </c>
      <c r="AE827" s="15">
        <f t="shared" ca="1" si="182"/>
        <v>0.41924162661181985</v>
      </c>
    </row>
    <row r="828" spans="12:31" x14ac:dyDescent="0.3">
      <c r="L828" s="15">
        <v>826</v>
      </c>
      <c r="M828" s="15">
        <f t="shared" si="172"/>
        <v>1</v>
      </c>
      <c r="N828" s="15">
        <f t="shared" ca="1" si="173"/>
        <v>5.3406576638448389E-4</v>
      </c>
      <c r="O828" s="15">
        <f t="shared" ca="1" si="184"/>
        <v>0.25080161820788416</v>
      </c>
      <c r="P828" s="15">
        <f t="shared" ca="1" si="183"/>
        <v>0.25024795910582132</v>
      </c>
      <c r="Q828" s="15">
        <v>0</v>
      </c>
      <c r="R828" s="15">
        <f t="shared" ca="1" si="174"/>
        <v>0.25024795910582132</v>
      </c>
      <c r="S828" s="15">
        <f t="shared" ca="1" si="185"/>
        <v>1.0009723522824039</v>
      </c>
      <c r="T828" s="15">
        <v>0</v>
      </c>
      <c r="U828" s="15">
        <f t="shared" ca="1" si="175"/>
        <v>1.0009723522824039</v>
      </c>
      <c r="V828" s="15">
        <f t="shared" ca="1" si="176"/>
        <v>0.99946593423361552</v>
      </c>
      <c r="X828" s="15">
        <f t="shared" si="177"/>
        <v>1.05</v>
      </c>
      <c r="Y828" s="15">
        <f t="shared" si="178"/>
        <v>0.95</v>
      </c>
      <c r="Z828" s="15">
        <f t="shared" ca="1" si="179"/>
        <v>1</v>
      </c>
      <c r="AC828" s="15">
        <f t="shared" ca="1" si="180"/>
        <v>2.852262428238461E-7</v>
      </c>
      <c r="AD828" s="15">
        <f t="shared" ca="1" si="181"/>
        <v>5.3406576638448389E-4</v>
      </c>
      <c r="AE828" s="15">
        <f t="shared" ca="1" si="182"/>
        <v>0.41977569237820433</v>
      </c>
    </row>
    <row r="829" spans="12:31" x14ac:dyDescent="0.3">
      <c r="L829" s="15">
        <v>827</v>
      </c>
      <c r="M829" s="15">
        <f t="shared" si="172"/>
        <v>1</v>
      </c>
      <c r="N829" s="15">
        <f t="shared" ca="1" si="173"/>
        <v>5.3406576638448389E-4</v>
      </c>
      <c r="O829" s="15">
        <f t="shared" ca="1" si="184"/>
        <v>0.25080161820788416</v>
      </c>
      <c r="P829" s="15">
        <f t="shared" ca="1" si="183"/>
        <v>0.25024795910582132</v>
      </c>
      <c r="Q829" s="15">
        <v>0</v>
      </c>
      <c r="R829" s="15">
        <f t="shared" ca="1" si="174"/>
        <v>0.25024795910582132</v>
      </c>
      <c r="S829" s="15">
        <f t="shared" ca="1" si="185"/>
        <v>1.0009737448798637</v>
      </c>
      <c r="T829" s="15">
        <v>0</v>
      </c>
      <c r="U829" s="15">
        <f t="shared" ca="1" si="175"/>
        <v>1.0009737448798637</v>
      </c>
      <c r="V829" s="15">
        <f t="shared" ca="1" si="176"/>
        <v>0.99946593423361552</v>
      </c>
      <c r="X829" s="15">
        <f t="shared" si="177"/>
        <v>1.05</v>
      </c>
      <c r="Y829" s="15">
        <f t="shared" si="178"/>
        <v>0.95</v>
      </c>
      <c r="Z829" s="15">
        <f t="shared" ca="1" si="179"/>
        <v>1</v>
      </c>
      <c r="AC829" s="15">
        <f t="shared" ca="1" si="180"/>
        <v>2.852262428238461E-7</v>
      </c>
      <c r="AD829" s="15">
        <f t="shared" ca="1" si="181"/>
        <v>5.3406576638448389E-4</v>
      </c>
      <c r="AE829" s="15">
        <f t="shared" ca="1" si="182"/>
        <v>0.42030975814458882</v>
      </c>
    </row>
    <row r="830" spans="12:31" x14ac:dyDescent="0.3">
      <c r="L830" s="15">
        <v>828</v>
      </c>
      <c r="M830" s="15">
        <f t="shared" si="172"/>
        <v>1</v>
      </c>
      <c r="N830" s="15">
        <f t="shared" ca="1" si="173"/>
        <v>5.3406576638448389E-4</v>
      </c>
      <c r="O830" s="15">
        <f t="shared" ca="1" si="184"/>
        <v>0.25081171518583367</v>
      </c>
      <c r="P830" s="15">
        <f t="shared" ca="1" si="183"/>
        <v>0.25024795910582132</v>
      </c>
      <c r="Q830" s="15">
        <v>0</v>
      </c>
      <c r="R830" s="15">
        <f t="shared" ca="1" si="174"/>
        <v>0.25024795910582132</v>
      </c>
      <c r="S830" s="15">
        <f t="shared" ca="1" si="185"/>
        <v>1.0009750372265276</v>
      </c>
      <c r="T830" s="15">
        <v>0</v>
      </c>
      <c r="U830" s="15">
        <f t="shared" ca="1" si="175"/>
        <v>1.0009750372265276</v>
      </c>
      <c r="V830" s="15">
        <f t="shared" ca="1" si="176"/>
        <v>0.99946593423361552</v>
      </c>
      <c r="X830" s="15">
        <f t="shared" si="177"/>
        <v>1.05</v>
      </c>
      <c r="Y830" s="15">
        <f t="shared" si="178"/>
        <v>0.95</v>
      </c>
      <c r="Z830" s="15">
        <f t="shared" ca="1" si="179"/>
        <v>1</v>
      </c>
      <c r="AC830" s="15">
        <f t="shared" ca="1" si="180"/>
        <v>2.852262428238461E-7</v>
      </c>
      <c r="AD830" s="15">
        <f t="shared" ca="1" si="181"/>
        <v>5.3406576638448389E-4</v>
      </c>
      <c r="AE830" s="15">
        <f t="shared" ca="1" si="182"/>
        <v>0.4208438239109733</v>
      </c>
    </row>
    <row r="831" spans="12:31" x14ac:dyDescent="0.3">
      <c r="L831" s="15">
        <v>829</v>
      </c>
      <c r="M831" s="15">
        <f t="shared" si="172"/>
        <v>1</v>
      </c>
      <c r="N831" s="15">
        <f t="shared" ca="1" si="173"/>
        <v>5.3406576638448389E-4</v>
      </c>
      <c r="O831" s="15">
        <f t="shared" ca="1" si="184"/>
        <v>0.25081171518583367</v>
      </c>
      <c r="P831" s="15">
        <f t="shared" ca="1" si="183"/>
        <v>0.25024795910582132</v>
      </c>
      <c r="Q831" s="15">
        <v>0</v>
      </c>
      <c r="R831" s="15">
        <f t="shared" ca="1" si="174"/>
        <v>0.25024795910582132</v>
      </c>
      <c r="S831" s="15">
        <f t="shared" ca="1" si="185"/>
        <v>1.0009762365817236</v>
      </c>
      <c r="T831" s="15">
        <v>0</v>
      </c>
      <c r="U831" s="15">
        <f t="shared" ca="1" si="175"/>
        <v>1.0009762365817236</v>
      </c>
      <c r="V831" s="15">
        <f t="shared" ca="1" si="176"/>
        <v>0.99946593423361552</v>
      </c>
      <c r="X831" s="15">
        <f t="shared" si="177"/>
        <v>1.05</v>
      </c>
      <c r="Y831" s="15">
        <f t="shared" si="178"/>
        <v>0.95</v>
      </c>
      <c r="Z831" s="15">
        <f t="shared" ca="1" si="179"/>
        <v>1</v>
      </c>
      <c r="AC831" s="15">
        <f t="shared" ca="1" si="180"/>
        <v>2.852262428238461E-7</v>
      </c>
      <c r="AD831" s="15">
        <f t="shared" ca="1" si="181"/>
        <v>5.3406576638448389E-4</v>
      </c>
      <c r="AE831" s="15">
        <f t="shared" ca="1" si="182"/>
        <v>0.42137788967735779</v>
      </c>
    </row>
    <row r="832" spans="12:31" x14ac:dyDescent="0.3">
      <c r="L832" s="15">
        <v>830</v>
      </c>
      <c r="M832" s="15">
        <f t="shared" si="172"/>
        <v>1</v>
      </c>
      <c r="N832" s="15">
        <f t="shared" ca="1" si="173"/>
        <v>5.3406576638448389E-4</v>
      </c>
      <c r="O832" s="15">
        <f t="shared" ca="1" si="184"/>
        <v>0.25081171518583367</v>
      </c>
      <c r="P832" s="15">
        <f t="shared" ca="1" si="183"/>
        <v>0.25024795910582132</v>
      </c>
      <c r="Q832" s="15">
        <v>0</v>
      </c>
      <c r="R832" s="15">
        <f t="shared" ca="1" si="174"/>
        <v>0.25024795910582132</v>
      </c>
      <c r="S832" s="15">
        <f t="shared" ca="1" si="185"/>
        <v>1.0009773496766268</v>
      </c>
      <c r="T832" s="15">
        <v>0</v>
      </c>
      <c r="U832" s="15">
        <f t="shared" ca="1" si="175"/>
        <v>1.0009773496766268</v>
      </c>
      <c r="V832" s="15">
        <f t="shared" ca="1" si="176"/>
        <v>0.99946593423361552</v>
      </c>
      <c r="X832" s="15">
        <f t="shared" si="177"/>
        <v>1.05</v>
      </c>
      <c r="Y832" s="15">
        <f t="shared" si="178"/>
        <v>0.95</v>
      </c>
      <c r="Z832" s="15">
        <f t="shared" ca="1" si="179"/>
        <v>1</v>
      </c>
      <c r="AC832" s="15">
        <f t="shared" ca="1" si="180"/>
        <v>2.852262428238461E-7</v>
      </c>
      <c r="AD832" s="15">
        <f t="shared" ca="1" si="181"/>
        <v>5.3406576638448389E-4</v>
      </c>
      <c r="AE832" s="15">
        <f t="shared" ca="1" si="182"/>
        <v>0.42191195544374227</v>
      </c>
    </row>
    <row r="833" spans="12:31" x14ac:dyDescent="0.3">
      <c r="L833" s="15">
        <v>831</v>
      </c>
      <c r="M833" s="15">
        <f t="shared" si="172"/>
        <v>1</v>
      </c>
      <c r="N833" s="15">
        <f t="shared" ca="1" si="173"/>
        <v>5.3406576638448389E-4</v>
      </c>
      <c r="O833" s="15">
        <f t="shared" ca="1" si="184"/>
        <v>0.25082181216378319</v>
      </c>
      <c r="P833" s="15">
        <f t="shared" ca="1" si="183"/>
        <v>0.25024795910582132</v>
      </c>
      <c r="Q833" s="15">
        <v>0</v>
      </c>
      <c r="R833" s="15">
        <f t="shared" ca="1" si="174"/>
        <v>0.25024795910582132</v>
      </c>
      <c r="S833" s="15">
        <f t="shared" ca="1" si="185"/>
        <v>1.0009783827528296</v>
      </c>
      <c r="T833" s="15">
        <v>0</v>
      </c>
      <c r="U833" s="15">
        <f t="shared" ca="1" si="175"/>
        <v>1.0009783827528296</v>
      </c>
      <c r="V833" s="15">
        <f t="shared" ca="1" si="176"/>
        <v>0.99946593423361552</v>
      </c>
      <c r="X833" s="15">
        <f t="shared" si="177"/>
        <v>1.05</v>
      </c>
      <c r="Y833" s="15">
        <f t="shared" si="178"/>
        <v>0.95</v>
      </c>
      <c r="Z833" s="15">
        <f t="shared" ca="1" si="179"/>
        <v>1</v>
      </c>
      <c r="AC833" s="15">
        <f t="shared" ca="1" si="180"/>
        <v>2.852262428238461E-7</v>
      </c>
      <c r="AD833" s="15">
        <f t="shared" ca="1" si="181"/>
        <v>5.3406576638448389E-4</v>
      </c>
      <c r="AE833" s="15">
        <f t="shared" ca="1" si="182"/>
        <v>0.42244602121012675</v>
      </c>
    </row>
    <row r="834" spans="12:31" x14ac:dyDescent="0.3">
      <c r="L834" s="15">
        <v>832</v>
      </c>
      <c r="M834" s="15">
        <f t="shared" si="172"/>
        <v>1</v>
      </c>
      <c r="N834" s="15">
        <f t="shared" ca="1" si="173"/>
        <v>5.3406576638448389E-4</v>
      </c>
      <c r="O834" s="15">
        <f t="shared" ca="1" si="184"/>
        <v>0.25082181216378319</v>
      </c>
      <c r="P834" s="15">
        <f t="shared" ca="1" si="183"/>
        <v>0.25024795910582132</v>
      </c>
      <c r="Q834" s="15">
        <v>0</v>
      </c>
      <c r="R834" s="15">
        <f t="shared" ca="1" si="174"/>
        <v>0.25024795910582132</v>
      </c>
      <c r="S834" s="15">
        <f t="shared" ca="1" si="185"/>
        <v>1.000979341598089</v>
      </c>
      <c r="T834" s="15">
        <v>0</v>
      </c>
      <c r="U834" s="15">
        <f t="shared" ca="1" si="175"/>
        <v>1.000979341598089</v>
      </c>
      <c r="V834" s="15">
        <f t="shared" ca="1" si="176"/>
        <v>0.99946593423361552</v>
      </c>
      <c r="X834" s="15">
        <f t="shared" si="177"/>
        <v>1.05</v>
      </c>
      <c r="Y834" s="15">
        <f t="shared" si="178"/>
        <v>0.95</v>
      </c>
      <c r="Z834" s="15">
        <f t="shared" ca="1" si="179"/>
        <v>1</v>
      </c>
      <c r="AC834" s="15">
        <f t="shared" ca="1" si="180"/>
        <v>2.852262428238461E-7</v>
      </c>
      <c r="AD834" s="15">
        <f t="shared" ca="1" si="181"/>
        <v>5.3406576638448389E-4</v>
      </c>
      <c r="AE834" s="15">
        <f t="shared" ca="1" si="182"/>
        <v>0.42298008697651124</v>
      </c>
    </row>
    <row r="835" spans="12:31" x14ac:dyDescent="0.3">
      <c r="L835" s="15">
        <v>833</v>
      </c>
      <c r="M835" s="15">
        <f t="shared" ref="M835:M898" si="186">IF(L835&lt;$D$16,$D$12,IF(L835&lt;$E$16,$E$12,$F$13))</f>
        <v>1</v>
      </c>
      <c r="N835" s="15">
        <f t="shared" ref="N835:N898" ca="1" si="187">M835-V835</f>
        <v>5.3406576638448389E-4</v>
      </c>
      <c r="O835" s="15">
        <f t="shared" ca="1" si="184"/>
        <v>0.25082181216378319</v>
      </c>
      <c r="P835" s="15">
        <f t="shared" ca="1" si="183"/>
        <v>0.25024795910582132</v>
      </c>
      <c r="Q835" s="15">
        <v>0</v>
      </c>
      <c r="R835" s="15">
        <f t="shared" ref="R835:R898" ca="1" si="188">P835+Q835</f>
        <v>0.25024795910582132</v>
      </c>
      <c r="S835" s="15">
        <f t="shared" ca="1" si="185"/>
        <v>1.000980231579454</v>
      </c>
      <c r="T835" s="15">
        <v>0</v>
      </c>
      <c r="U835" s="15">
        <f t="shared" ref="U835:U898" ca="1" si="189">S835+T835</f>
        <v>1.000980231579454</v>
      </c>
      <c r="V835" s="15">
        <f t="shared" ref="V835:V898" ca="1" si="190">INT((2^$J$12-1)*U835/100)/(2^$J$12-1)*100</f>
        <v>0.99946593423361552</v>
      </c>
      <c r="X835" s="15">
        <f t="shared" ref="X835:X898" si="191">M835 * 1.05</f>
        <v>1.05</v>
      </c>
      <c r="Y835" s="15">
        <f t="shared" ref="Y835:Y898" si="192">M835 * 0.95</f>
        <v>0.95</v>
      </c>
      <c r="Z835" s="15">
        <f t="shared" ref="Z835:Z898" ca="1" si="193">IF(AND(V835 &lt;= X835, V835 &gt;= Y835), 1, 0)</f>
        <v>1</v>
      </c>
      <c r="AC835" s="15">
        <f t="shared" ref="AC835:AC898" ca="1" si="194">N835^2</f>
        <v>2.852262428238461E-7</v>
      </c>
      <c r="AD835" s="15">
        <f t="shared" ref="AD835:AD898" ca="1" si="195">ABS(N835)</f>
        <v>5.3406576638448389E-4</v>
      </c>
      <c r="AE835" s="15">
        <f t="shared" ref="AE835:AE898" ca="1" si="196">IF(M835&gt;0, ABS(N835)*(L835-$D$16),0)</f>
        <v>0.42351415274289572</v>
      </c>
    </row>
    <row r="836" spans="12:31" x14ac:dyDescent="0.3">
      <c r="L836" s="15">
        <v>834</v>
      </c>
      <c r="M836" s="15">
        <f t="shared" si="186"/>
        <v>1</v>
      </c>
      <c r="N836" s="15">
        <f t="shared" ca="1" si="187"/>
        <v>5.3406576638448389E-4</v>
      </c>
      <c r="O836" s="15">
        <f t="shared" ca="1" si="184"/>
        <v>0.2508319091417327</v>
      </c>
      <c r="P836" s="15">
        <f t="shared" ca="1" si="183"/>
        <v>0.25024795910582132</v>
      </c>
      <c r="Q836" s="15">
        <v>0</v>
      </c>
      <c r="R836" s="15">
        <f t="shared" ca="1" si="188"/>
        <v>0.25024795910582132</v>
      </c>
      <c r="S836" s="15">
        <f t="shared" ca="1" si="185"/>
        <v>1.0009810576739686</v>
      </c>
      <c r="T836" s="15">
        <v>0</v>
      </c>
      <c r="U836" s="15">
        <f t="shared" ca="1" si="189"/>
        <v>1.0009810576739686</v>
      </c>
      <c r="V836" s="15">
        <f t="shared" ca="1" si="190"/>
        <v>0.99946593423361552</v>
      </c>
      <c r="X836" s="15">
        <f t="shared" si="191"/>
        <v>1.05</v>
      </c>
      <c r="Y836" s="15">
        <f t="shared" si="192"/>
        <v>0.95</v>
      </c>
      <c r="Z836" s="15">
        <f t="shared" ca="1" si="193"/>
        <v>1</v>
      </c>
      <c r="AC836" s="15">
        <f t="shared" ca="1" si="194"/>
        <v>2.852262428238461E-7</v>
      </c>
      <c r="AD836" s="15">
        <f t="shared" ca="1" si="195"/>
        <v>5.3406576638448389E-4</v>
      </c>
      <c r="AE836" s="15">
        <f t="shared" ca="1" si="196"/>
        <v>0.42404821850928021</v>
      </c>
    </row>
    <row r="837" spans="12:31" x14ac:dyDescent="0.3">
      <c r="L837" s="15">
        <v>835</v>
      </c>
      <c r="M837" s="15">
        <f t="shared" si="186"/>
        <v>1</v>
      </c>
      <c r="N837" s="15">
        <f t="shared" ca="1" si="187"/>
        <v>5.3406576638448389E-4</v>
      </c>
      <c r="O837" s="15">
        <f t="shared" ca="1" si="184"/>
        <v>0.2508319091417327</v>
      </c>
      <c r="P837" s="15">
        <f t="shared" ca="1" si="183"/>
        <v>0.25024795910582132</v>
      </c>
      <c r="Q837" s="15">
        <v>0</v>
      </c>
      <c r="R837" s="15">
        <f t="shared" ca="1" si="188"/>
        <v>0.25024795910582132</v>
      </c>
      <c r="S837" s="15">
        <f t="shared" ca="1" si="185"/>
        <v>1.0009818244971265</v>
      </c>
      <c r="T837" s="15">
        <v>0</v>
      </c>
      <c r="U837" s="15">
        <f t="shared" ca="1" si="189"/>
        <v>1.0009818244971265</v>
      </c>
      <c r="V837" s="15">
        <f t="shared" ca="1" si="190"/>
        <v>0.99946593423361552</v>
      </c>
      <c r="X837" s="15">
        <f t="shared" si="191"/>
        <v>1.05</v>
      </c>
      <c r="Y837" s="15">
        <f t="shared" si="192"/>
        <v>0.95</v>
      </c>
      <c r="Z837" s="15">
        <f t="shared" ca="1" si="193"/>
        <v>1</v>
      </c>
      <c r="AC837" s="15">
        <f t="shared" ca="1" si="194"/>
        <v>2.852262428238461E-7</v>
      </c>
      <c r="AD837" s="15">
        <f t="shared" ca="1" si="195"/>
        <v>5.3406576638448389E-4</v>
      </c>
      <c r="AE837" s="15">
        <f t="shared" ca="1" si="196"/>
        <v>0.42458228427566469</v>
      </c>
    </row>
    <row r="838" spans="12:31" x14ac:dyDescent="0.3">
      <c r="L838" s="15">
        <v>836</v>
      </c>
      <c r="M838" s="15">
        <f t="shared" si="186"/>
        <v>1</v>
      </c>
      <c r="N838" s="15">
        <f t="shared" ca="1" si="187"/>
        <v>5.3406576638448389E-4</v>
      </c>
      <c r="O838" s="15">
        <f t="shared" ca="1" si="184"/>
        <v>0.2508319091417327</v>
      </c>
      <c r="P838" s="15">
        <f t="shared" ca="1" si="183"/>
        <v>0.25024795910582132</v>
      </c>
      <c r="Q838" s="15">
        <v>0</v>
      </c>
      <c r="R838" s="15">
        <f t="shared" ca="1" si="188"/>
        <v>0.25024795910582132</v>
      </c>
      <c r="S838" s="15">
        <f t="shared" ca="1" si="185"/>
        <v>1.0009825363292428</v>
      </c>
      <c r="T838" s="15">
        <v>0</v>
      </c>
      <c r="U838" s="15">
        <f t="shared" ca="1" si="189"/>
        <v>1.0009825363292428</v>
      </c>
      <c r="V838" s="15">
        <f t="shared" ca="1" si="190"/>
        <v>0.99946593423361552</v>
      </c>
      <c r="X838" s="15">
        <f t="shared" si="191"/>
        <v>1.05</v>
      </c>
      <c r="Y838" s="15">
        <f t="shared" si="192"/>
        <v>0.95</v>
      </c>
      <c r="Z838" s="15">
        <f t="shared" ca="1" si="193"/>
        <v>1</v>
      </c>
      <c r="AC838" s="15">
        <f t="shared" ca="1" si="194"/>
        <v>2.852262428238461E-7</v>
      </c>
      <c r="AD838" s="15">
        <f t="shared" ca="1" si="195"/>
        <v>5.3406576638448389E-4</v>
      </c>
      <c r="AE838" s="15">
        <f t="shared" ca="1" si="196"/>
        <v>0.42511635004204917</v>
      </c>
    </row>
    <row r="839" spans="12:31" x14ac:dyDescent="0.3">
      <c r="L839" s="15">
        <v>837</v>
      </c>
      <c r="M839" s="15">
        <f t="shared" si="186"/>
        <v>1</v>
      </c>
      <c r="N839" s="15">
        <f t="shared" ca="1" si="187"/>
        <v>5.3406576638448389E-4</v>
      </c>
      <c r="O839" s="15">
        <f t="shared" ca="1" si="184"/>
        <v>0.25084200611968221</v>
      </c>
      <c r="P839" s="15">
        <f t="shared" ca="1" si="183"/>
        <v>0.25024795910582132</v>
      </c>
      <c r="Q839" s="15">
        <v>0</v>
      </c>
      <c r="R839" s="15">
        <f t="shared" ca="1" si="188"/>
        <v>0.25024795910582132</v>
      </c>
      <c r="S839" s="15">
        <f t="shared" ca="1" si="185"/>
        <v>1.000983197139897</v>
      </c>
      <c r="T839" s="15">
        <v>0</v>
      </c>
      <c r="U839" s="15">
        <f t="shared" ca="1" si="189"/>
        <v>1.000983197139897</v>
      </c>
      <c r="V839" s="15">
        <f t="shared" ca="1" si="190"/>
        <v>0.99946593423361552</v>
      </c>
      <c r="X839" s="15">
        <f t="shared" si="191"/>
        <v>1.05</v>
      </c>
      <c r="Y839" s="15">
        <f t="shared" si="192"/>
        <v>0.95</v>
      </c>
      <c r="Z839" s="15">
        <f t="shared" ca="1" si="193"/>
        <v>1</v>
      </c>
      <c r="AC839" s="15">
        <f t="shared" ca="1" si="194"/>
        <v>2.852262428238461E-7</v>
      </c>
      <c r="AD839" s="15">
        <f t="shared" ca="1" si="195"/>
        <v>5.3406576638448389E-4</v>
      </c>
      <c r="AE839" s="15">
        <f t="shared" ca="1" si="196"/>
        <v>0.42565041580843366</v>
      </c>
    </row>
    <row r="840" spans="12:31" x14ac:dyDescent="0.3">
      <c r="L840" s="15">
        <v>838</v>
      </c>
      <c r="M840" s="15">
        <f t="shared" si="186"/>
        <v>1</v>
      </c>
      <c r="N840" s="15">
        <f t="shared" ca="1" si="187"/>
        <v>5.3406576638448389E-4</v>
      </c>
      <c r="O840" s="15">
        <f t="shared" ca="1" si="184"/>
        <v>0.25084200611968221</v>
      </c>
      <c r="P840" s="15">
        <f t="shared" ca="1" si="183"/>
        <v>0.25024795910582132</v>
      </c>
      <c r="Q840" s="15">
        <v>0</v>
      </c>
      <c r="R840" s="15">
        <f t="shared" ca="1" si="188"/>
        <v>0.25024795910582132</v>
      </c>
      <c r="S840" s="15">
        <f t="shared" ca="1" si="185"/>
        <v>1.0009838106105859</v>
      </c>
      <c r="T840" s="15">
        <v>0</v>
      </c>
      <c r="U840" s="15">
        <f t="shared" ca="1" si="189"/>
        <v>1.0009838106105859</v>
      </c>
      <c r="V840" s="15">
        <f t="shared" ca="1" si="190"/>
        <v>0.99946593423361552</v>
      </c>
      <c r="X840" s="15">
        <f t="shared" si="191"/>
        <v>1.05</v>
      </c>
      <c r="Y840" s="15">
        <f t="shared" si="192"/>
        <v>0.95</v>
      </c>
      <c r="Z840" s="15">
        <f t="shared" ca="1" si="193"/>
        <v>1</v>
      </c>
      <c r="AC840" s="15">
        <f t="shared" ca="1" si="194"/>
        <v>2.852262428238461E-7</v>
      </c>
      <c r="AD840" s="15">
        <f t="shared" ca="1" si="195"/>
        <v>5.3406576638448389E-4</v>
      </c>
      <c r="AE840" s="15">
        <f t="shared" ca="1" si="196"/>
        <v>0.42618448157481814</v>
      </c>
    </row>
    <row r="841" spans="12:31" x14ac:dyDescent="0.3">
      <c r="L841" s="15">
        <v>839</v>
      </c>
      <c r="M841" s="15">
        <f t="shared" si="186"/>
        <v>1</v>
      </c>
      <c r="N841" s="15">
        <f t="shared" ca="1" si="187"/>
        <v>5.3406576638448389E-4</v>
      </c>
      <c r="O841" s="15">
        <f t="shared" ca="1" si="184"/>
        <v>0.25084200611968221</v>
      </c>
      <c r="P841" s="15">
        <f t="shared" ca="1" si="183"/>
        <v>0.25024795910582132</v>
      </c>
      <c r="Q841" s="15">
        <v>0</v>
      </c>
      <c r="R841" s="15">
        <f t="shared" ca="1" si="188"/>
        <v>0.25024795910582132</v>
      </c>
      <c r="S841" s="15">
        <f t="shared" ca="1" si="185"/>
        <v>1.000984380155721</v>
      </c>
      <c r="T841" s="15">
        <v>0</v>
      </c>
      <c r="U841" s="15">
        <f t="shared" ca="1" si="189"/>
        <v>1.000984380155721</v>
      </c>
      <c r="V841" s="15">
        <f t="shared" ca="1" si="190"/>
        <v>0.99946593423361552</v>
      </c>
      <c r="X841" s="15">
        <f t="shared" si="191"/>
        <v>1.05</v>
      </c>
      <c r="Y841" s="15">
        <f t="shared" si="192"/>
        <v>0.95</v>
      </c>
      <c r="Z841" s="15">
        <f t="shared" ca="1" si="193"/>
        <v>1</v>
      </c>
      <c r="AC841" s="15">
        <f t="shared" ca="1" si="194"/>
        <v>2.852262428238461E-7</v>
      </c>
      <c r="AD841" s="15">
        <f t="shared" ca="1" si="195"/>
        <v>5.3406576638448389E-4</v>
      </c>
      <c r="AE841" s="15">
        <f t="shared" ca="1" si="196"/>
        <v>0.42671854734120263</v>
      </c>
    </row>
    <row r="842" spans="12:31" x14ac:dyDescent="0.3">
      <c r="L842" s="15">
        <v>840</v>
      </c>
      <c r="M842" s="15">
        <f t="shared" si="186"/>
        <v>1</v>
      </c>
      <c r="N842" s="15">
        <f t="shared" ca="1" si="187"/>
        <v>5.3406576638448389E-4</v>
      </c>
      <c r="O842" s="15">
        <f t="shared" ca="1" si="184"/>
        <v>0.25085210309763173</v>
      </c>
      <c r="P842" s="15">
        <f t="shared" ca="1" si="183"/>
        <v>0.25024795910582132</v>
      </c>
      <c r="Q842" s="15">
        <v>0</v>
      </c>
      <c r="R842" s="15">
        <f t="shared" ca="1" si="188"/>
        <v>0.25024795910582132</v>
      </c>
      <c r="S842" s="15">
        <f t="shared" ca="1" si="185"/>
        <v>1.0009849089420895</v>
      </c>
      <c r="T842" s="15">
        <v>0</v>
      </c>
      <c r="U842" s="15">
        <f t="shared" ca="1" si="189"/>
        <v>1.0009849089420895</v>
      </c>
      <c r="V842" s="15">
        <f t="shared" ca="1" si="190"/>
        <v>0.99946593423361552</v>
      </c>
      <c r="X842" s="15">
        <f t="shared" si="191"/>
        <v>1.05</v>
      </c>
      <c r="Y842" s="15">
        <f t="shared" si="192"/>
        <v>0.95</v>
      </c>
      <c r="Z842" s="15">
        <f t="shared" ca="1" si="193"/>
        <v>1</v>
      </c>
      <c r="AC842" s="15">
        <f t="shared" ca="1" si="194"/>
        <v>2.852262428238461E-7</v>
      </c>
      <c r="AD842" s="15">
        <f t="shared" ca="1" si="195"/>
        <v>5.3406576638448389E-4</v>
      </c>
      <c r="AE842" s="15">
        <f t="shared" ca="1" si="196"/>
        <v>0.42725261310758711</v>
      </c>
    </row>
    <row r="843" spans="12:31" x14ac:dyDescent="0.3">
      <c r="L843" s="15">
        <v>841</v>
      </c>
      <c r="M843" s="15">
        <f t="shared" si="186"/>
        <v>1</v>
      </c>
      <c r="N843" s="15">
        <f t="shared" ca="1" si="187"/>
        <v>5.3406576638448389E-4</v>
      </c>
      <c r="O843" s="15">
        <f t="shared" ca="1" si="184"/>
        <v>0.25085210309763173</v>
      </c>
      <c r="P843" s="15">
        <f t="shared" ca="1" si="183"/>
        <v>0.25024795910582132</v>
      </c>
      <c r="Q843" s="15">
        <v>0</v>
      </c>
      <c r="R843" s="15">
        <f t="shared" ca="1" si="188"/>
        <v>0.25024795910582132</v>
      </c>
      <c r="S843" s="15">
        <f t="shared" ca="1" si="185"/>
        <v>1.0009853999068923</v>
      </c>
      <c r="T843" s="15">
        <v>0</v>
      </c>
      <c r="U843" s="15">
        <f t="shared" ca="1" si="189"/>
        <v>1.0009853999068923</v>
      </c>
      <c r="V843" s="15">
        <f t="shared" ca="1" si="190"/>
        <v>0.99946593423361552</v>
      </c>
      <c r="X843" s="15">
        <f t="shared" si="191"/>
        <v>1.05</v>
      </c>
      <c r="Y843" s="15">
        <f t="shared" si="192"/>
        <v>0.95</v>
      </c>
      <c r="Z843" s="15">
        <f t="shared" ca="1" si="193"/>
        <v>1</v>
      </c>
      <c r="AC843" s="15">
        <f t="shared" ca="1" si="194"/>
        <v>2.852262428238461E-7</v>
      </c>
      <c r="AD843" s="15">
        <f t="shared" ca="1" si="195"/>
        <v>5.3406576638448389E-4</v>
      </c>
      <c r="AE843" s="15">
        <f t="shared" ca="1" si="196"/>
        <v>0.42778667887397159</v>
      </c>
    </row>
    <row r="844" spans="12:31" x14ac:dyDescent="0.3">
      <c r="L844" s="15">
        <v>842</v>
      </c>
      <c r="M844" s="15">
        <f t="shared" si="186"/>
        <v>1</v>
      </c>
      <c r="N844" s="15">
        <f t="shared" ca="1" si="187"/>
        <v>5.3406576638448389E-4</v>
      </c>
      <c r="O844" s="15">
        <f t="shared" ca="1" si="184"/>
        <v>0.25085210309763173</v>
      </c>
      <c r="P844" s="15">
        <f t="shared" ca="1" si="183"/>
        <v>0.25024795910582132</v>
      </c>
      <c r="Q844" s="15">
        <v>0</v>
      </c>
      <c r="R844" s="15">
        <f t="shared" ca="1" si="188"/>
        <v>0.25024795910582132</v>
      </c>
      <c r="S844" s="15">
        <f t="shared" ca="1" si="185"/>
        <v>1.0009858557744642</v>
      </c>
      <c r="T844" s="15">
        <v>0</v>
      </c>
      <c r="U844" s="15">
        <f t="shared" ca="1" si="189"/>
        <v>1.0009858557744642</v>
      </c>
      <c r="V844" s="15">
        <f t="shared" ca="1" si="190"/>
        <v>0.99946593423361552</v>
      </c>
      <c r="X844" s="15">
        <f t="shared" si="191"/>
        <v>1.05</v>
      </c>
      <c r="Y844" s="15">
        <f t="shared" si="192"/>
        <v>0.95</v>
      </c>
      <c r="Z844" s="15">
        <f t="shared" ca="1" si="193"/>
        <v>1</v>
      </c>
      <c r="AC844" s="15">
        <f t="shared" ca="1" si="194"/>
        <v>2.852262428238461E-7</v>
      </c>
      <c r="AD844" s="15">
        <f t="shared" ca="1" si="195"/>
        <v>5.3406576638448389E-4</v>
      </c>
      <c r="AE844" s="15">
        <f t="shared" ca="1" si="196"/>
        <v>0.42832074464035608</v>
      </c>
    </row>
    <row r="845" spans="12:31" x14ac:dyDescent="0.3">
      <c r="L845" s="15">
        <v>843</v>
      </c>
      <c r="M845" s="15">
        <f t="shared" si="186"/>
        <v>1</v>
      </c>
      <c r="N845" s="15">
        <f t="shared" ca="1" si="187"/>
        <v>5.3406576638448389E-4</v>
      </c>
      <c r="O845" s="15">
        <f t="shared" ca="1" si="184"/>
        <v>0.25086220007558124</v>
      </c>
      <c r="P845" s="15">
        <f t="shared" ref="P845:P908" ca="1" si="197">INT((2^$J$12-1)*O845/100)/(2^$J$12-1)*100</f>
        <v>0.25024795910582132</v>
      </c>
      <c r="Q845" s="15">
        <v>0</v>
      </c>
      <c r="R845" s="15">
        <f t="shared" ca="1" si="188"/>
        <v>0.25024795910582132</v>
      </c>
      <c r="S845" s="15">
        <f t="shared" ca="1" si="185"/>
        <v>1.0009862790717705</v>
      </c>
      <c r="T845" s="15">
        <v>0</v>
      </c>
      <c r="U845" s="15">
        <f t="shared" ca="1" si="189"/>
        <v>1.0009862790717705</v>
      </c>
      <c r="V845" s="15">
        <f t="shared" ca="1" si="190"/>
        <v>0.99946593423361552</v>
      </c>
      <c r="X845" s="15">
        <f t="shared" si="191"/>
        <v>1.05</v>
      </c>
      <c r="Y845" s="15">
        <f t="shared" si="192"/>
        <v>0.95</v>
      </c>
      <c r="Z845" s="15">
        <f t="shared" ca="1" si="193"/>
        <v>1</v>
      </c>
      <c r="AC845" s="15">
        <f t="shared" ca="1" si="194"/>
        <v>2.852262428238461E-7</v>
      </c>
      <c r="AD845" s="15">
        <f t="shared" ca="1" si="195"/>
        <v>5.3406576638448389E-4</v>
      </c>
      <c r="AE845" s="15">
        <f t="shared" ca="1" si="196"/>
        <v>0.42885481040674056</v>
      </c>
    </row>
    <row r="846" spans="12:31" x14ac:dyDescent="0.3">
      <c r="L846" s="15">
        <v>844</v>
      </c>
      <c r="M846" s="15">
        <f t="shared" si="186"/>
        <v>1</v>
      </c>
      <c r="N846" s="15">
        <f t="shared" ca="1" si="187"/>
        <v>5.3406576638448389E-4</v>
      </c>
      <c r="O846" s="15">
        <f t="shared" ca="1" si="184"/>
        <v>0.25086220007558124</v>
      </c>
      <c r="P846" s="15">
        <f t="shared" ca="1" si="197"/>
        <v>0.25024795910582132</v>
      </c>
      <c r="Q846" s="15">
        <v>0</v>
      </c>
      <c r="R846" s="15">
        <f t="shared" ca="1" si="188"/>
        <v>0.25024795910582132</v>
      </c>
      <c r="S846" s="15">
        <f t="shared" ca="1" si="185"/>
        <v>1.0009866721427731</v>
      </c>
      <c r="T846" s="15">
        <v>0</v>
      </c>
      <c r="U846" s="15">
        <f t="shared" ca="1" si="189"/>
        <v>1.0009866721427731</v>
      </c>
      <c r="V846" s="15">
        <f t="shared" ca="1" si="190"/>
        <v>0.99946593423361552</v>
      </c>
      <c r="X846" s="15">
        <f t="shared" si="191"/>
        <v>1.05</v>
      </c>
      <c r="Y846" s="15">
        <f t="shared" si="192"/>
        <v>0.95</v>
      </c>
      <c r="Z846" s="15">
        <f t="shared" ca="1" si="193"/>
        <v>1</v>
      </c>
      <c r="AC846" s="15">
        <f t="shared" ca="1" si="194"/>
        <v>2.852262428238461E-7</v>
      </c>
      <c r="AD846" s="15">
        <f t="shared" ca="1" si="195"/>
        <v>5.3406576638448389E-4</v>
      </c>
      <c r="AE846" s="15">
        <f t="shared" ca="1" si="196"/>
        <v>0.42938887617312504</v>
      </c>
    </row>
    <row r="847" spans="12:31" x14ac:dyDescent="0.3">
      <c r="L847" s="15">
        <v>845</v>
      </c>
      <c r="M847" s="15">
        <f t="shared" si="186"/>
        <v>1</v>
      </c>
      <c r="N847" s="15">
        <f t="shared" ca="1" si="187"/>
        <v>5.3406576638448389E-4</v>
      </c>
      <c r="O847" s="15">
        <f t="shared" ca="1" si="184"/>
        <v>0.25086220007558124</v>
      </c>
      <c r="P847" s="15">
        <f t="shared" ca="1" si="197"/>
        <v>0.25024795910582132</v>
      </c>
      <c r="Q847" s="15">
        <v>0</v>
      </c>
      <c r="R847" s="15">
        <f t="shared" ca="1" si="188"/>
        <v>0.25024795910582132</v>
      </c>
      <c r="S847" s="15">
        <f t="shared" ca="1" si="185"/>
        <v>1.0009870371617458</v>
      </c>
      <c r="T847" s="15">
        <v>0</v>
      </c>
      <c r="U847" s="15">
        <f t="shared" ca="1" si="189"/>
        <v>1.0009870371617458</v>
      </c>
      <c r="V847" s="15">
        <f t="shared" ca="1" si="190"/>
        <v>0.99946593423361552</v>
      </c>
      <c r="X847" s="15">
        <f t="shared" si="191"/>
        <v>1.05</v>
      </c>
      <c r="Y847" s="15">
        <f t="shared" si="192"/>
        <v>0.95</v>
      </c>
      <c r="Z847" s="15">
        <f t="shared" ca="1" si="193"/>
        <v>1</v>
      </c>
      <c r="AC847" s="15">
        <f t="shared" ca="1" si="194"/>
        <v>2.852262428238461E-7</v>
      </c>
      <c r="AD847" s="15">
        <f t="shared" ca="1" si="195"/>
        <v>5.3406576638448389E-4</v>
      </c>
      <c r="AE847" s="15">
        <f t="shared" ca="1" si="196"/>
        <v>0.42992294193950953</v>
      </c>
    </row>
    <row r="848" spans="12:31" x14ac:dyDescent="0.3">
      <c r="L848" s="15">
        <v>846</v>
      </c>
      <c r="M848" s="15">
        <f t="shared" si="186"/>
        <v>1</v>
      </c>
      <c r="N848" s="15">
        <f t="shared" ca="1" si="187"/>
        <v>5.3406576638448389E-4</v>
      </c>
      <c r="O848" s="15">
        <f t="shared" ca="1" si="184"/>
        <v>0.25087229705353076</v>
      </c>
      <c r="P848" s="15">
        <f t="shared" ca="1" si="197"/>
        <v>0.25024795910582132</v>
      </c>
      <c r="Q848" s="15">
        <v>0</v>
      </c>
      <c r="R848" s="15">
        <f t="shared" ca="1" si="188"/>
        <v>0.25024795910582132</v>
      </c>
      <c r="S848" s="15">
        <f t="shared" ca="1" si="185"/>
        <v>1.0009873761456174</v>
      </c>
      <c r="T848" s="15">
        <v>0</v>
      </c>
      <c r="U848" s="15">
        <f t="shared" ca="1" si="189"/>
        <v>1.0009873761456174</v>
      </c>
      <c r="V848" s="15">
        <f t="shared" ca="1" si="190"/>
        <v>0.99946593423361552</v>
      </c>
      <c r="X848" s="15">
        <f t="shared" si="191"/>
        <v>1.05</v>
      </c>
      <c r="Y848" s="15">
        <f t="shared" si="192"/>
        <v>0.95</v>
      </c>
      <c r="Z848" s="15">
        <f t="shared" ca="1" si="193"/>
        <v>1</v>
      </c>
      <c r="AC848" s="15">
        <f t="shared" ca="1" si="194"/>
        <v>2.852262428238461E-7</v>
      </c>
      <c r="AD848" s="15">
        <f t="shared" ca="1" si="195"/>
        <v>5.3406576638448389E-4</v>
      </c>
      <c r="AE848" s="15">
        <f t="shared" ca="1" si="196"/>
        <v>0.43045700770589401</v>
      </c>
    </row>
    <row r="849" spans="12:31" x14ac:dyDescent="0.3">
      <c r="L849" s="15">
        <v>847</v>
      </c>
      <c r="M849" s="15">
        <f t="shared" si="186"/>
        <v>1</v>
      </c>
      <c r="N849" s="15">
        <f t="shared" ca="1" si="187"/>
        <v>5.3406576638448389E-4</v>
      </c>
      <c r="O849" s="15">
        <f t="shared" ca="1" si="184"/>
        <v>0.25087229705353076</v>
      </c>
      <c r="P849" s="15">
        <f t="shared" ca="1" si="197"/>
        <v>0.25024795910582132</v>
      </c>
      <c r="Q849" s="15">
        <v>0</v>
      </c>
      <c r="R849" s="15">
        <f t="shared" ca="1" si="188"/>
        <v>0.25024795910582132</v>
      </c>
      <c r="S849" s="15">
        <f t="shared" ca="1" si="185"/>
        <v>1.0009876909654143</v>
      </c>
      <c r="T849" s="15">
        <v>0</v>
      </c>
      <c r="U849" s="15">
        <f t="shared" ca="1" si="189"/>
        <v>1.0009876909654143</v>
      </c>
      <c r="V849" s="15">
        <f t="shared" ca="1" si="190"/>
        <v>0.99946593423361552</v>
      </c>
      <c r="X849" s="15">
        <f t="shared" si="191"/>
        <v>1.05</v>
      </c>
      <c r="Y849" s="15">
        <f t="shared" si="192"/>
        <v>0.95</v>
      </c>
      <c r="Z849" s="15">
        <f t="shared" ca="1" si="193"/>
        <v>1</v>
      </c>
      <c r="AC849" s="15">
        <f t="shared" ca="1" si="194"/>
        <v>2.852262428238461E-7</v>
      </c>
      <c r="AD849" s="15">
        <f t="shared" ca="1" si="195"/>
        <v>5.3406576638448389E-4</v>
      </c>
      <c r="AE849" s="15">
        <f t="shared" ca="1" si="196"/>
        <v>0.4309910734722785</v>
      </c>
    </row>
    <row r="850" spans="12:31" x14ac:dyDescent="0.3">
      <c r="L850" s="15">
        <v>848</v>
      </c>
      <c r="M850" s="15">
        <f t="shared" si="186"/>
        <v>1</v>
      </c>
      <c r="N850" s="15">
        <f t="shared" ca="1" si="187"/>
        <v>5.3406576638448389E-4</v>
      </c>
      <c r="O850" s="15">
        <f t="shared" ca="1" si="184"/>
        <v>0.25087229705353076</v>
      </c>
      <c r="P850" s="15">
        <f t="shared" ca="1" si="197"/>
        <v>0.25024795910582132</v>
      </c>
      <c r="Q850" s="15">
        <v>0</v>
      </c>
      <c r="R850" s="15">
        <f t="shared" ca="1" si="188"/>
        <v>0.25024795910582132</v>
      </c>
      <c r="S850" s="15">
        <f t="shared" ca="1" si="185"/>
        <v>1.0009879833568662</v>
      </c>
      <c r="T850" s="15">
        <v>0</v>
      </c>
      <c r="U850" s="15">
        <f t="shared" ca="1" si="189"/>
        <v>1.0009879833568662</v>
      </c>
      <c r="V850" s="15">
        <f t="shared" ca="1" si="190"/>
        <v>0.99946593423361552</v>
      </c>
      <c r="X850" s="15">
        <f t="shared" si="191"/>
        <v>1.05</v>
      </c>
      <c r="Y850" s="15">
        <f t="shared" si="192"/>
        <v>0.95</v>
      </c>
      <c r="Z850" s="15">
        <f t="shared" ca="1" si="193"/>
        <v>1</v>
      </c>
      <c r="AC850" s="15">
        <f t="shared" ca="1" si="194"/>
        <v>2.852262428238461E-7</v>
      </c>
      <c r="AD850" s="15">
        <f t="shared" ca="1" si="195"/>
        <v>5.3406576638448389E-4</v>
      </c>
      <c r="AE850" s="15">
        <f t="shared" ca="1" si="196"/>
        <v>0.43152513923866298</v>
      </c>
    </row>
    <row r="851" spans="12:31" x14ac:dyDescent="0.3">
      <c r="L851" s="15">
        <v>849</v>
      </c>
      <c r="M851" s="15">
        <f t="shared" si="186"/>
        <v>1</v>
      </c>
      <c r="N851" s="15">
        <f t="shared" ca="1" si="187"/>
        <v>5.3406576638448389E-4</v>
      </c>
      <c r="O851" s="15">
        <f t="shared" ca="1" si="184"/>
        <v>0.25088239403148027</v>
      </c>
      <c r="P851" s="15">
        <f t="shared" ca="1" si="197"/>
        <v>0.25024795910582132</v>
      </c>
      <c r="Q851" s="15">
        <v>0</v>
      </c>
      <c r="R851" s="15">
        <f t="shared" ca="1" si="188"/>
        <v>0.25024795910582132</v>
      </c>
      <c r="S851" s="15">
        <f t="shared" ca="1" si="185"/>
        <v>1.0009882549302391</v>
      </c>
      <c r="T851" s="15">
        <v>0</v>
      </c>
      <c r="U851" s="15">
        <f t="shared" ca="1" si="189"/>
        <v>1.0009882549302391</v>
      </c>
      <c r="V851" s="15">
        <f t="shared" ca="1" si="190"/>
        <v>0.99946593423361552</v>
      </c>
      <c r="X851" s="15">
        <f t="shared" si="191"/>
        <v>1.05</v>
      </c>
      <c r="Y851" s="15">
        <f t="shared" si="192"/>
        <v>0.95</v>
      </c>
      <c r="Z851" s="15">
        <f t="shared" ca="1" si="193"/>
        <v>1</v>
      </c>
      <c r="AC851" s="15">
        <f t="shared" ca="1" si="194"/>
        <v>2.852262428238461E-7</v>
      </c>
      <c r="AD851" s="15">
        <f t="shared" ca="1" si="195"/>
        <v>5.3406576638448389E-4</v>
      </c>
      <c r="AE851" s="15">
        <f t="shared" ca="1" si="196"/>
        <v>0.43205920500504746</v>
      </c>
    </row>
    <row r="852" spans="12:31" x14ac:dyDescent="0.3">
      <c r="L852" s="15">
        <v>850</v>
      </c>
      <c r="M852" s="15">
        <f t="shared" si="186"/>
        <v>1</v>
      </c>
      <c r="N852" s="15">
        <f t="shared" ca="1" si="187"/>
        <v>5.3406576638448389E-4</v>
      </c>
      <c r="O852" s="15">
        <f t="shared" ca="1" si="184"/>
        <v>0.25088239403148027</v>
      </c>
      <c r="P852" s="15">
        <f t="shared" ca="1" si="197"/>
        <v>0.25024795910582132</v>
      </c>
      <c r="Q852" s="15">
        <v>0</v>
      </c>
      <c r="R852" s="15">
        <f t="shared" ca="1" si="188"/>
        <v>0.25024795910582132</v>
      </c>
      <c r="S852" s="15">
        <f t="shared" ca="1" si="185"/>
        <v>1.0009885071794504</v>
      </c>
      <c r="T852" s="15">
        <v>0</v>
      </c>
      <c r="U852" s="15">
        <f t="shared" ca="1" si="189"/>
        <v>1.0009885071794504</v>
      </c>
      <c r="V852" s="15">
        <f t="shared" ca="1" si="190"/>
        <v>0.99946593423361552</v>
      </c>
      <c r="X852" s="15">
        <f t="shared" si="191"/>
        <v>1.05</v>
      </c>
      <c r="Y852" s="15">
        <f t="shared" si="192"/>
        <v>0.95</v>
      </c>
      <c r="Z852" s="15">
        <f t="shared" ca="1" si="193"/>
        <v>1</v>
      </c>
      <c r="AC852" s="15">
        <f t="shared" ca="1" si="194"/>
        <v>2.852262428238461E-7</v>
      </c>
      <c r="AD852" s="15">
        <f t="shared" ca="1" si="195"/>
        <v>5.3406576638448389E-4</v>
      </c>
      <c r="AE852" s="15">
        <f t="shared" ca="1" si="196"/>
        <v>0.43259327077143195</v>
      </c>
    </row>
    <row r="853" spans="12:31" x14ac:dyDescent="0.3">
      <c r="L853" s="15">
        <v>851</v>
      </c>
      <c r="M853" s="15">
        <f t="shared" si="186"/>
        <v>1</v>
      </c>
      <c r="N853" s="15">
        <f t="shared" ca="1" si="187"/>
        <v>5.3406576638448389E-4</v>
      </c>
      <c r="O853" s="15">
        <f t="shared" ca="1" si="184"/>
        <v>0.25088239403148027</v>
      </c>
      <c r="P853" s="15">
        <f t="shared" ca="1" si="197"/>
        <v>0.25024795910582132</v>
      </c>
      <c r="Q853" s="15">
        <v>0</v>
      </c>
      <c r="R853" s="15">
        <f t="shared" ca="1" si="188"/>
        <v>0.25024795910582132</v>
      </c>
      <c r="S853" s="15">
        <f t="shared" ca="1" si="185"/>
        <v>1.0009887414905192</v>
      </c>
      <c r="T853" s="15">
        <v>0</v>
      </c>
      <c r="U853" s="15">
        <f t="shared" ca="1" si="189"/>
        <v>1.0009887414905192</v>
      </c>
      <c r="V853" s="15">
        <f t="shared" ca="1" si="190"/>
        <v>0.99946593423361552</v>
      </c>
      <c r="X853" s="15">
        <f t="shared" si="191"/>
        <v>1.05</v>
      </c>
      <c r="Y853" s="15">
        <f t="shared" si="192"/>
        <v>0.95</v>
      </c>
      <c r="Z853" s="15">
        <f t="shared" ca="1" si="193"/>
        <v>1</v>
      </c>
      <c r="AC853" s="15">
        <f t="shared" ca="1" si="194"/>
        <v>2.852262428238461E-7</v>
      </c>
      <c r="AD853" s="15">
        <f t="shared" ca="1" si="195"/>
        <v>5.3406576638448389E-4</v>
      </c>
      <c r="AE853" s="15">
        <f t="shared" ca="1" si="196"/>
        <v>0.43312733653781643</v>
      </c>
    </row>
    <row r="854" spans="12:31" x14ac:dyDescent="0.3">
      <c r="L854" s="15">
        <v>852</v>
      </c>
      <c r="M854" s="15">
        <f t="shared" si="186"/>
        <v>1</v>
      </c>
      <c r="N854" s="15">
        <f t="shared" ca="1" si="187"/>
        <v>5.3406576638448389E-4</v>
      </c>
      <c r="O854" s="15">
        <f t="shared" ca="1" si="184"/>
        <v>0.25089249100942979</v>
      </c>
      <c r="P854" s="15">
        <f t="shared" ca="1" si="197"/>
        <v>0.25024795910582132</v>
      </c>
      <c r="Q854" s="15">
        <v>0</v>
      </c>
      <c r="R854" s="15">
        <f t="shared" ca="1" si="188"/>
        <v>0.25024795910582132</v>
      </c>
      <c r="S854" s="15">
        <f t="shared" ca="1" si="185"/>
        <v>1.0009889591493999</v>
      </c>
      <c r="T854" s="15">
        <v>0</v>
      </c>
      <c r="U854" s="15">
        <f t="shared" ca="1" si="189"/>
        <v>1.0009889591493999</v>
      </c>
      <c r="V854" s="15">
        <f t="shared" ca="1" si="190"/>
        <v>0.99946593423361552</v>
      </c>
      <c r="X854" s="15">
        <f t="shared" si="191"/>
        <v>1.05</v>
      </c>
      <c r="Y854" s="15">
        <f t="shared" si="192"/>
        <v>0.95</v>
      </c>
      <c r="Z854" s="15">
        <f t="shared" ca="1" si="193"/>
        <v>1</v>
      </c>
      <c r="AC854" s="15">
        <f t="shared" ca="1" si="194"/>
        <v>2.852262428238461E-7</v>
      </c>
      <c r="AD854" s="15">
        <f t="shared" ca="1" si="195"/>
        <v>5.3406576638448389E-4</v>
      </c>
      <c r="AE854" s="15">
        <f t="shared" ca="1" si="196"/>
        <v>0.43366140230420092</v>
      </c>
    </row>
    <row r="855" spans="12:31" x14ac:dyDescent="0.3">
      <c r="L855" s="15">
        <v>853</v>
      </c>
      <c r="M855" s="15">
        <f t="shared" si="186"/>
        <v>1</v>
      </c>
      <c r="N855" s="15">
        <f t="shared" ca="1" si="187"/>
        <v>5.3406576638448389E-4</v>
      </c>
      <c r="O855" s="15">
        <f t="shared" ca="1" si="184"/>
        <v>0.25089249100942979</v>
      </c>
      <c r="P855" s="15">
        <f t="shared" ca="1" si="197"/>
        <v>0.25024795910582132</v>
      </c>
      <c r="Q855" s="15">
        <v>0</v>
      </c>
      <c r="R855" s="15">
        <f t="shared" ca="1" si="188"/>
        <v>0.25024795910582132</v>
      </c>
      <c r="S855" s="15">
        <f t="shared" ca="1" si="185"/>
        <v>1.000989161349245</v>
      </c>
      <c r="T855" s="15">
        <v>0</v>
      </c>
      <c r="U855" s="15">
        <f t="shared" ca="1" si="189"/>
        <v>1.000989161349245</v>
      </c>
      <c r="V855" s="15">
        <f t="shared" ca="1" si="190"/>
        <v>0.99946593423361552</v>
      </c>
      <c r="X855" s="15">
        <f t="shared" si="191"/>
        <v>1.05</v>
      </c>
      <c r="Y855" s="15">
        <f t="shared" si="192"/>
        <v>0.95</v>
      </c>
      <c r="Z855" s="15">
        <f t="shared" ca="1" si="193"/>
        <v>1</v>
      </c>
      <c r="AC855" s="15">
        <f t="shared" ca="1" si="194"/>
        <v>2.852262428238461E-7</v>
      </c>
      <c r="AD855" s="15">
        <f t="shared" ca="1" si="195"/>
        <v>5.3406576638448389E-4</v>
      </c>
      <c r="AE855" s="15">
        <f t="shared" ca="1" si="196"/>
        <v>0.4341954680705854</v>
      </c>
    </row>
    <row r="856" spans="12:31" x14ac:dyDescent="0.3">
      <c r="L856" s="15">
        <v>854</v>
      </c>
      <c r="M856" s="15">
        <f t="shared" si="186"/>
        <v>1</v>
      </c>
      <c r="N856" s="15">
        <f t="shared" ca="1" si="187"/>
        <v>5.3406576638448389E-4</v>
      </c>
      <c r="O856" s="15">
        <f t="shared" ca="1" si="184"/>
        <v>0.25089249100942979</v>
      </c>
      <c r="P856" s="15">
        <f t="shared" ca="1" si="197"/>
        <v>0.25024795910582132</v>
      </c>
      <c r="Q856" s="15">
        <v>0</v>
      </c>
      <c r="R856" s="15">
        <f t="shared" ca="1" si="188"/>
        <v>0.25024795910582132</v>
      </c>
      <c r="S856" s="15">
        <f t="shared" ca="1" si="185"/>
        <v>1.0009893491971384</v>
      </c>
      <c r="T856" s="15">
        <v>0</v>
      </c>
      <c r="U856" s="15">
        <f t="shared" ca="1" si="189"/>
        <v>1.0009893491971384</v>
      </c>
      <c r="V856" s="15">
        <f t="shared" ca="1" si="190"/>
        <v>0.99946593423361552</v>
      </c>
      <c r="X856" s="15">
        <f t="shared" si="191"/>
        <v>1.05</v>
      </c>
      <c r="Y856" s="15">
        <f t="shared" si="192"/>
        <v>0.95</v>
      </c>
      <c r="Z856" s="15">
        <f t="shared" ca="1" si="193"/>
        <v>1</v>
      </c>
      <c r="AC856" s="15">
        <f t="shared" ca="1" si="194"/>
        <v>2.852262428238461E-7</v>
      </c>
      <c r="AD856" s="15">
        <f t="shared" ca="1" si="195"/>
        <v>5.3406576638448389E-4</v>
      </c>
      <c r="AE856" s="15">
        <f t="shared" ca="1" si="196"/>
        <v>0.43472953383696988</v>
      </c>
    </row>
    <row r="857" spans="12:31" x14ac:dyDescent="0.3">
      <c r="L857" s="15">
        <v>855</v>
      </c>
      <c r="M857" s="15">
        <f t="shared" si="186"/>
        <v>1</v>
      </c>
      <c r="N857" s="15">
        <f t="shared" ca="1" si="187"/>
        <v>5.3406576638448389E-4</v>
      </c>
      <c r="O857" s="15">
        <f t="shared" ca="1" si="184"/>
        <v>0.2509025879873793</v>
      </c>
      <c r="P857" s="15">
        <f t="shared" ca="1" si="197"/>
        <v>0.25024795910582132</v>
      </c>
      <c r="Q857" s="15">
        <v>0</v>
      </c>
      <c r="R857" s="15">
        <f t="shared" ca="1" si="188"/>
        <v>0.25024795910582132</v>
      </c>
      <c r="S857" s="15">
        <f t="shared" ca="1" si="185"/>
        <v>1.0009895237203388</v>
      </c>
      <c r="T857" s="15">
        <v>0</v>
      </c>
      <c r="U857" s="15">
        <f t="shared" ca="1" si="189"/>
        <v>1.0009895237203388</v>
      </c>
      <c r="V857" s="15">
        <f t="shared" ca="1" si="190"/>
        <v>0.99946593423361552</v>
      </c>
      <c r="X857" s="15">
        <f t="shared" si="191"/>
        <v>1.05</v>
      </c>
      <c r="Y857" s="15">
        <f t="shared" si="192"/>
        <v>0.95</v>
      </c>
      <c r="Z857" s="15">
        <f t="shared" ca="1" si="193"/>
        <v>1</v>
      </c>
      <c r="AC857" s="15">
        <f t="shared" ca="1" si="194"/>
        <v>2.852262428238461E-7</v>
      </c>
      <c r="AD857" s="15">
        <f t="shared" ca="1" si="195"/>
        <v>5.3406576638448389E-4</v>
      </c>
      <c r="AE857" s="15">
        <f t="shared" ca="1" si="196"/>
        <v>0.43526359960335437</v>
      </c>
    </row>
    <row r="858" spans="12:31" x14ac:dyDescent="0.3">
      <c r="L858" s="15">
        <v>856</v>
      </c>
      <c r="M858" s="15">
        <f t="shared" si="186"/>
        <v>1</v>
      </c>
      <c r="N858" s="15">
        <f t="shared" ca="1" si="187"/>
        <v>5.3406576638448389E-4</v>
      </c>
      <c r="O858" s="15">
        <f t="shared" ca="1" si="184"/>
        <v>0.2509025879873793</v>
      </c>
      <c r="P858" s="15">
        <f t="shared" ca="1" si="197"/>
        <v>0.25024795910582132</v>
      </c>
      <c r="Q858" s="15">
        <v>0</v>
      </c>
      <c r="R858" s="15">
        <f t="shared" ca="1" si="188"/>
        <v>0.25024795910582132</v>
      </c>
      <c r="S858" s="15">
        <f t="shared" ca="1" si="185"/>
        <v>1.0009896858720662</v>
      </c>
      <c r="T858" s="15">
        <v>0</v>
      </c>
      <c r="U858" s="15">
        <f t="shared" ca="1" si="189"/>
        <v>1.0009896858720662</v>
      </c>
      <c r="V858" s="15">
        <f t="shared" ca="1" si="190"/>
        <v>0.99946593423361552</v>
      </c>
      <c r="X858" s="15">
        <f t="shared" si="191"/>
        <v>1.05</v>
      </c>
      <c r="Y858" s="15">
        <f t="shared" si="192"/>
        <v>0.95</v>
      </c>
      <c r="Z858" s="15">
        <f t="shared" ca="1" si="193"/>
        <v>1</v>
      </c>
      <c r="AC858" s="15">
        <f t="shared" ca="1" si="194"/>
        <v>2.852262428238461E-7</v>
      </c>
      <c r="AD858" s="15">
        <f t="shared" ca="1" si="195"/>
        <v>5.3406576638448389E-4</v>
      </c>
      <c r="AE858" s="15">
        <f t="shared" ca="1" si="196"/>
        <v>0.43579766536973885</v>
      </c>
    </row>
    <row r="859" spans="12:31" x14ac:dyDescent="0.3">
      <c r="L859" s="15">
        <v>857</v>
      </c>
      <c r="M859" s="15">
        <f t="shared" si="186"/>
        <v>1</v>
      </c>
      <c r="N859" s="15">
        <f t="shared" ca="1" si="187"/>
        <v>5.3406576638448389E-4</v>
      </c>
      <c r="O859" s="15">
        <f t="shared" ca="1" si="184"/>
        <v>0.2509025879873793</v>
      </c>
      <c r="P859" s="15">
        <f t="shared" ca="1" si="197"/>
        <v>0.25024795910582132</v>
      </c>
      <c r="Q859" s="15">
        <v>0</v>
      </c>
      <c r="R859" s="15">
        <f t="shared" ca="1" si="188"/>
        <v>0.25024795910582132</v>
      </c>
      <c r="S859" s="15">
        <f t="shared" ca="1" si="185"/>
        <v>1.0009898365368692</v>
      </c>
      <c r="T859" s="15">
        <v>0</v>
      </c>
      <c r="U859" s="15">
        <f t="shared" ca="1" si="189"/>
        <v>1.0009898365368692</v>
      </c>
      <c r="V859" s="15">
        <f t="shared" ca="1" si="190"/>
        <v>0.99946593423361552</v>
      </c>
      <c r="X859" s="15">
        <f t="shared" si="191"/>
        <v>1.05</v>
      </c>
      <c r="Y859" s="15">
        <f t="shared" si="192"/>
        <v>0.95</v>
      </c>
      <c r="Z859" s="15">
        <f t="shared" ca="1" si="193"/>
        <v>1</v>
      </c>
      <c r="AC859" s="15">
        <f t="shared" ca="1" si="194"/>
        <v>2.852262428238461E-7</v>
      </c>
      <c r="AD859" s="15">
        <f t="shared" ca="1" si="195"/>
        <v>5.3406576638448389E-4</v>
      </c>
      <c r="AE859" s="15">
        <f t="shared" ca="1" si="196"/>
        <v>0.43633173113612334</v>
      </c>
    </row>
    <row r="860" spans="12:31" x14ac:dyDescent="0.3">
      <c r="L860" s="15">
        <v>858</v>
      </c>
      <c r="M860" s="15">
        <f t="shared" si="186"/>
        <v>1</v>
      </c>
      <c r="N860" s="15">
        <f t="shared" ca="1" si="187"/>
        <v>5.3406576638448389E-4</v>
      </c>
      <c r="O860" s="15">
        <f t="shared" ca="1" si="184"/>
        <v>0.25091268496532881</v>
      </c>
      <c r="P860" s="15">
        <f t="shared" ca="1" si="197"/>
        <v>0.25024795910582132</v>
      </c>
      <c r="Q860" s="15">
        <v>0</v>
      </c>
      <c r="R860" s="15">
        <f t="shared" ca="1" si="188"/>
        <v>0.25024795910582132</v>
      </c>
      <c r="S860" s="15">
        <f t="shared" ca="1" si="185"/>
        <v>1.0009899765356005</v>
      </c>
      <c r="T860" s="15">
        <v>0</v>
      </c>
      <c r="U860" s="15">
        <f t="shared" ca="1" si="189"/>
        <v>1.0009899765356005</v>
      </c>
      <c r="V860" s="15">
        <f t="shared" ca="1" si="190"/>
        <v>0.99946593423361552</v>
      </c>
      <c r="X860" s="15">
        <f t="shared" si="191"/>
        <v>1.05</v>
      </c>
      <c r="Y860" s="15">
        <f t="shared" si="192"/>
        <v>0.95</v>
      </c>
      <c r="Z860" s="15">
        <f t="shared" ca="1" si="193"/>
        <v>1</v>
      </c>
      <c r="AC860" s="15">
        <f t="shared" ca="1" si="194"/>
        <v>2.852262428238461E-7</v>
      </c>
      <c r="AD860" s="15">
        <f t="shared" ca="1" si="195"/>
        <v>5.3406576638448389E-4</v>
      </c>
      <c r="AE860" s="15">
        <f t="shared" ca="1" si="196"/>
        <v>0.43686579690250782</v>
      </c>
    </row>
    <row r="861" spans="12:31" x14ac:dyDescent="0.3">
      <c r="L861" s="15">
        <v>859</v>
      </c>
      <c r="M861" s="15">
        <f t="shared" si="186"/>
        <v>1</v>
      </c>
      <c r="N861" s="15">
        <f t="shared" ca="1" si="187"/>
        <v>5.3406576638448389E-4</v>
      </c>
      <c r="O861" s="15">
        <f t="shared" ca="1" si="184"/>
        <v>0.25091268496532881</v>
      </c>
      <c r="P861" s="15">
        <f t="shared" ca="1" si="197"/>
        <v>0.25024795910582132</v>
      </c>
      <c r="Q861" s="15">
        <v>0</v>
      </c>
      <c r="R861" s="15">
        <f t="shared" ca="1" si="188"/>
        <v>0.25024795910582132</v>
      </c>
      <c r="S861" s="15">
        <f t="shared" ca="1" si="185"/>
        <v>1.0009901066300302</v>
      </c>
      <c r="T861" s="15">
        <v>0</v>
      </c>
      <c r="U861" s="15">
        <f t="shared" ca="1" si="189"/>
        <v>1.0009901066300302</v>
      </c>
      <c r="V861" s="15">
        <f t="shared" ca="1" si="190"/>
        <v>0.99946593423361552</v>
      </c>
      <c r="X861" s="15">
        <f t="shared" si="191"/>
        <v>1.05</v>
      </c>
      <c r="Y861" s="15">
        <f t="shared" si="192"/>
        <v>0.95</v>
      </c>
      <c r="Z861" s="15">
        <f t="shared" ca="1" si="193"/>
        <v>1</v>
      </c>
      <c r="AC861" s="15">
        <f t="shared" ca="1" si="194"/>
        <v>2.852262428238461E-7</v>
      </c>
      <c r="AD861" s="15">
        <f t="shared" ca="1" si="195"/>
        <v>5.3406576638448389E-4</v>
      </c>
      <c r="AE861" s="15">
        <f t="shared" ca="1" si="196"/>
        <v>0.4373998626688923</v>
      </c>
    </row>
    <row r="862" spans="12:31" x14ac:dyDescent="0.3">
      <c r="L862" s="15">
        <v>860</v>
      </c>
      <c r="M862" s="15">
        <f t="shared" si="186"/>
        <v>1</v>
      </c>
      <c r="N862" s="15">
        <f t="shared" ca="1" si="187"/>
        <v>5.3406576638448389E-4</v>
      </c>
      <c r="O862" s="15">
        <f t="shared" ca="1" si="184"/>
        <v>0.25091268496532881</v>
      </c>
      <c r="P862" s="15">
        <f t="shared" ca="1" si="197"/>
        <v>0.25024795910582132</v>
      </c>
      <c r="Q862" s="15">
        <v>0</v>
      </c>
      <c r="R862" s="15">
        <f t="shared" ca="1" si="188"/>
        <v>0.25024795910582132</v>
      </c>
      <c r="S862" s="15">
        <f t="shared" ca="1" si="185"/>
        <v>1.0009902275271236</v>
      </c>
      <c r="T862" s="15">
        <v>0</v>
      </c>
      <c r="U862" s="15">
        <f t="shared" ca="1" si="189"/>
        <v>1.0009902275271236</v>
      </c>
      <c r="V862" s="15">
        <f t="shared" ca="1" si="190"/>
        <v>0.99946593423361552</v>
      </c>
      <c r="X862" s="15">
        <f t="shared" si="191"/>
        <v>1.05</v>
      </c>
      <c r="Y862" s="15">
        <f t="shared" si="192"/>
        <v>0.95</v>
      </c>
      <c r="Z862" s="15">
        <f t="shared" ca="1" si="193"/>
        <v>1</v>
      </c>
      <c r="AC862" s="15">
        <f t="shared" ca="1" si="194"/>
        <v>2.852262428238461E-7</v>
      </c>
      <c r="AD862" s="15">
        <f t="shared" ca="1" si="195"/>
        <v>5.3406576638448389E-4</v>
      </c>
      <c r="AE862" s="15">
        <f t="shared" ca="1" si="196"/>
        <v>0.43793392843527679</v>
      </c>
    </row>
    <row r="863" spans="12:31" x14ac:dyDescent="0.3">
      <c r="L863" s="15">
        <v>861</v>
      </c>
      <c r="M863" s="15">
        <f t="shared" si="186"/>
        <v>1</v>
      </c>
      <c r="N863" s="15">
        <f t="shared" ca="1" si="187"/>
        <v>5.3406576638448389E-4</v>
      </c>
      <c r="O863" s="15">
        <f t="shared" ca="1" si="184"/>
        <v>0.25092278194327833</v>
      </c>
      <c r="P863" s="15">
        <f t="shared" ca="1" si="197"/>
        <v>0.25024795910582132</v>
      </c>
      <c r="Q863" s="15">
        <v>0</v>
      </c>
      <c r="R863" s="15">
        <f t="shared" ca="1" si="188"/>
        <v>0.25024795910582132</v>
      </c>
      <c r="S863" s="15">
        <f t="shared" ca="1" si="185"/>
        <v>1.0009903398830078</v>
      </c>
      <c r="T863" s="15">
        <v>0</v>
      </c>
      <c r="U863" s="15">
        <f t="shared" ca="1" si="189"/>
        <v>1.0009903398830078</v>
      </c>
      <c r="V863" s="15">
        <f t="shared" ca="1" si="190"/>
        <v>0.99946593423361552</v>
      </c>
      <c r="X863" s="15">
        <f t="shared" si="191"/>
        <v>1.05</v>
      </c>
      <c r="Y863" s="15">
        <f t="shared" si="192"/>
        <v>0.95</v>
      </c>
      <c r="Z863" s="15">
        <f t="shared" ca="1" si="193"/>
        <v>1</v>
      </c>
      <c r="AC863" s="15">
        <f t="shared" ca="1" si="194"/>
        <v>2.852262428238461E-7</v>
      </c>
      <c r="AD863" s="15">
        <f t="shared" ca="1" si="195"/>
        <v>5.3406576638448389E-4</v>
      </c>
      <c r="AE863" s="15">
        <f t="shared" ca="1" si="196"/>
        <v>0.43846799420166127</v>
      </c>
    </row>
    <row r="864" spans="12:31" x14ac:dyDescent="0.3">
      <c r="L864" s="15">
        <v>862</v>
      </c>
      <c r="M864" s="15">
        <f t="shared" si="186"/>
        <v>1</v>
      </c>
      <c r="N864" s="15">
        <f t="shared" ca="1" si="187"/>
        <v>5.3406576638448389E-4</v>
      </c>
      <c r="O864" s="15">
        <f t="shared" ca="1" si="184"/>
        <v>0.25092278194327833</v>
      </c>
      <c r="P864" s="15">
        <f t="shared" ca="1" si="197"/>
        <v>0.25024795910582132</v>
      </c>
      <c r="Q864" s="15">
        <v>0</v>
      </c>
      <c r="R864" s="15">
        <f t="shared" ca="1" si="188"/>
        <v>0.25024795910582132</v>
      </c>
      <c r="S864" s="15">
        <f t="shared" ca="1" si="185"/>
        <v>1.0009904443066493</v>
      </c>
      <c r="T864" s="15">
        <v>0</v>
      </c>
      <c r="U864" s="15">
        <f t="shared" ca="1" si="189"/>
        <v>1.0009904443066493</v>
      </c>
      <c r="V864" s="15">
        <f t="shared" ca="1" si="190"/>
        <v>0.99946593423361552</v>
      </c>
      <c r="X864" s="15">
        <f t="shared" si="191"/>
        <v>1.05</v>
      </c>
      <c r="Y864" s="15">
        <f t="shared" si="192"/>
        <v>0.95</v>
      </c>
      <c r="Z864" s="15">
        <f t="shared" ca="1" si="193"/>
        <v>1</v>
      </c>
      <c r="AC864" s="15">
        <f t="shared" ca="1" si="194"/>
        <v>2.852262428238461E-7</v>
      </c>
      <c r="AD864" s="15">
        <f t="shared" ca="1" si="195"/>
        <v>5.3406576638448389E-4</v>
      </c>
      <c r="AE864" s="15">
        <f t="shared" ca="1" si="196"/>
        <v>0.43900205996804575</v>
      </c>
    </row>
    <row r="865" spans="12:31" x14ac:dyDescent="0.3">
      <c r="L865" s="15">
        <v>863</v>
      </c>
      <c r="M865" s="15">
        <f t="shared" si="186"/>
        <v>1</v>
      </c>
      <c r="N865" s="15">
        <f t="shared" ca="1" si="187"/>
        <v>5.3406576638448389E-4</v>
      </c>
      <c r="O865" s="15">
        <f t="shared" ca="1" si="184"/>
        <v>0.25092278194327833</v>
      </c>
      <c r="P865" s="15">
        <f t="shared" ca="1" si="197"/>
        <v>0.25024795910582132</v>
      </c>
      <c r="Q865" s="15">
        <v>0</v>
      </c>
      <c r="R865" s="15">
        <f t="shared" ca="1" si="188"/>
        <v>0.25024795910582132</v>
      </c>
      <c r="S865" s="15">
        <f t="shared" ca="1" si="185"/>
        <v>1.0009905413632654</v>
      </c>
      <c r="T865" s="15">
        <v>0</v>
      </c>
      <c r="U865" s="15">
        <f t="shared" ca="1" si="189"/>
        <v>1.0009905413632654</v>
      </c>
      <c r="V865" s="15">
        <f t="shared" ca="1" si="190"/>
        <v>0.99946593423361552</v>
      </c>
      <c r="X865" s="15">
        <f t="shared" si="191"/>
        <v>1.05</v>
      </c>
      <c r="Y865" s="15">
        <f t="shared" si="192"/>
        <v>0.95</v>
      </c>
      <c r="Z865" s="15">
        <f t="shared" ca="1" si="193"/>
        <v>1</v>
      </c>
      <c r="AC865" s="15">
        <f t="shared" ca="1" si="194"/>
        <v>2.852262428238461E-7</v>
      </c>
      <c r="AD865" s="15">
        <f t="shared" ca="1" si="195"/>
        <v>5.3406576638448389E-4</v>
      </c>
      <c r="AE865" s="15">
        <f t="shared" ca="1" si="196"/>
        <v>0.43953612573443024</v>
      </c>
    </row>
    <row r="866" spans="12:31" x14ac:dyDescent="0.3">
      <c r="L866" s="15">
        <v>864</v>
      </c>
      <c r="M866" s="15">
        <f t="shared" si="186"/>
        <v>1</v>
      </c>
      <c r="N866" s="15">
        <f t="shared" ca="1" si="187"/>
        <v>5.3406576638448389E-4</v>
      </c>
      <c r="O866" s="15">
        <f t="shared" ca="1" si="184"/>
        <v>0.25093287892122784</v>
      </c>
      <c r="P866" s="15">
        <f t="shared" ca="1" si="197"/>
        <v>0.25024795910582132</v>
      </c>
      <c r="Q866" s="15">
        <v>0</v>
      </c>
      <c r="R866" s="15">
        <f t="shared" ca="1" si="188"/>
        <v>0.25024795910582132</v>
      </c>
      <c r="S866" s="15">
        <f t="shared" ca="1" si="185"/>
        <v>1.0009906315774864</v>
      </c>
      <c r="T866" s="15">
        <v>0</v>
      </c>
      <c r="U866" s="15">
        <f t="shared" ca="1" si="189"/>
        <v>1.0009906315774864</v>
      </c>
      <c r="V866" s="15">
        <f t="shared" ca="1" si="190"/>
        <v>0.99946593423361552</v>
      </c>
      <c r="X866" s="15">
        <f t="shared" si="191"/>
        <v>1.05</v>
      </c>
      <c r="Y866" s="15">
        <f t="shared" si="192"/>
        <v>0.95</v>
      </c>
      <c r="Z866" s="15">
        <f t="shared" ca="1" si="193"/>
        <v>1</v>
      </c>
      <c r="AC866" s="15">
        <f t="shared" ca="1" si="194"/>
        <v>2.852262428238461E-7</v>
      </c>
      <c r="AD866" s="15">
        <f t="shared" ca="1" si="195"/>
        <v>5.3406576638448389E-4</v>
      </c>
      <c r="AE866" s="15">
        <f t="shared" ca="1" si="196"/>
        <v>0.44007019150081472</v>
      </c>
    </row>
    <row r="867" spans="12:31" x14ac:dyDescent="0.3">
      <c r="L867" s="15">
        <v>865</v>
      </c>
      <c r="M867" s="15">
        <f t="shared" si="186"/>
        <v>1</v>
      </c>
      <c r="N867" s="15">
        <f t="shared" ca="1" si="187"/>
        <v>5.3406576638448389E-4</v>
      </c>
      <c r="O867" s="15">
        <f t="shared" ca="1" si="184"/>
        <v>0.25093287892122784</v>
      </c>
      <c r="P867" s="15">
        <f t="shared" ca="1" si="197"/>
        <v>0.25024795910582132</v>
      </c>
      <c r="Q867" s="15">
        <v>0</v>
      </c>
      <c r="R867" s="15">
        <f t="shared" ca="1" si="188"/>
        <v>0.25024795910582132</v>
      </c>
      <c r="S867" s="15">
        <f t="shared" ca="1" si="185"/>
        <v>1.0009907154362885</v>
      </c>
      <c r="T867" s="15">
        <v>0</v>
      </c>
      <c r="U867" s="15">
        <f t="shared" ca="1" si="189"/>
        <v>1.0009907154362885</v>
      </c>
      <c r="V867" s="15">
        <f t="shared" ca="1" si="190"/>
        <v>0.99946593423361552</v>
      </c>
      <c r="X867" s="15">
        <f t="shared" si="191"/>
        <v>1.05</v>
      </c>
      <c r="Y867" s="15">
        <f t="shared" si="192"/>
        <v>0.95</v>
      </c>
      <c r="Z867" s="15">
        <f t="shared" ca="1" si="193"/>
        <v>1</v>
      </c>
      <c r="AC867" s="15">
        <f t="shared" ca="1" si="194"/>
        <v>2.852262428238461E-7</v>
      </c>
      <c r="AD867" s="15">
        <f t="shared" ca="1" si="195"/>
        <v>5.3406576638448389E-4</v>
      </c>
      <c r="AE867" s="15">
        <f t="shared" ca="1" si="196"/>
        <v>0.44060425726719921</v>
      </c>
    </row>
    <row r="868" spans="12:31" x14ac:dyDescent="0.3">
      <c r="L868" s="15">
        <v>866</v>
      </c>
      <c r="M868" s="15">
        <f t="shared" si="186"/>
        <v>1</v>
      </c>
      <c r="N868" s="15">
        <f t="shared" ca="1" si="187"/>
        <v>5.3406576638448389E-4</v>
      </c>
      <c r="O868" s="15">
        <f t="shared" ca="1" si="184"/>
        <v>0.25093287892122784</v>
      </c>
      <c r="P868" s="15">
        <f t="shared" ca="1" si="197"/>
        <v>0.25024795910582132</v>
      </c>
      <c r="Q868" s="15">
        <v>0</v>
      </c>
      <c r="R868" s="15">
        <f t="shared" ca="1" si="188"/>
        <v>0.25024795910582132</v>
      </c>
      <c r="S868" s="15">
        <f t="shared" ca="1" si="185"/>
        <v>1.0009907933917142</v>
      </c>
      <c r="T868" s="15">
        <v>0</v>
      </c>
      <c r="U868" s="15">
        <f t="shared" ca="1" si="189"/>
        <v>1.0009907933917142</v>
      </c>
      <c r="V868" s="15">
        <f t="shared" ca="1" si="190"/>
        <v>0.99946593423361552</v>
      </c>
      <c r="X868" s="15">
        <f t="shared" si="191"/>
        <v>1.05</v>
      </c>
      <c r="Y868" s="15">
        <f t="shared" si="192"/>
        <v>0.95</v>
      </c>
      <c r="Z868" s="15">
        <f t="shared" ca="1" si="193"/>
        <v>1</v>
      </c>
      <c r="AC868" s="15">
        <f t="shared" ca="1" si="194"/>
        <v>2.852262428238461E-7</v>
      </c>
      <c r="AD868" s="15">
        <f t="shared" ca="1" si="195"/>
        <v>5.3406576638448389E-4</v>
      </c>
      <c r="AE868" s="15">
        <f t="shared" ca="1" si="196"/>
        <v>0.44113832303358369</v>
      </c>
    </row>
    <row r="869" spans="12:31" x14ac:dyDescent="0.3">
      <c r="L869" s="15">
        <v>867</v>
      </c>
      <c r="M869" s="15">
        <f t="shared" si="186"/>
        <v>1</v>
      </c>
      <c r="N869" s="15">
        <f t="shared" ca="1" si="187"/>
        <v>5.3406576638448389E-4</v>
      </c>
      <c r="O869" s="15">
        <f t="shared" ca="1" si="184"/>
        <v>0.25094297589917736</v>
      </c>
      <c r="P869" s="15">
        <f t="shared" ca="1" si="197"/>
        <v>0.25024795910582132</v>
      </c>
      <c r="Q869" s="15">
        <v>0</v>
      </c>
      <c r="R869" s="15">
        <f t="shared" ca="1" si="188"/>
        <v>0.25024795910582132</v>
      </c>
      <c r="S869" s="15">
        <f t="shared" ca="1" si="185"/>
        <v>1.0009908658633941</v>
      </c>
      <c r="T869" s="15">
        <v>0</v>
      </c>
      <c r="U869" s="15">
        <f t="shared" ca="1" si="189"/>
        <v>1.0009908658633941</v>
      </c>
      <c r="V869" s="15">
        <f t="shared" ca="1" si="190"/>
        <v>0.99946593423361552</v>
      </c>
      <c r="X869" s="15">
        <f t="shared" si="191"/>
        <v>1.05</v>
      </c>
      <c r="Y869" s="15">
        <f t="shared" si="192"/>
        <v>0.95</v>
      </c>
      <c r="Z869" s="15">
        <f t="shared" ca="1" si="193"/>
        <v>1</v>
      </c>
      <c r="AC869" s="15">
        <f t="shared" ca="1" si="194"/>
        <v>2.852262428238461E-7</v>
      </c>
      <c r="AD869" s="15">
        <f t="shared" ca="1" si="195"/>
        <v>5.3406576638448389E-4</v>
      </c>
      <c r="AE869" s="15">
        <f t="shared" ca="1" si="196"/>
        <v>0.44167238879996817</v>
      </c>
    </row>
    <row r="870" spans="12:31" x14ac:dyDescent="0.3">
      <c r="L870" s="15">
        <v>868</v>
      </c>
      <c r="M870" s="15">
        <f t="shared" si="186"/>
        <v>1</v>
      </c>
      <c r="N870" s="15">
        <f t="shared" ca="1" si="187"/>
        <v>5.3406576638448389E-4</v>
      </c>
      <c r="O870" s="15">
        <f t="shared" ca="1" si="184"/>
        <v>0.25094297589917736</v>
      </c>
      <c r="P870" s="15">
        <f t="shared" ca="1" si="197"/>
        <v>0.25024795910582132</v>
      </c>
      <c r="Q870" s="15">
        <v>0</v>
      </c>
      <c r="R870" s="15">
        <f t="shared" ca="1" si="188"/>
        <v>0.25024795910582132</v>
      </c>
      <c r="S870" s="15">
        <f t="shared" ca="1" si="185"/>
        <v>1.0009909332408873</v>
      </c>
      <c r="T870" s="15">
        <v>0</v>
      </c>
      <c r="U870" s="15">
        <f t="shared" ca="1" si="189"/>
        <v>1.0009909332408873</v>
      </c>
      <c r="V870" s="15">
        <f t="shared" ca="1" si="190"/>
        <v>0.99946593423361552</v>
      </c>
      <c r="X870" s="15">
        <f t="shared" si="191"/>
        <v>1.05</v>
      </c>
      <c r="Y870" s="15">
        <f t="shared" si="192"/>
        <v>0.95</v>
      </c>
      <c r="Z870" s="15">
        <f t="shared" ca="1" si="193"/>
        <v>1</v>
      </c>
      <c r="AC870" s="15">
        <f t="shared" ca="1" si="194"/>
        <v>2.852262428238461E-7</v>
      </c>
      <c r="AD870" s="15">
        <f t="shared" ca="1" si="195"/>
        <v>5.3406576638448389E-4</v>
      </c>
      <c r="AE870" s="15">
        <f t="shared" ca="1" si="196"/>
        <v>0.44220645456635266</v>
      </c>
    </row>
    <row r="871" spans="12:31" x14ac:dyDescent="0.3">
      <c r="L871" s="15">
        <v>869</v>
      </c>
      <c r="M871" s="15">
        <f t="shared" si="186"/>
        <v>1</v>
      </c>
      <c r="N871" s="15">
        <f t="shared" ca="1" si="187"/>
        <v>5.3406576638448389E-4</v>
      </c>
      <c r="O871" s="15">
        <f t="shared" ca="1" si="184"/>
        <v>0.25094297589917736</v>
      </c>
      <c r="P871" s="15">
        <f t="shared" ca="1" si="197"/>
        <v>0.25024795910582132</v>
      </c>
      <c r="Q871" s="15">
        <v>0</v>
      </c>
      <c r="R871" s="15">
        <f t="shared" ca="1" si="188"/>
        <v>0.25024795910582132</v>
      </c>
      <c r="S871" s="15">
        <f t="shared" ca="1" si="185"/>
        <v>1.0009909958858494</v>
      </c>
      <c r="T871" s="15">
        <v>0</v>
      </c>
      <c r="U871" s="15">
        <f t="shared" ca="1" si="189"/>
        <v>1.0009909958858494</v>
      </c>
      <c r="V871" s="15">
        <f t="shared" ca="1" si="190"/>
        <v>0.99946593423361552</v>
      </c>
      <c r="X871" s="15">
        <f t="shared" si="191"/>
        <v>1.05</v>
      </c>
      <c r="Y871" s="15">
        <f t="shared" si="192"/>
        <v>0.95</v>
      </c>
      <c r="Z871" s="15">
        <f t="shared" ca="1" si="193"/>
        <v>1</v>
      </c>
      <c r="AC871" s="15">
        <f t="shared" ca="1" si="194"/>
        <v>2.852262428238461E-7</v>
      </c>
      <c r="AD871" s="15">
        <f t="shared" ca="1" si="195"/>
        <v>5.3406576638448389E-4</v>
      </c>
      <c r="AE871" s="15">
        <f t="shared" ca="1" si="196"/>
        <v>0.44274052033273714</v>
      </c>
    </row>
    <row r="872" spans="12:31" x14ac:dyDescent="0.3">
      <c r="L872" s="15">
        <v>870</v>
      </c>
      <c r="M872" s="15">
        <f t="shared" si="186"/>
        <v>1</v>
      </c>
      <c r="N872" s="15">
        <f t="shared" ca="1" si="187"/>
        <v>5.3406576638448389E-4</v>
      </c>
      <c r="O872" s="15">
        <f t="shared" ca="1" si="184"/>
        <v>0.25095307287712687</v>
      </c>
      <c r="P872" s="15">
        <f t="shared" ca="1" si="197"/>
        <v>0.25024795910582132</v>
      </c>
      <c r="Q872" s="15">
        <v>0</v>
      </c>
      <c r="R872" s="15">
        <f t="shared" ca="1" si="188"/>
        <v>0.25024795910582132</v>
      </c>
      <c r="S872" s="15">
        <f t="shared" ca="1" si="185"/>
        <v>1.0009910541340461</v>
      </c>
      <c r="T872" s="15">
        <v>0</v>
      </c>
      <c r="U872" s="15">
        <f t="shared" ca="1" si="189"/>
        <v>1.0009910541340461</v>
      </c>
      <c r="V872" s="15">
        <f t="shared" ca="1" si="190"/>
        <v>0.99946593423361552</v>
      </c>
      <c r="X872" s="15">
        <f t="shared" si="191"/>
        <v>1.05</v>
      </c>
      <c r="Y872" s="15">
        <f t="shared" si="192"/>
        <v>0.95</v>
      </c>
      <c r="Z872" s="15">
        <f t="shared" ca="1" si="193"/>
        <v>1</v>
      </c>
      <c r="AC872" s="15">
        <f t="shared" ca="1" si="194"/>
        <v>2.852262428238461E-7</v>
      </c>
      <c r="AD872" s="15">
        <f t="shared" ca="1" si="195"/>
        <v>5.3406576638448389E-4</v>
      </c>
      <c r="AE872" s="15">
        <f t="shared" ca="1" si="196"/>
        <v>0.44327458609912163</v>
      </c>
    </row>
    <row r="873" spans="12:31" x14ac:dyDescent="0.3">
      <c r="L873" s="15">
        <v>871</v>
      </c>
      <c r="M873" s="15">
        <f t="shared" si="186"/>
        <v>1</v>
      </c>
      <c r="N873" s="15">
        <f t="shared" ca="1" si="187"/>
        <v>5.3406576638448389E-4</v>
      </c>
      <c r="O873" s="15">
        <f t="shared" ca="1" si="184"/>
        <v>0.25095307287712687</v>
      </c>
      <c r="P873" s="15">
        <f t="shared" ca="1" si="197"/>
        <v>0.25024795910582132</v>
      </c>
      <c r="Q873" s="15">
        <v>0</v>
      </c>
      <c r="R873" s="15">
        <f t="shared" ca="1" si="188"/>
        <v>0.25024795910582132</v>
      </c>
      <c r="S873" s="15">
        <f t="shared" ca="1" si="185"/>
        <v>1.0009911082972187</v>
      </c>
      <c r="T873" s="15">
        <v>0</v>
      </c>
      <c r="U873" s="15">
        <f t="shared" ca="1" si="189"/>
        <v>1.0009911082972187</v>
      </c>
      <c r="V873" s="15">
        <f t="shared" ca="1" si="190"/>
        <v>0.99946593423361552</v>
      </c>
      <c r="X873" s="15">
        <f t="shared" si="191"/>
        <v>1.05</v>
      </c>
      <c r="Y873" s="15">
        <f t="shared" si="192"/>
        <v>0.95</v>
      </c>
      <c r="Z873" s="15">
        <f t="shared" ca="1" si="193"/>
        <v>1</v>
      </c>
      <c r="AC873" s="15">
        <f t="shared" ca="1" si="194"/>
        <v>2.852262428238461E-7</v>
      </c>
      <c r="AD873" s="15">
        <f t="shared" ca="1" si="195"/>
        <v>5.3406576638448389E-4</v>
      </c>
      <c r="AE873" s="15">
        <f t="shared" ca="1" si="196"/>
        <v>0.44380865186550611</v>
      </c>
    </row>
    <row r="874" spans="12:31" x14ac:dyDescent="0.3">
      <c r="L874" s="15">
        <v>872</v>
      </c>
      <c r="M874" s="15">
        <f t="shared" si="186"/>
        <v>1</v>
      </c>
      <c r="N874" s="15">
        <f t="shared" ca="1" si="187"/>
        <v>5.3406576638448389E-4</v>
      </c>
      <c r="O874" s="15">
        <f t="shared" ca="1" si="184"/>
        <v>0.25095307287712687</v>
      </c>
      <c r="P874" s="15">
        <f t="shared" ca="1" si="197"/>
        <v>0.25024795910582132</v>
      </c>
      <c r="Q874" s="15">
        <v>0</v>
      </c>
      <c r="R874" s="15">
        <f t="shared" ca="1" si="188"/>
        <v>0.25024795910582132</v>
      </c>
      <c r="S874" s="15">
        <f t="shared" ca="1" si="185"/>
        <v>1.0009911586648153</v>
      </c>
      <c r="T874" s="15">
        <v>0</v>
      </c>
      <c r="U874" s="15">
        <f t="shared" ca="1" si="189"/>
        <v>1.0009911586648153</v>
      </c>
      <c r="V874" s="15">
        <f t="shared" ca="1" si="190"/>
        <v>0.99946593423361552</v>
      </c>
      <c r="X874" s="15">
        <f t="shared" si="191"/>
        <v>1.05</v>
      </c>
      <c r="Y874" s="15">
        <f t="shared" si="192"/>
        <v>0.95</v>
      </c>
      <c r="Z874" s="15">
        <f t="shared" ca="1" si="193"/>
        <v>1</v>
      </c>
      <c r="AC874" s="15">
        <f t="shared" ca="1" si="194"/>
        <v>2.852262428238461E-7</v>
      </c>
      <c r="AD874" s="15">
        <f t="shared" ca="1" si="195"/>
        <v>5.3406576638448389E-4</v>
      </c>
      <c r="AE874" s="15">
        <f t="shared" ca="1" si="196"/>
        <v>0.44434271763189059</v>
      </c>
    </row>
    <row r="875" spans="12:31" x14ac:dyDescent="0.3">
      <c r="L875" s="15">
        <v>873</v>
      </c>
      <c r="M875" s="15">
        <f t="shared" si="186"/>
        <v>1</v>
      </c>
      <c r="N875" s="15">
        <f t="shared" ca="1" si="187"/>
        <v>5.3406576638448389E-4</v>
      </c>
      <c r="O875" s="15">
        <f t="shared" ref="O875:O938" ca="1" si="198">IF(MOD(L875,$B$11)=0,OFFSET(O875,-$B$11,0)+ $E$2*N875+$E$3*OFFSET(N875,-$B$11,0)+ $E$4*OFFSET(N875,-2* $B$11,0), O874)</f>
        <v>0.25096316985507638</v>
      </c>
      <c r="P875" s="15">
        <f t="shared" ca="1" si="197"/>
        <v>0.25024795910582132</v>
      </c>
      <c r="Q875" s="15">
        <v>0</v>
      </c>
      <c r="R875" s="15">
        <f t="shared" ca="1" si="188"/>
        <v>0.25024795910582132</v>
      </c>
      <c r="S875" s="15">
        <f t="shared" ca="1" si="185"/>
        <v>1.0009912055055963</v>
      </c>
      <c r="T875" s="15">
        <v>0</v>
      </c>
      <c r="U875" s="15">
        <f t="shared" ca="1" si="189"/>
        <v>1.0009912055055963</v>
      </c>
      <c r="V875" s="15">
        <f t="shared" ca="1" si="190"/>
        <v>0.99946593423361552</v>
      </c>
      <c r="X875" s="15">
        <f t="shared" si="191"/>
        <v>1.05</v>
      </c>
      <c r="Y875" s="15">
        <f t="shared" si="192"/>
        <v>0.95</v>
      </c>
      <c r="Z875" s="15">
        <f t="shared" ca="1" si="193"/>
        <v>1</v>
      </c>
      <c r="AC875" s="15">
        <f t="shared" ca="1" si="194"/>
        <v>2.852262428238461E-7</v>
      </c>
      <c r="AD875" s="15">
        <f t="shared" ca="1" si="195"/>
        <v>5.3406576638448389E-4</v>
      </c>
      <c r="AE875" s="15">
        <f t="shared" ca="1" si="196"/>
        <v>0.44487678339827508</v>
      </c>
    </row>
    <row r="876" spans="12:31" x14ac:dyDescent="0.3">
      <c r="L876" s="15">
        <v>874</v>
      </c>
      <c r="M876" s="15">
        <f t="shared" si="186"/>
        <v>1</v>
      </c>
      <c r="N876" s="15">
        <f t="shared" ca="1" si="187"/>
        <v>5.3406576638448389E-4</v>
      </c>
      <c r="O876" s="15">
        <f t="shared" ca="1" si="198"/>
        <v>0.25096316985507638</v>
      </c>
      <c r="P876" s="15">
        <f t="shared" ca="1" si="197"/>
        <v>0.25024795910582132</v>
      </c>
      <c r="Q876" s="15">
        <v>0</v>
      </c>
      <c r="R876" s="15">
        <f t="shared" ca="1" si="188"/>
        <v>0.25024795910582132</v>
      </c>
      <c r="S876" s="15">
        <f t="shared" ca="1" si="185"/>
        <v>1.0009912490691242</v>
      </c>
      <c r="T876" s="15">
        <v>0</v>
      </c>
      <c r="U876" s="15">
        <f t="shared" ca="1" si="189"/>
        <v>1.0009912490691242</v>
      </c>
      <c r="V876" s="15">
        <f t="shared" ca="1" si="190"/>
        <v>0.99946593423361552</v>
      </c>
      <c r="X876" s="15">
        <f t="shared" si="191"/>
        <v>1.05</v>
      </c>
      <c r="Y876" s="15">
        <f t="shared" si="192"/>
        <v>0.95</v>
      </c>
      <c r="Z876" s="15">
        <f t="shared" ca="1" si="193"/>
        <v>1</v>
      </c>
      <c r="AC876" s="15">
        <f t="shared" ca="1" si="194"/>
        <v>2.852262428238461E-7</v>
      </c>
      <c r="AD876" s="15">
        <f t="shared" ca="1" si="195"/>
        <v>5.3406576638448389E-4</v>
      </c>
      <c r="AE876" s="15">
        <f t="shared" ca="1" si="196"/>
        <v>0.44541084916465956</v>
      </c>
    </row>
    <row r="877" spans="12:31" x14ac:dyDescent="0.3">
      <c r="L877" s="15">
        <v>875</v>
      </c>
      <c r="M877" s="15">
        <f t="shared" si="186"/>
        <v>1</v>
      </c>
      <c r="N877" s="15">
        <f t="shared" ca="1" si="187"/>
        <v>5.3406576638448389E-4</v>
      </c>
      <c r="O877" s="15">
        <f t="shared" ca="1" si="198"/>
        <v>0.25096316985507638</v>
      </c>
      <c r="P877" s="15">
        <f t="shared" ca="1" si="197"/>
        <v>0.25024795910582132</v>
      </c>
      <c r="Q877" s="15">
        <v>0</v>
      </c>
      <c r="R877" s="15">
        <f t="shared" ca="1" si="188"/>
        <v>0.25024795910582132</v>
      </c>
      <c r="S877" s="15">
        <f t="shared" ref="S877:S940" ca="1" si="199">$I$1*S876-$I$2*S875+$I$3*R856+$I$4*R855</f>
        <v>1.000991289587144</v>
      </c>
      <c r="T877" s="15">
        <v>0</v>
      </c>
      <c r="U877" s="15">
        <f t="shared" ca="1" si="189"/>
        <v>1.000991289587144</v>
      </c>
      <c r="V877" s="15">
        <f t="shared" ca="1" si="190"/>
        <v>0.99946593423361552</v>
      </c>
      <c r="X877" s="15">
        <f t="shared" si="191"/>
        <v>1.05</v>
      </c>
      <c r="Y877" s="15">
        <f t="shared" si="192"/>
        <v>0.95</v>
      </c>
      <c r="Z877" s="15">
        <f t="shared" ca="1" si="193"/>
        <v>1</v>
      </c>
      <c r="AC877" s="15">
        <f t="shared" ca="1" si="194"/>
        <v>2.852262428238461E-7</v>
      </c>
      <c r="AD877" s="15">
        <f t="shared" ca="1" si="195"/>
        <v>5.3406576638448389E-4</v>
      </c>
      <c r="AE877" s="15">
        <f t="shared" ca="1" si="196"/>
        <v>0.44594491493104405</v>
      </c>
    </row>
    <row r="878" spans="12:31" x14ac:dyDescent="0.3">
      <c r="L878" s="15">
        <v>876</v>
      </c>
      <c r="M878" s="15">
        <f t="shared" si="186"/>
        <v>1</v>
      </c>
      <c r="N878" s="15">
        <f t="shared" ca="1" si="187"/>
        <v>5.3406576638448389E-4</v>
      </c>
      <c r="O878" s="15">
        <f t="shared" ca="1" si="198"/>
        <v>0.2509732668330259</v>
      </c>
      <c r="P878" s="15">
        <f t="shared" ca="1" si="197"/>
        <v>0.25024795910582132</v>
      </c>
      <c r="Q878" s="15">
        <v>0</v>
      </c>
      <c r="R878" s="15">
        <f t="shared" ca="1" si="188"/>
        <v>0.25024795910582132</v>
      </c>
      <c r="S878" s="15">
        <f t="shared" ca="1" si="199"/>
        <v>1.0009913272748654</v>
      </c>
      <c r="T878" s="15">
        <v>0</v>
      </c>
      <c r="U878" s="15">
        <f t="shared" ca="1" si="189"/>
        <v>1.0009913272748654</v>
      </c>
      <c r="V878" s="15">
        <f t="shared" ca="1" si="190"/>
        <v>0.99946593423361552</v>
      </c>
      <c r="X878" s="15">
        <f t="shared" si="191"/>
        <v>1.05</v>
      </c>
      <c r="Y878" s="15">
        <f t="shared" si="192"/>
        <v>0.95</v>
      </c>
      <c r="Z878" s="15">
        <f t="shared" ca="1" si="193"/>
        <v>1</v>
      </c>
      <c r="AC878" s="15">
        <f t="shared" ca="1" si="194"/>
        <v>2.852262428238461E-7</v>
      </c>
      <c r="AD878" s="15">
        <f t="shared" ca="1" si="195"/>
        <v>5.3406576638448389E-4</v>
      </c>
      <c r="AE878" s="15">
        <f t="shared" ca="1" si="196"/>
        <v>0.44647898069742853</v>
      </c>
    </row>
    <row r="879" spans="12:31" x14ac:dyDescent="0.3">
      <c r="L879" s="15">
        <v>877</v>
      </c>
      <c r="M879" s="15">
        <f t="shared" si="186"/>
        <v>1</v>
      </c>
      <c r="N879" s="15">
        <f t="shared" ca="1" si="187"/>
        <v>5.3406576638448389E-4</v>
      </c>
      <c r="O879" s="15">
        <f t="shared" ca="1" si="198"/>
        <v>0.2509732668330259</v>
      </c>
      <c r="P879" s="15">
        <f t="shared" ca="1" si="197"/>
        <v>0.25024795910582132</v>
      </c>
      <c r="Q879" s="15">
        <v>0</v>
      </c>
      <c r="R879" s="15">
        <f t="shared" ca="1" si="188"/>
        <v>0.25024795910582132</v>
      </c>
      <c r="S879" s="15">
        <f t="shared" ca="1" si="199"/>
        <v>1.0009913623321514</v>
      </c>
      <c r="T879" s="15">
        <v>0</v>
      </c>
      <c r="U879" s="15">
        <f t="shared" ca="1" si="189"/>
        <v>1.0009913623321514</v>
      </c>
      <c r="V879" s="15">
        <f t="shared" ca="1" si="190"/>
        <v>0.99946593423361552</v>
      </c>
      <c r="X879" s="15">
        <f t="shared" si="191"/>
        <v>1.05</v>
      </c>
      <c r="Y879" s="15">
        <f t="shared" si="192"/>
        <v>0.95</v>
      </c>
      <c r="Z879" s="15">
        <f t="shared" ca="1" si="193"/>
        <v>1</v>
      </c>
      <c r="AC879" s="15">
        <f t="shared" ca="1" si="194"/>
        <v>2.852262428238461E-7</v>
      </c>
      <c r="AD879" s="15">
        <f t="shared" ca="1" si="195"/>
        <v>5.3406576638448389E-4</v>
      </c>
      <c r="AE879" s="15">
        <f t="shared" ca="1" si="196"/>
        <v>0.44701304646381301</v>
      </c>
    </row>
    <row r="880" spans="12:31" x14ac:dyDescent="0.3">
      <c r="L880" s="15">
        <v>878</v>
      </c>
      <c r="M880" s="15">
        <f t="shared" si="186"/>
        <v>1</v>
      </c>
      <c r="N880" s="15">
        <f t="shared" ca="1" si="187"/>
        <v>5.3406576638448389E-4</v>
      </c>
      <c r="O880" s="15">
        <f t="shared" ca="1" si="198"/>
        <v>0.2509732668330259</v>
      </c>
      <c r="P880" s="15">
        <f t="shared" ca="1" si="197"/>
        <v>0.25024795910582132</v>
      </c>
      <c r="Q880" s="15">
        <v>0</v>
      </c>
      <c r="R880" s="15">
        <f t="shared" ca="1" si="188"/>
        <v>0.25024795910582132</v>
      </c>
      <c r="S880" s="15">
        <f t="shared" ca="1" si="199"/>
        <v>1.0009913949446205</v>
      </c>
      <c r="T880" s="15">
        <v>0</v>
      </c>
      <c r="U880" s="15">
        <f t="shared" ca="1" si="189"/>
        <v>1.0009913949446205</v>
      </c>
      <c r="V880" s="15">
        <f t="shared" ca="1" si="190"/>
        <v>0.99946593423361552</v>
      </c>
      <c r="X880" s="15">
        <f t="shared" si="191"/>
        <v>1.05</v>
      </c>
      <c r="Y880" s="15">
        <f t="shared" si="192"/>
        <v>0.95</v>
      </c>
      <c r="Z880" s="15">
        <f t="shared" ca="1" si="193"/>
        <v>1</v>
      </c>
      <c r="AC880" s="15">
        <f t="shared" ca="1" si="194"/>
        <v>2.852262428238461E-7</v>
      </c>
      <c r="AD880" s="15">
        <f t="shared" ca="1" si="195"/>
        <v>5.3406576638448389E-4</v>
      </c>
      <c r="AE880" s="15">
        <f t="shared" ca="1" si="196"/>
        <v>0.4475471122301975</v>
      </c>
    </row>
    <row r="881" spans="12:31" x14ac:dyDescent="0.3">
      <c r="L881" s="15">
        <v>879</v>
      </c>
      <c r="M881" s="15">
        <f t="shared" si="186"/>
        <v>1</v>
      </c>
      <c r="N881" s="15">
        <f t="shared" ca="1" si="187"/>
        <v>5.3406576638448389E-4</v>
      </c>
      <c r="O881" s="15">
        <f t="shared" ca="1" si="198"/>
        <v>0.25098336381097541</v>
      </c>
      <c r="P881" s="15">
        <f t="shared" ca="1" si="197"/>
        <v>0.25024795910582132</v>
      </c>
      <c r="Q881" s="15">
        <v>0</v>
      </c>
      <c r="R881" s="15">
        <f t="shared" ca="1" si="188"/>
        <v>0.25024795910582132</v>
      </c>
      <c r="S881" s="15">
        <f t="shared" ca="1" si="199"/>
        <v>1.0009914252846703</v>
      </c>
      <c r="T881" s="15">
        <v>0</v>
      </c>
      <c r="U881" s="15">
        <f t="shared" ca="1" si="189"/>
        <v>1.0009914252846703</v>
      </c>
      <c r="V881" s="15">
        <f t="shared" ca="1" si="190"/>
        <v>0.99946593423361552</v>
      </c>
      <c r="X881" s="15">
        <f t="shared" si="191"/>
        <v>1.05</v>
      </c>
      <c r="Y881" s="15">
        <f t="shared" si="192"/>
        <v>0.95</v>
      </c>
      <c r="Z881" s="15">
        <f t="shared" ca="1" si="193"/>
        <v>1</v>
      </c>
      <c r="AC881" s="15">
        <f t="shared" ca="1" si="194"/>
        <v>2.852262428238461E-7</v>
      </c>
      <c r="AD881" s="15">
        <f t="shared" ca="1" si="195"/>
        <v>5.3406576638448389E-4</v>
      </c>
      <c r="AE881" s="15">
        <f t="shared" ca="1" si="196"/>
        <v>0.44808117799658198</v>
      </c>
    </row>
    <row r="882" spans="12:31" x14ac:dyDescent="0.3">
      <c r="L882" s="15">
        <v>880</v>
      </c>
      <c r="M882" s="15">
        <f t="shared" si="186"/>
        <v>1</v>
      </c>
      <c r="N882" s="15">
        <f t="shared" ca="1" si="187"/>
        <v>5.3406576638448389E-4</v>
      </c>
      <c r="O882" s="15">
        <f t="shared" ca="1" si="198"/>
        <v>0.25098336381097541</v>
      </c>
      <c r="P882" s="15">
        <f t="shared" ca="1" si="197"/>
        <v>0.25024795910582132</v>
      </c>
      <c r="Q882" s="15">
        <v>0</v>
      </c>
      <c r="R882" s="15">
        <f t="shared" ca="1" si="188"/>
        <v>0.25024795910582132</v>
      </c>
      <c r="S882" s="15">
        <f t="shared" ca="1" si="199"/>
        <v>1.0009914535124265</v>
      </c>
      <c r="T882" s="15">
        <v>0</v>
      </c>
      <c r="U882" s="15">
        <f t="shared" ca="1" si="189"/>
        <v>1.0009914535124265</v>
      </c>
      <c r="V882" s="15">
        <f t="shared" ca="1" si="190"/>
        <v>0.99946593423361552</v>
      </c>
      <c r="X882" s="15">
        <f t="shared" si="191"/>
        <v>1.05</v>
      </c>
      <c r="Y882" s="15">
        <f t="shared" si="192"/>
        <v>0.95</v>
      </c>
      <c r="Z882" s="15">
        <f t="shared" ca="1" si="193"/>
        <v>1</v>
      </c>
      <c r="AC882" s="15">
        <f t="shared" ca="1" si="194"/>
        <v>2.852262428238461E-7</v>
      </c>
      <c r="AD882" s="15">
        <f t="shared" ca="1" si="195"/>
        <v>5.3406576638448389E-4</v>
      </c>
      <c r="AE882" s="15">
        <f t="shared" ca="1" si="196"/>
        <v>0.44861524376296646</v>
      </c>
    </row>
    <row r="883" spans="12:31" x14ac:dyDescent="0.3">
      <c r="L883" s="15">
        <v>881</v>
      </c>
      <c r="M883" s="15">
        <f t="shared" si="186"/>
        <v>1</v>
      </c>
      <c r="N883" s="15">
        <f t="shared" ca="1" si="187"/>
        <v>5.3406576638448389E-4</v>
      </c>
      <c r="O883" s="15">
        <f t="shared" ca="1" si="198"/>
        <v>0.25098336381097541</v>
      </c>
      <c r="P883" s="15">
        <f t="shared" ca="1" si="197"/>
        <v>0.25024795910582132</v>
      </c>
      <c r="Q883" s="15">
        <v>0</v>
      </c>
      <c r="R883" s="15">
        <f t="shared" ca="1" si="188"/>
        <v>0.25024795910582132</v>
      </c>
      <c r="S883" s="15">
        <f t="shared" ca="1" si="199"/>
        <v>1.0009914797766231</v>
      </c>
      <c r="T883" s="15">
        <v>0</v>
      </c>
      <c r="U883" s="15">
        <f t="shared" ca="1" si="189"/>
        <v>1.0009914797766231</v>
      </c>
      <c r="V883" s="15">
        <f t="shared" ca="1" si="190"/>
        <v>0.99946593423361552</v>
      </c>
      <c r="X883" s="15">
        <f t="shared" si="191"/>
        <v>1.05</v>
      </c>
      <c r="Y883" s="15">
        <f t="shared" si="192"/>
        <v>0.95</v>
      </c>
      <c r="Z883" s="15">
        <f t="shared" ca="1" si="193"/>
        <v>1</v>
      </c>
      <c r="AC883" s="15">
        <f t="shared" ca="1" si="194"/>
        <v>2.852262428238461E-7</v>
      </c>
      <c r="AD883" s="15">
        <f t="shared" ca="1" si="195"/>
        <v>5.3406576638448389E-4</v>
      </c>
      <c r="AE883" s="15">
        <f t="shared" ca="1" si="196"/>
        <v>0.44914930952935095</v>
      </c>
    </row>
    <row r="884" spans="12:31" x14ac:dyDescent="0.3">
      <c r="L884" s="15">
        <v>882</v>
      </c>
      <c r="M884" s="15">
        <f t="shared" si="186"/>
        <v>1</v>
      </c>
      <c r="N884" s="15">
        <f t="shared" ca="1" si="187"/>
        <v>5.3406576638448389E-4</v>
      </c>
      <c r="O884" s="15">
        <f t="shared" ca="1" si="198"/>
        <v>0.25099346078892493</v>
      </c>
      <c r="P884" s="15">
        <f t="shared" ca="1" si="197"/>
        <v>0.25024795910582132</v>
      </c>
      <c r="Q884" s="15">
        <v>0</v>
      </c>
      <c r="R884" s="15">
        <f t="shared" ca="1" si="188"/>
        <v>0.25024795910582132</v>
      </c>
      <c r="S884" s="15">
        <f t="shared" ca="1" si="199"/>
        <v>1.0009915042154194</v>
      </c>
      <c r="T884" s="15">
        <v>0</v>
      </c>
      <c r="U884" s="15">
        <f t="shared" ca="1" si="189"/>
        <v>1.0009915042154194</v>
      </c>
      <c r="V884" s="15">
        <f t="shared" ca="1" si="190"/>
        <v>0.99946593423361552</v>
      </c>
      <c r="X884" s="15">
        <f t="shared" si="191"/>
        <v>1.05</v>
      </c>
      <c r="Y884" s="15">
        <f t="shared" si="192"/>
        <v>0.95</v>
      </c>
      <c r="Z884" s="15">
        <f t="shared" ca="1" si="193"/>
        <v>1</v>
      </c>
      <c r="AC884" s="15">
        <f t="shared" ca="1" si="194"/>
        <v>2.852262428238461E-7</v>
      </c>
      <c r="AD884" s="15">
        <f t="shared" ca="1" si="195"/>
        <v>5.3406576638448389E-4</v>
      </c>
      <c r="AE884" s="15">
        <f t="shared" ca="1" si="196"/>
        <v>0.44968337529573543</v>
      </c>
    </row>
    <row r="885" spans="12:31" x14ac:dyDescent="0.3">
      <c r="L885" s="15">
        <v>883</v>
      </c>
      <c r="M885" s="15">
        <f t="shared" si="186"/>
        <v>1</v>
      </c>
      <c r="N885" s="15">
        <f t="shared" ca="1" si="187"/>
        <v>5.3406576638448389E-4</v>
      </c>
      <c r="O885" s="15">
        <f t="shared" ca="1" si="198"/>
        <v>0.25099346078892493</v>
      </c>
      <c r="P885" s="15">
        <f t="shared" ca="1" si="197"/>
        <v>0.25024795910582132</v>
      </c>
      <c r="Q885" s="15">
        <v>0</v>
      </c>
      <c r="R885" s="15">
        <f t="shared" ca="1" si="188"/>
        <v>0.25024795910582132</v>
      </c>
      <c r="S885" s="15">
        <f t="shared" ca="1" si="199"/>
        <v>1.0009915269571583</v>
      </c>
      <c r="T885" s="15">
        <v>0</v>
      </c>
      <c r="U885" s="15">
        <f t="shared" ca="1" si="189"/>
        <v>1.0009915269571583</v>
      </c>
      <c r="V885" s="15">
        <f t="shared" ca="1" si="190"/>
        <v>0.99946593423361552</v>
      </c>
      <c r="X885" s="15">
        <f t="shared" si="191"/>
        <v>1.05</v>
      </c>
      <c r="Y885" s="15">
        <f t="shared" si="192"/>
        <v>0.95</v>
      </c>
      <c r="Z885" s="15">
        <f t="shared" ca="1" si="193"/>
        <v>1</v>
      </c>
      <c r="AC885" s="15">
        <f t="shared" ca="1" si="194"/>
        <v>2.852262428238461E-7</v>
      </c>
      <c r="AD885" s="15">
        <f t="shared" ca="1" si="195"/>
        <v>5.3406576638448389E-4</v>
      </c>
      <c r="AE885" s="15">
        <f t="shared" ca="1" si="196"/>
        <v>0.45021744106211992</v>
      </c>
    </row>
    <row r="886" spans="12:31" x14ac:dyDescent="0.3">
      <c r="L886" s="15">
        <v>884</v>
      </c>
      <c r="M886" s="15">
        <f t="shared" si="186"/>
        <v>1</v>
      </c>
      <c r="N886" s="15">
        <f t="shared" ca="1" si="187"/>
        <v>5.3406576638448389E-4</v>
      </c>
      <c r="O886" s="15">
        <f t="shared" ca="1" si="198"/>
        <v>0.25099346078892493</v>
      </c>
      <c r="P886" s="15">
        <f t="shared" ca="1" si="197"/>
        <v>0.25024795910582132</v>
      </c>
      <c r="Q886" s="15">
        <v>0</v>
      </c>
      <c r="R886" s="15">
        <f t="shared" ca="1" si="188"/>
        <v>0.25024795910582132</v>
      </c>
      <c r="S886" s="15">
        <f t="shared" ca="1" si="199"/>
        <v>1.0009915481210692</v>
      </c>
      <c r="T886" s="15">
        <v>0</v>
      </c>
      <c r="U886" s="15">
        <f t="shared" ca="1" si="189"/>
        <v>1.0009915481210692</v>
      </c>
      <c r="V886" s="15">
        <f t="shared" ca="1" si="190"/>
        <v>0.99946593423361552</v>
      </c>
      <c r="X886" s="15">
        <f t="shared" si="191"/>
        <v>1.05</v>
      </c>
      <c r="Y886" s="15">
        <f t="shared" si="192"/>
        <v>0.95</v>
      </c>
      <c r="Z886" s="15">
        <f t="shared" ca="1" si="193"/>
        <v>1</v>
      </c>
      <c r="AC886" s="15">
        <f t="shared" ca="1" si="194"/>
        <v>2.852262428238461E-7</v>
      </c>
      <c r="AD886" s="15">
        <f t="shared" ca="1" si="195"/>
        <v>5.3406576638448389E-4</v>
      </c>
      <c r="AE886" s="15">
        <f t="shared" ca="1" si="196"/>
        <v>0.4507515068285044</v>
      </c>
    </row>
    <row r="887" spans="12:31" x14ac:dyDescent="0.3">
      <c r="L887" s="15">
        <v>885</v>
      </c>
      <c r="M887" s="15">
        <f t="shared" si="186"/>
        <v>1</v>
      </c>
      <c r="N887" s="15">
        <f t="shared" ca="1" si="187"/>
        <v>5.3406576638448389E-4</v>
      </c>
      <c r="O887" s="15">
        <f t="shared" ca="1" si="198"/>
        <v>0.25100355776687444</v>
      </c>
      <c r="P887" s="15">
        <f t="shared" ca="1" si="197"/>
        <v>0.25024795910582132</v>
      </c>
      <c r="Q887" s="15">
        <v>0</v>
      </c>
      <c r="R887" s="15">
        <f t="shared" ca="1" si="188"/>
        <v>0.25024795910582132</v>
      </c>
      <c r="S887" s="15">
        <f t="shared" ca="1" si="199"/>
        <v>1.0009915678179202</v>
      </c>
      <c r="T887" s="15">
        <v>0</v>
      </c>
      <c r="U887" s="15">
        <f t="shared" ca="1" si="189"/>
        <v>1.0009915678179202</v>
      </c>
      <c r="V887" s="15">
        <f t="shared" ca="1" si="190"/>
        <v>0.99946593423361552</v>
      </c>
      <c r="X887" s="15">
        <f t="shared" si="191"/>
        <v>1.05</v>
      </c>
      <c r="Y887" s="15">
        <f t="shared" si="192"/>
        <v>0.95</v>
      </c>
      <c r="Z887" s="15">
        <f t="shared" ca="1" si="193"/>
        <v>1</v>
      </c>
      <c r="AC887" s="15">
        <f t="shared" ca="1" si="194"/>
        <v>2.852262428238461E-7</v>
      </c>
      <c r="AD887" s="15">
        <f t="shared" ca="1" si="195"/>
        <v>5.3406576638448389E-4</v>
      </c>
      <c r="AE887" s="15">
        <f t="shared" ca="1" si="196"/>
        <v>0.45128557259488888</v>
      </c>
    </row>
    <row r="888" spans="12:31" x14ac:dyDescent="0.3">
      <c r="L888" s="15">
        <v>886</v>
      </c>
      <c r="M888" s="15">
        <f t="shared" si="186"/>
        <v>1</v>
      </c>
      <c r="N888" s="15">
        <f t="shared" ca="1" si="187"/>
        <v>5.3406576638448389E-4</v>
      </c>
      <c r="O888" s="15">
        <f t="shared" ca="1" si="198"/>
        <v>0.25100355776687444</v>
      </c>
      <c r="P888" s="15">
        <f t="shared" ca="1" si="197"/>
        <v>0.25024795910582132</v>
      </c>
      <c r="Q888" s="15">
        <v>0</v>
      </c>
      <c r="R888" s="15">
        <f t="shared" ca="1" si="188"/>
        <v>0.25024795910582132</v>
      </c>
      <c r="S888" s="15">
        <f t="shared" ca="1" si="199"/>
        <v>1.0009915861506242</v>
      </c>
      <c r="T888" s="15">
        <v>0</v>
      </c>
      <c r="U888" s="15">
        <f t="shared" ca="1" si="189"/>
        <v>1.0009915861506242</v>
      </c>
      <c r="V888" s="15">
        <f t="shared" ca="1" si="190"/>
        <v>0.99946593423361552</v>
      </c>
      <c r="X888" s="15">
        <f t="shared" si="191"/>
        <v>1.05</v>
      </c>
      <c r="Y888" s="15">
        <f t="shared" si="192"/>
        <v>0.95</v>
      </c>
      <c r="Z888" s="15">
        <f t="shared" ca="1" si="193"/>
        <v>1</v>
      </c>
      <c r="AC888" s="15">
        <f t="shared" ca="1" si="194"/>
        <v>2.852262428238461E-7</v>
      </c>
      <c r="AD888" s="15">
        <f t="shared" ca="1" si="195"/>
        <v>5.3406576638448389E-4</v>
      </c>
      <c r="AE888" s="15">
        <f t="shared" ca="1" si="196"/>
        <v>0.45181963836127337</v>
      </c>
    </row>
    <row r="889" spans="12:31" x14ac:dyDescent="0.3">
      <c r="L889" s="15">
        <v>887</v>
      </c>
      <c r="M889" s="15">
        <f t="shared" si="186"/>
        <v>1</v>
      </c>
      <c r="N889" s="15">
        <f t="shared" ca="1" si="187"/>
        <v>5.3406576638448389E-4</v>
      </c>
      <c r="O889" s="15">
        <f t="shared" ca="1" si="198"/>
        <v>0.25100355776687444</v>
      </c>
      <c r="P889" s="15">
        <f t="shared" ca="1" si="197"/>
        <v>0.25024795910582132</v>
      </c>
      <c r="Q889" s="15">
        <v>0</v>
      </c>
      <c r="R889" s="15">
        <f t="shared" ca="1" si="188"/>
        <v>0.25024795910582132</v>
      </c>
      <c r="S889" s="15">
        <f t="shared" ca="1" si="199"/>
        <v>1.0009916032148005</v>
      </c>
      <c r="T889" s="15">
        <v>0</v>
      </c>
      <c r="U889" s="15">
        <f t="shared" ca="1" si="189"/>
        <v>1.0009916032148005</v>
      </c>
      <c r="V889" s="15">
        <f t="shared" ca="1" si="190"/>
        <v>0.99946593423361552</v>
      </c>
      <c r="X889" s="15">
        <f t="shared" si="191"/>
        <v>1.05</v>
      </c>
      <c r="Y889" s="15">
        <f t="shared" si="192"/>
        <v>0.95</v>
      </c>
      <c r="Z889" s="15">
        <f t="shared" ca="1" si="193"/>
        <v>1</v>
      </c>
      <c r="AC889" s="15">
        <f t="shared" ca="1" si="194"/>
        <v>2.852262428238461E-7</v>
      </c>
      <c r="AD889" s="15">
        <f t="shared" ca="1" si="195"/>
        <v>5.3406576638448389E-4</v>
      </c>
      <c r="AE889" s="15">
        <f t="shared" ca="1" si="196"/>
        <v>0.45235370412765785</v>
      </c>
    </row>
    <row r="890" spans="12:31" x14ac:dyDescent="0.3">
      <c r="L890" s="15">
        <v>888</v>
      </c>
      <c r="M890" s="15">
        <f t="shared" si="186"/>
        <v>1</v>
      </c>
      <c r="N890" s="15">
        <f t="shared" ca="1" si="187"/>
        <v>5.3406576638448389E-4</v>
      </c>
      <c r="O890" s="15">
        <f t="shared" ca="1" si="198"/>
        <v>0.25101365474482396</v>
      </c>
      <c r="P890" s="15">
        <f t="shared" ca="1" si="197"/>
        <v>0.25024795910582132</v>
      </c>
      <c r="Q890" s="15">
        <v>0</v>
      </c>
      <c r="R890" s="15">
        <f t="shared" ca="1" si="188"/>
        <v>0.25024795910582132</v>
      </c>
      <c r="S890" s="15">
        <f t="shared" ca="1" si="199"/>
        <v>1.0009916190992965</v>
      </c>
      <c r="T890" s="15">
        <v>0</v>
      </c>
      <c r="U890" s="15">
        <f t="shared" ca="1" si="189"/>
        <v>1.0009916190992965</v>
      </c>
      <c r="V890" s="15">
        <f t="shared" ca="1" si="190"/>
        <v>0.99946593423361552</v>
      </c>
      <c r="X890" s="15">
        <f t="shared" si="191"/>
        <v>1.05</v>
      </c>
      <c r="Y890" s="15">
        <f t="shared" si="192"/>
        <v>0.95</v>
      </c>
      <c r="Z890" s="15">
        <f t="shared" ca="1" si="193"/>
        <v>1</v>
      </c>
      <c r="AC890" s="15">
        <f t="shared" ca="1" si="194"/>
        <v>2.852262428238461E-7</v>
      </c>
      <c r="AD890" s="15">
        <f t="shared" ca="1" si="195"/>
        <v>5.3406576638448389E-4</v>
      </c>
      <c r="AE890" s="15">
        <f t="shared" ca="1" si="196"/>
        <v>0.45288776989404234</v>
      </c>
    </row>
    <row r="891" spans="12:31" x14ac:dyDescent="0.3">
      <c r="L891" s="15">
        <v>889</v>
      </c>
      <c r="M891" s="15">
        <f t="shared" si="186"/>
        <v>1</v>
      </c>
      <c r="N891" s="15">
        <f t="shared" ca="1" si="187"/>
        <v>5.3406576638448389E-4</v>
      </c>
      <c r="O891" s="15">
        <f t="shared" ca="1" si="198"/>
        <v>0.25101365474482396</v>
      </c>
      <c r="P891" s="15">
        <f t="shared" ca="1" si="197"/>
        <v>0.25024795910582132</v>
      </c>
      <c r="Q891" s="15">
        <v>0</v>
      </c>
      <c r="R891" s="15">
        <f t="shared" ca="1" si="188"/>
        <v>0.25024795910582132</v>
      </c>
      <c r="S891" s="15">
        <f t="shared" ca="1" si="199"/>
        <v>1.0009916338866709</v>
      </c>
      <c r="T891" s="15">
        <v>0</v>
      </c>
      <c r="U891" s="15">
        <f t="shared" ca="1" si="189"/>
        <v>1.0009916338866709</v>
      </c>
      <c r="V891" s="15">
        <f t="shared" ca="1" si="190"/>
        <v>0.99946593423361552</v>
      </c>
      <c r="X891" s="15">
        <f t="shared" si="191"/>
        <v>1.05</v>
      </c>
      <c r="Y891" s="15">
        <f t="shared" si="192"/>
        <v>0.95</v>
      </c>
      <c r="Z891" s="15">
        <f t="shared" ca="1" si="193"/>
        <v>1</v>
      </c>
      <c r="AC891" s="15">
        <f t="shared" ca="1" si="194"/>
        <v>2.852262428238461E-7</v>
      </c>
      <c r="AD891" s="15">
        <f t="shared" ca="1" si="195"/>
        <v>5.3406576638448389E-4</v>
      </c>
      <c r="AE891" s="15">
        <f t="shared" ca="1" si="196"/>
        <v>0.45342183566042682</v>
      </c>
    </row>
    <row r="892" spans="12:31" x14ac:dyDescent="0.3">
      <c r="L892" s="15">
        <v>890</v>
      </c>
      <c r="M892" s="15">
        <f t="shared" si="186"/>
        <v>1</v>
      </c>
      <c r="N892" s="15">
        <f t="shared" ca="1" si="187"/>
        <v>5.3406576638448389E-4</v>
      </c>
      <c r="O892" s="15">
        <f t="shared" ca="1" si="198"/>
        <v>0.25101365474482396</v>
      </c>
      <c r="P892" s="15">
        <f t="shared" ca="1" si="197"/>
        <v>0.25024795910582132</v>
      </c>
      <c r="Q892" s="15">
        <v>0</v>
      </c>
      <c r="R892" s="15">
        <f t="shared" ca="1" si="188"/>
        <v>0.25024795910582132</v>
      </c>
      <c r="S892" s="15">
        <f t="shared" ca="1" si="199"/>
        <v>1.0009916476536433</v>
      </c>
      <c r="T892" s="15">
        <v>0</v>
      </c>
      <c r="U892" s="15">
        <f t="shared" ca="1" si="189"/>
        <v>1.0009916476536433</v>
      </c>
      <c r="V892" s="15">
        <f t="shared" ca="1" si="190"/>
        <v>0.99946593423361552</v>
      </c>
      <c r="X892" s="15">
        <f t="shared" si="191"/>
        <v>1.05</v>
      </c>
      <c r="Y892" s="15">
        <f t="shared" si="192"/>
        <v>0.95</v>
      </c>
      <c r="Z892" s="15">
        <f t="shared" ca="1" si="193"/>
        <v>1</v>
      </c>
      <c r="AC892" s="15">
        <f t="shared" ca="1" si="194"/>
        <v>2.852262428238461E-7</v>
      </c>
      <c r="AD892" s="15">
        <f t="shared" ca="1" si="195"/>
        <v>5.3406576638448389E-4</v>
      </c>
      <c r="AE892" s="15">
        <f t="shared" ca="1" si="196"/>
        <v>0.4539559014268113</v>
      </c>
    </row>
    <row r="893" spans="12:31" x14ac:dyDescent="0.3">
      <c r="L893" s="15">
        <v>891</v>
      </c>
      <c r="M893" s="15">
        <f t="shared" si="186"/>
        <v>1</v>
      </c>
      <c r="N893" s="15">
        <f t="shared" ca="1" si="187"/>
        <v>5.3406576638448389E-4</v>
      </c>
      <c r="O893" s="15">
        <f t="shared" ca="1" si="198"/>
        <v>0.25102375172277347</v>
      </c>
      <c r="P893" s="15">
        <f t="shared" ca="1" si="197"/>
        <v>0.25024795910582132</v>
      </c>
      <c r="Q893" s="15">
        <v>0</v>
      </c>
      <c r="R893" s="15">
        <f t="shared" ca="1" si="188"/>
        <v>0.25024795910582132</v>
      </c>
      <c r="S893" s="15">
        <f t="shared" ca="1" si="199"/>
        <v>1.000991660471511</v>
      </c>
      <c r="T893" s="15">
        <v>0</v>
      </c>
      <c r="U893" s="15">
        <f t="shared" ca="1" si="189"/>
        <v>1.000991660471511</v>
      </c>
      <c r="V893" s="15">
        <f t="shared" ca="1" si="190"/>
        <v>0.99946593423361552</v>
      </c>
      <c r="X893" s="15">
        <f t="shared" si="191"/>
        <v>1.05</v>
      </c>
      <c r="Y893" s="15">
        <f t="shared" si="192"/>
        <v>0.95</v>
      </c>
      <c r="Z893" s="15">
        <f t="shared" ca="1" si="193"/>
        <v>1</v>
      </c>
      <c r="AC893" s="15">
        <f t="shared" ca="1" si="194"/>
        <v>2.852262428238461E-7</v>
      </c>
      <c r="AD893" s="15">
        <f t="shared" ca="1" si="195"/>
        <v>5.3406576638448389E-4</v>
      </c>
      <c r="AE893" s="15">
        <f t="shared" ca="1" si="196"/>
        <v>0.45448996719319579</v>
      </c>
    </row>
    <row r="894" spans="12:31" x14ac:dyDescent="0.3">
      <c r="L894" s="15">
        <v>892</v>
      </c>
      <c r="M894" s="15">
        <f t="shared" si="186"/>
        <v>1</v>
      </c>
      <c r="N894" s="15">
        <f t="shared" ca="1" si="187"/>
        <v>5.3406576638448389E-4</v>
      </c>
      <c r="O894" s="15">
        <f t="shared" ca="1" si="198"/>
        <v>0.25102375172277347</v>
      </c>
      <c r="P894" s="15">
        <f t="shared" ca="1" si="197"/>
        <v>0.25024795910582132</v>
      </c>
      <c r="Q894" s="15">
        <v>0</v>
      </c>
      <c r="R894" s="15">
        <f t="shared" ca="1" si="188"/>
        <v>0.25024795910582132</v>
      </c>
      <c r="S894" s="15">
        <f t="shared" ca="1" si="199"/>
        <v>1.0009916724065349</v>
      </c>
      <c r="T894" s="15">
        <v>0</v>
      </c>
      <c r="U894" s="15">
        <f t="shared" ca="1" si="189"/>
        <v>1.0009916724065349</v>
      </c>
      <c r="V894" s="15">
        <f t="shared" ca="1" si="190"/>
        <v>0.99946593423361552</v>
      </c>
      <c r="X894" s="15">
        <f t="shared" si="191"/>
        <v>1.05</v>
      </c>
      <c r="Y894" s="15">
        <f t="shared" si="192"/>
        <v>0.95</v>
      </c>
      <c r="Z894" s="15">
        <f t="shared" ca="1" si="193"/>
        <v>1</v>
      </c>
      <c r="AC894" s="15">
        <f t="shared" ca="1" si="194"/>
        <v>2.852262428238461E-7</v>
      </c>
      <c r="AD894" s="15">
        <f t="shared" ca="1" si="195"/>
        <v>5.3406576638448389E-4</v>
      </c>
      <c r="AE894" s="15">
        <f t="shared" ca="1" si="196"/>
        <v>0.45502403295958027</v>
      </c>
    </row>
    <row r="895" spans="12:31" x14ac:dyDescent="0.3">
      <c r="L895" s="15">
        <v>893</v>
      </c>
      <c r="M895" s="15">
        <f t="shared" si="186"/>
        <v>1</v>
      </c>
      <c r="N895" s="15">
        <f t="shared" ca="1" si="187"/>
        <v>5.3406576638448389E-4</v>
      </c>
      <c r="O895" s="15">
        <f t="shared" ca="1" si="198"/>
        <v>0.25102375172277347</v>
      </c>
      <c r="P895" s="15">
        <f t="shared" ca="1" si="197"/>
        <v>0.25024795910582132</v>
      </c>
      <c r="Q895" s="15">
        <v>0</v>
      </c>
      <c r="R895" s="15">
        <f t="shared" ca="1" si="188"/>
        <v>0.25024795910582132</v>
      </c>
      <c r="S895" s="15">
        <f t="shared" ca="1" si="199"/>
        <v>1.0009916835202992</v>
      </c>
      <c r="T895" s="15">
        <v>0</v>
      </c>
      <c r="U895" s="15">
        <f t="shared" ca="1" si="189"/>
        <v>1.0009916835202992</v>
      </c>
      <c r="V895" s="15">
        <f t="shared" ca="1" si="190"/>
        <v>0.99946593423361552</v>
      </c>
      <c r="X895" s="15">
        <f t="shared" si="191"/>
        <v>1.05</v>
      </c>
      <c r="Y895" s="15">
        <f t="shared" si="192"/>
        <v>0.95</v>
      </c>
      <c r="Z895" s="15">
        <f t="shared" ca="1" si="193"/>
        <v>1</v>
      </c>
      <c r="AC895" s="15">
        <f t="shared" ca="1" si="194"/>
        <v>2.852262428238461E-7</v>
      </c>
      <c r="AD895" s="15">
        <f t="shared" ca="1" si="195"/>
        <v>5.3406576638448389E-4</v>
      </c>
      <c r="AE895" s="15">
        <f t="shared" ca="1" si="196"/>
        <v>0.45555809872596476</v>
      </c>
    </row>
    <row r="896" spans="12:31" x14ac:dyDescent="0.3">
      <c r="L896" s="15">
        <v>894</v>
      </c>
      <c r="M896" s="15">
        <f t="shared" si="186"/>
        <v>1</v>
      </c>
      <c r="N896" s="15">
        <f t="shared" ca="1" si="187"/>
        <v>5.3406576638448389E-4</v>
      </c>
      <c r="O896" s="15">
        <f t="shared" ca="1" si="198"/>
        <v>0.25103384870072298</v>
      </c>
      <c r="P896" s="15">
        <f t="shared" ca="1" si="197"/>
        <v>0.25024795910582132</v>
      </c>
      <c r="Q896" s="15">
        <v>0</v>
      </c>
      <c r="R896" s="15">
        <f t="shared" ca="1" si="188"/>
        <v>0.25024795910582132</v>
      </c>
      <c r="S896" s="15">
        <f t="shared" ca="1" si="199"/>
        <v>1.0009916938700447</v>
      </c>
      <c r="T896" s="15">
        <v>0</v>
      </c>
      <c r="U896" s="15">
        <f t="shared" ca="1" si="189"/>
        <v>1.0009916938700447</v>
      </c>
      <c r="V896" s="15">
        <f t="shared" ca="1" si="190"/>
        <v>0.99946593423361552</v>
      </c>
      <c r="X896" s="15">
        <f t="shared" si="191"/>
        <v>1.05</v>
      </c>
      <c r="Y896" s="15">
        <f t="shared" si="192"/>
        <v>0.95</v>
      </c>
      <c r="Z896" s="15">
        <f t="shared" ca="1" si="193"/>
        <v>1</v>
      </c>
      <c r="AC896" s="15">
        <f t="shared" ca="1" si="194"/>
        <v>2.852262428238461E-7</v>
      </c>
      <c r="AD896" s="15">
        <f t="shared" ca="1" si="195"/>
        <v>5.3406576638448389E-4</v>
      </c>
      <c r="AE896" s="15">
        <f t="shared" ca="1" si="196"/>
        <v>0.45609216449234924</v>
      </c>
    </row>
    <row r="897" spans="12:31" x14ac:dyDescent="0.3">
      <c r="L897" s="15">
        <v>895</v>
      </c>
      <c r="M897" s="15">
        <f t="shared" si="186"/>
        <v>1</v>
      </c>
      <c r="N897" s="15">
        <f t="shared" ca="1" si="187"/>
        <v>5.3406576638448389E-4</v>
      </c>
      <c r="O897" s="15">
        <f t="shared" ca="1" si="198"/>
        <v>0.25103384870072298</v>
      </c>
      <c r="P897" s="15">
        <f t="shared" ca="1" si="197"/>
        <v>0.25024795910582132</v>
      </c>
      <c r="Q897" s="15">
        <v>0</v>
      </c>
      <c r="R897" s="15">
        <f t="shared" ca="1" si="188"/>
        <v>0.25024795910582132</v>
      </c>
      <c r="S897" s="15">
        <f t="shared" ca="1" si="199"/>
        <v>1.0009917035089777</v>
      </c>
      <c r="T897" s="15">
        <v>0</v>
      </c>
      <c r="U897" s="15">
        <f t="shared" ca="1" si="189"/>
        <v>1.0009917035089777</v>
      </c>
      <c r="V897" s="15">
        <f t="shared" ca="1" si="190"/>
        <v>0.99946593423361552</v>
      </c>
      <c r="X897" s="15">
        <f t="shared" si="191"/>
        <v>1.05</v>
      </c>
      <c r="Y897" s="15">
        <f t="shared" si="192"/>
        <v>0.95</v>
      </c>
      <c r="Z897" s="15">
        <f t="shared" ca="1" si="193"/>
        <v>1</v>
      </c>
      <c r="AC897" s="15">
        <f t="shared" ca="1" si="194"/>
        <v>2.852262428238461E-7</v>
      </c>
      <c r="AD897" s="15">
        <f t="shared" ca="1" si="195"/>
        <v>5.3406576638448389E-4</v>
      </c>
      <c r="AE897" s="15">
        <f t="shared" ca="1" si="196"/>
        <v>0.45662623025873372</v>
      </c>
    </row>
    <row r="898" spans="12:31" x14ac:dyDescent="0.3">
      <c r="L898" s="15">
        <v>896</v>
      </c>
      <c r="M898" s="15">
        <f t="shared" si="186"/>
        <v>1</v>
      </c>
      <c r="N898" s="15">
        <f t="shared" ca="1" si="187"/>
        <v>5.3406576638448389E-4</v>
      </c>
      <c r="O898" s="15">
        <f t="shared" ca="1" si="198"/>
        <v>0.25103384870072298</v>
      </c>
      <c r="P898" s="15">
        <f t="shared" ca="1" si="197"/>
        <v>0.25024795910582132</v>
      </c>
      <c r="Q898" s="15">
        <v>0</v>
      </c>
      <c r="R898" s="15">
        <f t="shared" ca="1" si="188"/>
        <v>0.25024795910582132</v>
      </c>
      <c r="S898" s="15">
        <f t="shared" ca="1" si="199"/>
        <v>1.0009917124865568</v>
      </c>
      <c r="T898" s="15">
        <v>0</v>
      </c>
      <c r="U898" s="15">
        <f t="shared" ca="1" si="189"/>
        <v>1.0009917124865568</v>
      </c>
      <c r="V898" s="15">
        <f t="shared" ca="1" si="190"/>
        <v>0.99946593423361552</v>
      </c>
      <c r="X898" s="15">
        <f t="shared" si="191"/>
        <v>1.05</v>
      </c>
      <c r="Y898" s="15">
        <f t="shared" si="192"/>
        <v>0.95</v>
      </c>
      <c r="Z898" s="15">
        <f t="shared" ca="1" si="193"/>
        <v>1</v>
      </c>
      <c r="AC898" s="15">
        <f t="shared" ca="1" si="194"/>
        <v>2.852262428238461E-7</v>
      </c>
      <c r="AD898" s="15">
        <f t="shared" ca="1" si="195"/>
        <v>5.3406576638448389E-4</v>
      </c>
      <c r="AE898" s="15">
        <f t="shared" ca="1" si="196"/>
        <v>0.45716029602511821</v>
      </c>
    </row>
    <row r="899" spans="12:31" x14ac:dyDescent="0.3">
      <c r="L899" s="15">
        <v>897</v>
      </c>
      <c r="M899" s="15">
        <f t="shared" ref="M899:M962" si="200">IF(L899&lt;$D$16,$D$12,IF(L899&lt;$E$16,$E$12,$F$13))</f>
        <v>1</v>
      </c>
      <c r="N899" s="15">
        <f t="shared" ref="N899:N962" ca="1" si="201">M899-V899</f>
        <v>5.3406576638448389E-4</v>
      </c>
      <c r="O899" s="15">
        <f t="shared" ca="1" si="198"/>
        <v>0.2510439456786725</v>
      </c>
      <c r="P899" s="15">
        <f t="shared" ca="1" si="197"/>
        <v>0.25024795910582132</v>
      </c>
      <c r="Q899" s="15">
        <v>0</v>
      </c>
      <c r="R899" s="15">
        <f t="shared" ref="R899:R962" ca="1" si="202">P899+Q899</f>
        <v>0.25024795910582132</v>
      </c>
      <c r="S899" s="15">
        <f t="shared" ca="1" si="199"/>
        <v>1.0009917208487602</v>
      </c>
      <c r="T899" s="15">
        <v>0</v>
      </c>
      <c r="U899" s="15">
        <f t="shared" ref="U899:U962" ca="1" si="203">S899+T899</f>
        <v>1.0009917208487602</v>
      </c>
      <c r="V899" s="15">
        <f t="shared" ref="V899:V962" ca="1" si="204">INT((2^$J$12-1)*U899/100)/(2^$J$12-1)*100</f>
        <v>0.99946593423361552</v>
      </c>
      <c r="X899" s="15">
        <f t="shared" ref="X899:X962" si="205">M899 * 1.05</f>
        <v>1.05</v>
      </c>
      <c r="Y899" s="15">
        <f t="shared" ref="Y899:Y962" si="206">M899 * 0.95</f>
        <v>0.95</v>
      </c>
      <c r="Z899" s="15">
        <f t="shared" ref="Z899:Z962" ca="1" si="207">IF(AND(V899 &lt;= X899, V899 &gt;= Y899), 1, 0)</f>
        <v>1</v>
      </c>
      <c r="AC899" s="15">
        <f t="shared" ref="AC899:AC962" ca="1" si="208">N899^2</f>
        <v>2.852262428238461E-7</v>
      </c>
      <c r="AD899" s="15">
        <f t="shared" ref="AD899:AD962" ca="1" si="209">ABS(N899)</f>
        <v>5.3406576638448389E-4</v>
      </c>
      <c r="AE899" s="15">
        <f t="shared" ref="AE899:AE962" ca="1" si="210">IF(M899&gt;0, ABS(N899)*(L899-$D$16),0)</f>
        <v>0.45769436179150269</v>
      </c>
    </row>
    <row r="900" spans="12:31" x14ac:dyDescent="0.3">
      <c r="L900" s="15">
        <v>898</v>
      </c>
      <c r="M900" s="15">
        <f t="shared" si="200"/>
        <v>1</v>
      </c>
      <c r="N900" s="15">
        <f t="shared" ca="1" si="201"/>
        <v>5.3406576638448389E-4</v>
      </c>
      <c r="O900" s="15">
        <f t="shared" ca="1" si="198"/>
        <v>0.2510439456786725</v>
      </c>
      <c r="P900" s="15">
        <f t="shared" ca="1" si="197"/>
        <v>0.25024795910582132</v>
      </c>
      <c r="Q900" s="15">
        <v>0</v>
      </c>
      <c r="R900" s="15">
        <f t="shared" ca="1" si="202"/>
        <v>0.25024795910582132</v>
      </c>
      <c r="S900" s="15">
        <f t="shared" ca="1" si="199"/>
        <v>1.0009917286383325</v>
      </c>
      <c r="T900" s="15">
        <v>0</v>
      </c>
      <c r="U900" s="15">
        <f t="shared" ca="1" si="203"/>
        <v>1.0009917286383325</v>
      </c>
      <c r="V900" s="15">
        <f t="shared" ca="1" si="204"/>
        <v>0.99946593423361552</v>
      </c>
      <c r="X900" s="15">
        <f t="shared" si="205"/>
        <v>1.05</v>
      </c>
      <c r="Y900" s="15">
        <f t="shared" si="206"/>
        <v>0.95</v>
      </c>
      <c r="Z900" s="15">
        <f t="shared" ca="1" si="207"/>
        <v>1</v>
      </c>
      <c r="AC900" s="15">
        <f t="shared" ca="1" si="208"/>
        <v>2.852262428238461E-7</v>
      </c>
      <c r="AD900" s="15">
        <f t="shared" ca="1" si="209"/>
        <v>5.3406576638448389E-4</v>
      </c>
      <c r="AE900" s="15">
        <f t="shared" ca="1" si="210"/>
        <v>0.45822842755788717</v>
      </c>
    </row>
    <row r="901" spans="12:31" x14ac:dyDescent="0.3">
      <c r="L901" s="15">
        <v>899</v>
      </c>
      <c r="M901" s="15">
        <f t="shared" si="200"/>
        <v>1</v>
      </c>
      <c r="N901" s="15">
        <f t="shared" ca="1" si="201"/>
        <v>5.3406576638448389E-4</v>
      </c>
      <c r="O901" s="15">
        <f t="shared" ca="1" si="198"/>
        <v>0.2510439456786725</v>
      </c>
      <c r="P901" s="15">
        <f t="shared" ca="1" si="197"/>
        <v>0.25024795910582132</v>
      </c>
      <c r="Q901" s="15">
        <v>0</v>
      </c>
      <c r="R901" s="15">
        <f t="shared" ca="1" si="202"/>
        <v>0.25024795910582132</v>
      </c>
      <c r="S901" s="15">
        <f t="shared" ca="1" si="199"/>
        <v>1.0009917358950144</v>
      </c>
      <c r="T901" s="15">
        <v>0</v>
      </c>
      <c r="U901" s="15">
        <f t="shared" ca="1" si="203"/>
        <v>1.0009917358950144</v>
      </c>
      <c r="V901" s="15">
        <f t="shared" ca="1" si="204"/>
        <v>0.99946593423361552</v>
      </c>
      <c r="X901" s="15">
        <f t="shared" si="205"/>
        <v>1.05</v>
      </c>
      <c r="Y901" s="15">
        <f t="shared" si="206"/>
        <v>0.95</v>
      </c>
      <c r="Z901" s="15">
        <f t="shared" ca="1" si="207"/>
        <v>1</v>
      </c>
      <c r="AC901" s="15">
        <f t="shared" ca="1" si="208"/>
        <v>2.852262428238461E-7</v>
      </c>
      <c r="AD901" s="15">
        <f t="shared" ca="1" si="209"/>
        <v>5.3406576638448389E-4</v>
      </c>
      <c r="AE901" s="15">
        <f t="shared" ca="1" si="210"/>
        <v>0.45876249332427166</v>
      </c>
    </row>
    <row r="902" spans="12:31" x14ac:dyDescent="0.3">
      <c r="L902" s="15">
        <v>900</v>
      </c>
      <c r="M902" s="15">
        <f t="shared" si="200"/>
        <v>1</v>
      </c>
      <c r="N902" s="15">
        <f t="shared" ca="1" si="201"/>
        <v>5.3406576638448389E-4</v>
      </c>
      <c r="O902" s="15">
        <f t="shared" ca="1" si="198"/>
        <v>0.25105404265662201</v>
      </c>
      <c r="P902" s="15">
        <f t="shared" ca="1" si="197"/>
        <v>0.25024795910582132</v>
      </c>
      <c r="Q902" s="15">
        <v>0</v>
      </c>
      <c r="R902" s="15">
        <f t="shared" ca="1" si="202"/>
        <v>0.25024795910582132</v>
      </c>
      <c r="S902" s="15">
        <f t="shared" ca="1" si="199"/>
        <v>1.0009917426557562</v>
      </c>
      <c r="T902" s="15">
        <v>0</v>
      </c>
      <c r="U902" s="15">
        <f t="shared" ca="1" si="203"/>
        <v>1.0009917426557562</v>
      </c>
      <c r="V902" s="15">
        <f t="shared" ca="1" si="204"/>
        <v>0.99946593423361552</v>
      </c>
      <c r="X902" s="15">
        <f t="shared" si="205"/>
        <v>1.05</v>
      </c>
      <c r="Y902" s="15">
        <f t="shared" si="206"/>
        <v>0.95</v>
      </c>
      <c r="Z902" s="15">
        <f t="shared" ca="1" si="207"/>
        <v>1</v>
      </c>
      <c r="AC902" s="15">
        <f t="shared" ca="1" si="208"/>
        <v>2.852262428238461E-7</v>
      </c>
      <c r="AD902" s="15">
        <f t="shared" ca="1" si="209"/>
        <v>5.3406576638448389E-4</v>
      </c>
      <c r="AE902" s="15">
        <f t="shared" ca="1" si="210"/>
        <v>0.45929655909065614</v>
      </c>
    </row>
    <row r="903" spans="12:31" x14ac:dyDescent="0.3">
      <c r="L903" s="15">
        <v>901</v>
      </c>
      <c r="M903" s="15">
        <f t="shared" si="200"/>
        <v>1</v>
      </c>
      <c r="N903" s="15">
        <f t="shared" ca="1" si="201"/>
        <v>5.3406576638448389E-4</v>
      </c>
      <c r="O903" s="15">
        <f t="shared" ca="1" si="198"/>
        <v>0.25105404265662201</v>
      </c>
      <c r="P903" s="15">
        <f t="shared" ca="1" si="197"/>
        <v>0.25024795910582132</v>
      </c>
      <c r="Q903" s="15">
        <v>0</v>
      </c>
      <c r="R903" s="15">
        <f t="shared" ca="1" si="202"/>
        <v>0.25024795910582132</v>
      </c>
      <c r="S903" s="15">
        <f t="shared" ca="1" si="199"/>
        <v>1.0009917489549152</v>
      </c>
      <c r="T903" s="15">
        <v>0</v>
      </c>
      <c r="U903" s="15">
        <f t="shared" ca="1" si="203"/>
        <v>1.0009917489549152</v>
      </c>
      <c r="V903" s="15">
        <f t="shared" ca="1" si="204"/>
        <v>0.99946593423361552</v>
      </c>
      <c r="X903" s="15">
        <f t="shared" si="205"/>
        <v>1.05</v>
      </c>
      <c r="Y903" s="15">
        <f t="shared" si="206"/>
        <v>0.95</v>
      </c>
      <c r="Z903" s="15">
        <f t="shared" ca="1" si="207"/>
        <v>1</v>
      </c>
      <c r="AC903" s="15">
        <f t="shared" ca="1" si="208"/>
        <v>2.852262428238461E-7</v>
      </c>
      <c r="AD903" s="15">
        <f t="shared" ca="1" si="209"/>
        <v>5.3406576638448389E-4</v>
      </c>
      <c r="AE903" s="15">
        <f t="shared" ca="1" si="210"/>
        <v>0.45983062485704063</v>
      </c>
    </row>
    <row r="904" spans="12:31" x14ac:dyDescent="0.3">
      <c r="L904" s="15">
        <v>902</v>
      </c>
      <c r="M904" s="15">
        <f t="shared" si="200"/>
        <v>1</v>
      </c>
      <c r="N904" s="15">
        <f t="shared" ca="1" si="201"/>
        <v>5.3406576638448389E-4</v>
      </c>
      <c r="O904" s="15">
        <f t="shared" ca="1" si="198"/>
        <v>0.25105404265662201</v>
      </c>
      <c r="P904" s="15">
        <f t="shared" ca="1" si="197"/>
        <v>0.25024795910582132</v>
      </c>
      <c r="Q904" s="15">
        <v>0</v>
      </c>
      <c r="R904" s="15">
        <f t="shared" ca="1" si="202"/>
        <v>0.25024795910582132</v>
      </c>
      <c r="S904" s="15">
        <f t="shared" ca="1" si="199"/>
        <v>1.0009917548244398</v>
      </c>
      <c r="T904" s="15">
        <v>0</v>
      </c>
      <c r="U904" s="15">
        <f t="shared" ca="1" si="203"/>
        <v>1.0009917548244398</v>
      </c>
      <c r="V904" s="15">
        <f t="shared" ca="1" si="204"/>
        <v>0.99946593423361552</v>
      </c>
      <c r="X904" s="15">
        <f t="shared" si="205"/>
        <v>1.05</v>
      </c>
      <c r="Y904" s="15">
        <f t="shared" si="206"/>
        <v>0.95</v>
      </c>
      <c r="Z904" s="15">
        <f t="shared" ca="1" si="207"/>
        <v>1</v>
      </c>
      <c r="AC904" s="15">
        <f t="shared" ca="1" si="208"/>
        <v>2.852262428238461E-7</v>
      </c>
      <c r="AD904" s="15">
        <f t="shared" ca="1" si="209"/>
        <v>5.3406576638448389E-4</v>
      </c>
      <c r="AE904" s="15">
        <f t="shared" ca="1" si="210"/>
        <v>0.46036469062342511</v>
      </c>
    </row>
    <row r="905" spans="12:31" x14ac:dyDescent="0.3">
      <c r="L905" s="15">
        <v>903</v>
      </c>
      <c r="M905" s="15">
        <f t="shared" si="200"/>
        <v>1</v>
      </c>
      <c r="N905" s="15">
        <f t="shared" ca="1" si="201"/>
        <v>5.3406576638448389E-4</v>
      </c>
      <c r="O905" s="15">
        <f t="shared" ca="1" si="198"/>
        <v>0.25106413963457153</v>
      </c>
      <c r="P905" s="15">
        <f t="shared" ca="1" si="197"/>
        <v>0.25024795910582132</v>
      </c>
      <c r="Q905" s="15">
        <v>0</v>
      </c>
      <c r="R905" s="15">
        <f t="shared" ca="1" si="202"/>
        <v>0.25024795910582132</v>
      </c>
      <c r="S905" s="15">
        <f t="shared" ca="1" si="199"/>
        <v>1.0009917602940406</v>
      </c>
      <c r="T905" s="15">
        <v>0</v>
      </c>
      <c r="U905" s="15">
        <f t="shared" ca="1" si="203"/>
        <v>1.0009917602940406</v>
      </c>
      <c r="V905" s="15">
        <f t="shared" ca="1" si="204"/>
        <v>0.99946593423361552</v>
      </c>
      <c r="X905" s="15">
        <f t="shared" si="205"/>
        <v>1.05</v>
      </c>
      <c r="Y905" s="15">
        <f t="shared" si="206"/>
        <v>0.95</v>
      </c>
      <c r="Z905" s="15">
        <f t="shared" ca="1" si="207"/>
        <v>1</v>
      </c>
      <c r="AC905" s="15">
        <f t="shared" ca="1" si="208"/>
        <v>2.852262428238461E-7</v>
      </c>
      <c r="AD905" s="15">
        <f t="shared" ca="1" si="209"/>
        <v>5.3406576638448389E-4</v>
      </c>
      <c r="AE905" s="15">
        <f t="shared" ca="1" si="210"/>
        <v>0.46089875638980959</v>
      </c>
    </row>
    <row r="906" spans="12:31" x14ac:dyDescent="0.3">
      <c r="L906" s="15">
        <v>904</v>
      </c>
      <c r="M906" s="15">
        <f t="shared" si="200"/>
        <v>1</v>
      </c>
      <c r="N906" s="15">
        <f t="shared" ca="1" si="201"/>
        <v>5.3406576638448389E-4</v>
      </c>
      <c r="O906" s="15">
        <f t="shared" ca="1" si="198"/>
        <v>0.25106413963457153</v>
      </c>
      <c r="P906" s="15">
        <f t="shared" ca="1" si="197"/>
        <v>0.25024795910582132</v>
      </c>
      <c r="Q906" s="15">
        <v>0</v>
      </c>
      <c r="R906" s="15">
        <f t="shared" ca="1" si="202"/>
        <v>0.25024795910582132</v>
      </c>
      <c r="S906" s="15">
        <f t="shared" ca="1" si="199"/>
        <v>1.0009917653913478</v>
      </c>
      <c r="T906" s="15">
        <v>0</v>
      </c>
      <c r="U906" s="15">
        <f t="shared" ca="1" si="203"/>
        <v>1.0009917653913478</v>
      </c>
      <c r="V906" s="15">
        <f t="shared" ca="1" si="204"/>
        <v>0.99946593423361552</v>
      </c>
      <c r="X906" s="15">
        <f t="shared" si="205"/>
        <v>1.05</v>
      </c>
      <c r="Y906" s="15">
        <f t="shared" si="206"/>
        <v>0.95</v>
      </c>
      <c r="Z906" s="15">
        <f t="shared" ca="1" si="207"/>
        <v>1</v>
      </c>
      <c r="AC906" s="15">
        <f t="shared" ca="1" si="208"/>
        <v>2.852262428238461E-7</v>
      </c>
      <c r="AD906" s="15">
        <f t="shared" ca="1" si="209"/>
        <v>5.3406576638448389E-4</v>
      </c>
      <c r="AE906" s="15">
        <f t="shared" ca="1" si="210"/>
        <v>0.46143282215619408</v>
      </c>
    </row>
    <row r="907" spans="12:31" x14ac:dyDescent="0.3">
      <c r="L907" s="15">
        <v>905</v>
      </c>
      <c r="M907" s="15">
        <f t="shared" si="200"/>
        <v>1</v>
      </c>
      <c r="N907" s="15">
        <f t="shared" ca="1" si="201"/>
        <v>5.3406576638448389E-4</v>
      </c>
      <c r="O907" s="15">
        <f t="shared" ca="1" si="198"/>
        <v>0.25106413963457153</v>
      </c>
      <c r="P907" s="15">
        <f t="shared" ca="1" si="197"/>
        <v>0.25024795910582132</v>
      </c>
      <c r="Q907" s="15">
        <v>0</v>
      </c>
      <c r="R907" s="15">
        <f t="shared" ca="1" si="202"/>
        <v>0.25024795910582132</v>
      </c>
      <c r="S907" s="15">
        <f t="shared" ca="1" si="199"/>
        <v>1.0009917701420594</v>
      </c>
      <c r="T907" s="15">
        <v>0</v>
      </c>
      <c r="U907" s="15">
        <f t="shared" ca="1" si="203"/>
        <v>1.0009917701420594</v>
      </c>
      <c r="V907" s="15">
        <f t="shared" ca="1" si="204"/>
        <v>0.99946593423361552</v>
      </c>
      <c r="X907" s="15">
        <f t="shared" si="205"/>
        <v>1.05</v>
      </c>
      <c r="Y907" s="15">
        <f t="shared" si="206"/>
        <v>0.95</v>
      </c>
      <c r="Z907" s="15">
        <f t="shared" ca="1" si="207"/>
        <v>1</v>
      </c>
      <c r="AC907" s="15">
        <f t="shared" ca="1" si="208"/>
        <v>2.852262428238461E-7</v>
      </c>
      <c r="AD907" s="15">
        <f t="shared" ca="1" si="209"/>
        <v>5.3406576638448389E-4</v>
      </c>
      <c r="AE907" s="15">
        <f t="shared" ca="1" si="210"/>
        <v>0.46196688792257856</v>
      </c>
    </row>
    <row r="908" spans="12:31" x14ac:dyDescent="0.3">
      <c r="L908" s="15">
        <v>906</v>
      </c>
      <c r="M908" s="15">
        <f t="shared" si="200"/>
        <v>1</v>
      </c>
      <c r="N908" s="15">
        <f t="shared" ca="1" si="201"/>
        <v>5.3406576638448389E-4</v>
      </c>
      <c r="O908" s="15">
        <f t="shared" ca="1" si="198"/>
        <v>0.25107423661252104</v>
      </c>
      <c r="P908" s="15">
        <f t="shared" ca="1" si="197"/>
        <v>0.25024795910582132</v>
      </c>
      <c r="Q908" s="15">
        <v>0</v>
      </c>
      <c r="R908" s="15">
        <f t="shared" ca="1" si="202"/>
        <v>0.25024795910582132</v>
      </c>
      <c r="S908" s="15">
        <f t="shared" ca="1" si="199"/>
        <v>1.0009917745700774</v>
      </c>
      <c r="T908" s="15">
        <v>0</v>
      </c>
      <c r="U908" s="15">
        <f t="shared" ca="1" si="203"/>
        <v>1.0009917745700774</v>
      </c>
      <c r="V908" s="15">
        <f t="shared" ca="1" si="204"/>
        <v>0.99946593423361552</v>
      </c>
      <c r="X908" s="15">
        <f t="shared" si="205"/>
        <v>1.05</v>
      </c>
      <c r="Y908" s="15">
        <f t="shared" si="206"/>
        <v>0.95</v>
      </c>
      <c r="Z908" s="15">
        <f t="shared" ca="1" si="207"/>
        <v>1</v>
      </c>
      <c r="AC908" s="15">
        <f t="shared" ca="1" si="208"/>
        <v>2.852262428238461E-7</v>
      </c>
      <c r="AD908" s="15">
        <f t="shared" ca="1" si="209"/>
        <v>5.3406576638448389E-4</v>
      </c>
      <c r="AE908" s="15">
        <f t="shared" ca="1" si="210"/>
        <v>0.46250095368896305</v>
      </c>
    </row>
    <row r="909" spans="12:31" x14ac:dyDescent="0.3">
      <c r="L909" s="15">
        <v>907</v>
      </c>
      <c r="M909" s="15">
        <f t="shared" si="200"/>
        <v>1</v>
      </c>
      <c r="N909" s="15">
        <f t="shared" ca="1" si="201"/>
        <v>5.3406576638448389E-4</v>
      </c>
      <c r="O909" s="15">
        <f t="shared" ca="1" si="198"/>
        <v>0.25107423661252104</v>
      </c>
      <c r="P909" s="15">
        <f t="shared" ref="P909:P972" ca="1" si="211">INT((2^$J$12-1)*O909/100)/(2^$J$12-1)*100</f>
        <v>0.25024795910582132</v>
      </c>
      <c r="Q909" s="15">
        <v>0</v>
      </c>
      <c r="R909" s="15">
        <f t="shared" ca="1" si="202"/>
        <v>0.25024795910582132</v>
      </c>
      <c r="S909" s="15">
        <f t="shared" ca="1" si="199"/>
        <v>1.0009917786976343</v>
      </c>
      <c r="T909" s="15">
        <v>0</v>
      </c>
      <c r="U909" s="15">
        <f t="shared" ca="1" si="203"/>
        <v>1.0009917786976343</v>
      </c>
      <c r="V909" s="15">
        <f t="shared" ca="1" si="204"/>
        <v>0.99946593423361552</v>
      </c>
      <c r="X909" s="15">
        <f t="shared" si="205"/>
        <v>1.05</v>
      </c>
      <c r="Y909" s="15">
        <f t="shared" si="206"/>
        <v>0.95</v>
      </c>
      <c r="Z909" s="15">
        <f t="shared" ca="1" si="207"/>
        <v>1</v>
      </c>
      <c r="AC909" s="15">
        <f t="shared" ca="1" si="208"/>
        <v>2.852262428238461E-7</v>
      </c>
      <c r="AD909" s="15">
        <f t="shared" ca="1" si="209"/>
        <v>5.3406576638448389E-4</v>
      </c>
      <c r="AE909" s="15">
        <f t="shared" ca="1" si="210"/>
        <v>0.46303501945534753</v>
      </c>
    </row>
    <row r="910" spans="12:31" x14ac:dyDescent="0.3">
      <c r="L910" s="15">
        <v>908</v>
      </c>
      <c r="M910" s="15">
        <f t="shared" si="200"/>
        <v>1</v>
      </c>
      <c r="N910" s="15">
        <f t="shared" ca="1" si="201"/>
        <v>5.3406576638448389E-4</v>
      </c>
      <c r="O910" s="15">
        <f t="shared" ca="1" si="198"/>
        <v>0.25107423661252104</v>
      </c>
      <c r="P910" s="15">
        <f t="shared" ca="1" si="211"/>
        <v>0.25024795910582132</v>
      </c>
      <c r="Q910" s="15">
        <v>0</v>
      </c>
      <c r="R910" s="15">
        <f t="shared" ca="1" si="202"/>
        <v>0.25024795910582132</v>
      </c>
      <c r="S910" s="15">
        <f t="shared" ca="1" si="199"/>
        <v>1.0009917825454118</v>
      </c>
      <c r="T910" s="15">
        <v>0</v>
      </c>
      <c r="U910" s="15">
        <f t="shared" ca="1" si="203"/>
        <v>1.0009917825454118</v>
      </c>
      <c r="V910" s="15">
        <f t="shared" ca="1" si="204"/>
        <v>0.99946593423361552</v>
      </c>
      <c r="X910" s="15">
        <f t="shared" si="205"/>
        <v>1.05</v>
      </c>
      <c r="Y910" s="15">
        <f t="shared" si="206"/>
        <v>0.95</v>
      </c>
      <c r="Z910" s="15">
        <f t="shared" ca="1" si="207"/>
        <v>1</v>
      </c>
      <c r="AC910" s="15">
        <f t="shared" ca="1" si="208"/>
        <v>2.852262428238461E-7</v>
      </c>
      <c r="AD910" s="15">
        <f t="shared" ca="1" si="209"/>
        <v>5.3406576638448389E-4</v>
      </c>
      <c r="AE910" s="15">
        <f t="shared" ca="1" si="210"/>
        <v>0.46356908522173201</v>
      </c>
    </row>
    <row r="911" spans="12:31" x14ac:dyDescent="0.3">
      <c r="L911" s="15">
        <v>909</v>
      </c>
      <c r="M911" s="15">
        <f t="shared" si="200"/>
        <v>1</v>
      </c>
      <c r="N911" s="15">
        <f t="shared" ca="1" si="201"/>
        <v>5.3406576638448389E-4</v>
      </c>
      <c r="O911" s="15">
        <f t="shared" ca="1" si="198"/>
        <v>0.25108433359047055</v>
      </c>
      <c r="P911" s="15">
        <f t="shared" ca="1" si="211"/>
        <v>0.25024795910582132</v>
      </c>
      <c r="Q911" s="15">
        <v>0</v>
      </c>
      <c r="R911" s="15">
        <f t="shared" ca="1" si="202"/>
        <v>0.25024795910582132</v>
      </c>
      <c r="S911" s="15">
        <f t="shared" ca="1" si="199"/>
        <v>1.0009917861326492</v>
      </c>
      <c r="T911" s="15">
        <v>0</v>
      </c>
      <c r="U911" s="15">
        <f t="shared" ca="1" si="203"/>
        <v>1.0009917861326492</v>
      </c>
      <c r="V911" s="15">
        <f t="shared" ca="1" si="204"/>
        <v>0.99946593423361552</v>
      </c>
      <c r="X911" s="15">
        <f t="shared" si="205"/>
        <v>1.05</v>
      </c>
      <c r="Y911" s="15">
        <f t="shared" si="206"/>
        <v>0.95</v>
      </c>
      <c r="Z911" s="15">
        <f t="shared" ca="1" si="207"/>
        <v>1</v>
      </c>
      <c r="AC911" s="15">
        <f t="shared" ca="1" si="208"/>
        <v>2.852262428238461E-7</v>
      </c>
      <c r="AD911" s="15">
        <f t="shared" ca="1" si="209"/>
        <v>5.3406576638448389E-4</v>
      </c>
      <c r="AE911" s="15">
        <f t="shared" ca="1" si="210"/>
        <v>0.4641031509881165</v>
      </c>
    </row>
    <row r="912" spans="12:31" x14ac:dyDescent="0.3">
      <c r="L912" s="15">
        <v>910</v>
      </c>
      <c r="M912" s="15">
        <f t="shared" si="200"/>
        <v>1</v>
      </c>
      <c r="N912" s="15">
        <f t="shared" ca="1" si="201"/>
        <v>5.3406576638448389E-4</v>
      </c>
      <c r="O912" s="15">
        <f t="shared" ca="1" si="198"/>
        <v>0.25108433359047055</v>
      </c>
      <c r="P912" s="15">
        <f t="shared" ca="1" si="211"/>
        <v>0.25024795910582132</v>
      </c>
      <c r="Q912" s="15">
        <v>0</v>
      </c>
      <c r="R912" s="15">
        <f t="shared" ca="1" si="202"/>
        <v>0.25024795910582132</v>
      </c>
      <c r="S912" s="15">
        <f t="shared" ca="1" si="199"/>
        <v>1.0009917894772458</v>
      </c>
      <c r="T912" s="15">
        <v>0</v>
      </c>
      <c r="U912" s="15">
        <f t="shared" ca="1" si="203"/>
        <v>1.0009917894772458</v>
      </c>
      <c r="V912" s="15">
        <f t="shared" ca="1" si="204"/>
        <v>0.99946593423361552</v>
      </c>
      <c r="X912" s="15">
        <f t="shared" si="205"/>
        <v>1.05</v>
      </c>
      <c r="Y912" s="15">
        <f t="shared" si="206"/>
        <v>0.95</v>
      </c>
      <c r="Z912" s="15">
        <f t="shared" ca="1" si="207"/>
        <v>1</v>
      </c>
      <c r="AC912" s="15">
        <f t="shared" ca="1" si="208"/>
        <v>2.852262428238461E-7</v>
      </c>
      <c r="AD912" s="15">
        <f t="shared" ca="1" si="209"/>
        <v>5.3406576638448389E-4</v>
      </c>
      <c r="AE912" s="15">
        <f t="shared" ca="1" si="210"/>
        <v>0.46463721675450098</v>
      </c>
    </row>
    <row r="913" spans="12:31" x14ac:dyDescent="0.3">
      <c r="L913" s="15">
        <v>911</v>
      </c>
      <c r="M913" s="15">
        <f t="shared" si="200"/>
        <v>1</v>
      </c>
      <c r="N913" s="15">
        <f t="shared" ca="1" si="201"/>
        <v>5.3406576638448389E-4</v>
      </c>
      <c r="O913" s="15">
        <f t="shared" ca="1" si="198"/>
        <v>0.25108433359047055</v>
      </c>
      <c r="P913" s="15">
        <f t="shared" ca="1" si="211"/>
        <v>0.25024795910582132</v>
      </c>
      <c r="Q913" s="15">
        <v>0</v>
      </c>
      <c r="R913" s="15">
        <f t="shared" ca="1" si="202"/>
        <v>0.25024795910582132</v>
      </c>
      <c r="S913" s="15">
        <f t="shared" ca="1" si="199"/>
        <v>1.0009917925958551</v>
      </c>
      <c r="T913" s="15">
        <v>0</v>
      </c>
      <c r="U913" s="15">
        <f t="shared" ca="1" si="203"/>
        <v>1.0009917925958551</v>
      </c>
      <c r="V913" s="15">
        <f t="shared" ca="1" si="204"/>
        <v>0.99946593423361552</v>
      </c>
      <c r="X913" s="15">
        <f t="shared" si="205"/>
        <v>1.05</v>
      </c>
      <c r="Y913" s="15">
        <f t="shared" si="206"/>
        <v>0.95</v>
      </c>
      <c r="Z913" s="15">
        <f t="shared" ca="1" si="207"/>
        <v>1</v>
      </c>
      <c r="AC913" s="15">
        <f t="shared" ca="1" si="208"/>
        <v>2.852262428238461E-7</v>
      </c>
      <c r="AD913" s="15">
        <f t="shared" ca="1" si="209"/>
        <v>5.3406576638448389E-4</v>
      </c>
      <c r="AE913" s="15">
        <f t="shared" ca="1" si="210"/>
        <v>0.46517128252088547</v>
      </c>
    </row>
    <row r="914" spans="12:31" x14ac:dyDescent="0.3">
      <c r="L914" s="15">
        <v>912</v>
      </c>
      <c r="M914" s="15">
        <f t="shared" si="200"/>
        <v>1</v>
      </c>
      <c r="N914" s="15">
        <f t="shared" ca="1" si="201"/>
        <v>5.3406576638448389E-4</v>
      </c>
      <c r="O914" s="15">
        <f t="shared" ca="1" si="198"/>
        <v>0.25109443056842007</v>
      </c>
      <c r="P914" s="15">
        <f t="shared" ca="1" si="211"/>
        <v>0.25024795910582132</v>
      </c>
      <c r="Q914" s="15">
        <v>0</v>
      </c>
      <c r="R914" s="15">
        <f t="shared" ca="1" si="202"/>
        <v>0.25024795910582132</v>
      </c>
      <c r="S914" s="15">
        <f t="shared" ca="1" si="199"/>
        <v>1.0009917955039729</v>
      </c>
      <c r="T914" s="15">
        <v>0</v>
      </c>
      <c r="U914" s="15">
        <f t="shared" ca="1" si="203"/>
        <v>1.0009917955039729</v>
      </c>
      <c r="V914" s="15">
        <f t="shared" ca="1" si="204"/>
        <v>0.99946593423361552</v>
      </c>
      <c r="X914" s="15">
        <f t="shared" si="205"/>
        <v>1.05</v>
      </c>
      <c r="Y914" s="15">
        <f t="shared" si="206"/>
        <v>0.95</v>
      </c>
      <c r="Z914" s="15">
        <f t="shared" ca="1" si="207"/>
        <v>1</v>
      </c>
      <c r="AC914" s="15">
        <f t="shared" ca="1" si="208"/>
        <v>2.852262428238461E-7</v>
      </c>
      <c r="AD914" s="15">
        <f t="shared" ca="1" si="209"/>
        <v>5.3406576638448389E-4</v>
      </c>
      <c r="AE914" s="15">
        <f t="shared" ca="1" si="210"/>
        <v>0.46570534828726995</v>
      </c>
    </row>
    <row r="915" spans="12:31" x14ac:dyDescent="0.3">
      <c r="L915" s="15">
        <v>913</v>
      </c>
      <c r="M915" s="15">
        <f t="shared" si="200"/>
        <v>1</v>
      </c>
      <c r="N915" s="15">
        <f t="shared" ca="1" si="201"/>
        <v>5.3406576638448389E-4</v>
      </c>
      <c r="O915" s="15">
        <f t="shared" ca="1" si="198"/>
        <v>0.25109443056842007</v>
      </c>
      <c r="P915" s="15">
        <f t="shared" ca="1" si="211"/>
        <v>0.25024795910582132</v>
      </c>
      <c r="Q915" s="15">
        <v>0</v>
      </c>
      <c r="R915" s="15">
        <f t="shared" ca="1" si="202"/>
        <v>0.25024795910582132</v>
      </c>
      <c r="S915" s="15">
        <f t="shared" ca="1" si="199"/>
        <v>1.0009917982160177</v>
      </c>
      <c r="T915" s="15">
        <v>0</v>
      </c>
      <c r="U915" s="15">
        <f t="shared" ca="1" si="203"/>
        <v>1.0009917982160177</v>
      </c>
      <c r="V915" s="15">
        <f t="shared" ca="1" si="204"/>
        <v>0.99946593423361552</v>
      </c>
      <c r="X915" s="15">
        <f t="shared" si="205"/>
        <v>1.05</v>
      </c>
      <c r="Y915" s="15">
        <f t="shared" si="206"/>
        <v>0.95</v>
      </c>
      <c r="Z915" s="15">
        <f t="shared" ca="1" si="207"/>
        <v>1</v>
      </c>
      <c r="AC915" s="15">
        <f t="shared" ca="1" si="208"/>
        <v>2.852262428238461E-7</v>
      </c>
      <c r="AD915" s="15">
        <f t="shared" ca="1" si="209"/>
        <v>5.3406576638448389E-4</v>
      </c>
      <c r="AE915" s="15">
        <f t="shared" ca="1" si="210"/>
        <v>0.46623941405365443</v>
      </c>
    </row>
    <row r="916" spans="12:31" x14ac:dyDescent="0.3">
      <c r="L916" s="15">
        <v>914</v>
      </c>
      <c r="M916" s="15">
        <f t="shared" si="200"/>
        <v>1</v>
      </c>
      <c r="N916" s="15">
        <f t="shared" ca="1" si="201"/>
        <v>5.3406576638448389E-4</v>
      </c>
      <c r="O916" s="15">
        <f t="shared" ca="1" si="198"/>
        <v>0.25109443056842007</v>
      </c>
      <c r="P916" s="15">
        <f t="shared" ca="1" si="211"/>
        <v>0.25024795910582132</v>
      </c>
      <c r="Q916" s="15">
        <v>0</v>
      </c>
      <c r="R916" s="15">
        <f t="shared" ca="1" si="202"/>
        <v>0.25024795910582132</v>
      </c>
      <c r="S916" s="15">
        <f t="shared" ca="1" si="199"/>
        <v>1.0009918007454075</v>
      </c>
      <c r="T916" s="15">
        <v>0</v>
      </c>
      <c r="U916" s="15">
        <f t="shared" ca="1" si="203"/>
        <v>1.0009918007454075</v>
      </c>
      <c r="V916" s="15">
        <f t="shared" ca="1" si="204"/>
        <v>0.99946593423361552</v>
      </c>
      <c r="X916" s="15">
        <f t="shared" si="205"/>
        <v>1.05</v>
      </c>
      <c r="Y916" s="15">
        <f t="shared" si="206"/>
        <v>0.95</v>
      </c>
      <c r="Z916" s="15">
        <f t="shared" ca="1" si="207"/>
        <v>1</v>
      </c>
      <c r="AC916" s="15">
        <f t="shared" ca="1" si="208"/>
        <v>2.852262428238461E-7</v>
      </c>
      <c r="AD916" s="15">
        <f t="shared" ca="1" si="209"/>
        <v>5.3406576638448389E-4</v>
      </c>
      <c r="AE916" s="15">
        <f t="shared" ca="1" si="210"/>
        <v>0.46677347982003892</v>
      </c>
    </row>
    <row r="917" spans="12:31" x14ac:dyDescent="0.3">
      <c r="L917" s="15">
        <v>915</v>
      </c>
      <c r="M917" s="15">
        <f t="shared" si="200"/>
        <v>1</v>
      </c>
      <c r="N917" s="15">
        <f t="shared" ca="1" si="201"/>
        <v>5.3406576638448389E-4</v>
      </c>
      <c r="O917" s="15">
        <f t="shared" ca="1" si="198"/>
        <v>0.25110452754636958</v>
      </c>
      <c r="P917" s="15">
        <f t="shared" ca="1" si="211"/>
        <v>0.25024795910582132</v>
      </c>
      <c r="Q917" s="15">
        <v>0</v>
      </c>
      <c r="R917" s="15">
        <f t="shared" ca="1" si="202"/>
        <v>0.25024795910582132</v>
      </c>
      <c r="S917" s="15">
        <f t="shared" ca="1" si="199"/>
        <v>1.0009918031046297</v>
      </c>
      <c r="T917" s="15">
        <v>0</v>
      </c>
      <c r="U917" s="15">
        <f t="shared" ca="1" si="203"/>
        <v>1.0009918031046297</v>
      </c>
      <c r="V917" s="15">
        <f t="shared" ca="1" si="204"/>
        <v>0.99946593423361552</v>
      </c>
      <c r="X917" s="15">
        <f t="shared" si="205"/>
        <v>1.05</v>
      </c>
      <c r="Y917" s="15">
        <f t="shared" si="206"/>
        <v>0.95</v>
      </c>
      <c r="Z917" s="15">
        <f t="shared" ca="1" si="207"/>
        <v>1</v>
      </c>
      <c r="AC917" s="15">
        <f t="shared" ca="1" si="208"/>
        <v>2.852262428238461E-7</v>
      </c>
      <c r="AD917" s="15">
        <f t="shared" ca="1" si="209"/>
        <v>5.3406576638448389E-4</v>
      </c>
      <c r="AE917" s="15">
        <f t="shared" ca="1" si="210"/>
        <v>0.4673075455864234</v>
      </c>
    </row>
    <row r="918" spans="12:31" x14ac:dyDescent="0.3">
      <c r="L918" s="15">
        <v>916</v>
      </c>
      <c r="M918" s="15">
        <f t="shared" si="200"/>
        <v>1</v>
      </c>
      <c r="N918" s="15">
        <f t="shared" ca="1" si="201"/>
        <v>5.3406576638448389E-4</v>
      </c>
      <c r="O918" s="15">
        <f t="shared" ca="1" si="198"/>
        <v>0.25110452754636958</v>
      </c>
      <c r="P918" s="15">
        <f t="shared" ca="1" si="211"/>
        <v>0.25024795910582132</v>
      </c>
      <c r="Q918" s="15">
        <v>0</v>
      </c>
      <c r="R918" s="15">
        <f t="shared" ca="1" si="202"/>
        <v>0.25024795910582132</v>
      </c>
      <c r="S918" s="15">
        <f t="shared" ca="1" si="199"/>
        <v>1.0009918053053057</v>
      </c>
      <c r="T918" s="15">
        <v>0</v>
      </c>
      <c r="U918" s="15">
        <f t="shared" ca="1" si="203"/>
        <v>1.0009918053053057</v>
      </c>
      <c r="V918" s="15">
        <f t="shared" ca="1" si="204"/>
        <v>0.99946593423361552</v>
      </c>
      <c r="X918" s="15">
        <f t="shared" si="205"/>
        <v>1.05</v>
      </c>
      <c r="Y918" s="15">
        <f t="shared" si="206"/>
        <v>0.95</v>
      </c>
      <c r="Z918" s="15">
        <f t="shared" ca="1" si="207"/>
        <v>1</v>
      </c>
      <c r="AC918" s="15">
        <f t="shared" ca="1" si="208"/>
        <v>2.852262428238461E-7</v>
      </c>
      <c r="AD918" s="15">
        <f t="shared" ca="1" si="209"/>
        <v>5.3406576638448389E-4</v>
      </c>
      <c r="AE918" s="15">
        <f t="shared" ca="1" si="210"/>
        <v>0.46784161135280788</v>
      </c>
    </row>
    <row r="919" spans="12:31" x14ac:dyDescent="0.3">
      <c r="L919" s="15">
        <v>917</v>
      </c>
      <c r="M919" s="15">
        <f t="shared" si="200"/>
        <v>1</v>
      </c>
      <c r="N919" s="15">
        <f t="shared" ca="1" si="201"/>
        <v>5.3406576638448389E-4</v>
      </c>
      <c r="O919" s="15">
        <f t="shared" ca="1" si="198"/>
        <v>0.25110452754636958</v>
      </c>
      <c r="P919" s="15">
        <f t="shared" ca="1" si="211"/>
        <v>0.25024795910582132</v>
      </c>
      <c r="Q919" s="15">
        <v>0</v>
      </c>
      <c r="R919" s="15">
        <f t="shared" ca="1" si="202"/>
        <v>0.25024795910582132</v>
      </c>
      <c r="S919" s="15">
        <f t="shared" ca="1" si="199"/>
        <v>1.0009918073582531</v>
      </c>
      <c r="T919" s="15">
        <v>0</v>
      </c>
      <c r="U919" s="15">
        <f t="shared" ca="1" si="203"/>
        <v>1.0009918073582531</v>
      </c>
      <c r="V919" s="15">
        <f t="shared" ca="1" si="204"/>
        <v>0.99946593423361552</v>
      </c>
      <c r="X919" s="15">
        <f t="shared" si="205"/>
        <v>1.05</v>
      </c>
      <c r="Y919" s="15">
        <f t="shared" si="206"/>
        <v>0.95</v>
      </c>
      <c r="Z919" s="15">
        <f t="shared" ca="1" si="207"/>
        <v>1</v>
      </c>
      <c r="AC919" s="15">
        <f t="shared" ca="1" si="208"/>
        <v>2.852262428238461E-7</v>
      </c>
      <c r="AD919" s="15">
        <f t="shared" ca="1" si="209"/>
        <v>5.3406576638448389E-4</v>
      </c>
      <c r="AE919" s="15">
        <f t="shared" ca="1" si="210"/>
        <v>0.46837567711919237</v>
      </c>
    </row>
    <row r="920" spans="12:31" x14ac:dyDescent="0.3">
      <c r="L920" s="15">
        <v>918</v>
      </c>
      <c r="M920" s="15">
        <f t="shared" si="200"/>
        <v>1</v>
      </c>
      <c r="N920" s="15">
        <f t="shared" ca="1" si="201"/>
        <v>5.3406576638448389E-4</v>
      </c>
      <c r="O920" s="15">
        <f t="shared" ca="1" si="198"/>
        <v>0.2511146245243191</v>
      </c>
      <c r="P920" s="15">
        <f t="shared" ca="1" si="211"/>
        <v>0.25024795910582132</v>
      </c>
      <c r="Q920" s="15">
        <v>0</v>
      </c>
      <c r="R920" s="15">
        <f t="shared" ca="1" si="202"/>
        <v>0.25024795910582132</v>
      </c>
      <c r="S920" s="15">
        <f t="shared" ca="1" si="199"/>
        <v>1.0009918092735408</v>
      </c>
      <c r="T920" s="15">
        <v>0</v>
      </c>
      <c r="U920" s="15">
        <f t="shared" ca="1" si="203"/>
        <v>1.0009918092735408</v>
      </c>
      <c r="V920" s="15">
        <f t="shared" ca="1" si="204"/>
        <v>0.99946593423361552</v>
      </c>
      <c r="X920" s="15">
        <f t="shared" si="205"/>
        <v>1.05</v>
      </c>
      <c r="Y920" s="15">
        <f t="shared" si="206"/>
        <v>0.95</v>
      </c>
      <c r="Z920" s="15">
        <f t="shared" ca="1" si="207"/>
        <v>1</v>
      </c>
      <c r="AC920" s="15">
        <f t="shared" ca="1" si="208"/>
        <v>2.852262428238461E-7</v>
      </c>
      <c r="AD920" s="15">
        <f t="shared" ca="1" si="209"/>
        <v>5.3406576638448389E-4</v>
      </c>
      <c r="AE920" s="15">
        <f t="shared" ca="1" si="210"/>
        <v>0.46890974288557685</v>
      </c>
    </row>
    <row r="921" spans="12:31" x14ac:dyDescent="0.3">
      <c r="L921" s="15">
        <v>919</v>
      </c>
      <c r="M921" s="15">
        <f t="shared" si="200"/>
        <v>1</v>
      </c>
      <c r="N921" s="15">
        <f t="shared" ca="1" si="201"/>
        <v>5.3406576638448389E-4</v>
      </c>
      <c r="O921" s="15">
        <f t="shared" ca="1" si="198"/>
        <v>0.2511146245243191</v>
      </c>
      <c r="P921" s="15">
        <f t="shared" ca="1" si="211"/>
        <v>0.25024795910582132</v>
      </c>
      <c r="Q921" s="15">
        <v>0</v>
      </c>
      <c r="R921" s="15">
        <f t="shared" ca="1" si="202"/>
        <v>0.25024795910582132</v>
      </c>
      <c r="S921" s="15">
        <f t="shared" ca="1" si="199"/>
        <v>1.0009918110605418</v>
      </c>
      <c r="T921" s="15">
        <v>0</v>
      </c>
      <c r="U921" s="15">
        <f t="shared" ca="1" si="203"/>
        <v>1.0009918110605418</v>
      </c>
      <c r="V921" s="15">
        <f t="shared" ca="1" si="204"/>
        <v>0.99946593423361552</v>
      </c>
      <c r="X921" s="15">
        <f t="shared" si="205"/>
        <v>1.05</v>
      </c>
      <c r="Y921" s="15">
        <f t="shared" si="206"/>
        <v>0.95</v>
      </c>
      <c r="Z921" s="15">
        <f t="shared" ca="1" si="207"/>
        <v>1</v>
      </c>
      <c r="AC921" s="15">
        <f t="shared" ca="1" si="208"/>
        <v>2.852262428238461E-7</v>
      </c>
      <c r="AD921" s="15">
        <f t="shared" ca="1" si="209"/>
        <v>5.3406576638448389E-4</v>
      </c>
      <c r="AE921" s="15">
        <f t="shared" ca="1" si="210"/>
        <v>0.46944380865196134</v>
      </c>
    </row>
    <row r="922" spans="12:31" x14ac:dyDescent="0.3">
      <c r="L922" s="15">
        <v>920</v>
      </c>
      <c r="M922" s="15">
        <f t="shared" si="200"/>
        <v>1</v>
      </c>
      <c r="N922" s="15">
        <f t="shared" ca="1" si="201"/>
        <v>5.3406576638448389E-4</v>
      </c>
      <c r="O922" s="15">
        <f t="shared" ca="1" si="198"/>
        <v>0.2511146245243191</v>
      </c>
      <c r="P922" s="15">
        <f t="shared" ca="1" si="211"/>
        <v>0.25024795910582132</v>
      </c>
      <c r="Q922" s="15">
        <v>0</v>
      </c>
      <c r="R922" s="15">
        <f t="shared" ca="1" si="202"/>
        <v>0.25024795910582132</v>
      </c>
      <c r="S922" s="15">
        <f t="shared" ca="1" si="199"/>
        <v>1.000991812727982</v>
      </c>
      <c r="T922" s="15">
        <v>0</v>
      </c>
      <c r="U922" s="15">
        <f t="shared" ca="1" si="203"/>
        <v>1.000991812727982</v>
      </c>
      <c r="V922" s="15">
        <f t="shared" ca="1" si="204"/>
        <v>0.99946593423361552</v>
      </c>
      <c r="X922" s="15">
        <f t="shared" si="205"/>
        <v>1.05</v>
      </c>
      <c r="Y922" s="15">
        <f t="shared" si="206"/>
        <v>0.95</v>
      </c>
      <c r="Z922" s="15">
        <f t="shared" ca="1" si="207"/>
        <v>1</v>
      </c>
      <c r="AC922" s="15">
        <f t="shared" ca="1" si="208"/>
        <v>2.852262428238461E-7</v>
      </c>
      <c r="AD922" s="15">
        <f t="shared" ca="1" si="209"/>
        <v>5.3406576638448389E-4</v>
      </c>
      <c r="AE922" s="15">
        <f t="shared" ca="1" si="210"/>
        <v>0.46997787441834582</v>
      </c>
    </row>
    <row r="923" spans="12:31" x14ac:dyDescent="0.3">
      <c r="L923" s="15">
        <v>921</v>
      </c>
      <c r="M923" s="15">
        <f t="shared" si="200"/>
        <v>1</v>
      </c>
      <c r="N923" s="15">
        <f t="shared" ca="1" si="201"/>
        <v>5.3406576638448389E-4</v>
      </c>
      <c r="O923" s="15">
        <f t="shared" ca="1" si="198"/>
        <v>0.25112472150226861</v>
      </c>
      <c r="P923" s="15">
        <f t="shared" ca="1" si="211"/>
        <v>0.25024795910582132</v>
      </c>
      <c r="Q923" s="15">
        <v>0</v>
      </c>
      <c r="R923" s="15">
        <f t="shared" ca="1" si="202"/>
        <v>0.25024795910582132</v>
      </c>
      <c r="S923" s="15">
        <f t="shared" ca="1" si="199"/>
        <v>1.0009918142839851</v>
      </c>
      <c r="T923" s="15">
        <v>0</v>
      </c>
      <c r="U923" s="15">
        <f t="shared" ca="1" si="203"/>
        <v>1.0009918142839851</v>
      </c>
      <c r="V923" s="15">
        <f t="shared" ca="1" si="204"/>
        <v>0.99946593423361552</v>
      </c>
      <c r="X923" s="15">
        <f t="shared" si="205"/>
        <v>1.05</v>
      </c>
      <c r="Y923" s="15">
        <f t="shared" si="206"/>
        <v>0.95</v>
      </c>
      <c r="Z923" s="15">
        <f t="shared" ca="1" si="207"/>
        <v>1</v>
      </c>
      <c r="AC923" s="15">
        <f t="shared" ca="1" si="208"/>
        <v>2.852262428238461E-7</v>
      </c>
      <c r="AD923" s="15">
        <f t="shared" ca="1" si="209"/>
        <v>5.3406576638448389E-4</v>
      </c>
      <c r="AE923" s="15">
        <f t="shared" ca="1" si="210"/>
        <v>0.4705119401847303</v>
      </c>
    </row>
    <row r="924" spans="12:31" x14ac:dyDescent="0.3">
      <c r="L924" s="15">
        <v>922</v>
      </c>
      <c r="M924" s="15">
        <f t="shared" si="200"/>
        <v>1</v>
      </c>
      <c r="N924" s="15">
        <f t="shared" ca="1" si="201"/>
        <v>5.3406576638448389E-4</v>
      </c>
      <c r="O924" s="15">
        <f t="shared" ca="1" si="198"/>
        <v>0.25112472150226861</v>
      </c>
      <c r="P924" s="15">
        <f t="shared" ca="1" si="211"/>
        <v>0.25024795910582132</v>
      </c>
      <c r="Q924" s="15">
        <v>0</v>
      </c>
      <c r="R924" s="15">
        <f t="shared" ca="1" si="202"/>
        <v>0.25024795910582132</v>
      </c>
      <c r="S924" s="15">
        <f t="shared" ca="1" si="199"/>
        <v>1.0009918157361153</v>
      </c>
      <c r="T924" s="15">
        <v>0</v>
      </c>
      <c r="U924" s="15">
        <f t="shared" ca="1" si="203"/>
        <v>1.0009918157361153</v>
      </c>
      <c r="V924" s="15">
        <f t="shared" ca="1" si="204"/>
        <v>0.99946593423361552</v>
      </c>
      <c r="X924" s="15">
        <f t="shared" si="205"/>
        <v>1.05</v>
      </c>
      <c r="Y924" s="15">
        <f t="shared" si="206"/>
        <v>0.95</v>
      </c>
      <c r="Z924" s="15">
        <f t="shared" ca="1" si="207"/>
        <v>1</v>
      </c>
      <c r="AC924" s="15">
        <f t="shared" ca="1" si="208"/>
        <v>2.852262428238461E-7</v>
      </c>
      <c r="AD924" s="15">
        <f t="shared" ca="1" si="209"/>
        <v>5.3406576638448389E-4</v>
      </c>
      <c r="AE924" s="15">
        <f t="shared" ca="1" si="210"/>
        <v>0.47104600595111479</v>
      </c>
    </row>
    <row r="925" spans="12:31" x14ac:dyDescent="0.3">
      <c r="L925" s="15">
        <v>923</v>
      </c>
      <c r="M925" s="15">
        <f t="shared" si="200"/>
        <v>1</v>
      </c>
      <c r="N925" s="15">
        <f t="shared" ca="1" si="201"/>
        <v>5.3406576638448389E-4</v>
      </c>
      <c r="O925" s="15">
        <f t="shared" ca="1" si="198"/>
        <v>0.25112472150226861</v>
      </c>
      <c r="P925" s="15">
        <f t="shared" ca="1" si="211"/>
        <v>0.25024795910582132</v>
      </c>
      <c r="Q925" s="15">
        <v>0</v>
      </c>
      <c r="R925" s="15">
        <f t="shared" ca="1" si="202"/>
        <v>0.25024795910582132</v>
      </c>
      <c r="S925" s="15">
        <f t="shared" ca="1" si="199"/>
        <v>1.000991817091416</v>
      </c>
      <c r="T925" s="15">
        <v>0</v>
      </c>
      <c r="U925" s="15">
        <f t="shared" ca="1" si="203"/>
        <v>1.000991817091416</v>
      </c>
      <c r="V925" s="15">
        <f t="shared" ca="1" si="204"/>
        <v>0.99946593423361552</v>
      </c>
      <c r="X925" s="15">
        <f t="shared" si="205"/>
        <v>1.05</v>
      </c>
      <c r="Y925" s="15">
        <f t="shared" si="206"/>
        <v>0.95</v>
      </c>
      <c r="Z925" s="15">
        <f t="shared" ca="1" si="207"/>
        <v>1</v>
      </c>
      <c r="AC925" s="15">
        <f t="shared" ca="1" si="208"/>
        <v>2.852262428238461E-7</v>
      </c>
      <c r="AD925" s="15">
        <f t="shared" ca="1" si="209"/>
        <v>5.3406576638448389E-4</v>
      </c>
      <c r="AE925" s="15">
        <f t="shared" ca="1" si="210"/>
        <v>0.47158007171749927</v>
      </c>
    </row>
    <row r="926" spans="12:31" x14ac:dyDescent="0.3">
      <c r="L926" s="15">
        <v>924</v>
      </c>
      <c r="M926" s="15">
        <f t="shared" si="200"/>
        <v>1</v>
      </c>
      <c r="N926" s="15">
        <f t="shared" ca="1" si="201"/>
        <v>5.3406576638448389E-4</v>
      </c>
      <c r="O926" s="15">
        <f t="shared" ca="1" si="198"/>
        <v>0.25113481848021812</v>
      </c>
      <c r="P926" s="15">
        <f t="shared" ca="1" si="211"/>
        <v>0.25024795910582132</v>
      </c>
      <c r="Q926" s="15">
        <v>0</v>
      </c>
      <c r="R926" s="15">
        <f t="shared" ca="1" si="202"/>
        <v>0.25024795910582132</v>
      </c>
      <c r="S926" s="15">
        <f t="shared" ca="1" si="199"/>
        <v>1.0009918183564461</v>
      </c>
      <c r="T926" s="15">
        <v>0</v>
      </c>
      <c r="U926" s="15">
        <f t="shared" ca="1" si="203"/>
        <v>1.0009918183564461</v>
      </c>
      <c r="V926" s="15">
        <f t="shared" ca="1" si="204"/>
        <v>0.99946593423361552</v>
      </c>
      <c r="X926" s="15">
        <f t="shared" si="205"/>
        <v>1.05</v>
      </c>
      <c r="Y926" s="15">
        <f t="shared" si="206"/>
        <v>0.95</v>
      </c>
      <c r="Z926" s="15">
        <f t="shared" ca="1" si="207"/>
        <v>1</v>
      </c>
      <c r="AC926" s="15">
        <f t="shared" ca="1" si="208"/>
        <v>2.852262428238461E-7</v>
      </c>
      <c r="AD926" s="15">
        <f t="shared" ca="1" si="209"/>
        <v>5.3406576638448389E-4</v>
      </c>
      <c r="AE926" s="15">
        <f t="shared" ca="1" si="210"/>
        <v>0.47211413748388376</v>
      </c>
    </row>
    <row r="927" spans="12:31" x14ac:dyDescent="0.3">
      <c r="L927" s="15">
        <v>925</v>
      </c>
      <c r="M927" s="15">
        <f t="shared" si="200"/>
        <v>1</v>
      </c>
      <c r="N927" s="15">
        <f t="shared" ca="1" si="201"/>
        <v>5.3406576638448389E-4</v>
      </c>
      <c r="O927" s="15">
        <f t="shared" ca="1" si="198"/>
        <v>0.25113481848021812</v>
      </c>
      <c r="P927" s="15">
        <f t="shared" ca="1" si="211"/>
        <v>0.25024795910582132</v>
      </c>
      <c r="Q927" s="15">
        <v>0</v>
      </c>
      <c r="R927" s="15">
        <f t="shared" ca="1" si="202"/>
        <v>0.25024795910582132</v>
      </c>
      <c r="S927" s="15">
        <f t="shared" ca="1" si="199"/>
        <v>1.0009918195373135</v>
      </c>
      <c r="T927" s="15">
        <v>0</v>
      </c>
      <c r="U927" s="15">
        <f t="shared" ca="1" si="203"/>
        <v>1.0009918195373135</v>
      </c>
      <c r="V927" s="15">
        <f t="shared" ca="1" si="204"/>
        <v>0.99946593423361552</v>
      </c>
      <c r="X927" s="15">
        <f t="shared" si="205"/>
        <v>1.05</v>
      </c>
      <c r="Y927" s="15">
        <f t="shared" si="206"/>
        <v>0.95</v>
      </c>
      <c r="Z927" s="15">
        <f t="shared" ca="1" si="207"/>
        <v>1</v>
      </c>
      <c r="AC927" s="15">
        <f t="shared" ca="1" si="208"/>
        <v>2.852262428238461E-7</v>
      </c>
      <c r="AD927" s="15">
        <f t="shared" ca="1" si="209"/>
        <v>5.3406576638448389E-4</v>
      </c>
      <c r="AE927" s="15">
        <f t="shared" ca="1" si="210"/>
        <v>0.47264820325026824</v>
      </c>
    </row>
    <row r="928" spans="12:31" x14ac:dyDescent="0.3">
      <c r="L928" s="15">
        <v>926</v>
      </c>
      <c r="M928" s="15">
        <f t="shared" si="200"/>
        <v>1</v>
      </c>
      <c r="N928" s="15">
        <f t="shared" ca="1" si="201"/>
        <v>5.3406576638448389E-4</v>
      </c>
      <c r="O928" s="15">
        <f t="shared" ca="1" si="198"/>
        <v>0.25113481848021812</v>
      </c>
      <c r="P928" s="15">
        <f t="shared" ca="1" si="211"/>
        <v>0.25024795910582132</v>
      </c>
      <c r="Q928" s="15">
        <v>0</v>
      </c>
      <c r="R928" s="15">
        <f t="shared" ca="1" si="202"/>
        <v>0.25024795910582132</v>
      </c>
      <c r="S928" s="15">
        <f t="shared" ca="1" si="199"/>
        <v>1.000991820639707</v>
      </c>
      <c r="T928" s="15">
        <v>0</v>
      </c>
      <c r="U928" s="15">
        <f t="shared" ca="1" si="203"/>
        <v>1.000991820639707</v>
      </c>
      <c r="V928" s="15">
        <f t="shared" ca="1" si="204"/>
        <v>0.99946593423361552</v>
      </c>
      <c r="X928" s="15">
        <f t="shared" si="205"/>
        <v>1.05</v>
      </c>
      <c r="Y928" s="15">
        <f t="shared" si="206"/>
        <v>0.95</v>
      </c>
      <c r="Z928" s="15">
        <f t="shared" ca="1" si="207"/>
        <v>1</v>
      </c>
      <c r="AC928" s="15">
        <f t="shared" ca="1" si="208"/>
        <v>2.852262428238461E-7</v>
      </c>
      <c r="AD928" s="15">
        <f t="shared" ca="1" si="209"/>
        <v>5.3406576638448389E-4</v>
      </c>
      <c r="AE928" s="15">
        <f t="shared" ca="1" si="210"/>
        <v>0.47318226901665272</v>
      </c>
    </row>
    <row r="929" spans="12:31" x14ac:dyDescent="0.3">
      <c r="L929" s="15">
        <v>927</v>
      </c>
      <c r="M929" s="15">
        <f t="shared" si="200"/>
        <v>1</v>
      </c>
      <c r="N929" s="15">
        <f t="shared" ca="1" si="201"/>
        <v>5.3406576638448389E-4</v>
      </c>
      <c r="O929" s="15">
        <f t="shared" ca="1" si="198"/>
        <v>0.25114491545816764</v>
      </c>
      <c r="P929" s="15">
        <f t="shared" ca="1" si="211"/>
        <v>0.25024795910582132</v>
      </c>
      <c r="Q929" s="15">
        <v>0</v>
      </c>
      <c r="R929" s="15">
        <f t="shared" ca="1" si="202"/>
        <v>0.25024795910582132</v>
      </c>
      <c r="S929" s="15">
        <f t="shared" ca="1" si="199"/>
        <v>1.0009918216689251</v>
      </c>
      <c r="T929" s="15">
        <v>0</v>
      </c>
      <c r="U929" s="15">
        <f t="shared" ca="1" si="203"/>
        <v>1.0009918216689251</v>
      </c>
      <c r="V929" s="15">
        <f t="shared" ca="1" si="204"/>
        <v>0.99946593423361552</v>
      </c>
      <c r="X929" s="15">
        <f t="shared" si="205"/>
        <v>1.05</v>
      </c>
      <c r="Y929" s="15">
        <f t="shared" si="206"/>
        <v>0.95</v>
      </c>
      <c r="Z929" s="15">
        <f t="shared" ca="1" si="207"/>
        <v>1</v>
      </c>
      <c r="AC929" s="15">
        <f t="shared" ca="1" si="208"/>
        <v>2.852262428238461E-7</v>
      </c>
      <c r="AD929" s="15">
        <f t="shared" ca="1" si="209"/>
        <v>5.3406576638448389E-4</v>
      </c>
      <c r="AE929" s="15">
        <f t="shared" ca="1" si="210"/>
        <v>0.47371633478303721</v>
      </c>
    </row>
    <row r="930" spans="12:31" x14ac:dyDescent="0.3">
      <c r="L930" s="15">
        <v>928</v>
      </c>
      <c r="M930" s="15">
        <f t="shared" si="200"/>
        <v>1</v>
      </c>
      <c r="N930" s="15">
        <f t="shared" ca="1" si="201"/>
        <v>5.3406576638448389E-4</v>
      </c>
      <c r="O930" s="15">
        <f t="shared" ca="1" si="198"/>
        <v>0.25114491545816764</v>
      </c>
      <c r="P930" s="15">
        <f t="shared" ca="1" si="211"/>
        <v>0.25024795910582132</v>
      </c>
      <c r="Q930" s="15">
        <v>0</v>
      </c>
      <c r="R930" s="15">
        <f t="shared" ca="1" si="202"/>
        <v>0.25024795910582132</v>
      </c>
      <c r="S930" s="15">
        <f t="shared" ca="1" si="199"/>
        <v>1.000991822629903</v>
      </c>
      <c r="T930" s="15">
        <v>0</v>
      </c>
      <c r="U930" s="15">
        <f t="shared" ca="1" si="203"/>
        <v>1.000991822629903</v>
      </c>
      <c r="V930" s="15">
        <f t="shared" ca="1" si="204"/>
        <v>0.99946593423361552</v>
      </c>
      <c r="X930" s="15">
        <f t="shared" si="205"/>
        <v>1.05</v>
      </c>
      <c r="Y930" s="15">
        <f t="shared" si="206"/>
        <v>0.95</v>
      </c>
      <c r="Z930" s="15">
        <f t="shared" ca="1" si="207"/>
        <v>1</v>
      </c>
      <c r="AC930" s="15">
        <f t="shared" ca="1" si="208"/>
        <v>2.852262428238461E-7</v>
      </c>
      <c r="AD930" s="15">
        <f t="shared" ca="1" si="209"/>
        <v>5.3406576638448389E-4</v>
      </c>
      <c r="AE930" s="15">
        <f t="shared" ca="1" si="210"/>
        <v>0.47425040054942169</v>
      </c>
    </row>
    <row r="931" spans="12:31" x14ac:dyDescent="0.3">
      <c r="L931" s="15">
        <v>929</v>
      </c>
      <c r="M931" s="15">
        <f t="shared" si="200"/>
        <v>1</v>
      </c>
      <c r="N931" s="15">
        <f t="shared" ca="1" si="201"/>
        <v>5.3406576638448389E-4</v>
      </c>
      <c r="O931" s="15">
        <f t="shared" ca="1" si="198"/>
        <v>0.25114491545816764</v>
      </c>
      <c r="P931" s="15">
        <f t="shared" ca="1" si="211"/>
        <v>0.25024795910582132</v>
      </c>
      <c r="Q931" s="15">
        <v>0</v>
      </c>
      <c r="R931" s="15">
        <f t="shared" ca="1" si="202"/>
        <v>0.25024795910582132</v>
      </c>
      <c r="S931" s="15">
        <f t="shared" ca="1" si="199"/>
        <v>1.0009918235272384</v>
      </c>
      <c r="T931" s="15">
        <v>0</v>
      </c>
      <c r="U931" s="15">
        <f t="shared" ca="1" si="203"/>
        <v>1.0009918235272384</v>
      </c>
      <c r="V931" s="15">
        <f t="shared" ca="1" si="204"/>
        <v>0.99946593423361552</v>
      </c>
      <c r="X931" s="15">
        <f t="shared" si="205"/>
        <v>1.05</v>
      </c>
      <c r="Y931" s="15">
        <f t="shared" si="206"/>
        <v>0.95</v>
      </c>
      <c r="Z931" s="15">
        <f t="shared" ca="1" si="207"/>
        <v>1</v>
      </c>
      <c r="AC931" s="15">
        <f t="shared" ca="1" si="208"/>
        <v>2.852262428238461E-7</v>
      </c>
      <c r="AD931" s="15">
        <f t="shared" ca="1" si="209"/>
        <v>5.3406576638448389E-4</v>
      </c>
      <c r="AE931" s="15">
        <f t="shared" ca="1" si="210"/>
        <v>0.47478446631580618</v>
      </c>
    </row>
    <row r="932" spans="12:31" x14ac:dyDescent="0.3">
      <c r="L932" s="15">
        <v>930</v>
      </c>
      <c r="M932" s="15">
        <f t="shared" si="200"/>
        <v>1</v>
      </c>
      <c r="N932" s="15">
        <f t="shared" ca="1" si="201"/>
        <v>5.3406576638448389E-4</v>
      </c>
      <c r="O932" s="15">
        <f t="shared" ca="1" si="198"/>
        <v>0.25115501243611715</v>
      </c>
      <c r="P932" s="15">
        <f t="shared" ca="1" si="211"/>
        <v>0.25024795910582132</v>
      </c>
      <c r="Q932" s="15">
        <v>0</v>
      </c>
      <c r="R932" s="15">
        <f t="shared" ca="1" si="202"/>
        <v>0.25024795910582132</v>
      </c>
      <c r="S932" s="15">
        <f t="shared" ca="1" si="199"/>
        <v>1.0009918243652143</v>
      </c>
      <c r="T932" s="15">
        <v>0</v>
      </c>
      <c r="U932" s="15">
        <f t="shared" ca="1" si="203"/>
        <v>1.0009918243652143</v>
      </c>
      <c r="V932" s="15">
        <f t="shared" ca="1" si="204"/>
        <v>0.99946593423361552</v>
      </c>
      <c r="X932" s="15">
        <f t="shared" si="205"/>
        <v>1.05</v>
      </c>
      <c r="Y932" s="15">
        <f t="shared" si="206"/>
        <v>0.95</v>
      </c>
      <c r="Z932" s="15">
        <f t="shared" ca="1" si="207"/>
        <v>1</v>
      </c>
      <c r="AC932" s="15">
        <f t="shared" ca="1" si="208"/>
        <v>2.852262428238461E-7</v>
      </c>
      <c r="AD932" s="15">
        <f t="shared" ca="1" si="209"/>
        <v>5.3406576638448389E-4</v>
      </c>
      <c r="AE932" s="15">
        <f t="shared" ca="1" si="210"/>
        <v>0.47531853208219066</v>
      </c>
    </row>
    <row r="933" spans="12:31" x14ac:dyDescent="0.3">
      <c r="L933" s="15">
        <v>931</v>
      </c>
      <c r="M933" s="15">
        <f t="shared" si="200"/>
        <v>1</v>
      </c>
      <c r="N933" s="15">
        <f t="shared" ca="1" si="201"/>
        <v>5.3406576638448389E-4</v>
      </c>
      <c r="O933" s="15">
        <f t="shared" ca="1" si="198"/>
        <v>0.25115501243611715</v>
      </c>
      <c r="P933" s="15">
        <f t="shared" ca="1" si="211"/>
        <v>0.25024795910582132</v>
      </c>
      <c r="Q933" s="15">
        <v>0</v>
      </c>
      <c r="R933" s="15">
        <f t="shared" ca="1" si="202"/>
        <v>0.25024795910582132</v>
      </c>
      <c r="S933" s="15">
        <f t="shared" ca="1" si="199"/>
        <v>1.0009918251478214</v>
      </c>
      <c r="T933" s="15">
        <v>0</v>
      </c>
      <c r="U933" s="15">
        <f t="shared" ca="1" si="203"/>
        <v>1.0009918251478214</v>
      </c>
      <c r="V933" s="15">
        <f t="shared" ca="1" si="204"/>
        <v>0.99946593423361552</v>
      </c>
      <c r="X933" s="15">
        <f t="shared" si="205"/>
        <v>1.05</v>
      </c>
      <c r="Y933" s="15">
        <f t="shared" si="206"/>
        <v>0.95</v>
      </c>
      <c r="Z933" s="15">
        <f t="shared" ca="1" si="207"/>
        <v>1</v>
      </c>
      <c r="AC933" s="15">
        <f t="shared" ca="1" si="208"/>
        <v>2.852262428238461E-7</v>
      </c>
      <c r="AD933" s="15">
        <f t="shared" ca="1" si="209"/>
        <v>5.3406576638448389E-4</v>
      </c>
      <c r="AE933" s="15">
        <f t="shared" ca="1" si="210"/>
        <v>0.47585259784857514</v>
      </c>
    </row>
    <row r="934" spans="12:31" x14ac:dyDescent="0.3">
      <c r="L934" s="15">
        <v>932</v>
      </c>
      <c r="M934" s="15">
        <f t="shared" si="200"/>
        <v>1</v>
      </c>
      <c r="N934" s="15">
        <f t="shared" ca="1" si="201"/>
        <v>5.3406576638448389E-4</v>
      </c>
      <c r="O934" s="15">
        <f t="shared" ca="1" si="198"/>
        <v>0.25115501243611715</v>
      </c>
      <c r="P934" s="15">
        <f t="shared" ca="1" si="211"/>
        <v>0.25024795910582132</v>
      </c>
      <c r="Q934" s="15">
        <v>0</v>
      </c>
      <c r="R934" s="15">
        <f t="shared" ca="1" si="202"/>
        <v>0.25024795910582132</v>
      </c>
      <c r="S934" s="15">
        <f t="shared" ca="1" si="199"/>
        <v>1.0009918258787778</v>
      </c>
      <c r="T934" s="15">
        <v>0</v>
      </c>
      <c r="U934" s="15">
        <f t="shared" ca="1" si="203"/>
        <v>1.0009918258787778</v>
      </c>
      <c r="V934" s="15">
        <f t="shared" ca="1" si="204"/>
        <v>0.99946593423361552</v>
      </c>
      <c r="X934" s="15">
        <f t="shared" si="205"/>
        <v>1.05</v>
      </c>
      <c r="Y934" s="15">
        <f t="shared" si="206"/>
        <v>0.95</v>
      </c>
      <c r="Z934" s="15">
        <f t="shared" ca="1" si="207"/>
        <v>1</v>
      </c>
      <c r="AC934" s="15">
        <f t="shared" ca="1" si="208"/>
        <v>2.852262428238461E-7</v>
      </c>
      <c r="AD934" s="15">
        <f t="shared" ca="1" si="209"/>
        <v>5.3406576638448389E-4</v>
      </c>
      <c r="AE934" s="15">
        <f t="shared" ca="1" si="210"/>
        <v>0.47638666361495963</v>
      </c>
    </row>
    <row r="935" spans="12:31" x14ac:dyDescent="0.3">
      <c r="L935" s="15">
        <v>933</v>
      </c>
      <c r="M935" s="15">
        <f t="shared" si="200"/>
        <v>1</v>
      </c>
      <c r="N935" s="15">
        <f t="shared" ca="1" si="201"/>
        <v>5.3406576638448389E-4</v>
      </c>
      <c r="O935" s="15">
        <f t="shared" ca="1" si="198"/>
        <v>0.25116510941406667</v>
      </c>
      <c r="P935" s="15">
        <f t="shared" ca="1" si="211"/>
        <v>0.25024795910582132</v>
      </c>
      <c r="Q935" s="15">
        <v>0</v>
      </c>
      <c r="R935" s="15">
        <f t="shared" ca="1" si="202"/>
        <v>0.25024795910582132</v>
      </c>
      <c r="S935" s="15">
        <f t="shared" ca="1" si="199"/>
        <v>1.0009918265615483</v>
      </c>
      <c r="T935" s="15">
        <v>0</v>
      </c>
      <c r="U935" s="15">
        <f t="shared" ca="1" si="203"/>
        <v>1.0009918265615483</v>
      </c>
      <c r="V935" s="15">
        <f t="shared" ca="1" si="204"/>
        <v>0.99946593423361552</v>
      </c>
      <c r="X935" s="15">
        <f t="shared" si="205"/>
        <v>1.05</v>
      </c>
      <c r="Y935" s="15">
        <f t="shared" si="206"/>
        <v>0.95</v>
      </c>
      <c r="Z935" s="15">
        <f t="shared" ca="1" si="207"/>
        <v>1</v>
      </c>
      <c r="AC935" s="15">
        <f t="shared" ca="1" si="208"/>
        <v>2.852262428238461E-7</v>
      </c>
      <c r="AD935" s="15">
        <f t="shared" ca="1" si="209"/>
        <v>5.3406576638448389E-4</v>
      </c>
      <c r="AE935" s="15">
        <f t="shared" ca="1" si="210"/>
        <v>0.47692072938134411</v>
      </c>
    </row>
    <row r="936" spans="12:31" x14ac:dyDescent="0.3">
      <c r="L936" s="15">
        <v>934</v>
      </c>
      <c r="M936" s="15">
        <f t="shared" si="200"/>
        <v>1</v>
      </c>
      <c r="N936" s="15">
        <f t="shared" ca="1" si="201"/>
        <v>5.3406576638448389E-4</v>
      </c>
      <c r="O936" s="15">
        <f t="shared" ca="1" si="198"/>
        <v>0.25116510941406667</v>
      </c>
      <c r="P936" s="15">
        <f t="shared" ca="1" si="211"/>
        <v>0.25024795910582132</v>
      </c>
      <c r="Q936" s="15">
        <v>0</v>
      </c>
      <c r="R936" s="15">
        <f t="shared" ca="1" si="202"/>
        <v>0.25024795910582132</v>
      </c>
      <c r="S936" s="15">
        <f t="shared" ca="1" si="199"/>
        <v>1.0009918271993616</v>
      </c>
      <c r="T936" s="15">
        <v>0</v>
      </c>
      <c r="U936" s="15">
        <f t="shared" ca="1" si="203"/>
        <v>1.0009918271993616</v>
      </c>
      <c r="V936" s="15">
        <f t="shared" ca="1" si="204"/>
        <v>0.99946593423361552</v>
      </c>
      <c r="X936" s="15">
        <f t="shared" si="205"/>
        <v>1.05</v>
      </c>
      <c r="Y936" s="15">
        <f t="shared" si="206"/>
        <v>0.95</v>
      </c>
      <c r="Z936" s="15">
        <f t="shared" ca="1" si="207"/>
        <v>1</v>
      </c>
      <c r="AC936" s="15">
        <f t="shared" ca="1" si="208"/>
        <v>2.852262428238461E-7</v>
      </c>
      <c r="AD936" s="15">
        <f t="shared" ca="1" si="209"/>
        <v>5.3406576638448389E-4</v>
      </c>
      <c r="AE936" s="15">
        <f t="shared" ca="1" si="210"/>
        <v>0.47745479514772859</v>
      </c>
    </row>
    <row r="937" spans="12:31" x14ac:dyDescent="0.3">
      <c r="L937" s="15">
        <v>935</v>
      </c>
      <c r="M937" s="15">
        <f t="shared" si="200"/>
        <v>1</v>
      </c>
      <c r="N937" s="15">
        <f t="shared" ca="1" si="201"/>
        <v>5.3406576638448389E-4</v>
      </c>
      <c r="O937" s="15">
        <f t="shared" ca="1" si="198"/>
        <v>0.25116510941406667</v>
      </c>
      <c r="P937" s="15">
        <f t="shared" ca="1" si="211"/>
        <v>0.25024795910582132</v>
      </c>
      <c r="Q937" s="15">
        <v>0</v>
      </c>
      <c r="R937" s="15">
        <f t="shared" ca="1" si="202"/>
        <v>0.25024795910582132</v>
      </c>
      <c r="S937" s="15">
        <f t="shared" ca="1" si="199"/>
        <v>1.0009918277952268</v>
      </c>
      <c r="T937" s="15">
        <v>0</v>
      </c>
      <c r="U937" s="15">
        <f t="shared" ca="1" si="203"/>
        <v>1.0009918277952268</v>
      </c>
      <c r="V937" s="15">
        <f t="shared" ca="1" si="204"/>
        <v>0.99946593423361552</v>
      </c>
      <c r="X937" s="15">
        <f t="shared" si="205"/>
        <v>1.05</v>
      </c>
      <c r="Y937" s="15">
        <f t="shared" si="206"/>
        <v>0.95</v>
      </c>
      <c r="Z937" s="15">
        <f t="shared" ca="1" si="207"/>
        <v>1</v>
      </c>
      <c r="AC937" s="15">
        <f t="shared" ca="1" si="208"/>
        <v>2.852262428238461E-7</v>
      </c>
      <c r="AD937" s="15">
        <f t="shared" ca="1" si="209"/>
        <v>5.3406576638448389E-4</v>
      </c>
      <c r="AE937" s="15">
        <f t="shared" ca="1" si="210"/>
        <v>0.47798886091411308</v>
      </c>
    </row>
    <row r="938" spans="12:31" x14ac:dyDescent="0.3">
      <c r="L938" s="15">
        <v>936</v>
      </c>
      <c r="M938" s="15">
        <f t="shared" si="200"/>
        <v>1</v>
      </c>
      <c r="N938" s="15">
        <f t="shared" ca="1" si="201"/>
        <v>5.3406576638448389E-4</v>
      </c>
      <c r="O938" s="15">
        <f t="shared" ca="1" si="198"/>
        <v>0.25117520639201618</v>
      </c>
      <c r="P938" s="15">
        <f t="shared" ca="1" si="211"/>
        <v>0.25024795910582132</v>
      </c>
      <c r="Q938" s="15">
        <v>0</v>
      </c>
      <c r="R938" s="15">
        <f t="shared" ca="1" si="202"/>
        <v>0.25024795910582132</v>
      </c>
      <c r="S938" s="15">
        <f t="shared" ca="1" si="199"/>
        <v>1.0009918283519481</v>
      </c>
      <c r="T938" s="15">
        <v>0</v>
      </c>
      <c r="U938" s="15">
        <f t="shared" ca="1" si="203"/>
        <v>1.0009918283519481</v>
      </c>
      <c r="V938" s="15">
        <f t="shared" ca="1" si="204"/>
        <v>0.99946593423361552</v>
      </c>
      <c r="X938" s="15">
        <f t="shared" si="205"/>
        <v>1.05</v>
      </c>
      <c r="Y938" s="15">
        <f t="shared" si="206"/>
        <v>0.95</v>
      </c>
      <c r="Z938" s="15">
        <f t="shared" ca="1" si="207"/>
        <v>1</v>
      </c>
      <c r="AC938" s="15">
        <f t="shared" ca="1" si="208"/>
        <v>2.852262428238461E-7</v>
      </c>
      <c r="AD938" s="15">
        <f t="shared" ca="1" si="209"/>
        <v>5.3406576638448389E-4</v>
      </c>
      <c r="AE938" s="15">
        <f t="shared" ca="1" si="210"/>
        <v>0.47852292668049756</v>
      </c>
    </row>
    <row r="939" spans="12:31" x14ac:dyDescent="0.3">
      <c r="L939" s="15">
        <v>937</v>
      </c>
      <c r="M939" s="15">
        <f t="shared" si="200"/>
        <v>1</v>
      </c>
      <c r="N939" s="15">
        <f t="shared" ca="1" si="201"/>
        <v>5.3406576638448389E-4</v>
      </c>
      <c r="O939" s="15">
        <f t="shared" ref="O939:O1002" ca="1" si="212">IF(MOD(L939,$B$11)=0,OFFSET(O939,-$B$11,0)+ $E$2*N939+$E$3*OFFSET(N939,-$B$11,0)+ $E$4*OFFSET(N939,-2* $B$11,0), O938)</f>
        <v>0.25117520639201618</v>
      </c>
      <c r="P939" s="15">
        <f t="shared" ca="1" si="211"/>
        <v>0.25024795910582132</v>
      </c>
      <c r="Q939" s="15">
        <v>0</v>
      </c>
      <c r="R939" s="15">
        <f t="shared" ca="1" si="202"/>
        <v>0.25024795910582132</v>
      </c>
      <c r="S939" s="15">
        <f t="shared" ca="1" si="199"/>
        <v>1.0009918288721396</v>
      </c>
      <c r="T939" s="15">
        <v>0</v>
      </c>
      <c r="U939" s="15">
        <f t="shared" ca="1" si="203"/>
        <v>1.0009918288721396</v>
      </c>
      <c r="V939" s="15">
        <f t="shared" ca="1" si="204"/>
        <v>0.99946593423361552</v>
      </c>
      <c r="X939" s="15">
        <f t="shared" si="205"/>
        <v>1.05</v>
      </c>
      <c r="Y939" s="15">
        <f t="shared" si="206"/>
        <v>0.95</v>
      </c>
      <c r="Z939" s="15">
        <f t="shared" ca="1" si="207"/>
        <v>1</v>
      </c>
      <c r="AC939" s="15">
        <f t="shared" ca="1" si="208"/>
        <v>2.852262428238461E-7</v>
      </c>
      <c r="AD939" s="15">
        <f t="shared" ca="1" si="209"/>
        <v>5.3406576638448389E-4</v>
      </c>
      <c r="AE939" s="15">
        <f t="shared" ca="1" si="210"/>
        <v>0.47905699244688205</v>
      </c>
    </row>
    <row r="940" spans="12:31" x14ac:dyDescent="0.3">
      <c r="L940" s="15">
        <v>938</v>
      </c>
      <c r="M940" s="15">
        <f t="shared" si="200"/>
        <v>1</v>
      </c>
      <c r="N940" s="15">
        <f t="shared" ca="1" si="201"/>
        <v>5.3406576638448389E-4</v>
      </c>
      <c r="O940" s="15">
        <f t="shared" ca="1" si="212"/>
        <v>0.25117520639201618</v>
      </c>
      <c r="P940" s="15">
        <f t="shared" ca="1" si="211"/>
        <v>0.25024795910582132</v>
      </c>
      <c r="Q940" s="15">
        <v>0</v>
      </c>
      <c r="R940" s="15">
        <f t="shared" ca="1" si="202"/>
        <v>0.25024795910582132</v>
      </c>
      <c r="S940" s="15">
        <f t="shared" ca="1" si="199"/>
        <v>1.000991829358238</v>
      </c>
      <c r="T940" s="15">
        <v>0</v>
      </c>
      <c r="U940" s="15">
        <f t="shared" ca="1" si="203"/>
        <v>1.000991829358238</v>
      </c>
      <c r="V940" s="15">
        <f t="shared" ca="1" si="204"/>
        <v>0.99946593423361552</v>
      </c>
      <c r="X940" s="15">
        <f t="shared" si="205"/>
        <v>1.05</v>
      </c>
      <c r="Y940" s="15">
        <f t="shared" si="206"/>
        <v>0.95</v>
      </c>
      <c r="Z940" s="15">
        <f t="shared" ca="1" si="207"/>
        <v>1</v>
      </c>
      <c r="AC940" s="15">
        <f t="shared" ca="1" si="208"/>
        <v>2.852262428238461E-7</v>
      </c>
      <c r="AD940" s="15">
        <f t="shared" ca="1" si="209"/>
        <v>5.3406576638448389E-4</v>
      </c>
      <c r="AE940" s="15">
        <f t="shared" ca="1" si="210"/>
        <v>0.47959105821326653</v>
      </c>
    </row>
    <row r="941" spans="12:31" x14ac:dyDescent="0.3">
      <c r="L941" s="15">
        <v>939</v>
      </c>
      <c r="M941" s="15">
        <f t="shared" si="200"/>
        <v>1</v>
      </c>
      <c r="N941" s="15">
        <f t="shared" ca="1" si="201"/>
        <v>5.3406576638448389E-4</v>
      </c>
      <c r="O941" s="15">
        <f t="shared" ca="1" si="212"/>
        <v>0.2511853033699657</v>
      </c>
      <c r="P941" s="15">
        <f t="shared" ca="1" si="211"/>
        <v>0.25024795910582132</v>
      </c>
      <c r="Q941" s="15">
        <v>0</v>
      </c>
      <c r="R941" s="15">
        <f t="shared" ca="1" si="202"/>
        <v>0.25024795910582132</v>
      </c>
      <c r="S941" s="15">
        <f t="shared" ref="S941:S1002" ca="1" si="213">$I$1*S940-$I$2*S939+$I$3*R920+$I$4*R919</f>
        <v>1.0009918298125151</v>
      </c>
      <c r="T941" s="15">
        <v>0</v>
      </c>
      <c r="U941" s="15">
        <f t="shared" ca="1" si="203"/>
        <v>1.0009918298125151</v>
      </c>
      <c r="V941" s="15">
        <f t="shared" ca="1" si="204"/>
        <v>0.99946593423361552</v>
      </c>
      <c r="X941" s="15">
        <f t="shared" si="205"/>
        <v>1.05</v>
      </c>
      <c r="Y941" s="15">
        <f t="shared" si="206"/>
        <v>0.95</v>
      </c>
      <c r="Z941" s="15">
        <f t="shared" ca="1" si="207"/>
        <v>1</v>
      </c>
      <c r="AC941" s="15">
        <f t="shared" ca="1" si="208"/>
        <v>2.852262428238461E-7</v>
      </c>
      <c r="AD941" s="15">
        <f t="shared" ca="1" si="209"/>
        <v>5.3406576638448389E-4</v>
      </c>
      <c r="AE941" s="15">
        <f t="shared" ca="1" si="210"/>
        <v>0.48012512397965101</v>
      </c>
    </row>
    <row r="942" spans="12:31" x14ac:dyDescent="0.3">
      <c r="L942" s="15">
        <v>940</v>
      </c>
      <c r="M942" s="15">
        <f t="shared" si="200"/>
        <v>1</v>
      </c>
      <c r="N942" s="15">
        <f t="shared" ca="1" si="201"/>
        <v>5.3406576638448389E-4</v>
      </c>
      <c r="O942" s="15">
        <f t="shared" ca="1" si="212"/>
        <v>0.2511853033699657</v>
      </c>
      <c r="P942" s="15">
        <f t="shared" ca="1" si="211"/>
        <v>0.25024795910582132</v>
      </c>
      <c r="Q942" s="15">
        <v>0</v>
      </c>
      <c r="R942" s="15">
        <f t="shared" ca="1" si="202"/>
        <v>0.25024795910582132</v>
      </c>
      <c r="S942" s="15">
        <f t="shared" ca="1" si="213"/>
        <v>1.0009918302370886</v>
      </c>
      <c r="T942" s="15">
        <v>0</v>
      </c>
      <c r="U942" s="15">
        <f t="shared" ca="1" si="203"/>
        <v>1.0009918302370886</v>
      </c>
      <c r="V942" s="15">
        <f t="shared" ca="1" si="204"/>
        <v>0.99946593423361552</v>
      </c>
      <c r="X942" s="15">
        <f t="shared" si="205"/>
        <v>1.05</v>
      </c>
      <c r="Y942" s="15">
        <f t="shared" si="206"/>
        <v>0.95</v>
      </c>
      <c r="Z942" s="15">
        <f t="shared" ca="1" si="207"/>
        <v>1</v>
      </c>
      <c r="AC942" s="15">
        <f t="shared" ca="1" si="208"/>
        <v>2.852262428238461E-7</v>
      </c>
      <c r="AD942" s="15">
        <f t="shared" ca="1" si="209"/>
        <v>5.3406576638448389E-4</v>
      </c>
      <c r="AE942" s="15">
        <f t="shared" ca="1" si="210"/>
        <v>0.4806591897460355</v>
      </c>
    </row>
    <row r="943" spans="12:31" x14ac:dyDescent="0.3">
      <c r="L943" s="15">
        <v>941</v>
      </c>
      <c r="M943" s="15">
        <f t="shared" si="200"/>
        <v>1</v>
      </c>
      <c r="N943" s="15">
        <f t="shared" ca="1" si="201"/>
        <v>5.3406576638448389E-4</v>
      </c>
      <c r="O943" s="15">
        <f t="shared" ca="1" si="212"/>
        <v>0.2511853033699657</v>
      </c>
      <c r="P943" s="15">
        <f t="shared" ca="1" si="211"/>
        <v>0.25024795910582132</v>
      </c>
      <c r="Q943" s="15">
        <v>0</v>
      </c>
      <c r="R943" s="15">
        <f t="shared" ca="1" si="202"/>
        <v>0.25024795910582132</v>
      </c>
      <c r="S943" s="15">
        <f t="shared" ca="1" si="213"/>
        <v>1.0009918306339332</v>
      </c>
      <c r="T943" s="15">
        <v>0</v>
      </c>
      <c r="U943" s="15">
        <f t="shared" ca="1" si="203"/>
        <v>1.0009918306339332</v>
      </c>
      <c r="V943" s="15">
        <f t="shared" ca="1" si="204"/>
        <v>0.99946593423361552</v>
      </c>
      <c r="X943" s="15">
        <f t="shared" si="205"/>
        <v>1.05</v>
      </c>
      <c r="Y943" s="15">
        <f t="shared" si="206"/>
        <v>0.95</v>
      </c>
      <c r="Z943" s="15">
        <f t="shared" ca="1" si="207"/>
        <v>1</v>
      </c>
      <c r="AC943" s="15">
        <f t="shared" ca="1" si="208"/>
        <v>2.852262428238461E-7</v>
      </c>
      <c r="AD943" s="15">
        <f t="shared" ca="1" si="209"/>
        <v>5.3406576638448389E-4</v>
      </c>
      <c r="AE943" s="15">
        <f t="shared" ca="1" si="210"/>
        <v>0.48119325551241998</v>
      </c>
    </row>
    <row r="944" spans="12:31" x14ac:dyDescent="0.3">
      <c r="L944" s="15">
        <v>942</v>
      </c>
      <c r="M944" s="15">
        <f t="shared" si="200"/>
        <v>1</v>
      </c>
      <c r="N944" s="15">
        <f t="shared" ca="1" si="201"/>
        <v>5.3406576638448389E-4</v>
      </c>
      <c r="O944" s="15">
        <f t="shared" ca="1" si="212"/>
        <v>0.25119540034791521</v>
      </c>
      <c r="P944" s="15">
        <f t="shared" ca="1" si="211"/>
        <v>0.25024795910582132</v>
      </c>
      <c r="Q944" s="15">
        <v>0</v>
      </c>
      <c r="R944" s="15">
        <f t="shared" ca="1" si="202"/>
        <v>0.25024795910582132</v>
      </c>
      <c r="S944" s="15">
        <f t="shared" ca="1" si="213"/>
        <v>1.0009918310048902</v>
      </c>
      <c r="T944" s="15">
        <v>0</v>
      </c>
      <c r="U944" s="15">
        <f t="shared" ca="1" si="203"/>
        <v>1.0009918310048902</v>
      </c>
      <c r="V944" s="15">
        <f t="shared" ca="1" si="204"/>
        <v>0.99946593423361552</v>
      </c>
      <c r="X944" s="15">
        <f t="shared" si="205"/>
        <v>1.05</v>
      </c>
      <c r="Y944" s="15">
        <f t="shared" si="206"/>
        <v>0.95</v>
      </c>
      <c r="Z944" s="15">
        <f t="shared" ca="1" si="207"/>
        <v>1</v>
      </c>
      <c r="AC944" s="15">
        <f t="shared" ca="1" si="208"/>
        <v>2.852262428238461E-7</v>
      </c>
      <c r="AD944" s="15">
        <f t="shared" ca="1" si="209"/>
        <v>5.3406576638448389E-4</v>
      </c>
      <c r="AE944" s="15">
        <f t="shared" ca="1" si="210"/>
        <v>0.48172732127880447</v>
      </c>
    </row>
    <row r="945" spans="12:31" x14ac:dyDescent="0.3">
      <c r="L945" s="15">
        <v>943</v>
      </c>
      <c r="M945" s="15">
        <f t="shared" si="200"/>
        <v>1</v>
      </c>
      <c r="N945" s="15">
        <f t="shared" ca="1" si="201"/>
        <v>5.3406576638448389E-4</v>
      </c>
      <c r="O945" s="15">
        <f t="shared" ca="1" si="212"/>
        <v>0.25119540034791521</v>
      </c>
      <c r="P945" s="15">
        <f t="shared" ca="1" si="211"/>
        <v>0.25024795910582132</v>
      </c>
      <c r="Q945" s="15">
        <v>0</v>
      </c>
      <c r="R945" s="15">
        <f t="shared" ca="1" si="202"/>
        <v>0.25024795910582132</v>
      </c>
      <c r="S945" s="15">
        <f t="shared" ca="1" si="213"/>
        <v>1.0009918313516768</v>
      </c>
      <c r="T945" s="15">
        <v>0</v>
      </c>
      <c r="U945" s="15">
        <f t="shared" ca="1" si="203"/>
        <v>1.0009918313516768</v>
      </c>
      <c r="V945" s="15">
        <f t="shared" ca="1" si="204"/>
        <v>0.99946593423361552</v>
      </c>
      <c r="X945" s="15">
        <f t="shared" si="205"/>
        <v>1.05</v>
      </c>
      <c r="Y945" s="15">
        <f t="shared" si="206"/>
        <v>0.95</v>
      </c>
      <c r="Z945" s="15">
        <f t="shared" ca="1" si="207"/>
        <v>1</v>
      </c>
      <c r="AC945" s="15">
        <f t="shared" ca="1" si="208"/>
        <v>2.852262428238461E-7</v>
      </c>
      <c r="AD945" s="15">
        <f t="shared" ca="1" si="209"/>
        <v>5.3406576638448389E-4</v>
      </c>
      <c r="AE945" s="15">
        <f t="shared" ca="1" si="210"/>
        <v>0.48226138704518895</v>
      </c>
    </row>
    <row r="946" spans="12:31" x14ac:dyDescent="0.3">
      <c r="L946" s="15">
        <v>944</v>
      </c>
      <c r="M946" s="15">
        <f t="shared" si="200"/>
        <v>1</v>
      </c>
      <c r="N946" s="15">
        <f t="shared" ca="1" si="201"/>
        <v>5.3406576638448389E-4</v>
      </c>
      <c r="O946" s="15">
        <f t="shared" ca="1" si="212"/>
        <v>0.25119540034791521</v>
      </c>
      <c r="P946" s="15">
        <f t="shared" ca="1" si="211"/>
        <v>0.25024795910582132</v>
      </c>
      <c r="Q946" s="15">
        <v>0</v>
      </c>
      <c r="R946" s="15">
        <f t="shared" ca="1" si="202"/>
        <v>0.25024795910582132</v>
      </c>
      <c r="S946" s="15">
        <f t="shared" ca="1" si="213"/>
        <v>1.0009918316758943</v>
      </c>
      <c r="T946" s="15">
        <v>0</v>
      </c>
      <c r="U946" s="15">
        <f t="shared" ca="1" si="203"/>
        <v>1.0009918316758943</v>
      </c>
      <c r="V946" s="15">
        <f t="shared" ca="1" si="204"/>
        <v>0.99946593423361552</v>
      </c>
      <c r="X946" s="15">
        <f t="shared" si="205"/>
        <v>1.05</v>
      </c>
      <c r="Y946" s="15">
        <f t="shared" si="206"/>
        <v>0.95</v>
      </c>
      <c r="Z946" s="15">
        <f t="shared" ca="1" si="207"/>
        <v>1</v>
      </c>
      <c r="AC946" s="15">
        <f t="shared" ca="1" si="208"/>
        <v>2.852262428238461E-7</v>
      </c>
      <c r="AD946" s="15">
        <f t="shared" ca="1" si="209"/>
        <v>5.3406576638448389E-4</v>
      </c>
      <c r="AE946" s="15">
        <f t="shared" ca="1" si="210"/>
        <v>0.48279545281157343</v>
      </c>
    </row>
    <row r="947" spans="12:31" x14ac:dyDescent="0.3">
      <c r="L947" s="15">
        <v>945</v>
      </c>
      <c r="M947" s="15">
        <f t="shared" si="200"/>
        <v>1</v>
      </c>
      <c r="N947" s="15">
        <f t="shared" ca="1" si="201"/>
        <v>5.3406576638448389E-4</v>
      </c>
      <c r="O947" s="15">
        <f t="shared" ca="1" si="212"/>
        <v>0.25120549732586472</v>
      </c>
      <c r="P947" s="15">
        <f t="shared" ca="1" si="211"/>
        <v>0.25024795910582132</v>
      </c>
      <c r="Q947" s="15">
        <v>0</v>
      </c>
      <c r="R947" s="15">
        <f t="shared" ca="1" si="202"/>
        <v>0.25024795910582132</v>
      </c>
      <c r="S947" s="15">
        <f t="shared" ca="1" si="213"/>
        <v>1.0009918319790363</v>
      </c>
      <c r="T947" s="15">
        <v>0</v>
      </c>
      <c r="U947" s="15">
        <f t="shared" ca="1" si="203"/>
        <v>1.0009918319790363</v>
      </c>
      <c r="V947" s="15">
        <f t="shared" ca="1" si="204"/>
        <v>0.99946593423361552</v>
      </c>
      <c r="X947" s="15">
        <f t="shared" si="205"/>
        <v>1.05</v>
      </c>
      <c r="Y947" s="15">
        <f t="shared" si="206"/>
        <v>0.95</v>
      </c>
      <c r="Z947" s="15">
        <f t="shared" ca="1" si="207"/>
        <v>1</v>
      </c>
      <c r="AC947" s="15">
        <f t="shared" ca="1" si="208"/>
        <v>2.852262428238461E-7</v>
      </c>
      <c r="AD947" s="15">
        <f t="shared" ca="1" si="209"/>
        <v>5.3406576638448389E-4</v>
      </c>
      <c r="AE947" s="15">
        <f t="shared" ca="1" si="210"/>
        <v>0.48332951857795792</v>
      </c>
    </row>
    <row r="948" spans="12:31" x14ac:dyDescent="0.3">
      <c r="L948" s="15">
        <v>946</v>
      </c>
      <c r="M948" s="15">
        <f t="shared" si="200"/>
        <v>1</v>
      </c>
      <c r="N948" s="15">
        <f t="shared" ca="1" si="201"/>
        <v>5.3406576638448389E-4</v>
      </c>
      <c r="O948" s="15">
        <f t="shared" ca="1" si="212"/>
        <v>0.25120549732586472</v>
      </c>
      <c r="P948" s="15">
        <f t="shared" ca="1" si="211"/>
        <v>0.25024795910582132</v>
      </c>
      <c r="Q948" s="15">
        <v>0</v>
      </c>
      <c r="R948" s="15">
        <f t="shared" ca="1" si="202"/>
        <v>0.25024795910582132</v>
      </c>
      <c r="S948" s="15">
        <f t="shared" ca="1" si="213"/>
        <v>1.0009918322624956</v>
      </c>
      <c r="T948" s="15">
        <v>0</v>
      </c>
      <c r="U948" s="15">
        <f t="shared" ca="1" si="203"/>
        <v>1.0009918322624956</v>
      </c>
      <c r="V948" s="15">
        <f t="shared" ca="1" si="204"/>
        <v>0.99946593423361552</v>
      </c>
      <c r="X948" s="15">
        <f t="shared" si="205"/>
        <v>1.05</v>
      </c>
      <c r="Y948" s="15">
        <f t="shared" si="206"/>
        <v>0.95</v>
      </c>
      <c r="Z948" s="15">
        <f t="shared" ca="1" si="207"/>
        <v>1</v>
      </c>
      <c r="AC948" s="15">
        <f t="shared" ca="1" si="208"/>
        <v>2.852262428238461E-7</v>
      </c>
      <c r="AD948" s="15">
        <f t="shared" ca="1" si="209"/>
        <v>5.3406576638448389E-4</v>
      </c>
      <c r="AE948" s="15">
        <f t="shared" ca="1" si="210"/>
        <v>0.4838635843443424</v>
      </c>
    </row>
    <row r="949" spans="12:31" x14ac:dyDescent="0.3">
      <c r="L949" s="15">
        <v>947</v>
      </c>
      <c r="M949" s="15">
        <f t="shared" si="200"/>
        <v>1</v>
      </c>
      <c r="N949" s="15">
        <f t="shared" ca="1" si="201"/>
        <v>5.3406576638448389E-4</v>
      </c>
      <c r="O949" s="15">
        <f t="shared" ca="1" si="212"/>
        <v>0.25120549732586472</v>
      </c>
      <c r="P949" s="15">
        <f t="shared" ca="1" si="211"/>
        <v>0.25024795910582132</v>
      </c>
      <c r="Q949" s="15">
        <v>0</v>
      </c>
      <c r="R949" s="15">
        <f t="shared" ca="1" si="202"/>
        <v>0.25024795910582132</v>
      </c>
      <c r="S949" s="15">
        <f t="shared" ca="1" si="213"/>
        <v>1.0009918325275717</v>
      </c>
      <c r="T949" s="15">
        <v>0</v>
      </c>
      <c r="U949" s="15">
        <f t="shared" ca="1" si="203"/>
        <v>1.0009918325275717</v>
      </c>
      <c r="V949" s="15">
        <f t="shared" ca="1" si="204"/>
        <v>0.99946593423361552</v>
      </c>
      <c r="X949" s="15">
        <f t="shared" si="205"/>
        <v>1.05</v>
      </c>
      <c r="Y949" s="15">
        <f t="shared" si="206"/>
        <v>0.95</v>
      </c>
      <c r="Z949" s="15">
        <f t="shared" ca="1" si="207"/>
        <v>1</v>
      </c>
      <c r="AC949" s="15">
        <f t="shared" ca="1" si="208"/>
        <v>2.852262428238461E-7</v>
      </c>
      <c r="AD949" s="15">
        <f t="shared" ca="1" si="209"/>
        <v>5.3406576638448389E-4</v>
      </c>
      <c r="AE949" s="15">
        <f t="shared" ca="1" si="210"/>
        <v>0.48439765011072689</v>
      </c>
    </row>
    <row r="950" spans="12:31" x14ac:dyDescent="0.3">
      <c r="L950" s="15">
        <v>948</v>
      </c>
      <c r="M950" s="15">
        <f t="shared" si="200"/>
        <v>1</v>
      </c>
      <c r="N950" s="15">
        <f t="shared" ca="1" si="201"/>
        <v>5.3406576638448389E-4</v>
      </c>
      <c r="O950" s="15">
        <f t="shared" ca="1" si="212"/>
        <v>0.25121559430381424</v>
      </c>
      <c r="P950" s="15">
        <f t="shared" ca="1" si="211"/>
        <v>0.25024795910582132</v>
      </c>
      <c r="Q950" s="15">
        <v>0</v>
      </c>
      <c r="R950" s="15">
        <f t="shared" ca="1" si="202"/>
        <v>0.25024795910582132</v>
      </c>
      <c r="S950" s="15">
        <f t="shared" ca="1" si="213"/>
        <v>1.0009918327754772</v>
      </c>
      <c r="T950" s="15">
        <v>0</v>
      </c>
      <c r="U950" s="15">
        <f t="shared" ca="1" si="203"/>
        <v>1.0009918327754772</v>
      </c>
      <c r="V950" s="15">
        <f t="shared" ca="1" si="204"/>
        <v>0.99946593423361552</v>
      </c>
      <c r="X950" s="15">
        <f t="shared" si="205"/>
        <v>1.05</v>
      </c>
      <c r="Y950" s="15">
        <f t="shared" si="206"/>
        <v>0.95</v>
      </c>
      <c r="Z950" s="15">
        <f t="shared" ca="1" si="207"/>
        <v>1</v>
      </c>
      <c r="AC950" s="15">
        <f t="shared" ca="1" si="208"/>
        <v>2.852262428238461E-7</v>
      </c>
      <c r="AD950" s="15">
        <f t="shared" ca="1" si="209"/>
        <v>5.3406576638448389E-4</v>
      </c>
      <c r="AE950" s="15">
        <f t="shared" ca="1" si="210"/>
        <v>0.48493171587711137</v>
      </c>
    </row>
    <row r="951" spans="12:31" x14ac:dyDescent="0.3">
      <c r="L951" s="15">
        <v>949</v>
      </c>
      <c r="M951" s="15">
        <f t="shared" si="200"/>
        <v>1</v>
      </c>
      <c r="N951" s="15">
        <f t="shared" ca="1" si="201"/>
        <v>5.3406576638448389E-4</v>
      </c>
      <c r="O951" s="15">
        <f t="shared" ca="1" si="212"/>
        <v>0.25121559430381424</v>
      </c>
      <c r="P951" s="15">
        <f t="shared" ca="1" si="211"/>
        <v>0.25024795910582132</v>
      </c>
      <c r="Q951" s="15">
        <v>0</v>
      </c>
      <c r="R951" s="15">
        <f t="shared" ca="1" si="202"/>
        <v>0.25024795910582132</v>
      </c>
      <c r="S951" s="15">
        <f t="shared" ca="1" si="213"/>
        <v>1.0009918330073428</v>
      </c>
      <c r="T951" s="15">
        <v>0</v>
      </c>
      <c r="U951" s="15">
        <f t="shared" ca="1" si="203"/>
        <v>1.0009918330073428</v>
      </c>
      <c r="V951" s="15">
        <f t="shared" ca="1" si="204"/>
        <v>0.99946593423361552</v>
      </c>
      <c r="X951" s="15">
        <f t="shared" si="205"/>
        <v>1.05</v>
      </c>
      <c r="Y951" s="15">
        <f t="shared" si="206"/>
        <v>0.95</v>
      </c>
      <c r="Z951" s="15">
        <f t="shared" ca="1" si="207"/>
        <v>1</v>
      </c>
      <c r="AC951" s="15">
        <f t="shared" ca="1" si="208"/>
        <v>2.852262428238461E-7</v>
      </c>
      <c r="AD951" s="15">
        <f t="shared" ca="1" si="209"/>
        <v>5.3406576638448389E-4</v>
      </c>
      <c r="AE951" s="15">
        <f t="shared" ca="1" si="210"/>
        <v>0.48546578164349585</v>
      </c>
    </row>
    <row r="952" spans="12:31" x14ac:dyDescent="0.3">
      <c r="L952" s="15">
        <v>950</v>
      </c>
      <c r="M952" s="15">
        <f t="shared" si="200"/>
        <v>1</v>
      </c>
      <c r="N952" s="15">
        <f t="shared" ca="1" si="201"/>
        <v>5.3406576638448389E-4</v>
      </c>
      <c r="O952" s="15">
        <f t="shared" ca="1" si="212"/>
        <v>0.25121559430381424</v>
      </c>
      <c r="P952" s="15">
        <f t="shared" ca="1" si="211"/>
        <v>0.25024795910582132</v>
      </c>
      <c r="Q952" s="15">
        <v>0</v>
      </c>
      <c r="R952" s="15">
        <f t="shared" ca="1" si="202"/>
        <v>0.25024795910582132</v>
      </c>
      <c r="S952" s="15">
        <f t="shared" ca="1" si="213"/>
        <v>1.000991833224224</v>
      </c>
      <c r="T952" s="15">
        <v>0</v>
      </c>
      <c r="U952" s="15">
        <f t="shared" ca="1" si="203"/>
        <v>1.000991833224224</v>
      </c>
      <c r="V952" s="15">
        <f t="shared" ca="1" si="204"/>
        <v>0.99946593423361552</v>
      </c>
      <c r="X952" s="15">
        <f t="shared" si="205"/>
        <v>1.05</v>
      </c>
      <c r="Y952" s="15">
        <f t="shared" si="206"/>
        <v>0.95</v>
      </c>
      <c r="Z952" s="15">
        <f t="shared" ca="1" si="207"/>
        <v>1</v>
      </c>
      <c r="AC952" s="15">
        <f t="shared" ca="1" si="208"/>
        <v>2.852262428238461E-7</v>
      </c>
      <c r="AD952" s="15">
        <f t="shared" ca="1" si="209"/>
        <v>5.3406576638448389E-4</v>
      </c>
      <c r="AE952" s="15">
        <f t="shared" ca="1" si="210"/>
        <v>0.48599984740988034</v>
      </c>
    </row>
    <row r="953" spans="12:31" x14ac:dyDescent="0.3">
      <c r="L953" s="15">
        <v>951</v>
      </c>
      <c r="M953" s="15">
        <f t="shared" si="200"/>
        <v>1</v>
      </c>
      <c r="N953" s="15">
        <f t="shared" ca="1" si="201"/>
        <v>5.3406576638448389E-4</v>
      </c>
      <c r="O953" s="15">
        <f t="shared" ca="1" si="212"/>
        <v>0.25122569128176375</v>
      </c>
      <c r="P953" s="15">
        <f t="shared" ca="1" si="211"/>
        <v>0.25024795910582132</v>
      </c>
      <c r="Q953" s="15">
        <v>0</v>
      </c>
      <c r="R953" s="15">
        <f t="shared" ca="1" si="202"/>
        <v>0.25024795910582132</v>
      </c>
      <c r="S953" s="15">
        <f t="shared" ca="1" si="213"/>
        <v>1.0009918334271055</v>
      </c>
      <c r="T953" s="15">
        <v>0</v>
      </c>
      <c r="U953" s="15">
        <f t="shared" ca="1" si="203"/>
        <v>1.0009918334271055</v>
      </c>
      <c r="V953" s="15">
        <f t="shared" ca="1" si="204"/>
        <v>0.99946593423361552</v>
      </c>
      <c r="X953" s="15">
        <f t="shared" si="205"/>
        <v>1.05</v>
      </c>
      <c r="Y953" s="15">
        <f t="shared" si="206"/>
        <v>0.95</v>
      </c>
      <c r="Z953" s="15">
        <f t="shared" ca="1" si="207"/>
        <v>1</v>
      </c>
      <c r="AC953" s="15">
        <f t="shared" ca="1" si="208"/>
        <v>2.852262428238461E-7</v>
      </c>
      <c r="AD953" s="15">
        <f t="shared" ca="1" si="209"/>
        <v>5.3406576638448389E-4</v>
      </c>
      <c r="AE953" s="15">
        <f t="shared" ca="1" si="210"/>
        <v>0.48653391317626482</v>
      </c>
    </row>
    <row r="954" spans="12:31" x14ac:dyDescent="0.3">
      <c r="L954" s="15">
        <v>952</v>
      </c>
      <c r="M954" s="15">
        <f t="shared" si="200"/>
        <v>1</v>
      </c>
      <c r="N954" s="15">
        <f t="shared" ca="1" si="201"/>
        <v>5.3406576638448389E-4</v>
      </c>
      <c r="O954" s="15">
        <f t="shared" ca="1" si="212"/>
        <v>0.25122569128176375</v>
      </c>
      <c r="P954" s="15">
        <f t="shared" ca="1" si="211"/>
        <v>0.25024795910582132</v>
      </c>
      <c r="Q954" s="15">
        <v>0</v>
      </c>
      <c r="R954" s="15">
        <f t="shared" ca="1" si="202"/>
        <v>0.25024795910582132</v>
      </c>
      <c r="S954" s="15">
        <f t="shared" ca="1" si="213"/>
        <v>1.0009918336169064</v>
      </c>
      <c r="T954" s="15">
        <v>0</v>
      </c>
      <c r="U954" s="15">
        <f t="shared" ca="1" si="203"/>
        <v>1.0009918336169064</v>
      </c>
      <c r="V954" s="15">
        <f t="shared" ca="1" si="204"/>
        <v>0.99946593423361552</v>
      </c>
      <c r="X954" s="15">
        <f t="shared" si="205"/>
        <v>1.05</v>
      </c>
      <c r="Y954" s="15">
        <f t="shared" si="206"/>
        <v>0.95</v>
      </c>
      <c r="Z954" s="15">
        <f t="shared" ca="1" si="207"/>
        <v>1</v>
      </c>
      <c r="AC954" s="15">
        <f t="shared" ca="1" si="208"/>
        <v>2.852262428238461E-7</v>
      </c>
      <c r="AD954" s="15">
        <f t="shared" ca="1" si="209"/>
        <v>5.3406576638448389E-4</v>
      </c>
      <c r="AE954" s="15">
        <f t="shared" ca="1" si="210"/>
        <v>0.4870679789426493</v>
      </c>
    </row>
    <row r="955" spans="12:31" x14ac:dyDescent="0.3">
      <c r="L955" s="15">
        <v>953</v>
      </c>
      <c r="M955" s="15">
        <f t="shared" si="200"/>
        <v>1</v>
      </c>
      <c r="N955" s="15">
        <f t="shared" ca="1" si="201"/>
        <v>5.3406576638448389E-4</v>
      </c>
      <c r="O955" s="15">
        <f t="shared" ca="1" si="212"/>
        <v>0.25122569128176375</v>
      </c>
      <c r="P955" s="15">
        <f t="shared" ca="1" si="211"/>
        <v>0.25024795910582132</v>
      </c>
      <c r="Q955" s="15">
        <v>0</v>
      </c>
      <c r="R955" s="15">
        <f t="shared" ca="1" si="202"/>
        <v>0.25024795910582132</v>
      </c>
      <c r="S955" s="15">
        <f t="shared" ca="1" si="213"/>
        <v>1.0009918337944843</v>
      </c>
      <c r="T955" s="15">
        <v>0</v>
      </c>
      <c r="U955" s="15">
        <f t="shared" ca="1" si="203"/>
        <v>1.0009918337944843</v>
      </c>
      <c r="V955" s="15">
        <f t="shared" ca="1" si="204"/>
        <v>0.99946593423361552</v>
      </c>
      <c r="X955" s="15">
        <f t="shared" si="205"/>
        <v>1.05</v>
      </c>
      <c r="Y955" s="15">
        <f t="shared" si="206"/>
        <v>0.95</v>
      </c>
      <c r="Z955" s="15">
        <f t="shared" ca="1" si="207"/>
        <v>1</v>
      </c>
      <c r="AC955" s="15">
        <f t="shared" ca="1" si="208"/>
        <v>2.852262428238461E-7</v>
      </c>
      <c r="AD955" s="15">
        <f t="shared" ca="1" si="209"/>
        <v>5.3406576638448389E-4</v>
      </c>
      <c r="AE955" s="15">
        <f t="shared" ca="1" si="210"/>
        <v>0.48760204470903379</v>
      </c>
    </row>
    <row r="956" spans="12:31" x14ac:dyDescent="0.3">
      <c r="L956" s="15">
        <v>954</v>
      </c>
      <c r="M956" s="15">
        <f t="shared" si="200"/>
        <v>1</v>
      </c>
      <c r="N956" s="15">
        <f t="shared" ca="1" si="201"/>
        <v>5.3406576638448389E-4</v>
      </c>
      <c r="O956" s="15">
        <f t="shared" ca="1" si="212"/>
        <v>0.25123578825971327</v>
      </c>
      <c r="P956" s="15">
        <f t="shared" ca="1" si="211"/>
        <v>0.25024795910582132</v>
      </c>
      <c r="Q956" s="15">
        <v>0</v>
      </c>
      <c r="R956" s="15">
        <f t="shared" ca="1" si="202"/>
        <v>0.25024795910582132</v>
      </c>
      <c r="S956" s="15">
        <f t="shared" ca="1" si="213"/>
        <v>1.0009918339606396</v>
      </c>
      <c r="T956" s="15">
        <v>0</v>
      </c>
      <c r="U956" s="15">
        <f t="shared" ca="1" si="203"/>
        <v>1.0009918339606396</v>
      </c>
      <c r="V956" s="15">
        <f t="shared" ca="1" si="204"/>
        <v>0.99946593423361552</v>
      </c>
      <c r="X956" s="15">
        <f t="shared" si="205"/>
        <v>1.05</v>
      </c>
      <c r="Y956" s="15">
        <f t="shared" si="206"/>
        <v>0.95</v>
      </c>
      <c r="Z956" s="15">
        <f t="shared" ca="1" si="207"/>
        <v>1</v>
      </c>
      <c r="AC956" s="15">
        <f t="shared" ca="1" si="208"/>
        <v>2.852262428238461E-7</v>
      </c>
      <c r="AD956" s="15">
        <f t="shared" ca="1" si="209"/>
        <v>5.3406576638448389E-4</v>
      </c>
      <c r="AE956" s="15">
        <f t="shared" ca="1" si="210"/>
        <v>0.48813611047541827</v>
      </c>
    </row>
    <row r="957" spans="12:31" x14ac:dyDescent="0.3">
      <c r="L957" s="15">
        <v>955</v>
      </c>
      <c r="M957" s="15">
        <f t="shared" si="200"/>
        <v>1</v>
      </c>
      <c r="N957" s="15">
        <f t="shared" ca="1" si="201"/>
        <v>5.3406576638448389E-4</v>
      </c>
      <c r="O957" s="15">
        <f t="shared" ca="1" si="212"/>
        <v>0.25123578825971327</v>
      </c>
      <c r="P957" s="15">
        <f t="shared" ca="1" si="211"/>
        <v>0.25024795910582132</v>
      </c>
      <c r="Q957" s="15">
        <v>0</v>
      </c>
      <c r="R957" s="15">
        <f t="shared" ca="1" si="202"/>
        <v>0.25024795910582132</v>
      </c>
      <c r="S957" s="15">
        <f t="shared" ca="1" si="213"/>
        <v>1.0009918341161195</v>
      </c>
      <c r="T957" s="15">
        <v>0</v>
      </c>
      <c r="U957" s="15">
        <f t="shared" ca="1" si="203"/>
        <v>1.0009918341161195</v>
      </c>
      <c r="V957" s="15">
        <f t="shared" ca="1" si="204"/>
        <v>0.99946593423361552</v>
      </c>
      <c r="X957" s="15">
        <f t="shared" si="205"/>
        <v>1.05</v>
      </c>
      <c r="Y957" s="15">
        <f t="shared" si="206"/>
        <v>0.95</v>
      </c>
      <c r="Z957" s="15">
        <f t="shared" ca="1" si="207"/>
        <v>1</v>
      </c>
      <c r="AC957" s="15">
        <f t="shared" ca="1" si="208"/>
        <v>2.852262428238461E-7</v>
      </c>
      <c r="AD957" s="15">
        <f t="shared" ca="1" si="209"/>
        <v>5.3406576638448389E-4</v>
      </c>
      <c r="AE957" s="15">
        <f t="shared" ca="1" si="210"/>
        <v>0.48867017624180276</v>
      </c>
    </row>
    <row r="958" spans="12:31" x14ac:dyDescent="0.3">
      <c r="L958" s="15">
        <v>956</v>
      </c>
      <c r="M958" s="15">
        <f t="shared" si="200"/>
        <v>1</v>
      </c>
      <c r="N958" s="15">
        <f t="shared" ca="1" si="201"/>
        <v>5.3406576638448389E-4</v>
      </c>
      <c r="O958" s="15">
        <f t="shared" ca="1" si="212"/>
        <v>0.25123578825971327</v>
      </c>
      <c r="P958" s="15">
        <f t="shared" ca="1" si="211"/>
        <v>0.25024795910582132</v>
      </c>
      <c r="Q958" s="15">
        <v>0</v>
      </c>
      <c r="R958" s="15">
        <f t="shared" ca="1" si="202"/>
        <v>0.25024795910582132</v>
      </c>
      <c r="S958" s="15">
        <f t="shared" ca="1" si="213"/>
        <v>1.0009918342616215</v>
      </c>
      <c r="T958" s="15">
        <v>0</v>
      </c>
      <c r="U958" s="15">
        <f t="shared" ca="1" si="203"/>
        <v>1.0009918342616215</v>
      </c>
      <c r="V958" s="15">
        <f t="shared" ca="1" si="204"/>
        <v>0.99946593423361552</v>
      </c>
      <c r="X958" s="15">
        <f t="shared" si="205"/>
        <v>1.05</v>
      </c>
      <c r="Y958" s="15">
        <f t="shared" si="206"/>
        <v>0.95</v>
      </c>
      <c r="Z958" s="15">
        <f t="shared" ca="1" si="207"/>
        <v>1</v>
      </c>
      <c r="AC958" s="15">
        <f t="shared" ca="1" si="208"/>
        <v>2.852262428238461E-7</v>
      </c>
      <c r="AD958" s="15">
        <f t="shared" ca="1" si="209"/>
        <v>5.3406576638448389E-4</v>
      </c>
      <c r="AE958" s="15">
        <f t="shared" ca="1" si="210"/>
        <v>0.48920424200818724</v>
      </c>
    </row>
    <row r="959" spans="12:31" x14ac:dyDescent="0.3">
      <c r="L959" s="15">
        <v>957</v>
      </c>
      <c r="M959" s="15">
        <f t="shared" si="200"/>
        <v>1</v>
      </c>
      <c r="N959" s="15">
        <f t="shared" ca="1" si="201"/>
        <v>5.3406576638448389E-4</v>
      </c>
      <c r="O959" s="15">
        <f t="shared" ca="1" si="212"/>
        <v>0.25124588523766278</v>
      </c>
      <c r="P959" s="15">
        <f t="shared" ca="1" si="211"/>
        <v>0.25024795910582132</v>
      </c>
      <c r="Q959" s="15">
        <v>0</v>
      </c>
      <c r="R959" s="15">
        <f t="shared" ca="1" si="202"/>
        <v>0.25024795910582132</v>
      </c>
      <c r="S959" s="15">
        <f t="shared" ca="1" si="213"/>
        <v>1.0009918343977968</v>
      </c>
      <c r="T959" s="15">
        <v>0</v>
      </c>
      <c r="U959" s="15">
        <f t="shared" ca="1" si="203"/>
        <v>1.0009918343977968</v>
      </c>
      <c r="V959" s="15">
        <f t="shared" ca="1" si="204"/>
        <v>0.99946593423361552</v>
      </c>
      <c r="X959" s="15">
        <f t="shared" si="205"/>
        <v>1.05</v>
      </c>
      <c r="Y959" s="15">
        <f t="shared" si="206"/>
        <v>0.95</v>
      </c>
      <c r="Z959" s="15">
        <f t="shared" ca="1" si="207"/>
        <v>1</v>
      </c>
      <c r="AC959" s="15">
        <f t="shared" ca="1" si="208"/>
        <v>2.852262428238461E-7</v>
      </c>
      <c r="AD959" s="15">
        <f t="shared" ca="1" si="209"/>
        <v>5.3406576638448389E-4</v>
      </c>
      <c r="AE959" s="15">
        <f t="shared" ca="1" si="210"/>
        <v>0.48973830777457172</v>
      </c>
    </row>
    <row r="960" spans="12:31" x14ac:dyDescent="0.3">
      <c r="L960" s="15">
        <v>958</v>
      </c>
      <c r="M960" s="15">
        <f t="shared" si="200"/>
        <v>1</v>
      </c>
      <c r="N960" s="15">
        <f t="shared" ca="1" si="201"/>
        <v>5.3406576638448389E-4</v>
      </c>
      <c r="O960" s="15">
        <f t="shared" ca="1" si="212"/>
        <v>0.25124588523766278</v>
      </c>
      <c r="P960" s="15">
        <f t="shared" ca="1" si="211"/>
        <v>0.25024795910582132</v>
      </c>
      <c r="Q960" s="15">
        <v>0</v>
      </c>
      <c r="R960" s="15">
        <f t="shared" ca="1" si="202"/>
        <v>0.25024795910582132</v>
      </c>
      <c r="S960" s="15">
        <f t="shared" ca="1" si="213"/>
        <v>1.0009918345252533</v>
      </c>
      <c r="T960" s="15">
        <v>0</v>
      </c>
      <c r="U960" s="15">
        <f t="shared" ca="1" si="203"/>
        <v>1.0009918345252533</v>
      </c>
      <c r="V960" s="15">
        <f t="shared" ca="1" si="204"/>
        <v>0.99946593423361552</v>
      </c>
      <c r="X960" s="15">
        <f t="shared" si="205"/>
        <v>1.05</v>
      </c>
      <c r="Y960" s="15">
        <f t="shared" si="206"/>
        <v>0.95</v>
      </c>
      <c r="Z960" s="15">
        <f t="shared" ca="1" si="207"/>
        <v>1</v>
      </c>
      <c r="AC960" s="15">
        <f t="shared" ca="1" si="208"/>
        <v>2.852262428238461E-7</v>
      </c>
      <c r="AD960" s="15">
        <f t="shared" ca="1" si="209"/>
        <v>5.3406576638448389E-4</v>
      </c>
      <c r="AE960" s="15">
        <f t="shared" ca="1" si="210"/>
        <v>0.49027237354095621</v>
      </c>
    </row>
    <row r="961" spans="12:31" x14ac:dyDescent="0.3">
      <c r="L961" s="15">
        <v>959</v>
      </c>
      <c r="M961" s="15">
        <f t="shared" si="200"/>
        <v>1</v>
      </c>
      <c r="N961" s="15">
        <f t="shared" ca="1" si="201"/>
        <v>5.3406576638448389E-4</v>
      </c>
      <c r="O961" s="15">
        <f t="shared" ca="1" si="212"/>
        <v>0.25124588523766278</v>
      </c>
      <c r="P961" s="15">
        <f t="shared" ca="1" si="211"/>
        <v>0.25024795910582132</v>
      </c>
      <c r="Q961" s="15">
        <v>0</v>
      </c>
      <c r="R961" s="15">
        <f t="shared" ca="1" si="202"/>
        <v>0.25024795910582132</v>
      </c>
      <c r="S961" s="15">
        <f t="shared" ca="1" si="213"/>
        <v>1.0009918346445585</v>
      </c>
      <c r="T961" s="15">
        <v>0</v>
      </c>
      <c r="U961" s="15">
        <f t="shared" ca="1" si="203"/>
        <v>1.0009918346445585</v>
      </c>
      <c r="V961" s="15">
        <f t="shared" ca="1" si="204"/>
        <v>0.99946593423361552</v>
      </c>
      <c r="X961" s="15">
        <f t="shared" si="205"/>
        <v>1.05</v>
      </c>
      <c r="Y961" s="15">
        <f t="shared" si="206"/>
        <v>0.95</v>
      </c>
      <c r="Z961" s="15">
        <f t="shared" ca="1" si="207"/>
        <v>1</v>
      </c>
      <c r="AC961" s="15">
        <f t="shared" ca="1" si="208"/>
        <v>2.852262428238461E-7</v>
      </c>
      <c r="AD961" s="15">
        <f t="shared" ca="1" si="209"/>
        <v>5.3406576638448389E-4</v>
      </c>
      <c r="AE961" s="15">
        <f t="shared" ca="1" si="210"/>
        <v>0.49080643930734069</v>
      </c>
    </row>
    <row r="962" spans="12:31" x14ac:dyDescent="0.3">
      <c r="L962" s="15">
        <v>960</v>
      </c>
      <c r="M962" s="15">
        <f t="shared" si="200"/>
        <v>1</v>
      </c>
      <c r="N962" s="15">
        <f t="shared" ca="1" si="201"/>
        <v>5.3406576638448389E-4</v>
      </c>
      <c r="O962" s="15">
        <f t="shared" ca="1" si="212"/>
        <v>0.25125598221561229</v>
      </c>
      <c r="P962" s="15">
        <f t="shared" ca="1" si="211"/>
        <v>0.25024795910582132</v>
      </c>
      <c r="Q962" s="15">
        <v>0</v>
      </c>
      <c r="R962" s="15">
        <f t="shared" ca="1" si="202"/>
        <v>0.25024795910582132</v>
      </c>
      <c r="S962" s="15">
        <f t="shared" ca="1" si="213"/>
        <v>1.0009918347562425</v>
      </c>
      <c r="T962" s="15">
        <v>0</v>
      </c>
      <c r="U962" s="15">
        <f t="shared" ca="1" si="203"/>
        <v>1.0009918347562425</v>
      </c>
      <c r="V962" s="15">
        <f t="shared" ca="1" si="204"/>
        <v>0.99946593423361552</v>
      </c>
      <c r="X962" s="15">
        <f t="shared" si="205"/>
        <v>1.05</v>
      </c>
      <c r="Y962" s="15">
        <f t="shared" si="206"/>
        <v>0.95</v>
      </c>
      <c r="Z962" s="15">
        <f t="shared" ca="1" si="207"/>
        <v>1</v>
      </c>
      <c r="AC962" s="15">
        <f t="shared" ca="1" si="208"/>
        <v>2.852262428238461E-7</v>
      </c>
      <c r="AD962" s="15">
        <f t="shared" ca="1" si="209"/>
        <v>5.3406576638448389E-4</v>
      </c>
      <c r="AE962" s="15">
        <f t="shared" ca="1" si="210"/>
        <v>0.49134050507372518</v>
      </c>
    </row>
    <row r="963" spans="12:31" x14ac:dyDescent="0.3">
      <c r="L963" s="15">
        <v>961</v>
      </c>
      <c r="M963" s="15">
        <f t="shared" ref="M963:M1002" si="214">IF(L963&lt;$D$16,$D$12,IF(L963&lt;$E$16,$E$12,$F$13))</f>
        <v>1</v>
      </c>
      <c r="N963" s="15">
        <f t="shared" ref="N963:N1002" ca="1" si="215">M963-V963</f>
        <v>5.3406576638448389E-4</v>
      </c>
      <c r="O963" s="15">
        <f t="shared" ca="1" si="212"/>
        <v>0.25125598221561229</v>
      </c>
      <c r="P963" s="15">
        <f t="shared" ca="1" si="211"/>
        <v>0.25024795910582132</v>
      </c>
      <c r="Q963" s="15">
        <v>0</v>
      </c>
      <c r="R963" s="15">
        <f t="shared" ref="R963:R1002" ca="1" si="216">P963+Q963</f>
        <v>0.25024795910582132</v>
      </c>
      <c r="S963" s="15">
        <f t="shared" ca="1" si="213"/>
        <v>1.0009918348608005</v>
      </c>
      <c r="T963" s="15">
        <v>0</v>
      </c>
      <c r="U963" s="15">
        <f t="shared" ref="U963:U1002" ca="1" si="217">S963+T963</f>
        <v>1.0009918348608005</v>
      </c>
      <c r="V963" s="15">
        <f t="shared" ref="V963:V1002" ca="1" si="218">INT((2^$J$12-1)*U963/100)/(2^$J$12-1)*100</f>
        <v>0.99946593423361552</v>
      </c>
      <c r="X963" s="15">
        <f t="shared" ref="X963:X1002" si="219">M963 * 1.05</f>
        <v>1.05</v>
      </c>
      <c r="Y963" s="15">
        <f t="shared" ref="Y963:Y1002" si="220">M963 * 0.95</f>
        <v>0.95</v>
      </c>
      <c r="Z963" s="15">
        <f t="shared" ref="Z963:Z1002" ca="1" si="221">IF(AND(V963 &lt;= X963, V963 &gt;= Y963), 1, 0)</f>
        <v>1</v>
      </c>
      <c r="AC963" s="15">
        <f t="shared" ref="AC963:AC1002" ca="1" si="222">N963^2</f>
        <v>2.852262428238461E-7</v>
      </c>
      <c r="AD963" s="15">
        <f t="shared" ref="AD963:AD1002" ca="1" si="223">ABS(N963)</f>
        <v>5.3406576638448389E-4</v>
      </c>
      <c r="AE963" s="15">
        <f t="shared" ref="AE963:AE1002" ca="1" si="224">IF(M963&gt;0, ABS(N963)*(L963-$D$16),0)</f>
        <v>0.49187457084010966</v>
      </c>
    </row>
    <row r="964" spans="12:31" x14ac:dyDescent="0.3">
      <c r="L964" s="15">
        <v>962</v>
      </c>
      <c r="M964" s="15">
        <f t="shared" si="214"/>
        <v>1</v>
      </c>
      <c r="N964" s="15">
        <f t="shared" ca="1" si="215"/>
        <v>5.3406576638448389E-4</v>
      </c>
      <c r="O964" s="15">
        <f t="shared" ca="1" si="212"/>
        <v>0.25125598221561229</v>
      </c>
      <c r="P964" s="15">
        <f t="shared" ca="1" si="211"/>
        <v>0.25024795910582132</v>
      </c>
      <c r="Q964" s="15">
        <v>0</v>
      </c>
      <c r="R964" s="15">
        <f t="shared" ca="1" si="216"/>
        <v>0.25024795910582132</v>
      </c>
      <c r="S964" s="15">
        <f t="shared" ca="1" si="213"/>
        <v>1.0009918349586946</v>
      </c>
      <c r="T964" s="15">
        <v>0</v>
      </c>
      <c r="U964" s="15">
        <f t="shared" ca="1" si="217"/>
        <v>1.0009918349586946</v>
      </c>
      <c r="V964" s="15">
        <f t="shared" ca="1" si="218"/>
        <v>0.99946593423361552</v>
      </c>
      <c r="X964" s="15">
        <f t="shared" si="219"/>
        <v>1.05</v>
      </c>
      <c r="Y964" s="15">
        <f t="shared" si="220"/>
        <v>0.95</v>
      </c>
      <c r="Z964" s="15">
        <f t="shared" ca="1" si="221"/>
        <v>1</v>
      </c>
      <c r="AC964" s="15">
        <f t="shared" ca="1" si="222"/>
        <v>2.852262428238461E-7</v>
      </c>
      <c r="AD964" s="15">
        <f t="shared" ca="1" si="223"/>
        <v>5.3406576638448389E-4</v>
      </c>
      <c r="AE964" s="15">
        <f t="shared" ca="1" si="224"/>
        <v>0.49240863660649414</v>
      </c>
    </row>
    <row r="965" spans="12:31" x14ac:dyDescent="0.3">
      <c r="L965" s="15">
        <v>963</v>
      </c>
      <c r="M965" s="15">
        <f t="shared" si="214"/>
        <v>1</v>
      </c>
      <c r="N965" s="15">
        <f t="shared" ca="1" si="215"/>
        <v>5.3406576638448389E-4</v>
      </c>
      <c r="O965" s="15">
        <f t="shared" ca="1" si="212"/>
        <v>0.25126607919356181</v>
      </c>
      <c r="P965" s="15">
        <f t="shared" ca="1" si="211"/>
        <v>0.25024795910582132</v>
      </c>
      <c r="Q965" s="15">
        <v>0</v>
      </c>
      <c r="R965" s="15">
        <f t="shared" ca="1" si="216"/>
        <v>0.25024795910582132</v>
      </c>
      <c r="S965" s="15">
        <f t="shared" ca="1" si="213"/>
        <v>1.0009918350503568</v>
      </c>
      <c r="T965" s="15">
        <v>0</v>
      </c>
      <c r="U965" s="15">
        <f t="shared" ca="1" si="217"/>
        <v>1.0009918350503568</v>
      </c>
      <c r="V965" s="15">
        <f t="shared" ca="1" si="218"/>
        <v>0.99946593423361552</v>
      </c>
      <c r="X965" s="15">
        <f t="shared" si="219"/>
        <v>1.05</v>
      </c>
      <c r="Y965" s="15">
        <f t="shared" si="220"/>
        <v>0.95</v>
      </c>
      <c r="Z965" s="15">
        <f t="shared" ca="1" si="221"/>
        <v>1</v>
      </c>
      <c r="AC965" s="15">
        <f t="shared" ca="1" si="222"/>
        <v>2.852262428238461E-7</v>
      </c>
      <c r="AD965" s="15">
        <f t="shared" ca="1" si="223"/>
        <v>5.3406576638448389E-4</v>
      </c>
      <c r="AE965" s="15">
        <f t="shared" ca="1" si="224"/>
        <v>0.49294270237287863</v>
      </c>
    </row>
    <row r="966" spans="12:31" x14ac:dyDescent="0.3">
      <c r="L966" s="15">
        <v>964</v>
      </c>
      <c r="M966" s="15">
        <f t="shared" si="214"/>
        <v>1</v>
      </c>
      <c r="N966" s="15">
        <f t="shared" ca="1" si="215"/>
        <v>5.3406576638448389E-4</v>
      </c>
      <c r="O966" s="15">
        <f t="shared" ca="1" si="212"/>
        <v>0.25126607919356181</v>
      </c>
      <c r="P966" s="15">
        <f t="shared" ca="1" si="211"/>
        <v>0.25024795910582132</v>
      </c>
      <c r="Q966" s="15">
        <v>0</v>
      </c>
      <c r="R966" s="15">
        <f t="shared" ca="1" si="216"/>
        <v>0.25024795910582132</v>
      </c>
      <c r="S966" s="15">
        <f t="shared" ca="1" si="213"/>
        <v>1.0009918351361906</v>
      </c>
      <c r="T966" s="15">
        <v>0</v>
      </c>
      <c r="U966" s="15">
        <f t="shared" ca="1" si="217"/>
        <v>1.0009918351361906</v>
      </c>
      <c r="V966" s="15">
        <f t="shared" ca="1" si="218"/>
        <v>0.99946593423361552</v>
      </c>
      <c r="X966" s="15">
        <f t="shared" si="219"/>
        <v>1.05</v>
      </c>
      <c r="Y966" s="15">
        <f t="shared" si="220"/>
        <v>0.95</v>
      </c>
      <c r="Z966" s="15">
        <f t="shared" ca="1" si="221"/>
        <v>1</v>
      </c>
      <c r="AC966" s="15">
        <f t="shared" ca="1" si="222"/>
        <v>2.852262428238461E-7</v>
      </c>
      <c r="AD966" s="15">
        <f t="shared" ca="1" si="223"/>
        <v>5.3406576638448389E-4</v>
      </c>
      <c r="AE966" s="15">
        <f t="shared" ca="1" si="224"/>
        <v>0.49347676813926311</v>
      </c>
    </row>
    <row r="967" spans="12:31" x14ac:dyDescent="0.3">
      <c r="L967" s="15">
        <v>965</v>
      </c>
      <c r="M967" s="15">
        <f t="shared" si="214"/>
        <v>1</v>
      </c>
      <c r="N967" s="15">
        <f t="shared" ca="1" si="215"/>
        <v>5.3406576638448389E-4</v>
      </c>
      <c r="O967" s="15">
        <f t="shared" ca="1" si="212"/>
        <v>0.25126607919356181</v>
      </c>
      <c r="P967" s="15">
        <f t="shared" ca="1" si="211"/>
        <v>0.25024795910582132</v>
      </c>
      <c r="Q967" s="15">
        <v>0</v>
      </c>
      <c r="R967" s="15">
        <f t="shared" ca="1" si="216"/>
        <v>0.25024795910582132</v>
      </c>
      <c r="S967" s="15">
        <f t="shared" ca="1" si="213"/>
        <v>1.0009918352165725</v>
      </c>
      <c r="T967" s="15">
        <v>0</v>
      </c>
      <c r="U967" s="15">
        <f t="shared" ca="1" si="217"/>
        <v>1.0009918352165725</v>
      </c>
      <c r="V967" s="15">
        <f t="shared" ca="1" si="218"/>
        <v>0.99946593423361552</v>
      </c>
      <c r="X967" s="15">
        <f t="shared" si="219"/>
        <v>1.05</v>
      </c>
      <c r="Y967" s="15">
        <f t="shared" si="220"/>
        <v>0.95</v>
      </c>
      <c r="Z967" s="15">
        <f t="shared" ca="1" si="221"/>
        <v>1</v>
      </c>
      <c r="AC967" s="15">
        <f t="shared" ca="1" si="222"/>
        <v>2.852262428238461E-7</v>
      </c>
      <c r="AD967" s="15">
        <f t="shared" ca="1" si="223"/>
        <v>5.3406576638448389E-4</v>
      </c>
      <c r="AE967" s="15">
        <f t="shared" ca="1" si="224"/>
        <v>0.4940108339056476</v>
      </c>
    </row>
    <row r="968" spans="12:31" x14ac:dyDescent="0.3">
      <c r="L968" s="15">
        <v>966</v>
      </c>
      <c r="M968" s="15">
        <f t="shared" si="214"/>
        <v>1</v>
      </c>
      <c r="N968" s="15">
        <f t="shared" ca="1" si="215"/>
        <v>5.3406576638448389E-4</v>
      </c>
      <c r="O968" s="15">
        <f t="shared" ca="1" si="212"/>
        <v>0.25127617617151132</v>
      </c>
      <c r="P968" s="15">
        <f t="shared" ca="1" si="211"/>
        <v>0.25024795910582132</v>
      </c>
      <c r="Q968" s="15">
        <v>0</v>
      </c>
      <c r="R968" s="15">
        <f t="shared" ca="1" si="216"/>
        <v>0.25024795910582132</v>
      </c>
      <c r="S968" s="15">
        <f t="shared" ca="1" si="213"/>
        <v>1.0009918352918548</v>
      </c>
      <c r="T968" s="15">
        <v>0</v>
      </c>
      <c r="U968" s="15">
        <f t="shared" ca="1" si="217"/>
        <v>1.0009918352918548</v>
      </c>
      <c r="V968" s="15">
        <f t="shared" ca="1" si="218"/>
        <v>0.99946593423361552</v>
      </c>
      <c r="X968" s="15">
        <f t="shared" si="219"/>
        <v>1.05</v>
      </c>
      <c r="Y968" s="15">
        <f t="shared" si="220"/>
        <v>0.95</v>
      </c>
      <c r="Z968" s="15">
        <f t="shared" ca="1" si="221"/>
        <v>1</v>
      </c>
      <c r="AC968" s="15">
        <f t="shared" ca="1" si="222"/>
        <v>2.852262428238461E-7</v>
      </c>
      <c r="AD968" s="15">
        <f t="shared" ca="1" si="223"/>
        <v>5.3406576638448389E-4</v>
      </c>
      <c r="AE968" s="15">
        <f t="shared" ca="1" si="224"/>
        <v>0.49454489967203208</v>
      </c>
    </row>
    <row r="969" spans="12:31" x14ac:dyDescent="0.3">
      <c r="L969" s="15">
        <v>967</v>
      </c>
      <c r="M969" s="15">
        <f t="shared" si="214"/>
        <v>1</v>
      </c>
      <c r="N969" s="15">
        <f t="shared" ca="1" si="215"/>
        <v>5.3406576638448389E-4</v>
      </c>
      <c r="O969" s="15">
        <f t="shared" ca="1" si="212"/>
        <v>0.25127617617151132</v>
      </c>
      <c r="P969" s="15">
        <f t="shared" ca="1" si="211"/>
        <v>0.25024795910582132</v>
      </c>
      <c r="Q969" s="15">
        <v>0</v>
      </c>
      <c r="R969" s="15">
        <f t="shared" ca="1" si="216"/>
        <v>0.25024795910582132</v>
      </c>
      <c r="S969" s="15">
        <f t="shared" ca="1" si="213"/>
        <v>1.0009918353623661</v>
      </c>
      <c r="T969" s="15">
        <v>0</v>
      </c>
      <c r="U969" s="15">
        <f t="shared" ca="1" si="217"/>
        <v>1.0009918353623661</v>
      </c>
      <c r="V969" s="15">
        <f t="shared" ca="1" si="218"/>
        <v>0.99946593423361552</v>
      </c>
      <c r="X969" s="15">
        <f t="shared" si="219"/>
        <v>1.05</v>
      </c>
      <c r="Y969" s="15">
        <f t="shared" si="220"/>
        <v>0.95</v>
      </c>
      <c r="Z969" s="15">
        <f t="shared" ca="1" si="221"/>
        <v>1</v>
      </c>
      <c r="AC969" s="15">
        <f t="shared" ca="1" si="222"/>
        <v>2.852262428238461E-7</v>
      </c>
      <c r="AD969" s="15">
        <f t="shared" ca="1" si="223"/>
        <v>5.3406576638448389E-4</v>
      </c>
      <c r="AE969" s="15">
        <f t="shared" ca="1" si="224"/>
        <v>0.49507896543841656</v>
      </c>
    </row>
    <row r="970" spans="12:31" x14ac:dyDescent="0.3">
      <c r="L970" s="15">
        <v>968</v>
      </c>
      <c r="M970" s="15">
        <f t="shared" si="214"/>
        <v>1</v>
      </c>
      <c r="N970" s="15">
        <f t="shared" ca="1" si="215"/>
        <v>5.3406576638448389E-4</v>
      </c>
      <c r="O970" s="15">
        <f t="shared" ca="1" si="212"/>
        <v>0.25127617617151132</v>
      </c>
      <c r="P970" s="15">
        <f t="shared" ca="1" si="211"/>
        <v>0.25024795910582132</v>
      </c>
      <c r="Q970" s="15">
        <v>0</v>
      </c>
      <c r="R970" s="15">
        <f t="shared" ca="1" si="216"/>
        <v>0.25024795910582132</v>
      </c>
      <c r="S970" s="15">
        <f t="shared" ca="1" si="213"/>
        <v>1.000991835428414</v>
      </c>
      <c r="T970" s="15">
        <v>0</v>
      </c>
      <c r="U970" s="15">
        <f t="shared" ca="1" si="217"/>
        <v>1.000991835428414</v>
      </c>
      <c r="V970" s="15">
        <f t="shared" ca="1" si="218"/>
        <v>0.99946593423361552</v>
      </c>
      <c r="X970" s="15">
        <f t="shared" si="219"/>
        <v>1.05</v>
      </c>
      <c r="Y970" s="15">
        <f t="shared" si="220"/>
        <v>0.95</v>
      </c>
      <c r="Z970" s="15">
        <f t="shared" ca="1" si="221"/>
        <v>1</v>
      </c>
      <c r="AC970" s="15">
        <f t="shared" ca="1" si="222"/>
        <v>2.852262428238461E-7</v>
      </c>
      <c r="AD970" s="15">
        <f t="shared" ca="1" si="223"/>
        <v>5.3406576638448389E-4</v>
      </c>
      <c r="AE970" s="15">
        <f t="shared" ca="1" si="224"/>
        <v>0.49561303120480105</v>
      </c>
    </row>
    <row r="971" spans="12:31" x14ac:dyDescent="0.3">
      <c r="L971" s="15">
        <v>969</v>
      </c>
      <c r="M971" s="15">
        <f t="shared" si="214"/>
        <v>1</v>
      </c>
      <c r="N971" s="15">
        <f t="shared" ca="1" si="215"/>
        <v>5.3406576638448389E-4</v>
      </c>
      <c r="O971" s="15">
        <f t="shared" ca="1" si="212"/>
        <v>0.25128627314946084</v>
      </c>
      <c r="P971" s="15">
        <f t="shared" ca="1" si="211"/>
        <v>0.25024795910582132</v>
      </c>
      <c r="Q971" s="15">
        <v>0</v>
      </c>
      <c r="R971" s="15">
        <f t="shared" ca="1" si="216"/>
        <v>0.25024795910582132</v>
      </c>
      <c r="S971" s="15">
        <f t="shared" ca="1" si="213"/>
        <v>1.0009918354902854</v>
      </c>
      <c r="T971" s="15">
        <v>0</v>
      </c>
      <c r="U971" s="15">
        <f t="shared" ca="1" si="217"/>
        <v>1.0009918354902854</v>
      </c>
      <c r="V971" s="15">
        <f t="shared" ca="1" si="218"/>
        <v>0.99946593423361552</v>
      </c>
      <c r="X971" s="15">
        <f t="shared" si="219"/>
        <v>1.05</v>
      </c>
      <c r="Y971" s="15">
        <f t="shared" si="220"/>
        <v>0.95</v>
      </c>
      <c r="Z971" s="15">
        <f t="shared" ca="1" si="221"/>
        <v>1</v>
      </c>
      <c r="AC971" s="15">
        <f t="shared" ca="1" si="222"/>
        <v>2.852262428238461E-7</v>
      </c>
      <c r="AD971" s="15">
        <f t="shared" ca="1" si="223"/>
        <v>5.3406576638448389E-4</v>
      </c>
      <c r="AE971" s="15">
        <f t="shared" ca="1" si="224"/>
        <v>0.49614709697118553</v>
      </c>
    </row>
    <row r="972" spans="12:31" x14ac:dyDescent="0.3">
      <c r="L972" s="15">
        <v>970</v>
      </c>
      <c r="M972" s="15">
        <f t="shared" si="214"/>
        <v>1</v>
      </c>
      <c r="N972" s="15">
        <f t="shared" ca="1" si="215"/>
        <v>5.3406576638448389E-4</v>
      </c>
      <c r="O972" s="15">
        <f t="shared" ca="1" si="212"/>
        <v>0.25128627314946084</v>
      </c>
      <c r="P972" s="15">
        <f t="shared" ca="1" si="211"/>
        <v>0.25024795910582132</v>
      </c>
      <c r="Q972" s="15">
        <v>0</v>
      </c>
      <c r="R972" s="15">
        <f t="shared" ca="1" si="216"/>
        <v>0.25024795910582132</v>
      </c>
      <c r="S972" s="15">
        <f t="shared" ca="1" si="213"/>
        <v>1.000991835548249</v>
      </c>
      <c r="T972" s="15">
        <v>0</v>
      </c>
      <c r="U972" s="15">
        <f t="shared" ca="1" si="217"/>
        <v>1.000991835548249</v>
      </c>
      <c r="V972" s="15">
        <f t="shared" ca="1" si="218"/>
        <v>0.99946593423361552</v>
      </c>
      <c r="X972" s="15">
        <f t="shared" si="219"/>
        <v>1.05</v>
      </c>
      <c r="Y972" s="15">
        <f t="shared" si="220"/>
        <v>0.95</v>
      </c>
      <c r="Z972" s="15">
        <f t="shared" ca="1" si="221"/>
        <v>1</v>
      </c>
      <c r="AC972" s="15">
        <f t="shared" ca="1" si="222"/>
        <v>2.852262428238461E-7</v>
      </c>
      <c r="AD972" s="15">
        <f t="shared" ca="1" si="223"/>
        <v>5.3406576638448389E-4</v>
      </c>
      <c r="AE972" s="15">
        <f t="shared" ca="1" si="224"/>
        <v>0.49668116273757001</v>
      </c>
    </row>
    <row r="973" spans="12:31" x14ac:dyDescent="0.3">
      <c r="L973" s="15">
        <v>971</v>
      </c>
      <c r="M973" s="15">
        <f t="shared" si="214"/>
        <v>1</v>
      </c>
      <c r="N973" s="15">
        <f t="shared" ca="1" si="215"/>
        <v>5.3406576638448389E-4</v>
      </c>
      <c r="O973" s="15">
        <f t="shared" ca="1" si="212"/>
        <v>0.25128627314946084</v>
      </c>
      <c r="P973" s="15">
        <f t="shared" ref="P973:P1002" ca="1" si="225">INT((2^$J$12-1)*O973/100)/(2^$J$12-1)*100</f>
        <v>0.25024795910582132</v>
      </c>
      <c r="Q973" s="15">
        <v>0</v>
      </c>
      <c r="R973" s="15">
        <f t="shared" ca="1" si="216"/>
        <v>0.25024795910582132</v>
      </c>
      <c r="S973" s="15">
        <f t="shared" ca="1" si="213"/>
        <v>1.0009918356025558</v>
      </c>
      <c r="T973" s="15">
        <v>0</v>
      </c>
      <c r="U973" s="15">
        <f t="shared" ca="1" si="217"/>
        <v>1.0009918356025558</v>
      </c>
      <c r="V973" s="15">
        <f t="shared" ca="1" si="218"/>
        <v>0.99946593423361552</v>
      </c>
      <c r="X973" s="15">
        <f t="shared" si="219"/>
        <v>1.05</v>
      </c>
      <c r="Y973" s="15">
        <f t="shared" si="220"/>
        <v>0.95</v>
      </c>
      <c r="Z973" s="15">
        <f t="shared" ca="1" si="221"/>
        <v>1</v>
      </c>
      <c r="AC973" s="15">
        <f t="shared" ca="1" si="222"/>
        <v>2.852262428238461E-7</v>
      </c>
      <c r="AD973" s="15">
        <f t="shared" ca="1" si="223"/>
        <v>5.3406576638448389E-4</v>
      </c>
      <c r="AE973" s="15">
        <f t="shared" ca="1" si="224"/>
        <v>0.4972152285039545</v>
      </c>
    </row>
    <row r="974" spans="12:31" x14ac:dyDescent="0.3">
      <c r="L974" s="15">
        <v>972</v>
      </c>
      <c r="M974" s="15">
        <f t="shared" si="214"/>
        <v>1</v>
      </c>
      <c r="N974" s="15">
        <f t="shared" ca="1" si="215"/>
        <v>5.3406576638448389E-4</v>
      </c>
      <c r="O974" s="15">
        <f t="shared" ca="1" si="212"/>
        <v>0.25129637012741035</v>
      </c>
      <c r="P974" s="15">
        <f t="shared" ca="1" si="225"/>
        <v>0.25024795910582132</v>
      </c>
      <c r="Q974" s="15">
        <v>0</v>
      </c>
      <c r="R974" s="15">
        <f t="shared" ca="1" si="216"/>
        <v>0.25024795910582132</v>
      </c>
      <c r="S974" s="15">
        <f t="shared" ca="1" si="213"/>
        <v>1.0009918356534402</v>
      </c>
      <c r="T974" s="15">
        <v>0</v>
      </c>
      <c r="U974" s="15">
        <f t="shared" ca="1" si="217"/>
        <v>1.0009918356534402</v>
      </c>
      <c r="V974" s="15">
        <f t="shared" ca="1" si="218"/>
        <v>0.99946593423361552</v>
      </c>
      <c r="X974" s="15">
        <f t="shared" si="219"/>
        <v>1.05</v>
      </c>
      <c r="Y974" s="15">
        <f t="shared" si="220"/>
        <v>0.95</v>
      </c>
      <c r="Z974" s="15">
        <f t="shared" ca="1" si="221"/>
        <v>1</v>
      </c>
      <c r="AC974" s="15">
        <f t="shared" ca="1" si="222"/>
        <v>2.852262428238461E-7</v>
      </c>
      <c r="AD974" s="15">
        <f t="shared" ca="1" si="223"/>
        <v>5.3406576638448389E-4</v>
      </c>
      <c r="AE974" s="15">
        <f t="shared" ca="1" si="224"/>
        <v>0.49774929427033898</v>
      </c>
    </row>
    <row r="975" spans="12:31" x14ac:dyDescent="0.3">
      <c r="L975" s="15">
        <v>973</v>
      </c>
      <c r="M975" s="15">
        <f t="shared" si="214"/>
        <v>1</v>
      </c>
      <c r="N975" s="15">
        <f t="shared" ca="1" si="215"/>
        <v>5.3406576638448389E-4</v>
      </c>
      <c r="O975" s="15">
        <f t="shared" ca="1" si="212"/>
        <v>0.25129637012741035</v>
      </c>
      <c r="P975" s="15">
        <f t="shared" ca="1" si="225"/>
        <v>0.25024795910582132</v>
      </c>
      <c r="Q975" s="15">
        <v>0</v>
      </c>
      <c r="R975" s="15">
        <f t="shared" ca="1" si="216"/>
        <v>0.25024795910582132</v>
      </c>
      <c r="S975" s="15">
        <f t="shared" ca="1" si="213"/>
        <v>1.0009918357011214</v>
      </c>
      <c r="T975" s="15">
        <v>0</v>
      </c>
      <c r="U975" s="15">
        <f t="shared" ca="1" si="217"/>
        <v>1.0009918357011214</v>
      </c>
      <c r="V975" s="15">
        <f t="shared" ca="1" si="218"/>
        <v>0.99946593423361552</v>
      </c>
      <c r="X975" s="15">
        <f t="shared" si="219"/>
        <v>1.05</v>
      </c>
      <c r="Y975" s="15">
        <f t="shared" si="220"/>
        <v>0.95</v>
      </c>
      <c r="Z975" s="15">
        <f t="shared" ca="1" si="221"/>
        <v>1</v>
      </c>
      <c r="AC975" s="15">
        <f t="shared" ca="1" si="222"/>
        <v>2.852262428238461E-7</v>
      </c>
      <c r="AD975" s="15">
        <f t="shared" ca="1" si="223"/>
        <v>5.3406576638448389E-4</v>
      </c>
      <c r="AE975" s="15">
        <f t="shared" ca="1" si="224"/>
        <v>0.49828336003672347</v>
      </c>
    </row>
    <row r="976" spans="12:31" x14ac:dyDescent="0.3">
      <c r="L976" s="15">
        <v>974</v>
      </c>
      <c r="M976" s="15">
        <f t="shared" si="214"/>
        <v>1</v>
      </c>
      <c r="N976" s="15">
        <f t="shared" ca="1" si="215"/>
        <v>5.3406576638448389E-4</v>
      </c>
      <c r="O976" s="15">
        <f t="shared" ca="1" si="212"/>
        <v>0.25129637012741035</v>
      </c>
      <c r="P976" s="15">
        <f t="shared" ca="1" si="225"/>
        <v>0.25024795910582132</v>
      </c>
      <c r="Q976" s="15">
        <v>0</v>
      </c>
      <c r="R976" s="15">
        <f t="shared" ca="1" si="216"/>
        <v>0.25024795910582132</v>
      </c>
      <c r="S976" s="15">
        <f t="shared" ca="1" si="213"/>
        <v>1.0009918357458043</v>
      </c>
      <c r="T976" s="15">
        <v>0</v>
      </c>
      <c r="U976" s="15">
        <f t="shared" ca="1" si="217"/>
        <v>1.0009918357458043</v>
      </c>
      <c r="V976" s="15">
        <f t="shared" ca="1" si="218"/>
        <v>0.99946593423361552</v>
      </c>
      <c r="X976" s="15">
        <f t="shared" si="219"/>
        <v>1.05</v>
      </c>
      <c r="Y976" s="15">
        <f t="shared" si="220"/>
        <v>0.95</v>
      </c>
      <c r="Z976" s="15">
        <f t="shared" ca="1" si="221"/>
        <v>1</v>
      </c>
      <c r="AC976" s="15">
        <f t="shared" ca="1" si="222"/>
        <v>2.852262428238461E-7</v>
      </c>
      <c r="AD976" s="15">
        <f t="shared" ca="1" si="223"/>
        <v>5.3406576638448389E-4</v>
      </c>
      <c r="AE976" s="15">
        <f t="shared" ca="1" si="224"/>
        <v>0.49881742580310795</v>
      </c>
    </row>
    <row r="977" spans="12:31" x14ac:dyDescent="0.3">
      <c r="L977" s="15">
        <v>975</v>
      </c>
      <c r="M977" s="15">
        <f t="shared" si="214"/>
        <v>1</v>
      </c>
      <c r="N977" s="15">
        <f t="shared" ca="1" si="215"/>
        <v>5.3406576638448389E-4</v>
      </c>
      <c r="O977" s="15">
        <f t="shared" ca="1" si="212"/>
        <v>0.25130646710535987</v>
      </c>
      <c r="P977" s="15">
        <f t="shared" ca="1" si="225"/>
        <v>0.25024795910582132</v>
      </c>
      <c r="Q977" s="15">
        <v>0</v>
      </c>
      <c r="R977" s="15">
        <f t="shared" ca="1" si="216"/>
        <v>0.25024795910582132</v>
      </c>
      <c r="S977" s="15">
        <f t="shared" ca="1" si="213"/>
        <v>1.0009918357876806</v>
      </c>
      <c r="T977" s="15">
        <v>0</v>
      </c>
      <c r="U977" s="15">
        <f t="shared" ca="1" si="217"/>
        <v>1.0009918357876806</v>
      </c>
      <c r="V977" s="15">
        <f t="shared" ca="1" si="218"/>
        <v>0.99946593423361552</v>
      </c>
      <c r="X977" s="15">
        <f t="shared" si="219"/>
        <v>1.05</v>
      </c>
      <c r="Y977" s="15">
        <f t="shared" si="220"/>
        <v>0.95</v>
      </c>
      <c r="Z977" s="15">
        <f t="shared" ca="1" si="221"/>
        <v>1</v>
      </c>
      <c r="AC977" s="15">
        <f t="shared" ca="1" si="222"/>
        <v>2.852262428238461E-7</v>
      </c>
      <c r="AD977" s="15">
        <f t="shared" ca="1" si="223"/>
        <v>5.3406576638448389E-4</v>
      </c>
      <c r="AE977" s="15">
        <f t="shared" ca="1" si="224"/>
        <v>0.49935149156949243</v>
      </c>
    </row>
    <row r="978" spans="12:31" x14ac:dyDescent="0.3">
      <c r="L978" s="15">
        <v>976</v>
      </c>
      <c r="M978" s="15">
        <f t="shared" si="214"/>
        <v>1</v>
      </c>
      <c r="N978" s="15">
        <f t="shared" ca="1" si="215"/>
        <v>5.3406576638448389E-4</v>
      </c>
      <c r="O978" s="15">
        <f t="shared" ca="1" si="212"/>
        <v>0.25130646710535987</v>
      </c>
      <c r="P978" s="15">
        <f t="shared" ca="1" si="225"/>
        <v>0.25024795910582132</v>
      </c>
      <c r="Q978" s="15">
        <v>0</v>
      </c>
      <c r="R978" s="15">
        <f t="shared" ca="1" si="216"/>
        <v>0.25024795910582132</v>
      </c>
      <c r="S978" s="15">
        <f t="shared" ca="1" si="213"/>
        <v>1.0009918358269292</v>
      </c>
      <c r="T978" s="15">
        <v>0</v>
      </c>
      <c r="U978" s="15">
        <f t="shared" ca="1" si="217"/>
        <v>1.0009918358269292</v>
      </c>
      <c r="V978" s="15">
        <f t="shared" ca="1" si="218"/>
        <v>0.99946593423361552</v>
      </c>
      <c r="X978" s="15">
        <f t="shared" si="219"/>
        <v>1.05</v>
      </c>
      <c r="Y978" s="15">
        <f t="shared" si="220"/>
        <v>0.95</v>
      </c>
      <c r="Z978" s="15">
        <f t="shared" ca="1" si="221"/>
        <v>1</v>
      </c>
      <c r="AC978" s="15">
        <f t="shared" ca="1" si="222"/>
        <v>2.852262428238461E-7</v>
      </c>
      <c r="AD978" s="15">
        <f t="shared" ca="1" si="223"/>
        <v>5.3406576638448389E-4</v>
      </c>
      <c r="AE978" s="15">
        <f t="shared" ca="1" si="224"/>
        <v>0.49988555733587692</v>
      </c>
    </row>
    <row r="979" spans="12:31" x14ac:dyDescent="0.3">
      <c r="L979" s="15">
        <v>977</v>
      </c>
      <c r="M979" s="15">
        <f t="shared" si="214"/>
        <v>1</v>
      </c>
      <c r="N979" s="15">
        <f t="shared" ca="1" si="215"/>
        <v>5.3406576638448389E-4</v>
      </c>
      <c r="O979" s="15">
        <f t="shared" ca="1" si="212"/>
        <v>0.25130646710535987</v>
      </c>
      <c r="P979" s="15">
        <f t="shared" ca="1" si="225"/>
        <v>0.25024795910582132</v>
      </c>
      <c r="Q979" s="15">
        <v>0</v>
      </c>
      <c r="R979" s="15">
        <f t="shared" ca="1" si="216"/>
        <v>0.25024795910582132</v>
      </c>
      <c r="S979" s="15">
        <f t="shared" ca="1" si="213"/>
        <v>1.0009918358637178</v>
      </c>
      <c r="T979" s="15">
        <v>0</v>
      </c>
      <c r="U979" s="15">
        <f t="shared" ca="1" si="217"/>
        <v>1.0009918358637178</v>
      </c>
      <c r="V979" s="15">
        <f t="shared" ca="1" si="218"/>
        <v>0.99946593423361552</v>
      </c>
      <c r="X979" s="15">
        <f t="shared" si="219"/>
        <v>1.05</v>
      </c>
      <c r="Y979" s="15">
        <f t="shared" si="220"/>
        <v>0.95</v>
      </c>
      <c r="Z979" s="15">
        <f t="shared" ca="1" si="221"/>
        <v>1</v>
      </c>
      <c r="AC979" s="15">
        <f t="shared" ca="1" si="222"/>
        <v>2.852262428238461E-7</v>
      </c>
      <c r="AD979" s="15">
        <f t="shared" ca="1" si="223"/>
        <v>5.3406576638448389E-4</v>
      </c>
      <c r="AE979" s="15">
        <f t="shared" ca="1" si="224"/>
        <v>0.5004196231022614</v>
      </c>
    </row>
    <row r="980" spans="12:31" x14ac:dyDescent="0.3">
      <c r="L980" s="15">
        <v>978</v>
      </c>
      <c r="M980" s="15">
        <f t="shared" si="214"/>
        <v>1</v>
      </c>
      <c r="N980" s="15">
        <f t="shared" ca="1" si="215"/>
        <v>5.3406576638448389E-4</v>
      </c>
      <c r="O980" s="15">
        <f t="shared" ca="1" si="212"/>
        <v>0.25131656408330938</v>
      </c>
      <c r="P980" s="15">
        <f t="shared" ca="1" si="225"/>
        <v>0.25024795910582132</v>
      </c>
      <c r="Q980" s="15">
        <v>0</v>
      </c>
      <c r="R980" s="15">
        <f t="shared" ca="1" si="216"/>
        <v>0.25024795910582132</v>
      </c>
      <c r="S980" s="15">
        <f t="shared" ca="1" si="213"/>
        <v>1.0009918358982031</v>
      </c>
      <c r="T980" s="15">
        <v>0</v>
      </c>
      <c r="U980" s="15">
        <f t="shared" ca="1" si="217"/>
        <v>1.0009918358982031</v>
      </c>
      <c r="V980" s="15">
        <f t="shared" ca="1" si="218"/>
        <v>0.99946593423361552</v>
      </c>
      <c r="X980" s="15">
        <f t="shared" si="219"/>
        <v>1.05</v>
      </c>
      <c r="Y980" s="15">
        <f t="shared" si="220"/>
        <v>0.95</v>
      </c>
      <c r="Z980" s="15">
        <f t="shared" ca="1" si="221"/>
        <v>1</v>
      </c>
      <c r="AC980" s="15">
        <f t="shared" ca="1" si="222"/>
        <v>2.852262428238461E-7</v>
      </c>
      <c r="AD980" s="15">
        <f t="shared" ca="1" si="223"/>
        <v>5.3406576638448389E-4</v>
      </c>
      <c r="AE980" s="15">
        <f t="shared" ca="1" si="224"/>
        <v>0.50095368886864589</v>
      </c>
    </row>
    <row r="981" spans="12:31" x14ac:dyDescent="0.3">
      <c r="L981" s="15">
        <v>979</v>
      </c>
      <c r="M981" s="15">
        <f t="shared" si="214"/>
        <v>1</v>
      </c>
      <c r="N981" s="15">
        <f t="shared" ca="1" si="215"/>
        <v>5.3406576638448389E-4</v>
      </c>
      <c r="O981" s="15">
        <f t="shared" ca="1" si="212"/>
        <v>0.25131656408330938</v>
      </c>
      <c r="P981" s="15">
        <f t="shared" ca="1" si="225"/>
        <v>0.25024795910582132</v>
      </c>
      <c r="Q981" s="15">
        <v>0</v>
      </c>
      <c r="R981" s="15">
        <f t="shared" ca="1" si="216"/>
        <v>0.25024795910582132</v>
      </c>
      <c r="S981" s="15">
        <f t="shared" ca="1" si="213"/>
        <v>1.0009918359305314</v>
      </c>
      <c r="T981" s="15">
        <v>0</v>
      </c>
      <c r="U981" s="15">
        <f t="shared" ca="1" si="217"/>
        <v>1.0009918359305314</v>
      </c>
      <c r="V981" s="15">
        <f t="shared" ca="1" si="218"/>
        <v>0.99946593423361552</v>
      </c>
      <c r="X981" s="15">
        <f t="shared" si="219"/>
        <v>1.05</v>
      </c>
      <c r="Y981" s="15">
        <f t="shared" si="220"/>
        <v>0.95</v>
      </c>
      <c r="Z981" s="15">
        <f t="shared" ca="1" si="221"/>
        <v>1</v>
      </c>
      <c r="AC981" s="15">
        <f t="shared" ca="1" si="222"/>
        <v>2.852262428238461E-7</v>
      </c>
      <c r="AD981" s="15">
        <f t="shared" ca="1" si="223"/>
        <v>5.3406576638448389E-4</v>
      </c>
      <c r="AE981" s="15">
        <f t="shared" ca="1" si="224"/>
        <v>0.50148775463503037</v>
      </c>
    </row>
    <row r="982" spans="12:31" x14ac:dyDescent="0.3">
      <c r="L982" s="15">
        <v>980</v>
      </c>
      <c r="M982" s="15">
        <f t="shared" si="214"/>
        <v>1</v>
      </c>
      <c r="N982" s="15">
        <f t="shared" ca="1" si="215"/>
        <v>5.3406576638448389E-4</v>
      </c>
      <c r="O982" s="15">
        <f t="shared" ca="1" si="212"/>
        <v>0.25131656408330938</v>
      </c>
      <c r="P982" s="15">
        <f t="shared" ca="1" si="225"/>
        <v>0.25024795910582132</v>
      </c>
      <c r="Q982" s="15">
        <v>0</v>
      </c>
      <c r="R982" s="15">
        <f t="shared" ca="1" si="216"/>
        <v>0.25024795910582132</v>
      </c>
      <c r="S982" s="15">
        <f t="shared" ca="1" si="213"/>
        <v>1.0009918359608398</v>
      </c>
      <c r="T982" s="15">
        <v>0</v>
      </c>
      <c r="U982" s="15">
        <f t="shared" ca="1" si="217"/>
        <v>1.0009918359608398</v>
      </c>
      <c r="V982" s="15">
        <f t="shared" ca="1" si="218"/>
        <v>0.99946593423361552</v>
      </c>
      <c r="X982" s="15">
        <f t="shared" si="219"/>
        <v>1.05</v>
      </c>
      <c r="Y982" s="15">
        <f t="shared" si="220"/>
        <v>0.95</v>
      </c>
      <c r="Z982" s="15">
        <f t="shared" ca="1" si="221"/>
        <v>1</v>
      </c>
      <c r="AC982" s="15">
        <f t="shared" ca="1" si="222"/>
        <v>2.852262428238461E-7</v>
      </c>
      <c r="AD982" s="15">
        <f t="shared" ca="1" si="223"/>
        <v>5.3406576638448389E-4</v>
      </c>
      <c r="AE982" s="15">
        <f t="shared" ca="1" si="224"/>
        <v>0.50202182040141485</v>
      </c>
    </row>
    <row r="983" spans="12:31" x14ac:dyDescent="0.3">
      <c r="L983" s="15">
        <v>981</v>
      </c>
      <c r="M983" s="15">
        <f t="shared" si="214"/>
        <v>1</v>
      </c>
      <c r="N983" s="15">
        <f t="shared" ca="1" si="215"/>
        <v>5.3406576638448389E-4</v>
      </c>
      <c r="O983" s="15">
        <f t="shared" ca="1" si="212"/>
        <v>0.25132666106125889</v>
      </c>
      <c r="P983" s="15">
        <f t="shared" ca="1" si="225"/>
        <v>0.25024795910582132</v>
      </c>
      <c r="Q983" s="15">
        <v>0</v>
      </c>
      <c r="R983" s="15">
        <f t="shared" ca="1" si="216"/>
        <v>0.25024795910582132</v>
      </c>
      <c r="S983" s="15">
        <f t="shared" ca="1" si="213"/>
        <v>1.0009918359892567</v>
      </c>
      <c r="T983" s="15">
        <v>0</v>
      </c>
      <c r="U983" s="15">
        <f t="shared" ca="1" si="217"/>
        <v>1.0009918359892567</v>
      </c>
      <c r="V983" s="15">
        <f t="shared" ca="1" si="218"/>
        <v>0.99946593423361552</v>
      </c>
      <c r="X983" s="15">
        <f t="shared" si="219"/>
        <v>1.05</v>
      </c>
      <c r="Y983" s="15">
        <f t="shared" si="220"/>
        <v>0.95</v>
      </c>
      <c r="Z983" s="15">
        <f t="shared" ca="1" si="221"/>
        <v>1</v>
      </c>
      <c r="AC983" s="15">
        <f t="shared" ca="1" si="222"/>
        <v>2.852262428238461E-7</v>
      </c>
      <c r="AD983" s="15">
        <f t="shared" ca="1" si="223"/>
        <v>5.3406576638448389E-4</v>
      </c>
      <c r="AE983" s="15">
        <f t="shared" ca="1" si="224"/>
        <v>0.50255588616779934</v>
      </c>
    </row>
    <row r="984" spans="12:31" x14ac:dyDescent="0.3">
      <c r="L984" s="15">
        <v>982</v>
      </c>
      <c r="M984" s="15">
        <f t="shared" si="214"/>
        <v>1</v>
      </c>
      <c r="N984" s="15">
        <f t="shared" ca="1" si="215"/>
        <v>5.3406576638448389E-4</v>
      </c>
      <c r="O984" s="15">
        <f t="shared" ca="1" si="212"/>
        <v>0.25132666106125889</v>
      </c>
      <c r="P984" s="15">
        <f t="shared" ca="1" si="225"/>
        <v>0.25024795910582132</v>
      </c>
      <c r="Q984" s="15">
        <v>0</v>
      </c>
      <c r="R984" s="15">
        <f t="shared" ca="1" si="216"/>
        <v>0.25024795910582132</v>
      </c>
      <c r="S984" s="15">
        <f t="shared" ca="1" si="213"/>
        <v>1.0009918360159018</v>
      </c>
      <c r="T984" s="15">
        <v>0</v>
      </c>
      <c r="U984" s="15">
        <f t="shared" ca="1" si="217"/>
        <v>1.0009918360159018</v>
      </c>
      <c r="V984" s="15">
        <f t="shared" ca="1" si="218"/>
        <v>0.99946593423361552</v>
      </c>
      <c r="X984" s="15">
        <f t="shared" si="219"/>
        <v>1.05</v>
      </c>
      <c r="Y984" s="15">
        <f t="shared" si="220"/>
        <v>0.95</v>
      </c>
      <c r="Z984" s="15">
        <f t="shared" ca="1" si="221"/>
        <v>1</v>
      </c>
      <c r="AC984" s="15">
        <f t="shared" ca="1" si="222"/>
        <v>2.852262428238461E-7</v>
      </c>
      <c r="AD984" s="15">
        <f t="shared" ca="1" si="223"/>
        <v>5.3406576638448389E-4</v>
      </c>
      <c r="AE984" s="15">
        <f t="shared" ca="1" si="224"/>
        <v>0.50308995193418382</v>
      </c>
    </row>
    <row r="985" spans="12:31" x14ac:dyDescent="0.3">
      <c r="L985" s="15">
        <v>983</v>
      </c>
      <c r="M985" s="15">
        <f t="shared" si="214"/>
        <v>1</v>
      </c>
      <c r="N985" s="15">
        <f t="shared" ca="1" si="215"/>
        <v>5.3406576638448389E-4</v>
      </c>
      <c r="O985" s="15">
        <f t="shared" ca="1" si="212"/>
        <v>0.25132666106125889</v>
      </c>
      <c r="P985" s="15">
        <f t="shared" ca="1" si="225"/>
        <v>0.25024795910582132</v>
      </c>
      <c r="Q985" s="15">
        <v>0</v>
      </c>
      <c r="R985" s="15">
        <f t="shared" ca="1" si="216"/>
        <v>0.25024795910582132</v>
      </c>
      <c r="S985" s="15">
        <f t="shared" ca="1" si="213"/>
        <v>1.0009918360408876</v>
      </c>
      <c r="T985" s="15">
        <v>0</v>
      </c>
      <c r="U985" s="15">
        <f t="shared" ca="1" si="217"/>
        <v>1.0009918360408876</v>
      </c>
      <c r="V985" s="15">
        <f t="shared" ca="1" si="218"/>
        <v>0.99946593423361552</v>
      </c>
      <c r="X985" s="15">
        <f t="shared" si="219"/>
        <v>1.05</v>
      </c>
      <c r="Y985" s="15">
        <f t="shared" si="220"/>
        <v>0.95</v>
      </c>
      <c r="Z985" s="15">
        <f t="shared" ca="1" si="221"/>
        <v>1</v>
      </c>
      <c r="AC985" s="15">
        <f t="shared" ca="1" si="222"/>
        <v>2.852262428238461E-7</v>
      </c>
      <c r="AD985" s="15">
        <f t="shared" ca="1" si="223"/>
        <v>5.3406576638448389E-4</v>
      </c>
      <c r="AE985" s="15">
        <f t="shared" ca="1" si="224"/>
        <v>0.5036240177005683</v>
      </c>
    </row>
    <row r="986" spans="12:31" x14ac:dyDescent="0.3">
      <c r="L986" s="15">
        <v>984</v>
      </c>
      <c r="M986" s="15">
        <f t="shared" si="214"/>
        <v>1</v>
      </c>
      <c r="N986" s="15">
        <f t="shared" ca="1" si="215"/>
        <v>5.3406576638448389E-4</v>
      </c>
      <c r="O986" s="15">
        <f t="shared" ca="1" si="212"/>
        <v>0.25133675803920841</v>
      </c>
      <c r="P986" s="15">
        <f t="shared" ca="1" si="225"/>
        <v>0.25024795910582132</v>
      </c>
      <c r="Q986" s="15">
        <v>0</v>
      </c>
      <c r="R986" s="15">
        <f t="shared" ca="1" si="216"/>
        <v>0.25024795910582132</v>
      </c>
      <c r="S986" s="15">
        <f t="shared" ca="1" si="213"/>
        <v>1.0009918360643189</v>
      </c>
      <c r="T986" s="15">
        <v>0</v>
      </c>
      <c r="U986" s="15">
        <f t="shared" ca="1" si="217"/>
        <v>1.0009918360643189</v>
      </c>
      <c r="V986" s="15">
        <f t="shared" ca="1" si="218"/>
        <v>0.99946593423361552</v>
      </c>
      <c r="X986" s="15">
        <f t="shared" si="219"/>
        <v>1.05</v>
      </c>
      <c r="Y986" s="15">
        <f t="shared" si="220"/>
        <v>0.95</v>
      </c>
      <c r="Z986" s="15">
        <f t="shared" ca="1" si="221"/>
        <v>1</v>
      </c>
      <c r="AC986" s="15">
        <f t="shared" ca="1" si="222"/>
        <v>2.852262428238461E-7</v>
      </c>
      <c r="AD986" s="15">
        <f t="shared" ca="1" si="223"/>
        <v>5.3406576638448389E-4</v>
      </c>
      <c r="AE986" s="15">
        <f t="shared" ca="1" si="224"/>
        <v>0.50415808346695279</v>
      </c>
    </row>
    <row r="987" spans="12:31" x14ac:dyDescent="0.3">
      <c r="L987" s="15">
        <v>985</v>
      </c>
      <c r="M987" s="15">
        <f t="shared" si="214"/>
        <v>1</v>
      </c>
      <c r="N987" s="15">
        <f t="shared" ca="1" si="215"/>
        <v>5.3406576638448389E-4</v>
      </c>
      <c r="O987" s="15">
        <f t="shared" ca="1" si="212"/>
        <v>0.25133675803920841</v>
      </c>
      <c r="P987" s="15">
        <f t="shared" ca="1" si="225"/>
        <v>0.25024795910582132</v>
      </c>
      <c r="Q987" s="15">
        <v>0</v>
      </c>
      <c r="R987" s="15">
        <f t="shared" ca="1" si="216"/>
        <v>0.25024795910582132</v>
      </c>
      <c r="S987" s="15">
        <f t="shared" ca="1" si="213"/>
        <v>1.0009918360862939</v>
      </c>
      <c r="T987" s="15">
        <v>0</v>
      </c>
      <c r="U987" s="15">
        <f t="shared" ca="1" si="217"/>
        <v>1.0009918360862939</v>
      </c>
      <c r="V987" s="15">
        <f t="shared" ca="1" si="218"/>
        <v>0.99946593423361552</v>
      </c>
      <c r="X987" s="15">
        <f t="shared" si="219"/>
        <v>1.05</v>
      </c>
      <c r="Y987" s="15">
        <f t="shared" si="220"/>
        <v>0.95</v>
      </c>
      <c r="Z987" s="15">
        <f t="shared" ca="1" si="221"/>
        <v>1</v>
      </c>
      <c r="AC987" s="15">
        <f t="shared" ca="1" si="222"/>
        <v>2.852262428238461E-7</v>
      </c>
      <c r="AD987" s="15">
        <f t="shared" ca="1" si="223"/>
        <v>5.3406576638448389E-4</v>
      </c>
      <c r="AE987" s="15">
        <f t="shared" ca="1" si="224"/>
        <v>0.50469214923333727</v>
      </c>
    </row>
    <row r="988" spans="12:31" x14ac:dyDescent="0.3">
      <c r="L988" s="15">
        <v>986</v>
      </c>
      <c r="M988" s="15">
        <f t="shared" si="214"/>
        <v>1</v>
      </c>
      <c r="N988" s="15">
        <f t="shared" ca="1" si="215"/>
        <v>5.3406576638448389E-4</v>
      </c>
      <c r="O988" s="15">
        <f t="shared" ca="1" si="212"/>
        <v>0.25133675803920841</v>
      </c>
      <c r="P988" s="15">
        <f t="shared" ca="1" si="225"/>
        <v>0.25024795910582132</v>
      </c>
      <c r="Q988" s="15">
        <v>0</v>
      </c>
      <c r="R988" s="15">
        <f t="shared" ca="1" si="216"/>
        <v>0.25024795910582132</v>
      </c>
      <c r="S988" s="15">
        <f t="shared" ca="1" si="213"/>
        <v>1.0009918361069046</v>
      </c>
      <c r="T988" s="15">
        <v>0</v>
      </c>
      <c r="U988" s="15">
        <f t="shared" ca="1" si="217"/>
        <v>1.0009918361069046</v>
      </c>
      <c r="V988" s="15">
        <f t="shared" ca="1" si="218"/>
        <v>0.99946593423361552</v>
      </c>
      <c r="X988" s="15">
        <f t="shared" si="219"/>
        <v>1.05</v>
      </c>
      <c r="Y988" s="15">
        <f t="shared" si="220"/>
        <v>0.95</v>
      </c>
      <c r="Z988" s="15">
        <f t="shared" ca="1" si="221"/>
        <v>1</v>
      </c>
      <c r="AC988" s="15">
        <f t="shared" ca="1" si="222"/>
        <v>2.852262428238461E-7</v>
      </c>
      <c r="AD988" s="15">
        <f t="shared" ca="1" si="223"/>
        <v>5.3406576638448389E-4</v>
      </c>
      <c r="AE988" s="15">
        <f t="shared" ca="1" si="224"/>
        <v>0.50522621499972176</v>
      </c>
    </row>
    <row r="989" spans="12:31" x14ac:dyDescent="0.3">
      <c r="L989" s="15">
        <v>987</v>
      </c>
      <c r="M989" s="15">
        <f t="shared" si="214"/>
        <v>1</v>
      </c>
      <c r="N989" s="15">
        <f t="shared" ca="1" si="215"/>
        <v>5.3406576638448389E-4</v>
      </c>
      <c r="O989" s="15">
        <f t="shared" ca="1" si="212"/>
        <v>0.25134685501715792</v>
      </c>
      <c r="P989" s="15">
        <f t="shared" ca="1" si="225"/>
        <v>0.25024795910582132</v>
      </c>
      <c r="Q989" s="15">
        <v>0</v>
      </c>
      <c r="R989" s="15">
        <f t="shared" ca="1" si="216"/>
        <v>0.25024795910582132</v>
      </c>
      <c r="S989" s="15">
        <f t="shared" ca="1" si="213"/>
        <v>1.0009918361262369</v>
      </c>
      <c r="T989" s="15">
        <v>0</v>
      </c>
      <c r="U989" s="15">
        <f t="shared" ca="1" si="217"/>
        <v>1.0009918361262369</v>
      </c>
      <c r="V989" s="15">
        <f t="shared" ca="1" si="218"/>
        <v>0.99946593423361552</v>
      </c>
      <c r="X989" s="15">
        <f t="shared" si="219"/>
        <v>1.05</v>
      </c>
      <c r="Y989" s="15">
        <f t="shared" si="220"/>
        <v>0.95</v>
      </c>
      <c r="Z989" s="15">
        <f t="shared" ca="1" si="221"/>
        <v>1</v>
      </c>
      <c r="AC989" s="15">
        <f t="shared" ca="1" si="222"/>
        <v>2.852262428238461E-7</v>
      </c>
      <c r="AD989" s="15">
        <f t="shared" ca="1" si="223"/>
        <v>5.3406576638448389E-4</v>
      </c>
      <c r="AE989" s="15">
        <f t="shared" ca="1" si="224"/>
        <v>0.50576028076610624</v>
      </c>
    </row>
    <row r="990" spans="12:31" x14ac:dyDescent="0.3">
      <c r="L990" s="15">
        <v>988</v>
      </c>
      <c r="M990" s="15">
        <f t="shared" si="214"/>
        <v>1</v>
      </c>
      <c r="N990" s="15">
        <f t="shared" ca="1" si="215"/>
        <v>5.3406576638448389E-4</v>
      </c>
      <c r="O990" s="15">
        <f t="shared" ca="1" si="212"/>
        <v>0.25134685501715792</v>
      </c>
      <c r="P990" s="15">
        <f t="shared" ca="1" si="225"/>
        <v>0.25024795910582132</v>
      </c>
      <c r="Q990" s="15">
        <v>0</v>
      </c>
      <c r="R990" s="15">
        <f t="shared" ca="1" si="216"/>
        <v>0.25024795910582132</v>
      </c>
      <c r="S990" s="15">
        <f t="shared" ca="1" si="213"/>
        <v>1.0009918361443713</v>
      </c>
      <c r="T990" s="15">
        <v>0</v>
      </c>
      <c r="U990" s="15">
        <f t="shared" ca="1" si="217"/>
        <v>1.0009918361443713</v>
      </c>
      <c r="V990" s="15">
        <f t="shared" ca="1" si="218"/>
        <v>0.99946593423361552</v>
      </c>
      <c r="X990" s="15">
        <f t="shared" si="219"/>
        <v>1.05</v>
      </c>
      <c r="Y990" s="15">
        <f t="shared" si="220"/>
        <v>0.95</v>
      </c>
      <c r="Z990" s="15">
        <f t="shared" ca="1" si="221"/>
        <v>1</v>
      </c>
      <c r="AC990" s="15">
        <f t="shared" ca="1" si="222"/>
        <v>2.852262428238461E-7</v>
      </c>
      <c r="AD990" s="15">
        <f t="shared" ca="1" si="223"/>
        <v>5.3406576638448389E-4</v>
      </c>
      <c r="AE990" s="15">
        <f t="shared" ca="1" si="224"/>
        <v>0.50629434653249072</v>
      </c>
    </row>
    <row r="991" spans="12:31" x14ac:dyDescent="0.3">
      <c r="L991" s="15">
        <v>989</v>
      </c>
      <c r="M991" s="15">
        <f t="shared" si="214"/>
        <v>1</v>
      </c>
      <c r="N991" s="15">
        <f t="shared" ca="1" si="215"/>
        <v>5.3406576638448389E-4</v>
      </c>
      <c r="O991" s="15">
        <f t="shared" ca="1" si="212"/>
        <v>0.25134685501715792</v>
      </c>
      <c r="P991" s="15">
        <f t="shared" ca="1" si="225"/>
        <v>0.25024795910582132</v>
      </c>
      <c r="Q991" s="15">
        <v>0</v>
      </c>
      <c r="R991" s="15">
        <f t="shared" ca="1" si="216"/>
        <v>0.25024795910582132</v>
      </c>
      <c r="S991" s="15">
        <f t="shared" ca="1" si="213"/>
        <v>1.000991836161383</v>
      </c>
      <c r="T991" s="15">
        <v>0</v>
      </c>
      <c r="U991" s="15">
        <f t="shared" ca="1" si="217"/>
        <v>1.000991836161383</v>
      </c>
      <c r="V991" s="15">
        <f t="shared" ca="1" si="218"/>
        <v>0.99946593423361552</v>
      </c>
      <c r="X991" s="15">
        <f t="shared" si="219"/>
        <v>1.05</v>
      </c>
      <c r="Y991" s="15">
        <f t="shared" si="220"/>
        <v>0.95</v>
      </c>
      <c r="Z991" s="15">
        <f t="shared" ca="1" si="221"/>
        <v>1</v>
      </c>
      <c r="AC991" s="15">
        <f t="shared" ca="1" si="222"/>
        <v>2.852262428238461E-7</v>
      </c>
      <c r="AD991" s="15">
        <f t="shared" ca="1" si="223"/>
        <v>5.3406576638448389E-4</v>
      </c>
      <c r="AE991" s="15">
        <f t="shared" ca="1" si="224"/>
        <v>0.50682841229887521</v>
      </c>
    </row>
    <row r="992" spans="12:31" x14ac:dyDescent="0.3">
      <c r="L992" s="15">
        <v>990</v>
      </c>
      <c r="M992" s="15">
        <f t="shared" si="214"/>
        <v>1</v>
      </c>
      <c r="N992" s="15">
        <f t="shared" ca="1" si="215"/>
        <v>5.3406576638448389E-4</v>
      </c>
      <c r="O992" s="15">
        <f t="shared" ca="1" si="212"/>
        <v>0.25135695199510744</v>
      </c>
      <c r="P992" s="15">
        <f t="shared" ca="1" si="225"/>
        <v>0.25024795910582132</v>
      </c>
      <c r="Q992" s="15">
        <v>0</v>
      </c>
      <c r="R992" s="15">
        <f t="shared" ca="1" si="216"/>
        <v>0.25024795910582132</v>
      </c>
      <c r="S992" s="15">
        <f t="shared" ca="1" si="213"/>
        <v>1.0009918361773427</v>
      </c>
      <c r="T992" s="15">
        <v>0</v>
      </c>
      <c r="U992" s="15">
        <f t="shared" ca="1" si="217"/>
        <v>1.0009918361773427</v>
      </c>
      <c r="V992" s="15">
        <f t="shared" ca="1" si="218"/>
        <v>0.99946593423361552</v>
      </c>
      <c r="X992" s="15">
        <f t="shared" si="219"/>
        <v>1.05</v>
      </c>
      <c r="Y992" s="15">
        <f t="shared" si="220"/>
        <v>0.95</v>
      </c>
      <c r="Z992" s="15">
        <f t="shared" ca="1" si="221"/>
        <v>1</v>
      </c>
      <c r="AC992" s="15">
        <f t="shared" ca="1" si="222"/>
        <v>2.852262428238461E-7</v>
      </c>
      <c r="AD992" s="15">
        <f t="shared" ca="1" si="223"/>
        <v>5.3406576638448389E-4</v>
      </c>
      <c r="AE992" s="15">
        <f t="shared" ca="1" si="224"/>
        <v>0.50736247806525969</v>
      </c>
    </row>
    <row r="993" spans="12:31" x14ac:dyDescent="0.3">
      <c r="L993" s="15">
        <v>991</v>
      </c>
      <c r="M993" s="15">
        <f t="shared" si="214"/>
        <v>1</v>
      </c>
      <c r="N993" s="15">
        <f t="shared" ca="1" si="215"/>
        <v>5.3406576638448389E-4</v>
      </c>
      <c r="O993" s="15">
        <f t="shared" ca="1" si="212"/>
        <v>0.25135695199510744</v>
      </c>
      <c r="P993" s="15">
        <f t="shared" ca="1" si="225"/>
        <v>0.25024795910582132</v>
      </c>
      <c r="Q993" s="15">
        <v>0</v>
      </c>
      <c r="R993" s="15">
        <f t="shared" ca="1" si="216"/>
        <v>0.25024795910582132</v>
      </c>
      <c r="S993" s="15">
        <f t="shared" ca="1" si="213"/>
        <v>1.0009918361923165</v>
      </c>
      <c r="T993" s="15">
        <v>0</v>
      </c>
      <c r="U993" s="15">
        <f t="shared" ca="1" si="217"/>
        <v>1.0009918361923165</v>
      </c>
      <c r="V993" s="15">
        <f t="shared" ca="1" si="218"/>
        <v>0.99946593423361552</v>
      </c>
      <c r="X993" s="15">
        <f t="shared" si="219"/>
        <v>1.05</v>
      </c>
      <c r="Y993" s="15">
        <f t="shared" si="220"/>
        <v>0.95</v>
      </c>
      <c r="Z993" s="15">
        <f t="shared" ca="1" si="221"/>
        <v>1</v>
      </c>
      <c r="AC993" s="15">
        <f t="shared" ca="1" si="222"/>
        <v>2.852262428238461E-7</v>
      </c>
      <c r="AD993" s="15">
        <f t="shared" ca="1" si="223"/>
        <v>5.3406576638448389E-4</v>
      </c>
      <c r="AE993" s="15">
        <f t="shared" ca="1" si="224"/>
        <v>0.50789654383164418</v>
      </c>
    </row>
    <row r="994" spans="12:31" x14ac:dyDescent="0.3">
      <c r="L994" s="15">
        <v>992</v>
      </c>
      <c r="M994" s="15">
        <f t="shared" si="214"/>
        <v>1</v>
      </c>
      <c r="N994" s="15">
        <f t="shared" ca="1" si="215"/>
        <v>5.3406576638448389E-4</v>
      </c>
      <c r="O994" s="15">
        <f t="shared" ca="1" si="212"/>
        <v>0.25135695199510744</v>
      </c>
      <c r="P994" s="15">
        <f t="shared" ca="1" si="225"/>
        <v>0.25024795910582132</v>
      </c>
      <c r="Q994" s="15">
        <v>0</v>
      </c>
      <c r="R994" s="15">
        <f t="shared" ca="1" si="216"/>
        <v>0.25024795910582132</v>
      </c>
      <c r="S994" s="15">
        <f t="shared" ca="1" si="213"/>
        <v>1.0009918362063661</v>
      </c>
      <c r="T994" s="15">
        <v>0</v>
      </c>
      <c r="U994" s="15">
        <f t="shared" ca="1" si="217"/>
        <v>1.0009918362063661</v>
      </c>
      <c r="V994" s="15">
        <f t="shared" ca="1" si="218"/>
        <v>0.99946593423361552</v>
      </c>
      <c r="X994" s="15">
        <f t="shared" si="219"/>
        <v>1.05</v>
      </c>
      <c r="Y994" s="15">
        <f t="shared" si="220"/>
        <v>0.95</v>
      </c>
      <c r="Z994" s="15">
        <f t="shared" ca="1" si="221"/>
        <v>1</v>
      </c>
      <c r="AC994" s="15">
        <f t="shared" ca="1" si="222"/>
        <v>2.852262428238461E-7</v>
      </c>
      <c r="AD994" s="15">
        <f t="shared" ca="1" si="223"/>
        <v>5.3406576638448389E-4</v>
      </c>
      <c r="AE994" s="15">
        <f t="shared" ca="1" si="224"/>
        <v>0.50843060959802866</v>
      </c>
    </row>
    <row r="995" spans="12:31" x14ac:dyDescent="0.3">
      <c r="L995" s="15">
        <v>993</v>
      </c>
      <c r="M995" s="15">
        <f t="shared" si="214"/>
        <v>1</v>
      </c>
      <c r="N995" s="15">
        <f t="shared" ca="1" si="215"/>
        <v>5.3406576638448389E-4</v>
      </c>
      <c r="O995" s="15">
        <f t="shared" ca="1" si="212"/>
        <v>0.25136704897305695</v>
      </c>
      <c r="P995" s="15">
        <f t="shared" ca="1" si="225"/>
        <v>0.25024795910582132</v>
      </c>
      <c r="Q995" s="15">
        <v>0</v>
      </c>
      <c r="R995" s="15">
        <f t="shared" ca="1" si="216"/>
        <v>0.25024795910582132</v>
      </c>
      <c r="S995" s="15">
        <f t="shared" ca="1" si="213"/>
        <v>1.0009918362195496</v>
      </c>
      <c r="T995" s="15">
        <v>0</v>
      </c>
      <c r="U995" s="15">
        <f t="shared" ca="1" si="217"/>
        <v>1.0009918362195496</v>
      </c>
      <c r="V995" s="15">
        <f t="shared" ca="1" si="218"/>
        <v>0.99946593423361552</v>
      </c>
      <c r="X995" s="15">
        <f t="shared" si="219"/>
        <v>1.05</v>
      </c>
      <c r="Y995" s="15">
        <f t="shared" si="220"/>
        <v>0.95</v>
      </c>
      <c r="Z995" s="15">
        <f t="shared" ca="1" si="221"/>
        <v>1</v>
      </c>
      <c r="AC995" s="15">
        <f t="shared" ca="1" si="222"/>
        <v>2.852262428238461E-7</v>
      </c>
      <c r="AD995" s="15">
        <f t="shared" ca="1" si="223"/>
        <v>5.3406576638448389E-4</v>
      </c>
      <c r="AE995" s="15">
        <f t="shared" ca="1" si="224"/>
        <v>0.50896467536441314</v>
      </c>
    </row>
    <row r="996" spans="12:31" x14ac:dyDescent="0.3">
      <c r="L996" s="15">
        <v>994</v>
      </c>
      <c r="M996" s="15">
        <f t="shared" si="214"/>
        <v>1</v>
      </c>
      <c r="N996" s="15">
        <f t="shared" ca="1" si="215"/>
        <v>5.3406576638448389E-4</v>
      </c>
      <c r="O996" s="15">
        <f t="shared" ca="1" si="212"/>
        <v>0.25136704897305695</v>
      </c>
      <c r="P996" s="15">
        <f t="shared" ca="1" si="225"/>
        <v>0.25024795910582132</v>
      </c>
      <c r="Q996" s="15">
        <v>0</v>
      </c>
      <c r="R996" s="15">
        <f t="shared" ca="1" si="216"/>
        <v>0.25024795910582132</v>
      </c>
      <c r="S996" s="15">
        <f t="shared" ca="1" si="213"/>
        <v>1.000991836231921</v>
      </c>
      <c r="T996" s="15">
        <v>0</v>
      </c>
      <c r="U996" s="15">
        <f t="shared" ca="1" si="217"/>
        <v>1.000991836231921</v>
      </c>
      <c r="V996" s="15">
        <f t="shared" ca="1" si="218"/>
        <v>0.99946593423361552</v>
      </c>
      <c r="X996" s="15">
        <f t="shared" si="219"/>
        <v>1.05</v>
      </c>
      <c r="Y996" s="15">
        <f t="shared" si="220"/>
        <v>0.95</v>
      </c>
      <c r="Z996" s="15">
        <f t="shared" ca="1" si="221"/>
        <v>1</v>
      </c>
      <c r="AC996" s="15">
        <f t="shared" ca="1" si="222"/>
        <v>2.852262428238461E-7</v>
      </c>
      <c r="AD996" s="15">
        <f t="shared" ca="1" si="223"/>
        <v>5.3406576638448389E-4</v>
      </c>
      <c r="AE996" s="15">
        <f t="shared" ca="1" si="224"/>
        <v>0.50949874113079763</v>
      </c>
    </row>
    <row r="997" spans="12:31" x14ac:dyDescent="0.3">
      <c r="L997" s="15">
        <v>995</v>
      </c>
      <c r="M997" s="15">
        <f t="shared" si="214"/>
        <v>1</v>
      </c>
      <c r="N997" s="15">
        <f t="shared" ca="1" si="215"/>
        <v>5.3406576638448389E-4</v>
      </c>
      <c r="O997" s="15">
        <f t="shared" ca="1" si="212"/>
        <v>0.25136704897305695</v>
      </c>
      <c r="P997" s="15">
        <f t="shared" ca="1" si="225"/>
        <v>0.25024795910582132</v>
      </c>
      <c r="Q997" s="15">
        <v>0</v>
      </c>
      <c r="R997" s="15">
        <f t="shared" ca="1" si="216"/>
        <v>0.25024795910582132</v>
      </c>
      <c r="S997" s="15">
        <f t="shared" ca="1" si="213"/>
        <v>1.0009918362435311</v>
      </c>
      <c r="T997" s="15">
        <v>0</v>
      </c>
      <c r="U997" s="15">
        <f t="shared" ca="1" si="217"/>
        <v>1.0009918362435311</v>
      </c>
      <c r="V997" s="15">
        <f t="shared" ca="1" si="218"/>
        <v>0.99946593423361552</v>
      </c>
      <c r="X997" s="15">
        <f t="shared" si="219"/>
        <v>1.05</v>
      </c>
      <c r="Y997" s="15">
        <f t="shared" si="220"/>
        <v>0.95</v>
      </c>
      <c r="Z997" s="15">
        <f t="shared" ca="1" si="221"/>
        <v>1</v>
      </c>
      <c r="AC997" s="15">
        <f t="shared" ca="1" si="222"/>
        <v>2.852262428238461E-7</v>
      </c>
      <c r="AD997" s="15">
        <f t="shared" ca="1" si="223"/>
        <v>5.3406576638448389E-4</v>
      </c>
      <c r="AE997" s="15">
        <f t="shared" ca="1" si="224"/>
        <v>0.51003280689718211</v>
      </c>
    </row>
    <row r="998" spans="12:31" x14ac:dyDescent="0.3">
      <c r="L998" s="15">
        <v>996</v>
      </c>
      <c r="M998" s="15">
        <f t="shared" si="214"/>
        <v>1</v>
      </c>
      <c r="N998" s="15">
        <f t="shared" ca="1" si="215"/>
        <v>5.3406576638448389E-4</v>
      </c>
      <c r="O998" s="15">
        <f t="shared" ca="1" si="212"/>
        <v>0.25137714595100646</v>
      </c>
      <c r="P998" s="15">
        <f t="shared" ca="1" si="225"/>
        <v>0.25024795910582132</v>
      </c>
      <c r="Q998" s="15">
        <v>0</v>
      </c>
      <c r="R998" s="15">
        <f t="shared" ca="1" si="216"/>
        <v>0.25024795910582132</v>
      </c>
      <c r="S998" s="15">
        <f t="shared" ca="1" si="213"/>
        <v>1.0009918362544274</v>
      </c>
      <c r="T998" s="15">
        <v>0</v>
      </c>
      <c r="U998" s="15">
        <f t="shared" ca="1" si="217"/>
        <v>1.0009918362544274</v>
      </c>
      <c r="V998" s="15">
        <f t="shared" ca="1" si="218"/>
        <v>0.99946593423361552</v>
      </c>
      <c r="X998" s="15">
        <f t="shared" si="219"/>
        <v>1.05</v>
      </c>
      <c r="Y998" s="15">
        <f t="shared" si="220"/>
        <v>0.95</v>
      </c>
      <c r="Z998" s="15">
        <f t="shared" ca="1" si="221"/>
        <v>1</v>
      </c>
      <c r="AC998" s="15">
        <f t="shared" ca="1" si="222"/>
        <v>2.852262428238461E-7</v>
      </c>
      <c r="AD998" s="15">
        <f t="shared" ca="1" si="223"/>
        <v>5.3406576638448389E-4</v>
      </c>
      <c r="AE998" s="15">
        <f t="shared" ca="1" si="224"/>
        <v>0.5105668726635666</v>
      </c>
    </row>
    <row r="999" spans="12:31" x14ac:dyDescent="0.3">
      <c r="L999" s="15">
        <v>997</v>
      </c>
      <c r="M999" s="15">
        <f t="shared" si="214"/>
        <v>1</v>
      </c>
      <c r="N999" s="15">
        <f t="shared" ca="1" si="215"/>
        <v>5.3406576638448389E-4</v>
      </c>
      <c r="O999" s="15">
        <f t="shared" ca="1" si="212"/>
        <v>0.25137714595100646</v>
      </c>
      <c r="P999" s="15">
        <f t="shared" ca="1" si="225"/>
        <v>0.25024795910582132</v>
      </c>
      <c r="Q999" s="15">
        <v>0</v>
      </c>
      <c r="R999" s="15">
        <f t="shared" ca="1" si="216"/>
        <v>0.25024795910582132</v>
      </c>
      <c r="S999" s="15">
        <f t="shared" ca="1" si="213"/>
        <v>1.0009918362646546</v>
      </c>
      <c r="T999" s="15">
        <v>0</v>
      </c>
      <c r="U999" s="15">
        <f t="shared" ca="1" si="217"/>
        <v>1.0009918362646546</v>
      </c>
      <c r="V999" s="15">
        <f t="shared" ca="1" si="218"/>
        <v>0.99946593423361552</v>
      </c>
      <c r="X999" s="15">
        <f t="shared" si="219"/>
        <v>1.05</v>
      </c>
      <c r="Y999" s="15">
        <f t="shared" si="220"/>
        <v>0.95</v>
      </c>
      <c r="Z999" s="15">
        <f t="shared" ca="1" si="221"/>
        <v>1</v>
      </c>
      <c r="AC999" s="15">
        <f t="shared" ca="1" si="222"/>
        <v>2.852262428238461E-7</v>
      </c>
      <c r="AD999" s="15">
        <f t="shared" ca="1" si="223"/>
        <v>5.3406576638448389E-4</v>
      </c>
      <c r="AE999" s="15">
        <f t="shared" ca="1" si="224"/>
        <v>0.51110093842995108</v>
      </c>
    </row>
    <row r="1000" spans="12:31" x14ac:dyDescent="0.3">
      <c r="L1000" s="15">
        <v>998</v>
      </c>
      <c r="M1000" s="15">
        <f t="shared" si="214"/>
        <v>1</v>
      </c>
      <c r="N1000" s="15">
        <f t="shared" ca="1" si="215"/>
        <v>5.3406576638448389E-4</v>
      </c>
      <c r="O1000" s="15">
        <f t="shared" ca="1" si="212"/>
        <v>0.25137714595100646</v>
      </c>
      <c r="P1000" s="15">
        <f t="shared" ca="1" si="225"/>
        <v>0.25024795910582132</v>
      </c>
      <c r="Q1000" s="15">
        <v>0</v>
      </c>
      <c r="R1000" s="15">
        <f t="shared" ca="1" si="216"/>
        <v>0.25024795910582132</v>
      </c>
      <c r="S1000" s="15">
        <f t="shared" ca="1" si="213"/>
        <v>1.0009918362742543</v>
      </c>
      <c r="T1000" s="15">
        <v>0</v>
      </c>
      <c r="U1000" s="15">
        <f t="shared" ca="1" si="217"/>
        <v>1.0009918362742543</v>
      </c>
      <c r="V1000" s="15">
        <f t="shared" ca="1" si="218"/>
        <v>0.99946593423361552</v>
      </c>
      <c r="X1000" s="15">
        <f t="shared" si="219"/>
        <v>1.05</v>
      </c>
      <c r="Y1000" s="15">
        <f t="shared" si="220"/>
        <v>0.95</v>
      </c>
      <c r="Z1000" s="15">
        <f t="shared" ca="1" si="221"/>
        <v>1</v>
      </c>
      <c r="AC1000" s="15">
        <f t="shared" ca="1" si="222"/>
        <v>2.852262428238461E-7</v>
      </c>
      <c r="AD1000" s="15">
        <f t="shared" ca="1" si="223"/>
        <v>5.3406576638448389E-4</v>
      </c>
      <c r="AE1000" s="15">
        <f t="shared" ca="1" si="224"/>
        <v>0.51163500419633556</v>
      </c>
    </row>
    <row r="1001" spans="12:31" x14ac:dyDescent="0.3">
      <c r="L1001" s="15">
        <v>999</v>
      </c>
      <c r="M1001" s="15">
        <f t="shared" si="214"/>
        <v>1</v>
      </c>
      <c r="N1001" s="15">
        <f t="shared" ca="1" si="215"/>
        <v>5.3406576638448389E-4</v>
      </c>
      <c r="O1001" s="15">
        <f t="shared" ca="1" si="212"/>
        <v>0.25138724292895598</v>
      </c>
      <c r="P1001" s="15">
        <f t="shared" ca="1" si="225"/>
        <v>0.25024795910582132</v>
      </c>
      <c r="Q1001" s="15">
        <v>0</v>
      </c>
      <c r="R1001" s="15">
        <f t="shared" ca="1" si="216"/>
        <v>0.25024795910582132</v>
      </c>
      <c r="S1001" s="15">
        <f t="shared" ca="1" si="213"/>
        <v>1.0009918362832653</v>
      </c>
      <c r="T1001" s="15">
        <v>0</v>
      </c>
      <c r="U1001" s="15">
        <f t="shared" ca="1" si="217"/>
        <v>1.0009918362832653</v>
      </c>
      <c r="V1001" s="15">
        <f t="shared" ca="1" si="218"/>
        <v>0.99946593423361552</v>
      </c>
      <c r="X1001" s="15">
        <f t="shared" si="219"/>
        <v>1.05</v>
      </c>
      <c r="Y1001" s="15">
        <f t="shared" si="220"/>
        <v>0.95</v>
      </c>
      <c r="Z1001" s="15">
        <f t="shared" ca="1" si="221"/>
        <v>1</v>
      </c>
      <c r="AC1001" s="15">
        <f t="shared" ca="1" si="222"/>
        <v>2.852262428238461E-7</v>
      </c>
      <c r="AD1001" s="15">
        <f t="shared" ca="1" si="223"/>
        <v>5.3406576638448389E-4</v>
      </c>
      <c r="AE1001" s="15">
        <f t="shared" ca="1" si="224"/>
        <v>0.51216906996272005</v>
      </c>
    </row>
    <row r="1002" spans="12:31" x14ac:dyDescent="0.3">
      <c r="L1002" s="15">
        <v>1000</v>
      </c>
      <c r="M1002" s="15">
        <f t="shared" si="214"/>
        <v>1</v>
      </c>
      <c r="N1002" s="15">
        <f t="shared" ca="1" si="215"/>
        <v>5.3406576638448389E-4</v>
      </c>
      <c r="O1002" s="15">
        <f t="shared" ca="1" si="212"/>
        <v>0.25138724292895598</v>
      </c>
      <c r="P1002" s="15">
        <f t="shared" ca="1" si="225"/>
        <v>0.25024795910582132</v>
      </c>
      <c r="Q1002" s="15">
        <v>0</v>
      </c>
      <c r="R1002" s="15">
        <f t="shared" ca="1" si="216"/>
        <v>0.25024795910582132</v>
      </c>
      <c r="S1002" s="15">
        <f t="shared" ca="1" si="213"/>
        <v>1.0009918362917243</v>
      </c>
      <c r="T1002" s="15">
        <v>0</v>
      </c>
      <c r="U1002" s="15">
        <f t="shared" ca="1" si="217"/>
        <v>1.0009918362917243</v>
      </c>
      <c r="V1002" s="15">
        <f t="shared" ca="1" si="218"/>
        <v>0.99946593423361552</v>
      </c>
      <c r="X1002" s="15">
        <f t="shared" si="219"/>
        <v>1.05</v>
      </c>
      <c r="Y1002" s="15">
        <f t="shared" si="220"/>
        <v>0.95</v>
      </c>
      <c r="Z1002" s="15">
        <f t="shared" ca="1" si="221"/>
        <v>1</v>
      </c>
      <c r="AC1002" s="15">
        <f t="shared" ca="1" si="222"/>
        <v>2.852262428238461E-7</v>
      </c>
      <c r="AD1002" s="15">
        <f t="shared" ca="1" si="223"/>
        <v>5.3406576638448389E-4</v>
      </c>
      <c r="AE1002" s="15">
        <f t="shared" ca="1" si="224"/>
        <v>0.51270313572910453</v>
      </c>
    </row>
  </sheetData>
  <mergeCells count="2">
    <mergeCell ref="A1:B1"/>
    <mergeCell ref="A7:B7"/>
  </mergeCells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2026-04-13T05:37:55Z</dcterms:created>
  <dcterms:modified xsi:type="dcterms:W3CDTF">2026-04-27T03:23:54Z</dcterms:modified>
</cp:coreProperties>
</file>