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2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  <sheet xmlns:r="http://schemas.openxmlformats.org/officeDocument/2006/relationships" name="Лист3" sheetId="3" state="visible" r:id="rId3"/>
    <sheet xmlns:r="http://schemas.openxmlformats.org/officeDocument/2006/relationships" name="Лист4" sheetId="4" state="visible" r:id="rId4"/>
    <sheet xmlns:r="http://schemas.openxmlformats.org/officeDocument/2006/relationships" name="Лист5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rgb="FF1D1D1F"/>
      <sz val="8"/>
    </font>
    <font>
      <name val="Calibri"/>
      <charset val="204"/>
      <family val="2"/>
      <sz val="8"/>
      <scheme val="minor"/>
    </font>
    <font>
      <name val="Times New Roman"/>
      <charset val="204"/>
      <family val="1"/>
      <i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sz val="14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pivotButton="0" quotePrefix="0" xfId="0"/>
    <xf numFmtId="2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applyAlignment="1" pivotButton="0" quotePrefix="0" xfId="0">
      <alignment horizontal="center"/>
    </xf>
    <xf numFmtId="2" fontId="0" fillId="3" borderId="1" pivotButton="0" quotePrefix="0" xfId="0"/>
    <xf numFmtId="2" fontId="0" fillId="3" borderId="2" pivotButton="0" quotePrefix="0" xfId="0"/>
    <xf numFmtId="0" fontId="1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0"/>
    <xf numFmtId="164" fontId="0" fillId="0" borderId="12" pivotButton="0" quotePrefix="0" xfId="0"/>
    <xf numFmtId="164" fontId="0" fillId="5" borderId="9" pivotButton="0" quotePrefix="0" xfId="0"/>
    <xf numFmtId="164" fontId="0" fillId="0" borderId="10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9" pivotButton="0" quotePrefix="0" xfId="0"/>
    <xf numFmtId="164" fontId="0" fillId="5" borderId="13" pivotButton="0" quotePrefix="0" xfId="0"/>
    <xf numFmtId="164" fontId="0" fillId="0" borderId="15" pivotButton="0" quotePrefix="0" xfId="0"/>
    <xf numFmtId="164" fontId="0" fillId="0" borderId="16" pivotButton="0" quotePrefix="0" xfId="0"/>
    <xf numFmtId="164" fontId="0" fillId="5" borderId="15" pivotButton="0" quotePrefix="0" xfId="0"/>
    <xf numFmtId="164" fontId="0" fillId="0" borderId="7" pivotButton="0" quotePrefix="0" xfId="0"/>
    <xf numFmtId="164" fontId="0" fillId="6" borderId="0" pivotButton="0" quotePrefix="0" xfId="0"/>
    <xf numFmtId="164" fontId="0" fillId="7" borderId="11" pivotButton="0" quotePrefix="0" xfId="0"/>
    <xf numFmtId="164" fontId="0" fillId="9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17" applyAlignment="1" pivotButton="0" quotePrefix="0" xfId="0">
      <alignment horizontal="justify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justify" vertical="center" wrapText="1"/>
    </xf>
    <xf numFmtId="0" fontId="5" fillId="0" borderId="21" applyAlignment="1" pivotButton="0" quotePrefix="0" xfId="0">
      <alignment horizontal="justify" vertical="center" wrapText="1"/>
    </xf>
    <xf numFmtId="0" fontId="5" fillId="0" borderId="22" applyAlignment="1" pivotButton="0" quotePrefix="0" xfId="0">
      <alignment horizontal="justify" vertical="center" wrapText="1"/>
    </xf>
    <xf numFmtId="164" fontId="0" fillId="0" borderId="23" pivotButton="0" quotePrefix="0" xfId="0"/>
    <xf numFmtId="164" fontId="0" fillId="0" borderId="24" pivotButton="0" quotePrefix="0" xfId="0"/>
    <xf numFmtId="164" fontId="0" fillId="0" borderId="25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4" fontId="0" fillId="4" borderId="9" applyAlignment="1" pivotButton="0" quotePrefix="0" xfId="0">
      <alignment horizontal="center"/>
    </xf>
    <xf numFmtId="164" fontId="0" fillId="4" borderId="10" applyAlignment="1" pivotButton="0" quotePrefix="0" xfId="0">
      <alignment horizontal="center"/>
    </xf>
    <xf numFmtId="164" fontId="0" fillId="8" borderId="13" applyAlignment="1" pivotButton="0" quotePrefix="0" xfId="0">
      <alignment horizontal="center"/>
    </xf>
    <xf numFmtId="164" fontId="0" fillId="8" borderId="14" applyAlignment="1" pivotButton="0" quotePrefix="0" xfId="0">
      <alignment horizontal="center"/>
    </xf>
    <xf numFmtId="0" fontId="0" fillId="0" borderId="28" pivotButton="0" quotePrefix="0" xfId="0"/>
    <xf numFmtId="164" fontId="0" fillId="4" borderId="23" applyAlignment="1" pivotButton="0" quotePrefix="0" xfId="0">
      <alignment horizontal="center"/>
    </xf>
    <xf numFmtId="0" fontId="0" fillId="0" borderId="10" pivotButton="0" quotePrefix="0" xfId="0"/>
    <xf numFmtId="164" fontId="0" fillId="8" borderId="24" applyAlignment="1" pivotButton="0" quotePrefix="0" xfId="0">
      <alignment horizontal="center"/>
    </xf>
    <xf numFmtId="0" fontId="0" fillId="0" borderId="14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Лист1!$K$2:$K$402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</numCache>
            </numRef>
          </val>
          <smooth val="0"/>
        </ser>
        <ser>
          <idx val="1"/>
          <order val="1"/>
          <tx>
            <strRef>
              <f>Лист1!$L$1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Лист1!$L$2:$L$402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0.008650576817233357</v>
                </pt>
                <pt idx="82">
                  <v>0.03308493723855044</v>
                </pt>
                <pt idx="83">
                  <v>0.07119620044236719</v>
                </pt>
                <pt idx="84">
                  <v>0.1210870770064307</v>
                </pt>
                <pt idx="85">
                  <v>0.1810512889748424</v>
                </pt>
                <pt idx="86">
                  <v>0.2495565404864344</v>
                </pt>
                <pt idx="87">
                  <v>0.3252289141697169</v>
                </pt>
                <pt idx="88">
                  <v>0.4068385783202784</v>
                </pt>
                <pt idx="89">
                  <v>0.493286698928002</v>
                </pt>
                <pt idx="90">
                  <v>0.5835934589721194</v>
                </pt>
                <pt idx="91">
                  <v>0.6768870951054637</v>
                </pt>
                <pt idx="92">
                  <v>0.7723938689550316</v>
                </pt>
                <pt idx="93">
                  <v>0.8694288968197021</v>
                </pt>
                <pt idx="94">
                  <v>0.967387767590302</v>
                </pt>
                <pt idx="95">
                  <v>1.065738884291028</v>
                </pt>
                <pt idx="96">
                  <v>1.164016469780778</v>
                </pt>
                <pt idx="97">
                  <v>1.261814181891683</v>
                </pt>
                <pt idx="98">
                  <v>1.358779287650661</v>
                </pt>
                <pt idx="99">
                  <v>1.454607350256922</v>
                </pt>
                <pt idx="100">
                  <v>1.54903738620018</v>
                </pt>
                <pt idx="101">
                  <v>1.6418474533252</v>
                </pt>
                <pt idx="102">
                  <v>1.732850633800789</v>
                </pt>
                <pt idx="103">
                  <v>1.821891378856029</v>
                </pt>
                <pt idx="104">
                  <v>1.908842184822788</v>
                </pt>
                <pt idx="105">
                  <v>1.993600572488766</v>
                </pt>
                <pt idx="106">
                  <v>2.07608634403618</v>
                </pt>
                <pt idx="107">
                  <v>2.156239093932516</v>
                </pt>
                <pt idx="108">
                  <v>2.234015952065599</v>
                </pt>
                <pt idx="109">
                  <v>2.309389539188442</v>
                </pt>
                <pt idx="110">
                  <v>2.382346116371761</v>
                </pt>
                <pt idx="111">
                  <v>2.452883911664657</v>
                </pt>
                <pt idx="112">
                  <v>2.521011608546916</v>
                </pt>
                <pt idx="113">
                  <v>2.586746982028975</v>
                </pt>
                <pt idx="114">
                  <v>2.650115669426497</v>
                </pt>
                <pt idx="115">
                  <v>2.711150063913617</v>
                </pt>
                <pt idx="116">
                  <v>2.769888319949644</v>
                </pt>
                <pt idx="117">
                  <v>2.826373460585093</v>
                </pt>
                <pt idx="118">
                  <v>2.880652577490622</v>
                </pt>
                <pt idx="119">
                  <v>2.932776115322544</v>
                </pt>
                <pt idx="120">
                  <v>2.982797232746422</v>
                </pt>
                <pt idx="121">
                  <v>3.030771233090669</v>
                </pt>
                <pt idx="122">
                  <v>3.076755058199713</v>
                </pt>
                <pt idx="123">
                  <v>3.120806839605214</v>
                </pt>
                <pt idx="124">
                  <v>3.162985501637971</v>
                </pt>
                <pt idx="125">
                  <v>3.203350411566053</v>
                </pt>
                <pt idx="126">
                  <v>3.241961072269602</v>
                </pt>
                <pt idx="127">
                  <v>3.278876853352728</v>
                </pt>
                <pt idx="128">
                  <v>3.314156756950744</v>
                </pt>
                <pt idx="129">
                  <v>3.347859214819172</v>
                </pt>
                <pt idx="130">
                  <v>3.380041913591983</v>
                </pt>
                <pt idx="131">
                  <v>3.410761645372463</v>
                </pt>
                <pt idx="132">
                  <v>3.440074181073011</v>
                </pt>
                <pt idx="133">
                  <v>3.468034164151947</v>
                </pt>
                <pt idx="134">
                  <v>3.494695022607644</v>
                </pt>
                <pt idx="135">
                  <v>3.520108897284716</v>
                </pt>
                <pt idx="136">
                  <v>3.544326584724904</v>
                </pt>
                <pt idx="137">
                  <v>3.567397492958127</v>
                </pt>
                <pt idx="138">
                  <v>3.589369608778111</v>
                </pt>
                <pt idx="139">
                  <v>3.610289475183204</v>
                </pt>
                <pt idx="140">
                  <v>3.630202177787456</v>
                </pt>
                <pt idx="141">
                  <v>3.649151339120796</v>
                </pt>
                <pt idx="142">
                  <v>3.667179119840997</v>
                </pt>
                <pt idx="143">
                  <v>3.68432622597495</v>
                </pt>
                <pt idx="144">
                  <v>3.700631921393281</v>
                </pt>
                <pt idx="145">
                  <v>3.716134044801248</v>
                </pt>
                <pt idx="146">
                  <v>3.730869030600771</v>
                </pt>
                <pt idx="147">
                  <v>3.744871933043976</v>
                </pt>
                <pt idx="148">
                  <v>3.758176453158275</v>
                </pt>
                <pt idx="149">
                  <v>3.770814967977294</v>
                </pt>
                <pt idx="150">
                  <v>3.782818561661319</v>
                </pt>
                <pt idx="151">
                  <v>3.79421705813578</v>
                </pt>
                <pt idx="152">
                  <v>3.805039054917033</v>
                </pt>
                <pt idx="153">
                  <v>3.815311957831669</v>
                </pt>
                <pt idx="154">
                  <v>3.825062016369056</v>
                </pt>
                <pt idx="155">
                  <v>3.834314359437238</v>
                </pt>
                <pt idx="156">
                  <v>3.843093031319724</v>
                </pt>
                <pt idx="157">
                  <v>3.85142102765561</v>
                </pt>
                <pt idx="158">
                  <v>3.859320331287883</v>
                </pt>
                <pt idx="159">
                  <v>3.866811947844996</v>
                </pt>
                <pt idx="160">
                  <v>3.87391594093911</v>
                </pt>
                <pt idx="161">
                  <v>3.880651466880755</v>
                </pt>
                <pt idx="162">
                  <v>3.887036808824489</v>
                </pt>
                <pt idx="163">
                  <v>3.893089410273337</v>
                </pt>
                <pt idx="164">
                  <v>3.898825907881707</v>
                </pt>
                <pt idx="165">
                  <v>3.904262163507096</v>
                </pt>
                <pt idx="166">
                  <v>3.909413295470344</v>
                </pt>
                <pt idx="167">
                  <v>3.914293708992727</v>
                </pt>
                <pt idx="168">
                  <v>3.918917125785589</v>
                </pt>
                <pt idx="169">
                  <v>3.923296612774987</v>
                </pt>
                <pt idx="170">
                  <v>3.927444609949603</v>
                </pt>
                <pt idx="171">
                  <v>3.931372957325466</v>
                </pt>
                <pt idx="172">
                  <v>3.93509292102552</v>
                </pt>
                <pt idx="173">
                  <v>3.938615218476098</v>
                </pt>
                <pt idx="174">
                  <v>3.941950042725821</v>
                </pt>
                <pt idx="175">
                  <v>3.945107085895468</v>
                </pt>
                <pt idx="176">
                  <v>3.948095561769938</v>
                </pt>
                <pt idx="177">
                  <v>3.95092422754565</v>
                </pt>
                <pt idx="178">
                  <v>3.953601404748595</v>
                </pt>
                <pt idx="179">
                  <v>3.956134999339863</v>
                </pt>
                <pt idx="180">
                  <v>3.958532521026713</v>
                </pt>
                <pt idx="181">
                  <v>3.96080110179838</v>
                </pt>
                <pt idx="182">
                  <v>3.962947513706613</v>
                </pt>
                <pt idx="183">
                  <v>3.964978185911618</v>
                </pt>
                <pt idx="184">
                  <v>3.966899221014546</v>
                </pt>
                <pt idx="185">
                  <v>3.968716410698027</v>
                </pt>
                <pt idx="186">
                  <v>3.970435250696405</v>
                </pt>
                <pt idx="187">
                  <v>3.972060955117465</v>
                </pt>
                <pt idx="188">
                  <v>3.973598470137383</v>
                </pt>
                <pt idx="189">
                  <v>3.975052487090535</v>
                </pt>
                <pt idx="190">
                  <v>3.97642745497562</v>
                </pt>
                <pt idx="191">
                  <v>3.977727592399289</v>
                </pt>
                <pt idx="192">
                  <v>3.978956898978166</v>
                </pt>
                <pt idx="193">
                  <v>3.980119166219778</v>
                </pt>
                <pt idx="194">
                  <v>3.981217987902525</v>
                </pt>
                <pt idx="195">
                  <v>3.982256769974378</v>
                </pt>
                <pt idx="196">
                  <v>3.983238739989512</v>
                </pt>
                <pt idx="197">
                  <v>3.98416695610164</v>
                </pt>
                <pt idx="198">
                  <v>3.985044315632251</v>
                </pt>
                <pt idx="199">
                  <v>3.985873563231501</v>
                </pt>
                <pt idx="200">
                  <v>3.986657298648919</v>
                </pt>
                <pt idx="201">
                  <v>3.98739798413061</v>
                </pt>
                <pt idx="202">
                  <v>3.988097951459074</v>
                </pt>
                <pt idx="203">
                  <v>3.988759408651217</v>
                </pt>
                <pt idx="204">
                  <v>3.989384446329632</v>
                </pt>
                <pt idx="205">
                  <v>3.989975043781663</v>
                </pt>
                <pt idx="206">
                  <v>3.990533074720261</v>
                </pt>
                <pt idx="207">
                  <v>3.991060312760113</v>
                </pt>
                <pt idx="208">
                  <v>3.991558436622035</v>
                </pt>
                <pt idx="209">
                  <v>3.9920290350781</v>
                </pt>
                <pt idx="210">
                  <v>3.992473611649495</v>
                </pt>
                <pt idx="211">
                  <v>3.992893589068641</v>
                </pt>
                <pt idx="212">
                  <v>3.993290313516595</v>
                </pt>
                <pt idx="213">
                  <v>3.99366505864637</v>
                </pt>
                <pt idx="214">
                  <v>3.994019029402312</v>
                </pt>
                <pt idx="215">
                  <v>3.994353365645265</v>
                </pt>
                <pt idx="216">
                  <v>3.994669145592856</v>
                </pt>
                <pt idx="217">
                  <v>3.994967389083804</v>
                </pt>
                <pt idx="218">
                  <v>3.995249060674803</v>
                </pt>
                <pt idx="219">
                  <v>3.995515072578098</v>
                </pt>
                <pt idx="220">
                  <v>3.995766287447598</v>
                </pt>
                <pt idx="221">
                  <v>3.996003521020924</v>
                </pt>
                <pt idx="222">
                  <v>3.996227544624531</v>
                </pt>
                <pt idx="223">
                  <v>3.996439087548681</v>
                </pt>
                <pt idx="224">
                  <v>3.996638839298745</v>
                </pt>
                <pt idx="225">
                  <v>3.996827451729001</v>
                </pt>
                <pt idx="226">
                  <v>3.997005541064829</v>
                </pt>
                <pt idx="227">
                  <v>3.997173689818919</v>
                </pt>
                <pt idx="228">
                  <v>3.997332448606825</v>
                </pt>
                <pt idx="229">
                  <v>3.997482337866971</v>
                </pt>
                <pt idx="230">
                  <v>3.99762384948998</v>
                </pt>
                <pt idx="231">
                  <v>3.997757448361903</v>
                </pt>
                <pt idx="232">
                  <v>3.997883573825799</v>
                </pt>
                <pt idx="233">
                  <v>3.99800264106581</v>
                </pt>
                <pt idx="234">
                  <v>3.998115042417734</v>
                </pt>
                <pt idx="235">
                  <v>3.998221148609878</v>
                </pt>
                <pt idx="236">
                  <v>3.998321309937798</v>
                </pt>
                <pt idx="237">
                  <v>3.998415857376334</v>
                </pt>
                <pt idx="238">
                  <v>3.998505103632216</v>
                </pt>
                <pt idx="239">
                  <v>3.998589344140321</v>
                </pt>
                <pt idx="240">
                  <v>3.998668858006519</v>
                </pt>
                <pt idx="241">
                  <v>3.998743908899909</v>
                </pt>
                <pt idx="242">
                  <v>3.998814745897079</v>
                </pt>
                <pt idx="243">
                  <v>3.998881604280934</v>
                </pt>
                <pt idx="244">
                  <v>3.998944706296453</v>
                </pt>
                <pt idx="245">
                  <v>3.999004261865668</v>
                </pt>
                <pt idx="246">
                  <v>3.999060469263998</v>
                </pt>
                <pt idx="247">
                  <v>3.999113515760001</v>
                </pt>
                <pt idx="248">
                  <v>3.999163578220469</v>
                </pt>
                <pt idx="249">
                  <v>3.99921082368271</v>
                </pt>
                <pt idx="250">
                  <v>3.999255409895763</v>
                </pt>
                <pt idx="251">
                  <v>3.999297485832197</v>
                </pt>
                <pt idx="252">
                  <v>3.999337192172068</v>
                </pt>
                <pt idx="253">
                  <v>3.999374661760516</v>
                </pt>
                <pt idx="254">
                  <v>3.999410020040416</v>
                </pt>
                <pt idx="255">
                  <v>3.999443385461419</v>
                </pt>
                <pt idx="256">
                  <v>3.999474869866649</v>
                </pt>
                <pt idx="257">
                  <v>3.999504578858257</v>
                </pt>
                <pt idx="258">
                  <v>3.99953261214297</v>
                </pt>
                <pt idx="259">
                  <v>3.999559063858715</v>
                </pt>
                <pt idx="260">
                  <v>3.99958402288333</v>
                </pt>
                <pt idx="261">
                  <v>3.999607573126345</v>
                </pt>
                <pt idx="262">
                  <v>3.999629793804734</v>
                </pt>
                <pt idx="263">
                  <v>3.999650759703512</v>
                </pt>
                <pt idx="264">
                  <v>3.999670541422001</v>
                </pt>
                <pt idx="265">
                  <v>3.999689205606537</v>
                </pt>
                <pt idx="266">
                  <v>3.99970681517036</v>
                </pt>
                <pt idx="267">
                  <v>3.999723429501378</v>
                </pt>
                <pt idx="268">
                  <v>3.999739104658476</v>
                </pt>
                <pt idx="269">
                  <v>3.999753893556976</v>
                </pt>
                <pt idx="270">
                  <v>3.999767846143862</v>
                </pt>
                <pt idx="271">
                  <v>3.999781009563313</v>
                </pt>
                <pt idx="272">
                  <v>3.999793428313077</v>
                </pt>
                <pt idx="273">
                  <v>3.99980514439219</v>
                </pt>
                <pt idx="274">
                  <v>3.999816197440517</v>
                </pt>
                <pt idx="275">
                  <v>3.999826624870552</v>
                </pt>
                <pt idx="276">
                  <v>3.999836461991912</v>
                </pt>
                <pt idx="277">
                  <v>3.999845742128921</v>
                </pt>
                <pt idx="278">
                  <v>3.99985449673167</v>
                </pt>
                <pt idx="279">
                  <v>3.999862755480903</v>
                </pt>
                <pt idx="280">
                  <v>3.999870546387068</v>
                </pt>
                <pt idx="281">
                  <v>3.99987789588387</v>
                </pt>
                <pt idx="282">
                  <v>3.99988482891661</v>
                </pt>
                <pt idx="283">
                  <v>3.999891369025609</v>
                </pt>
                <pt idx="284">
                  <v>3.999897538424987</v>
                </pt>
                <pt idx="285">
                  <v>3.999903358077042</v>
                </pt>
                <pt idx="286">
                  <v>3.999908847762494</v>
                </pt>
                <pt idx="287">
                  <v>3.999914026146809</v>
                </pt>
                <pt idx="288">
                  <v>3.999918910842808</v>
                </pt>
                <pt idx="289">
                  <v>3.999923518469797</v>
                </pt>
                <pt idx="290">
                  <v>3.999927864709385</v>
                </pt>
                <pt idx="291">
                  <v>3.999931964358186</v>
                </pt>
                <pt idx="292">
                  <v>3.999935831377569</v>
                </pt>
                <pt idx="293">
                  <v>3.999939478940634</v>
                </pt>
                <pt idx="294">
                  <v>3.999942919476553</v>
                </pt>
                <pt idx="295">
                  <v>3.999946164712429</v>
                </pt>
                <pt idx="296">
                  <v>3.999949225712818</v>
                </pt>
                <pt idx="297">
                  <v>3.999952112917025</v>
                </pt>
                <pt idx="298">
                  <v>3.999954836174322</v>
                </pt>
                <pt idx="299">
                  <v>3.999957404777181</v>
                </pt>
                <pt idx="300">
                  <v>3.999959827492655</v>
                </pt>
                <pt idx="301">
                  <v>3.999962112591985</v>
                </pt>
                <pt idx="302">
                  <v>3.999964267878555</v>
                </pt>
                <pt idx="303">
                  <v>3.999966300714278</v>
                </pt>
                <pt idx="304">
                  <v>3.99996821804449</v>
                </pt>
                <pt idx="305">
                  <v>3.999970026421456</v>
                </pt>
                <pt idx="306">
                  <v>3.999971732026555</v>
                </pt>
                <pt idx="307">
                  <v>3.999973340691207</v>
                </pt>
                <pt idx="308">
                  <v>3.999974857916634</v>
                </pt>
                <pt idx="309">
                  <v>3.99997628889251</v>
                </pt>
                <pt idx="310">
                  <v>3.99997763851455</v>
                </pt>
                <pt idx="311">
                  <v>3.999978911401122</v>
                </pt>
                <pt idx="312">
                  <v>3.999980111908918</v>
                </pt>
                <pt idx="313">
                  <v>3.999981244147741</v>
                </pt>
                <pt idx="314">
                  <v>3.999982311994463</v>
                </pt>
                <pt idx="315">
                  <v>3.999983319106196</v>
                </pt>
                <pt idx="316">
                  <v>3.999984268932714</v>
                </pt>
                <pt idx="317">
                  <v>3.999985164728188</v>
                </pt>
                <pt idx="318">
                  <v>3.999986009562243</v>
                </pt>
                <pt idx="319">
                  <v>3.999986806330409</v>
                </pt>
                <pt idx="320">
                  <v>3.999987557763967</v>
                </pt>
                <pt idx="321">
                  <v>3.999988266439244</v>
                </pt>
                <pt idx="322">
                  <v>3.999988934786394</v>
                </pt>
                <pt idx="323">
                  <v>3.999989565097666</v>
                </pt>
                <pt idx="324">
                  <v>3.999990159535217</v>
                </pt>
                <pt idx="325">
                  <v>3.999990720138479</v>
                </pt>
                <pt idx="326">
                  <v>3.999991248831116</v>
                </pt>
                <pt idx="327">
                  <v>3.999991747427574</v>
                </pt>
                <pt idx="328">
                  <v>3.999992217639278</v>
                </pt>
                <pt idx="329">
                  <v>3.999992661080469</v>
                </pt>
                <pt idx="330">
                  <v>3.999993079273708</v>
                </pt>
                <pt idx="331">
                  <v>3.999993473655079</v>
                </pt>
                <pt idx="332">
                  <v>3.999993845579089</v>
                </pt>
                <pt idx="333">
                  <v>3.999994196323297</v>
                </pt>
                <pt idx="334">
                  <v>3.999994527092673</v>
                </pt>
                <pt idx="335">
                  <v>3.99999483902372</v>
                </pt>
                <pt idx="336">
                  <v>3.999995133188357</v>
                </pt>
                <pt idx="337">
                  <v>3.999995410597582</v>
                </pt>
                <pt idx="338">
                  <v>3.999995672204929</v>
                </pt>
                <pt idx="339">
                  <v>3.999995918909732</v>
                </pt>
                <pt idx="340">
                  <v>3.999996151560195</v>
                </pt>
                <pt idx="341">
                  <v>3.999996370956304</v>
                </pt>
                <pt idx="342">
                  <v>3.999996577852554</v>
                </pt>
                <pt idx="343">
                  <v>3.999996772960538</v>
                </pt>
                <pt idx="344">
                  <v>3.999996956951384</v>
                </pt>
                <pt idx="345">
                  <v>3.999997130458049</v>
                </pt>
                <pt idx="346">
                  <v>3.999997294077489</v>
                </pt>
                <pt idx="347">
                  <v>3.999997448372703</v>
                </pt>
                <pt idx="348">
                  <v>3.999997593874664</v>
                </pt>
                <pt idx="349">
                  <v>3.999997731084138</v>
                </pt>
                <pt idx="350">
                  <v>3.999997860473398</v>
                </pt>
                <pt idx="351">
                  <v>3.999997982487847</v>
                </pt>
                <pt idx="352">
                  <v>3.99999809754754</v>
                </pt>
                <pt idx="353">
                  <v>3.999998206048631</v>
                </pt>
                <pt idx="354">
                  <v>3.999998308364725</v>
                </pt>
                <pt idx="355">
                  <v>3.999998404848165</v>
                </pt>
                <pt idx="356">
                  <v>3.999998495831238</v>
                </pt>
                <pt idx="357">
                  <v>3.999998581627318</v>
                </pt>
                <pt idx="358">
                  <v>3.999998662531936</v>
                </pt>
                <pt idx="359">
                  <v>3.999998738823802</v>
                </pt>
                <pt idx="360">
                  <v>3.999998810765755</v>
                </pt>
                <pt idx="361">
                  <v>3.999998878605671</v>
                </pt>
                <pt idx="362">
                  <v>3.999998942577308</v>
                </pt>
                <pt idx="363">
                  <v>3.999999002901119</v>
                </pt>
                <pt idx="364">
                  <v>3.999999059784996</v>
                </pt>
                <pt idx="365">
                  <v>3.999999113424995</v>
                </pt>
                <pt idx="366">
                  <v>3.999999164006006</v>
                </pt>
                <pt idx="367">
                  <v>3.999999211702386</v>
                </pt>
                <pt idx="368">
                  <v>3.999999256678563</v>
                </pt>
                <pt idx="369">
                  <v>3.999999299089597</v>
                </pt>
                <pt idx="370">
                  <v>3.999999339081714</v>
                </pt>
                <pt idx="371">
                  <v>3.999999376792813</v>
                </pt>
                <pt idx="372">
                  <v>3.999999412352933</v>
                </pt>
                <pt idx="373">
                  <v>3.999999445884707</v>
                </pt>
                <pt idx="374">
                  <v>3.999999477503777</v>
                </pt>
                <pt idx="375">
                  <v>3.9999995073192</v>
                </pt>
                <pt idx="376">
                  <v>3.999999535433815</v>
                </pt>
                <pt idx="377">
                  <v>3.999999561944603</v>
                </pt>
                <pt idx="378">
                  <v>3.999999586943017</v>
                </pt>
                <pt idx="379">
                  <v>3.999999610515299</v>
                </pt>
                <pt idx="380">
                  <v>3.999999632742774</v>
                </pt>
                <pt idx="381">
                  <v>3.999999653702133</v>
                </pt>
                <pt idx="382">
                  <v>3.999999673465697</v>
                </pt>
                <pt idx="383">
                  <v>3.999999692101664</v>
                </pt>
                <pt idx="384">
                  <v>3.999999709674342</v>
                </pt>
                <pt idx="385">
                  <v>3.999999726244376</v>
                </pt>
                <pt idx="386">
                  <v>3.999999741868953</v>
                </pt>
                <pt idx="387">
                  <v>3.999999756602</v>
                </pt>
                <pt idx="388">
                  <v>3.99999977049437</v>
                </pt>
                <pt idx="389">
                  <v>3.999999783594015</v>
                </pt>
                <pt idx="390">
                  <v>3.999999795946155</v>
                </pt>
                <pt idx="391">
                  <v>3.999999807593429</v>
                </pt>
                <pt idx="392">
                  <v>3.999999818576048</v>
                </pt>
                <pt idx="393">
                  <v>3.999999828931928</v>
                </pt>
                <pt idx="394">
                  <v>3.999999838696824</v>
                </pt>
                <pt idx="395">
                  <v>3.999999847904451</v>
                </pt>
                <pt idx="396">
                  <v>3.999999856586602</v>
                </pt>
                <pt idx="397">
                  <v>3.999999864773256</v>
                </pt>
                <pt idx="398">
                  <v>3.999999872492686</v>
                </pt>
                <pt idx="399">
                  <v>3.999999879771546</v>
                </pt>
                <pt idx="400">
                  <v>3.999999886634976</v>
                </pt>
              </numCache>
            </numRef>
          </val>
          <smooth val="0"/>
        </ser>
        <ser>
          <idx val="2"/>
          <order val="2"/>
          <tx>
            <strRef>
              <f>Лист1!$M$1</f>
              <strCache>
                <ptCount val="1"/>
                <pt idx="0">
                  <v>y(n*T01)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Лист1!$M$2:$M$402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0.01691844323816127</v>
                </pt>
                <pt idx="82">
                  <v>0.04853620895301326</v>
                </pt>
                <pt idx="83">
                  <v>0.09285369065273558</v>
                </pt>
                <pt idx="84">
                  <v>0.1480713893724668</v>
                </pt>
                <pt idx="85">
                  <v>0.2125721239721794</v>
                </pt>
                <pt idx="86">
                  <v>0.2849047284577061</v>
                </pt>
                <pt idx="87">
                  <v>0.3637691165218871</v>
                </pt>
                <pt idx="88">
                  <v>0.4480026029273338</v>
                </pt>
                <pt idx="89">
                  <v>0.5365673800473811</v>
                </pt>
                <pt idx="90">
                  <v>0.628539055903232</v>
                </pt>
                <pt idx="91">
                  <v>0.7230961674346797</v>
                </pt>
                <pt idx="92">
                  <v>0.8195105895667799</v>
                </pt>
                <pt idx="93">
                  <v>0.9171387669294812</v>
                </pt>
                <pt idx="94">
                  <v>1.015413700892218</v>
                </pt>
                <pt idx="95">
                  <v>1.113837629928403</v>
                </pt>
                <pt idx="96">
                  <v>1.211975346260388</v>
                </pt>
                <pt idx="97">
                  <v>1.309448096285881</v>
                </pt>
                <pt idx="98">
                  <v>1.405928016481664</v>
                </pt>
                <pt idx="99">
                  <v>1.501133060347137</v>
                </pt>
                <pt idx="100">
                  <v>1.594822375514021</v>
                </pt>
                <pt idx="101">
                  <v>1.686792093432893</v>
                </pt>
                <pt idx="102">
                  <v>1.776871497073612</v>
                </pt>
                <pt idx="103">
                  <v>1.864919534865136</v>
                </pt>
                <pt idx="104">
                  <v>1.950821651669113</v>
                </pt>
                <pt idx="105">
                  <v>2.034486909947931</v>
                </pt>
                <pt idx="106">
                  <v>2.115845376467409</v>
                </pt>
                <pt idx="107">
                  <v>2.194845751881401</v>
                </pt>
                <pt idx="108">
                  <v>2.27145322239374</v>
                </pt>
                <pt idx="109">
                  <v>2.345647514394535</v>
                </pt>
                <pt idx="110">
                  <v>2.417421134534133</v>
                </pt>
                <pt idx="111">
                  <v>2.486777779139836</v>
                </pt>
                <pt idx="112">
                  <v>2.55373089820717</v>
                </pt>
                <pt idx="113">
                  <v>2.618302400418385</v>
                </pt>
                <pt idx="114">
                  <v>2.680521486763988</v>
                </pt>
                <pt idx="115">
                  <v>2.740423601376261</v>
                </pt>
                <pt idx="116">
                  <v>2.798049489133891</v>
                </pt>
                <pt idx="117">
                  <v>2.853444350470562</v>
                </pt>
                <pt idx="118">
                  <v>2.906657084623639</v>
                </pt>
                <pt idx="119">
                  <v>2.957739613297465</v>
                </pt>
                <pt idx="120">
                  <v>3.006746277394389</v>
                </pt>
                <pt idx="121">
                  <v>3.053733300090173</v>
                </pt>
                <pt idx="122">
                  <v>3.098758310103269</v>
                </pt>
                <pt idx="123">
                  <v>3.141879919533572</v>
                </pt>
                <pt idx="124">
                  <v>3.18315735112937</v>
                </pt>
                <pt idx="125">
                  <v>3.22265011028481</v>
                </pt>
                <pt idx="126">
                  <v>3.260417697477252</v>
                </pt>
                <pt idx="127">
                  <v>3.296519357227525</v>
                </pt>
                <pt idx="128">
                  <v>3.331013860008806</v>
                </pt>
                <pt idx="129">
                  <v>3.363959313844178</v>
                </pt>
                <pt idx="130">
                  <v>3.39541300262119</v>
                </pt>
                <pt idx="131">
                  <v>3.425431248415904</v>
                </pt>
                <pt idx="132">
                  <v>3.454069295361103</v>
                </pt>
                <pt idx="133">
                  <v>3.481381212815097</v>
                </pt>
                <pt idx="134">
                  <v>3.507419815790745</v>
                </pt>
                <pt idx="135">
                  <v>3.532236600790312</v>
                </pt>
                <pt idx="136">
                  <v>3.555881695361987</v>
                </pt>
                <pt idx="137">
                  <v>3.578403819849644</v>
                </pt>
                <pt idx="138">
                  <v>3.599850259949873</v>
                </pt>
                <pt idx="139">
                  <v>3.620266848820512</v>
                </pt>
                <pt idx="140">
                  <v>3.639697957603929</v>
                </pt>
                <pt idx="141">
                  <v>3.658186493336995</v>
                </pt>
                <pt idx="142">
                  <v>3.675773903318962</v>
                </pt>
                <pt idx="143">
                  <v>3.692500185099011</v>
                </pt>
                <pt idx="144">
                  <v>3.708403901327904</v>
                </pt>
                <pt idx="145">
                  <v>3.723522198793487</v>
                </pt>
                <pt idx="146">
                  <v>3.737890831028439</v>
                </pt>
                <pt idx="147">
                  <v>3.751544183941221</v>
                </pt>
                <pt idx="148">
                  <v>3.764515303978039</v>
                </pt>
                <pt idx="149">
                  <v>3.77683592837544</v>
                </pt>
                <pt idx="150">
                  <v>3.78853651711021</v>
                </pt>
                <pt idx="151">
                  <v>3.799646286195987</v>
                </pt>
                <pt idx="152">
                  <v>3.810193242014804</v>
                </pt>
                <pt idx="153">
                  <v>3.820204216406994</v>
                </pt>
                <pt idx="154">
                  <v>3.829704902274767</v>
                </pt>
                <pt idx="155">
                  <v>3.838719889483678</v>
                </pt>
                <pt idx="156">
                  <v>3.847272700872303</v>
                </pt>
                <pt idx="157">
                  <v>3.855385828204106</v>
                </pt>
                <pt idx="158">
                  <v>3.863080767916755</v>
                </pt>
                <pt idx="159">
                  <v>3.870378056543397</v>
                </pt>
                <pt idx="160">
                  <v>3.877297305697714</v>
                </pt>
                <pt idx="161">
                  <v>3.883857236530166</v>
                </pt>
                <pt idx="162">
                  <v>3.890075713576794</v>
                </pt>
                <pt idx="163">
                  <v>3.895969777934538</v>
                </pt>
                <pt idx="164">
                  <v>3.901555679708232</v>
                </pt>
                <pt idx="165">
                  <v>3.906848909684491</v>
                </pt>
                <pt idx="166">
                  <v>3.911864230196655</v>
                </pt>
                <pt idx="167">
                  <v>3.916615705152934</v>
                </pt>
                <pt idx="168">
                  <v>3.921116729206953</v>
                </pt>
                <pt idx="169">
                  <v>3.925380056056197</v>
                </pt>
                <pt idx="170">
                  <v>3.929417825859348</v>
                </pt>
                <pt idx="171">
                  <v>3.933241591768402</v>
                </pt>
                <pt idx="172">
                  <v>3.936862345575711</v>
                </pt>
                <pt idx="173">
                  <v>3.940290542479821</v>
                </pt>
                <pt idx="174">
                  <v>3.943536124977211</v>
                </pt>
                <pt idx="175">
                  <v>3.946608545889839</v>
                </pt>
                <pt idx="176">
                  <v>3.94951679054079</v>
                </pt>
                <pt idx="177">
                  <v>3.95226939809237</v>
                </pt>
                <pt idx="178">
                  <v>3.954874482062716</v>
                </pt>
                <pt idx="179">
                  <v>3.957339750038404</v>
                </pt>
                <pt idx="180">
                  <v>3.959672522601761</v>
                </pt>
                <pt idx="181">
                  <v>3.961879751492482</v>
                </pt>
                <pt idx="182">
                  <v>3.963968037023948</v>
                </pt>
                <pt idx="183">
                  <v>3.96594364477518</v>
                </pt>
                <pt idx="184">
                  <v>3.967812521579772</v>
                </pt>
                <pt idx="185">
                  <v>3.969580310833424</v>
                </pt>
                <pt idx="186">
                  <v>3.971252367141816</v>
                </pt>
                <pt idx="187">
                  <v>3.97283377033061</v>
                </pt>
                <pt idx="188">
                  <v>3.974329338839285</v>
                </pt>
                <pt idx="189">
                  <v>3.975743642520374</v>
                </pt>
                <pt idx="190">
                  <v>3.977081014865441</v>
                </pt>
                <pt idx="191">
                  <v>3.978345564678849</v>
                </pt>
                <pt idx="192">
                  <v>3.979541187220059</v>
                </pt>
                <pt idx="193">
                  <v>3.980671574834758</v>
                </pt>
                <pt idx="194">
                  <v>3.981740227094779</v>
                </pt>
                <pt idx="195">
                  <v>3.982750460466243</v>
                </pt>
                <pt idx="196">
                  <v>3.983705417524937</v>
                </pt>
                <pt idx="197">
                  <v>3.984608075737416</v>
                </pt>
                <pt idx="198">
                  <v>3.985461255825809</v>
                </pt>
                <pt idx="199">
                  <v>3.986267629733797</v>
                </pt>
                <pt idx="200">
                  <v>3.9870297282107</v>
                </pt>
                <pt idx="201">
                  <v>3.987749948030064</v>
                </pt>
                <pt idx="202">
                  <v>3.98843055885861</v>
                </pt>
                <pt idx="203">
                  <v>3.989073709790881</v>
                </pt>
                <pt idx="204">
                  <v>3.989681435564379</v>
                </pt>
                <pt idx="205">
                  <v>3.990255662469463</v>
                </pt>
                <pt idx="206">
                  <v>3.990798213967753</v>
                </pt>
                <pt idx="207">
                  <v>3.991310816032283</v>
                </pt>
                <pt idx="208">
                  <v>3.991795102222139</v>
                </pt>
                <pt idx="209">
                  <v>3.992252618503802</v>
                </pt>
                <pt idx="210">
                  <v>3.992684827830991</v>
                </pt>
                <pt idx="211">
                  <v>3.993093114494257</v>
                </pt>
                <pt idx="212">
                  <v>3.993478788251169</v>
                </pt>
                <pt idx="213">
                  <v>3.993843088247487</v>
                </pt>
                <pt idx="214">
                  <v>3.994187186739247</v>
                </pt>
                <pt idx="215">
                  <v>3.994512192625299</v>
                </pt>
                <pt idx="216">
                  <v>3.994819154799414</v>
                </pt>
                <pt idx="217">
                  <v>3.995109065330689</v>
                </pt>
                <pt idx="218">
                  <v>3.995382862480585</v>
                </pt>
                <pt idx="219">
                  <v>3.995641433564582</v>
                </pt>
                <pt idx="220">
                  <v>3.995885617666067</v>
                </pt>
                <pt idx="221">
                  <v>3.996116208209734</v>
                </pt>
                <pt idx="222">
                  <v>3.996333955401449</v>
                </pt>
                <pt idx="223">
                  <v>3.996539568541201</v>
                </pt>
                <pt idx="224">
                  <v>3.996733718215472</v>
                </pt>
                <pt idx="225">
                  <v>3.996917038375069</v>
                </pt>
                <pt idx="226">
                  <v>3.997090128304141</v>
                </pt>
                <pt idx="227">
                  <v>3.997253554485902</v>
                </pt>
                <pt idx="228">
                  <v>3.997407852370246</v>
                </pt>
                <pt idx="229">
                  <v>3.997553528048257</v>
                </pt>
                <pt idx="230">
                  <v>3.997691059838331</v>
                </pt>
                <pt idx="231">
                  <v>3.99782089978844</v>
                </pt>
                <pt idx="232">
                  <v>3.997943475098807</v>
                </pt>
                <pt idx="233">
                  <v>3.998059189469095</v>
                </pt>
                <pt idx="234">
                  <v>3.998168424373987</v>
                </pt>
                <pt idx="235">
                  <v>3.998271540270848</v>
                </pt>
                <pt idx="236">
                  <v>3.998368877742989</v>
                </pt>
                <pt idx="237">
                  <v>3.998460758581869</v>
                </pt>
                <pt idx="238">
                  <v>3.998547486811409</v>
                </pt>
                <pt idx="239">
                  <v>3.998629349657429</v>
                </pt>
                <pt idx="240">
                  <v>3.998706618465083</v>
                </pt>
                <pt idx="241">
                  <v>3.99877954956701</v>
                </pt>
                <pt idx="242">
                  <v>3.998848385104766</v>
                </pt>
                <pt idx="243">
                  <v>3.998913353806036</v>
                </pt>
                <pt idx="244">
                  <v>3.998974671719899</v>
                </pt>
                <pt idx="245">
                  <v>3.999032542912401</v>
                </pt>
                <pt idx="246">
                  <v>3.999087160124519</v>
                </pt>
                <pt idx="247">
                  <v>3.999138705394498</v>
                </pt>
                <pt idx="248">
                  <v>3.999187350646467</v>
                </pt>
                <pt idx="249">
                  <v>3.999233258247113</v>
                </pt>
                <pt idx="250">
                  <v>3.999276581532115</v>
                </pt>
                <pt idx="251">
                  <v>3.999317465303961</v>
                </pt>
                <pt idx="252">
                  <v>3.999356046302655</v>
                </pt>
                <pt idx="253">
                  <v>3.999392453650786</v>
                </pt>
                <pt idx="254">
                  <v>3.99942680927431</v>
                </pt>
                <pt idx="255">
                  <v>3.999459228300368</v>
                </pt>
                <pt idx="256">
                  <v>3.999489819433355</v>
                </pt>
                <pt idx="257">
                  <v>3.999518685310424</v>
                </pt>
                <pt idx="258">
                  <v>3.999545922837523</v>
                </pt>
                <pt idx="259">
                  <v>3.999571623507015</v>
                </pt>
                <pt idx="260">
                  <v>3.999595873697884</v>
                </pt>
                <pt idx="261">
                  <v>3.999618754959457</v>
                </pt>
                <pt idx="262">
                  <v>3.99964034427954</v>
                </pt>
                <pt idx="263">
                  <v>3.999660714337812</v>
                </pt>
                <pt idx="264">
                  <v>3.999679933745275</v>
                </pt>
                <pt idx="265">
                  <v>3.999698067270518</v>
                </pt>
                <pt idx="266">
                  <v>3.999715176053513</v>
                </pt>
                <pt idx="267">
                  <v>3.999731317807619</v>
                </pt>
                <pt idx="268">
                  <v>3.99974654701044</v>
                </pt>
                <pt idx="269">
                  <v>3.999760915084135</v>
                </pt>
                <pt idx="270">
                  <v>3.999774470565777</v>
                </pt>
                <pt idx="271">
                  <v>3.999787259268272</v>
                </pt>
                <pt idx="272">
                  <v>3.999799324432394</v>
                </pt>
                <pt idx="273">
                  <v>3.99981070687038</v>
                </pt>
                <pt idx="274">
                  <v>3.999821445101586</v>
                </pt>
                <pt idx="275">
                  <v>3.999831575480612</v>
                </pt>
                <pt idx="276">
                  <v>3.999841132318325</v>
                </pt>
                <pt idx="277">
                  <v>3.999850147996155</v>
                </pt>
                <pt idx="278">
                  <v>3.999858653074055</v>
                </pt>
                <pt idx="279">
                  <v>3.999866676392453</v>
                </pt>
                <pt idx="280">
                  <v>3.99987424516854</v>
                </pt>
                <pt idx="281">
                  <v>3.999881385087197</v>
                </pt>
                <pt idx="282">
                  <v>3.999888120386864</v>
                </pt>
                <pt idx="283">
                  <v>3.999894473940631</v>
                </pt>
                <pt idx="284">
                  <v>3.999900467332797</v>
                </pt>
                <pt idx="285">
                  <v>3.999906120931179</v>
                </pt>
                <pt idx="286">
                  <v>3.999911453955379</v>
                </pt>
                <pt idx="287">
                  <v>3.999916484541236</v>
                </pt>
                <pt idx="288">
                  <v>3.999921229801694</v>
                </pt>
                <pt idx="289">
                  <v>3.99992570588426</v>
                </pt>
                <pt idx="290">
                  <v>3.999929928025257</v>
                </pt>
                <pt idx="291">
                  <v>3.999933910601041</v>
                </pt>
                <pt idx="292">
                  <v>3.999937667176356</v>
                </pt>
                <pt idx="293">
                  <v>3.999941210549985</v>
                </pt>
                <pt idx="294">
                  <v>3.999944552797839</v>
                </pt>
                <pt idx="295">
                  <v>3.999947705313647</v>
                </pt>
                <pt idx="296">
                  <v>3.999950678847352</v>
                </pt>
                <pt idx="297">
                  <v>3.999953483541366</v>
                </pt>
                <pt idx="298">
                  <v>3.999956128964788</v>
                </pt>
                <pt idx="299">
                  <v>3.999958624145705</v>
                </pt>
                <pt idx="300">
                  <v>3.99996097760168</v>
                </pt>
                <pt idx="301">
                  <v>3.999963197368532</v>
                </pt>
                <pt idx="302">
                  <v>3.999965291027495</v>
                </pt>
                <pt idx="303">
                  <v>3.999967265730859</v>
                </pt>
                <pt idx="304">
                  <v>3.999969128226165</v>
                </pt>
                <pt idx="305">
                  <v>3.999970884879044</v>
                </pt>
                <pt idx="306">
                  <v>3.999972541694768</v>
                </pt>
                <pt idx="307">
                  <v>3.999974104338599</v>
                </pt>
                <pt idx="308">
                  <v>3.99997557815498</v>
                </pt>
                <pt idx="309">
                  <v>3.999976968185657</v>
                </pt>
                <pt idx="310">
                  <v>3.999978279186778</v>
                </pt>
                <pt idx="311">
                  <v>3.999979515645027</v>
                </pt>
                <pt idx="312">
                  <v>3.999980681792854</v>
                </pt>
                <pt idx="313">
                  <v>3.999981781622842</v>
                </pt>
                <pt idx="314">
                  <v>3.999982818901272</v>
                </pt>
                <pt idx="315">
                  <v>3.999983797180914</v>
                </pt>
                <pt idx="316">
                  <v>3.999984719813106</v>
                </pt>
                <pt idx="317">
                  <v>3.999985589959147</v>
                </pt>
                <pt idx="318">
                  <v>3.999986410601048</v>
                </pt>
                <pt idx="319">
                  <v>3.999987184551679</v>
                </pt>
                <pt idx="320">
                  <v>3.999987914464342</v>
                </pt>
                <pt idx="321">
                  <v>3.999988602841799</v>
                </pt>
                <pt idx="322">
                  <v>3.999989252044803</v>
                </pt>
                <pt idx="323">
                  <v>3.999989864300133</v>
                </pt>
                <pt idx="324">
                  <v>3.999990441708182</v>
                </pt>
                <pt idx="325">
                  <v>3.999990986250121</v>
                </pt>
                <pt idx="326">
                  <v>3.999991499794645</v>
                </pt>
                <pt idx="327">
                  <v>3.999991984104355</v>
                </pt>
                <pt idx="328">
                  <v>3.999992440841765</v>
                </pt>
                <pt idx="329">
                  <v>3.999992871574975</v>
                </pt>
                <pt idx="330">
                  <v>3.999993277783025</v>
                </pt>
                <pt idx="331">
                  <v>3.999993660860942</v>
                </pt>
                <pt idx="332">
                  <v>3.999994022124506</v>
                </pt>
                <pt idx="333">
                  <v>3.999994362814744</v>
                </pt>
                <pt idx="334">
                  <v>3.999994684102168</v>
                </pt>
                <pt idx="335">
                  <v>3.999994987090775</v>
                </pt>
                <pt idx="336">
                  <v>3.999995272821824</v>
                </pt>
                <pt idx="337">
                  <v>3.999995542277392</v>
                </pt>
                <pt idx="338">
                  <v>3.999995796383733</v>
                </pt>
                <pt idx="339">
                  <v>3.999996036014449</v>
                </pt>
                <pt idx="340">
                  <v>3.999996261993475</v>
                </pt>
                <pt idx="341">
                  <v>3.999996475097902</v>
                </pt>
                <pt idx="342">
                  <v>3.999996676060633</v>
                </pt>
                <pt idx="343">
                  <v>3.999996865572894</v>
                </pt>
                <pt idx="344">
                  <v>3.999997044286601</v>
                </pt>
                <pt idx="345">
                  <v>3.999997212816591</v>
                </pt>
                <pt idx="346">
                  <v>3.99999737174273</v>
                </pt>
                <pt idx="347">
                  <v>3.999997521611897</v>
                </pt>
                <pt idx="348">
                  <v>3.999997662939863</v>
                </pt>
                <pt idx="349">
                  <v>3.999997796213053</v>
                </pt>
                <pt idx="350">
                  <v>3.999997921890214</v>
                </pt>
                <pt idx="351">
                  <v>3.999998040403992</v>
                </pt>
                <pt idx="352">
                  <v>3.999998152162413</v>
                </pt>
                <pt idx="353">
                  <v>3.99999825755028</v>
                </pt>
                <pt idx="354">
                  <v>3.999998356930499</v>
                </pt>
                <pt idx="355">
                  <v>3.999998450645316</v>
                </pt>
                <pt idx="356">
                  <v>3.999998539017501</v>
                </pt>
                <pt idx="357">
                  <v>3.999998622351445</v>
                </pt>
                <pt idx="358">
                  <v>3.999998700934213</v>
                </pt>
                <pt idx="359">
                  <v>3.999998775036528</v>
                </pt>
                <pt idx="360">
                  <v>3.999998844913696</v>
                </pt>
                <pt idx="361">
                  <v>3.999998910806488</v>
                </pt>
                <pt idx="362">
                  <v>3.999998972941964</v>
                </pt>
                <pt idx="363">
                  <v>3.999999031534256</v>
                </pt>
                <pt idx="364">
                  <v>3.999999086785299</v>
                </pt>
                <pt idx="365">
                  <v>3.999999138885527</v>
                </pt>
                <pt idx="366">
                  <v>3.99999918801453</v>
                </pt>
                <pt idx="367">
                  <v>3.999999234341667</v>
                </pt>
                <pt idx="368">
                  <v>3.99999927802665</v>
                </pt>
                <pt idx="369">
                  <v>3.999999319220094</v>
                </pt>
                <pt idx="370">
                  <v>3.999999358064033</v>
                </pt>
                <pt idx="371">
                  <v>3.99999939469241</v>
                </pt>
                <pt idx="372">
                  <v>3.999999429231534</v>
                </pt>
                <pt idx="373">
                  <v>3.999999461800522</v>
                </pt>
                <pt idx="374">
                  <v>3.999999492511701</v>
                </pt>
                <pt idx="375">
                  <v>3.999999521470997</v>
                </pt>
                <pt idx="376">
                  <v>3.999999548778301</v>
                </pt>
                <pt idx="377">
                  <v>3.999999574527811</v>
                </pt>
                <pt idx="378">
                  <v>3.999999598808358</v>
                </pt>
                <pt idx="379">
                  <v>3.999999621703709</v>
                </pt>
                <pt idx="380">
                  <v>3.999999643292857</v>
                </pt>
                <pt idx="381">
                  <v>3.999999663650293</v>
                </pt>
                <pt idx="382">
                  <v>3.999999682846261</v>
                </pt>
                <pt idx="383">
                  <v>3.999999700947001</v>
                </pt>
                <pt idx="384">
                  <v>3.999999718014979</v>
                </pt>
                <pt idx="385">
                  <v>3.999999734109099</v>
                </pt>
                <pt idx="386">
                  <v>3.999999749284907</v>
                </pt>
                <pt idx="387">
                  <v>3.999999763594782</v>
                </pt>
                <pt idx="388">
                  <v>3.999999777088117</v>
                </pt>
                <pt idx="389">
                  <v>3.999999789811489</v>
                </pt>
                <pt idx="390">
                  <v>3.999999801808819</v>
                </pt>
                <pt idx="391">
                  <v>3.999999813121525</v>
                </pt>
                <pt idx="392">
                  <v>3.999999823788661</v>
                </pt>
                <pt idx="393">
                  <v>3.999999833847056</v>
                </pt>
                <pt idx="394">
                  <v>3.999999843331438</v>
                </pt>
                <pt idx="395">
                  <v>3.999999852274555</v>
                </pt>
                <pt idx="396">
                  <v>3.999999860707286</v>
                </pt>
                <pt idx="397">
                  <v>3.999999868658751</v>
                </pt>
                <pt idx="398">
                  <v>3.99999987615641</v>
                </pt>
                <pt idx="399">
                  <v>3.999999883226153</v>
                </pt>
                <pt idx="400">
                  <v>3.999999889892397</v>
                </pt>
              </numCache>
            </numRef>
          </val>
          <smooth val="0"/>
        </ser>
        <ser>
          <idx val="3"/>
          <order val="3"/>
          <tx>
            <strRef>
              <f>Лист1!$N$1</f>
              <strCache>
                <ptCount val="1"/>
                <pt idx="0">
                  <v>y(n*T02)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Лист1!$N$2:$N$402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0.5835934589721194</v>
                </pt>
                <pt idx="92">
                  <v>0.5835934589721194</v>
                </pt>
                <pt idx="93">
                  <v>0.5835934589721194</v>
                </pt>
                <pt idx="94">
                  <v>0.5835934589721194</v>
                </pt>
                <pt idx="95">
                  <v>0.5835934589721194</v>
                </pt>
                <pt idx="96">
                  <v>0.5835934589721194</v>
                </pt>
                <pt idx="97">
                  <v>0.5835934589721194</v>
                </pt>
                <pt idx="98">
                  <v>0.5835934589721194</v>
                </pt>
                <pt idx="99">
                  <v>0.5835934589721194</v>
                </pt>
                <pt idx="100">
                  <v>0.5835934589721194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2.38234611637176</v>
                </pt>
                <pt idx="112">
                  <v>2.38234611637176</v>
                </pt>
                <pt idx="113">
                  <v>2.38234611637176</v>
                </pt>
                <pt idx="114">
                  <v>2.38234611637176</v>
                </pt>
                <pt idx="115">
                  <v>2.38234611637176</v>
                </pt>
                <pt idx="116">
                  <v>2.38234611637176</v>
                </pt>
                <pt idx="117">
                  <v>2.38234611637176</v>
                </pt>
                <pt idx="118">
                  <v>2.38234611637176</v>
                </pt>
                <pt idx="119">
                  <v>2.38234611637176</v>
                </pt>
                <pt idx="120">
                  <v>2.38234611637176</v>
                </pt>
                <pt idx="121">
                  <v>2.982797232746421</v>
                </pt>
                <pt idx="122">
                  <v>2.982797232746421</v>
                </pt>
                <pt idx="123">
                  <v>2.982797232746421</v>
                </pt>
                <pt idx="124">
                  <v>2.982797232746421</v>
                </pt>
                <pt idx="125">
                  <v>2.982797232746421</v>
                </pt>
                <pt idx="126">
                  <v>2.982797232746421</v>
                </pt>
                <pt idx="127">
                  <v>2.982797232746421</v>
                </pt>
                <pt idx="128">
                  <v>2.982797232746421</v>
                </pt>
                <pt idx="129">
                  <v>2.982797232746421</v>
                </pt>
                <pt idx="130">
                  <v>2.982797232746421</v>
                </pt>
                <pt idx="131">
                  <v>3.380041913591982</v>
                </pt>
                <pt idx="132">
                  <v>3.380041913591982</v>
                </pt>
                <pt idx="133">
                  <v>3.380041913591982</v>
                </pt>
                <pt idx="134">
                  <v>3.380041913591982</v>
                </pt>
                <pt idx="135">
                  <v>3.380041913591982</v>
                </pt>
                <pt idx="136">
                  <v>3.380041913591982</v>
                </pt>
                <pt idx="137">
                  <v>3.380041913591982</v>
                </pt>
                <pt idx="138">
                  <v>3.380041913591982</v>
                </pt>
                <pt idx="139">
                  <v>3.380041913591982</v>
                </pt>
                <pt idx="140">
                  <v>3.380041913591982</v>
                </pt>
                <pt idx="141">
                  <v>3.630202177787456</v>
                </pt>
                <pt idx="142">
                  <v>3.630202177787456</v>
                </pt>
                <pt idx="143">
                  <v>3.630202177787456</v>
                </pt>
                <pt idx="144">
                  <v>3.630202177787456</v>
                </pt>
                <pt idx="145">
                  <v>3.630202177787456</v>
                </pt>
                <pt idx="146">
                  <v>3.630202177787456</v>
                </pt>
                <pt idx="147">
                  <v>3.630202177787456</v>
                </pt>
                <pt idx="148">
                  <v>3.630202177787456</v>
                </pt>
                <pt idx="149">
                  <v>3.630202177787456</v>
                </pt>
                <pt idx="150">
                  <v>3.630202177787456</v>
                </pt>
                <pt idx="151">
                  <v>3.782818561661319</v>
                </pt>
                <pt idx="152">
                  <v>3.782818561661319</v>
                </pt>
                <pt idx="153">
                  <v>3.782818561661319</v>
                </pt>
                <pt idx="154">
                  <v>3.782818561661319</v>
                </pt>
                <pt idx="155">
                  <v>3.782818561661319</v>
                </pt>
                <pt idx="156">
                  <v>3.782818561661319</v>
                </pt>
                <pt idx="157">
                  <v>3.782818561661319</v>
                </pt>
                <pt idx="158">
                  <v>3.782818561661319</v>
                </pt>
                <pt idx="159">
                  <v>3.782818561661319</v>
                </pt>
                <pt idx="160">
                  <v>3.782818561661319</v>
                </pt>
                <pt idx="161">
                  <v>3.873915940939108</v>
                </pt>
                <pt idx="162">
                  <v>3.873915940939108</v>
                </pt>
                <pt idx="163">
                  <v>3.873915940939108</v>
                </pt>
                <pt idx="164">
                  <v>3.873915940939108</v>
                </pt>
                <pt idx="165">
                  <v>3.873915940939108</v>
                </pt>
                <pt idx="166">
                  <v>3.873915940939108</v>
                </pt>
                <pt idx="167">
                  <v>3.873915940939108</v>
                </pt>
                <pt idx="168">
                  <v>3.873915940939108</v>
                </pt>
                <pt idx="169">
                  <v>3.873915940939108</v>
                </pt>
                <pt idx="170">
                  <v>3.873915940939108</v>
                </pt>
                <pt idx="171">
                  <v>3.927444609949601</v>
                </pt>
                <pt idx="172">
                  <v>3.927444609949601</v>
                </pt>
                <pt idx="173">
                  <v>3.927444609949601</v>
                </pt>
                <pt idx="174">
                  <v>3.927444609949601</v>
                </pt>
                <pt idx="175">
                  <v>3.927444609949601</v>
                </pt>
                <pt idx="176">
                  <v>3.927444609949601</v>
                </pt>
                <pt idx="177">
                  <v>3.927444609949601</v>
                </pt>
                <pt idx="178">
                  <v>3.927444609949601</v>
                </pt>
                <pt idx="179">
                  <v>3.927444609949601</v>
                </pt>
                <pt idx="180">
                  <v>3.927444609949601</v>
                </pt>
                <pt idx="181">
                  <v>3.958532521026712</v>
                </pt>
                <pt idx="182">
                  <v>3.958532521026712</v>
                </pt>
                <pt idx="183">
                  <v>3.958532521026712</v>
                </pt>
                <pt idx="184">
                  <v>3.958532521026712</v>
                </pt>
                <pt idx="185">
                  <v>3.958532521026712</v>
                </pt>
                <pt idx="186">
                  <v>3.958532521026712</v>
                </pt>
                <pt idx="187">
                  <v>3.958532521026712</v>
                </pt>
                <pt idx="188">
                  <v>3.958532521026712</v>
                </pt>
                <pt idx="189">
                  <v>3.958532521026712</v>
                </pt>
                <pt idx="190">
                  <v>3.958532521026712</v>
                </pt>
                <pt idx="191">
                  <v>3.976427454975619</v>
                </pt>
                <pt idx="192">
                  <v>3.976427454975619</v>
                </pt>
                <pt idx="193">
                  <v>3.976427454975619</v>
                </pt>
                <pt idx="194">
                  <v>3.976427454975619</v>
                </pt>
                <pt idx="195">
                  <v>3.976427454975619</v>
                </pt>
                <pt idx="196">
                  <v>3.976427454975619</v>
                </pt>
                <pt idx="197">
                  <v>3.976427454975619</v>
                </pt>
                <pt idx="198">
                  <v>3.976427454975619</v>
                </pt>
                <pt idx="199">
                  <v>3.976427454975619</v>
                </pt>
                <pt idx="200">
                  <v>3.976427454975619</v>
                </pt>
                <pt idx="201">
                  <v>3.986657298648918</v>
                </pt>
                <pt idx="202">
                  <v>3.986657298648918</v>
                </pt>
                <pt idx="203">
                  <v>3.986657298648918</v>
                </pt>
                <pt idx="204">
                  <v>3.986657298648918</v>
                </pt>
                <pt idx="205">
                  <v>3.986657298648918</v>
                </pt>
                <pt idx="206">
                  <v>3.986657298648918</v>
                </pt>
                <pt idx="207">
                  <v>3.986657298648918</v>
                </pt>
                <pt idx="208">
                  <v>3.986657298648918</v>
                </pt>
                <pt idx="209">
                  <v>3.986657298648918</v>
                </pt>
                <pt idx="210">
                  <v>3.986657298648918</v>
                </pt>
                <pt idx="211">
                  <v>3.992473611649495</v>
                </pt>
                <pt idx="212">
                  <v>3.992473611649495</v>
                </pt>
                <pt idx="213">
                  <v>3.992473611649495</v>
                </pt>
                <pt idx="214">
                  <v>3.992473611649495</v>
                </pt>
                <pt idx="215">
                  <v>3.992473611649495</v>
                </pt>
                <pt idx="216">
                  <v>3.992473611649495</v>
                </pt>
                <pt idx="217">
                  <v>3.992473611649495</v>
                </pt>
                <pt idx="218">
                  <v>3.992473611649495</v>
                </pt>
                <pt idx="219">
                  <v>3.992473611649495</v>
                </pt>
                <pt idx="220">
                  <v>3.992473611649495</v>
                </pt>
                <pt idx="221">
                  <v>3.995766287447597</v>
                </pt>
                <pt idx="222">
                  <v>3.995766287447597</v>
                </pt>
                <pt idx="223">
                  <v>3.995766287447597</v>
                </pt>
                <pt idx="224">
                  <v>3.995766287447597</v>
                </pt>
                <pt idx="225">
                  <v>3.995766287447597</v>
                </pt>
                <pt idx="226">
                  <v>3.995766287447597</v>
                </pt>
                <pt idx="227">
                  <v>3.995766287447597</v>
                </pt>
                <pt idx="228">
                  <v>3.995766287447597</v>
                </pt>
                <pt idx="229">
                  <v>3.995766287447597</v>
                </pt>
                <pt idx="230">
                  <v>3.995766287447597</v>
                </pt>
                <pt idx="231">
                  <v>3.997623849489978</v>
                </pt>
                <pt idx="232">
                  <v>3.997623849489978</v>
                </pt>
                <pt idx="233">
                  <v>3.997623849489978</v>
                </pt>
                <pt idx="234">
                  <v>3.997623849489978</v>
                </pt>
                <pt idx="235">
                  <v>3.997623849489978</v>
                </pt>
                <pt idx="236">
                  <v>3.997623849489978</v>
                </pt>
                <pt idx="237">
                  <v>3.997623849489978</v>
                </pt>
                <pt idx="238">
                  <v>3.997623849489978</v>
                </pt>
                <pt idx="239">
                  <v>3.997623849489978</v>
                </pt>
                <pt idx="240">
                  <v>3.997623849489978</v>
                </pt>
                <pt idx="241">
                  <v>3.998668858006518</v>
                </pt>
                <pt idx="242">
                  <v>3.998668858006518</v>
                </pt>
                <pt idx="243">
                  <v>3.998668858006518</v>
                </pt>
                <pt idx="244">
                  <v>3.998668858006518</v>
                </pt>
                <pt idx="245">
                  <v>3.998668858006518</v>
                </pt>
                <pt idx="246">
                  <v>3.998668858006518</v>
                </pt>
                <pt idx="247">
                  <v>3.998668858006518</v>
                </pt>
                <pt idx="248">
                  <v>3.998668858006518</v>
                </pt>
                <pt idx="249">
                  <v>3.998668858006518</v>
                </pt>
                <pt idx="250">
                  <v>3.998668858006518</v>
                </pt>
                <pt idx="251">
                  <v>3.999255409895762</v>
                </pt>
                <pt idx="252">
                  <v>3.999255409895762</v>
                </pt>
                <pt idx="253">
                  <v>3.999255409895762</v>
                </pt>
                <pt idx="254">
                  <v>3.999255409895762</v>
                </pt>
                <pt idx="255">
                  <v>3.999255409895762</v>
                </pt>
                <pt idx="256">
                  <v>3.999255409895762</v>
                </pt>
                <pt idx="257">
                  <v>3.999255409895762</v>
                </pt>
                <pt idx="258">
                  <v>3.999255409895762</v>
                </pt>
                <pt idx="259">
                  <v>3.999255409895762</v>
                </pt>
                <pt idx="260">
                  <v>3.999255409895762</v>
                </pt>
                <pt idx="261">
                  <v>3.999584022883329</v>
                </pt>
                <pt idx="262">
                  <v>3.999584022883329</v>
                </pt>
                <pt idx="263">
                  <v>3.999584022883329</v>
                </pt>
                <pt idx="264">
                  <v>3.999584022883329</v>
                </pt>
                <pt idx="265">
                  <v>3.999584022883329</v>
                </pt>
                <pt idx="266">
                  <v>3.999584022883329</v>
                </pt>
                <pt idx="267">
                  <v>3.999584022883329</v>
                </pt>
                <pt idx="268">
                  <v>3.999584022883329</v>
                </pt>
                <pt idx="269">
                  <v>3.999584022883329</v>
                </pt>
                <pt idx="270">
                  <v>3.999584022883329</v>
                </pt>
                <pt idx="271">
                  <v>3.999767846143861</v>
                </pt>
                <pt idx="272">
                  <v>3.999767846143861</v>
                </pt>
                <pt idx="273">
                  <v>3.999767846143861</v>
                </pt>
                <pt idx="274">
                  <v>3.999767846143861</v>
                </pt>
                <pt idx="275">
                  <v>3.999767846143861</v>
                </pt>
                <pt idx="276">
                  <v>3.999767846143861</v>
                </pt>
                <pt idx="277">
                  <v>3.999767846143861</v>
                </pt>
                <pt idx="278">
                  <v>3.999767846143861</v>
                </pt>
                <pt idx="279">
                  <v>3.999767846143861</v>
                </pt>
                <pt idx="280">
                  <v>3.999767846143861</v>
                </pt>
                <pt idx="281">
                  <v>3.999870546387067</v>
                </pt>
                <pt idx="282">
                  <v>3.999870546387067</v>
                </pt>
                <pt idx="283">
                  <v>3.999870546387067</v>
                </pt>
                <pt idx="284">
                  <v>3.999870546387067</v>
                </pt>
                <pt idx="285">
                  <v>3.999870546387067</v>
                </pt>
                <pt idx="286">
                  <v>3.999870546387067</v>
                </pt>
                <pt idx="287">
                  <v>3.999870546387067</v>
                </pt>
                <pt idx="288">
                  <v>3.999870546387067</v>
                </pt>
                <pt idx="289">
                  <v>3.999870546387067</v>
                </pt>
                <pt idx="290">
                  <v>3.999870546387067</v>
                </pt>
                <pt idx="291">
                  <v>3.999927864709385</v>
                </pt>
                <pt idx="292">
                  <v>3.999927864709385</v>
                </pt>
                <pt idx="293">
                  <v>3.999927864709385</v>
                </pt>
                <pt idx="294">
                  <v>3.999927864709385</v>
                </pt>
                <pt idx="295">
                  <v>3.999927864709385</v>
                </pt>
                <pt idx="296">
                  <v>3.999927864709385</v>
                </pt>
                <pt idx="297">
                  <v>3.999927864709385</v>
                </pt>
                <pt idx="298">
                  <v>3.999927864709385</v>
                </pt>
                <pt idx="299">
                  <v>3.999927864709385</v>
                </pt>
                <pt idx="300">
                  <v>3.999927864709385</v>
                </pt>
                <pt idx="301">
                  <v>3.999959827492654</v>
                </pt>
                <pt idx="302">
                  <v>3.999959827492654</v>
                </pt>
                <pt idx="303">
                  <v>3.999959827492654</v>
                </pt>
                <pt idx="304">
                  <v>3.999959827492654</v>
                </pt>
                <pt idx="305">
                  <v>3.999959827492654</v>
                </pt>
                <pt idx="306">
                  <v>3.999959827492654</v>
                </pt>
                <pt idx="307">
                  <v>3.999959827492654</v>
                </pt>
                <pt idx="308">
                  <v>3.999959827492654</v>
                </pt>
                <pt idx="309">
                  <v>3.999959827492654</v>
                </pt>
                <pt idx="310">
                  <v>3.999959827492654</v>
                </pt>
                <pt idx="311">
                  <v>3.999977638514548</v>
                </pt>
                <pt idx="312">
                  <v>3.999977638514548</v>
                </pt>
                <pt idx="313">
                  <v>3.999977638514548</v>
                </pt>
                <pt idx="314">
                  <v>3.999977638514548</v>
                </pt>
                <pt idx="315">
                  <v>3.999977638514548</v>
                </pt>
                <pt idx="316">
                  <v>3.999977638514548</v>
                </pt>
                <pt idx="317">
                  <v>3.999977638514548</v>
                </pt>
                <pt idx="318">
                  <v>3.999977638514548</v>
                </pt>
                <pt idx="319">
                  <v>3.999977638514548</v>
                </pt>
                <pt idx="320">
                  <v>3.999977638514548</v>
                </pt>
                <pt idx="321">
                  <v>3.999987557763966</v>
                </pt>
                <pt idx="322">
                  <v>3.999987557763966</v>
                </pt>
                <pt idx="323">
                  <v>3.999987557763966</v>
                </pt>
                <pt idx="324">
                  <v>3.999987557763966</v>
                </pt>
                <pt idx="325">
                  <v>3.999987557763966</v>
                </pt>
                <pt idx="326">
                  <v>3.999987557763966</v>
                </pt>
                <pt idx="327">
                  <v>3.999987557763966</v>
                </pt>
                <pt idx="328">
                  <v>3.999987557763966</v>
                </pt>
                <pt idx="329">
                  <v>3.999987557763966</v>
                </pt>
                <pt idx="330">
                  <v>3.999987557763966</v>
                </pt>
                <pt idx="331">
                  <v>3.999993079273707</v>
                </pt>
                <pt idx="332">
                  <v>3.999993079273707</v>
                </pt>
                <pt idx="333">
                  <v>3.999993079273707</v>
                </pt>
                <pt idx="334">
                  <v>3.999993079273707</v>
                </pt>
                <pt idx="335">
                  <v>3.999993079273707</v>
                </pt>
                <pt idx="336">
                  <v>3.999993079273707</v>
                </pt>
                <pt idx="337">
                  <v>3.999993079273707</v>
                </pt>
                <pt idx="338">
                  <v>3.999993079273707</v>
                </pt>
                <pt idx="339">
                  <v>3.999993079273707</v>
                </pt>
                <pt idx="340">
                  <v>3.999993079273707</v>
                </pt>
                <pt idx="341">
                  <v>3.999996151560194</v>
                </pt>
                <pt idx="342">
                  <v>3.999996151560194</v>
                </pt>
                <pt idx="343">
                  <v>3.999996151560194</v>
                </pt>
                <pt idx="344">
                  <v>3.999996151560194</v>
                </pt>
                <pt idx="345">
                  <v>3.999996151560194</v>
                </pt>
                <pt idx="346">
                  <v>3.999996151560194</v>
                </pt>
                <pt idx="347">
                  <v>3.999996151560194</v>
                </pt>
                <pt idx="348">
                  <v>3.999996151560194</v>
                </pt>
                <pt idx="349">
                  <v>3.999996151560194</v>
                </pt>
                <pt idx="350">
                  <v>3.999996151560194</v>
                </pt>
                <pt idx="351">
                  <v>3.999997860473397</v>
                </pt>
                <pt idx="352">
                  <v>3.999997860473397</v>
                </pt>
                <pt idx="353">
                  <v>3.999997860473397</v>
                </pt>
                <pt idx="354">
                  <v>3.999997860473397</v>
                </pt>
                <pt idx="355">
                  <v>3.999997860473397</v>
                </pt>
                <pt idx="356">
                  <v>3.999997860473397</v>
                </pt>
                <pt idx="357">
                  <v>3.999997860473397</v>
                </pt>
                <pt idx="358">
                  <v>3.999997860473397</v>
                </pt>
                <pt idx="359">
                  <v>3.999997860473397</v>
                </pt>
                <pt idx="360">
                  <v>3.999997860473397</v>
                </pt>
                <pt idx="361">
                  <v>3.999998810765753</v>
                </pt>
                <pt idx="362">
                  <v>3.999998810765753</v>
                </pt>
                <pt idx="363">
                  <v>3.999998810765753</v>
                </pt>
                <pt idx="364">
                  <v>3.999998810765753</v>
                </pt>
                <pt idx="365">
                  <v>3.999998810765753</v>
                </pt>
                <pt idx="366">
                  <v>3.999998810765753</v>
                </pt>
                <pt idx="367">
                  <v>3.999998810765753</v>
                </pt>
                <pt idx="368">
                  <v>3.999998810765753</v>
                </pt>
                <pt idx="369">
                  <v>3.999998810765753</v>
                </pt>
                <pt idx="370">
                  <v>3.999998810765753</v>
                </pt>
                <pt idx="371">
                  <v>3.999999339081712</v>
                </pt>
                <pt idx="372">
                  <v>3.999999339081712</v>
                </pt>
                <pt idx="373">
                  <v>3.999999339081712</v>
                </pt>
                <pt idx="374">
                  <v>3.999999339081712</v>
                </pt>
                <pt idx="375">
                  <v>3.999999339081712</v>
                </pt>
                <pt idx="376">
                  <v>3.999999339081712</v>
                </pt>
                <pt idx="377">
                  <v>3.999999339081712</v>
                </pt>
                <pt idx="378">
                  <v>3.999999339081712</v>
                </pt>
                <pt idx="379">
                  <v>3.999999339081712</v>
                </pt>
                <pt idx="380">
                  <v>3.999999339081712</v>
                </pt>
                <pt idx="381">
                  <v>3.999999632742772</v>
                </pt>
                <pt idx="382">
                  <v>3.999999632742772</v>
                </pt>
                <pt idx="383">
                  <v>3.999999632742772</v>
                </pt>
                <pt idx="384">
                  <v>3.999999632742772</v>
                </pt>
                <pt idx="385">
                  <v>3.999999632742772</v>
                </pt>
                <pt idx="386">
                  <v>3.999999632742772</v>
                </pt>
                <pt idx="387">
                  <v>3.999999632742772</v>
                </pt>
                <pt idx="388">
                  <v>3.999999632742772</v>
                </pt>
                <pt idx="389">
                  <v>3.999999632742772</v>
                </pt>
                <pt idx="390">
                  <v>3.999999632742772</v>
                </pt>
                <pt idx="391">
                  <v>3.999999795946153</v>
                </pt>
                <pt idx="392">
                  <v>3.999999795946153</v>
                </pt>
                <pt idx="393">
                  <v>3.999999795946153</v>
                </pt>
                <pt idx="394">
                  <v>3.999999795946153</v>
                </pt>
                <pt idx="395">
                  <v>3.999999795946153</v>
                </pt>
                <pt idx="396">
                  <v>3.999999795946153</v>
                </pt>
                <pt idx="397">
                  <v>3.999999795946153</v>
                </pt>
                <pt idx="398">
                  <v>3.999999795946153</v>
                </pt>
                <pt idx="399">
                  <v>3.999999795946153</v>
                </pt>
                <pt idx="400">
                  <v>3.999999795946153</v>
                </pt>
              </numCache>
            </numRef>
          </val>
          <smooth val="0"/>
        </ser>
        <ser>
          <idx val="4"/>
          <order val="4"/>
          <tx>
            <strRef>
              <f>Лист1!$O$1</f>
              <strCache>
                <ptCount val="1"/>
                <pt idx="0">
                  <v>y(n*T03)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Лист1!$O$2:$O$402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1.54903738620018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1.54903738620018</v>
                </pt>
                <pt idx="112">
                  <v>1.54903738620018</v>
                </pt>
                <pt idx="113">
                  <v>1.54903738620018</v>
                </pt>
                <pt idx="114">
                  <v>1.54903738620018</v>
                </pt>
                <pt idx="115">
                  <v>1.54903738620018</v>
                </pt>
                <pt idx="116">
                  <v>1.54903738620018</v>
                </pt>
                <pt idx="117">
                  <v>1.54903738620018</v>
                </pt>
                <pt idx="118">
                  <v>1.54903738620018</v>
                </pt>
                <pt idx="119">
                  <v>1.54903738620018</v>
                </pt>
                <pt idx="120">
                  <v>2.982797232746423</v>
                </pt>
                <pt idx="121">
                  <v>2.982797232746423</v>
                </pt>
                <pt idx="122">
                  <v>2.982797232746423</v>
                </pt>
                <pt idx="123">
                  <v>2.982797232746423</v>
                </pt>
                <pt idx="124">
                  <v>2.982797232746423</v>
                </pt>
                <pt idx="125">
                  <v>2.982797232746423</v>
                </pt>
                <pt idx="126">
                  <v>2.982797232746423</v>
                </pt>
                <pt idx="127">
                  <v>2.982797232746423</v>
                </pt>
                <pt idx="128">
                  <v>2.982797232746423</v>
                </pt>
                <pt idx="129">
                  <v>2.982797232746423</v>
                </pt>
                <pt idx="130">
                  <v>2.982797232746423</v>
                </pt>
                <pt idx="131">
                  <v>2.982797232746423</v>
                </pt>
                <pt idx="132">
                  <v>2.982797232746423</v>
                </pt>
                <pt idx="133">
                  <v>2.982797232746423</v>
                </pt>
                <pt idx="134">
                  <v>2.982797232746423</v>
                </pt>
                <pt idx="135">
                  <v>2.982797232746423</v>
                </pt>
                <pt idx="136">
                  <v>2.982797232746423</v>
                </pt>
                <pt idx="137">
                  <v>2.982797232746423</v>
                </pt>
                <pt idx="138">
                  <v>2.982797232746423</v>
                </pt>
                <pt idx="139">
                  <v>2.982797232746423</v>
                </pt>
                <pt idx="140">
                  <v>3.630202177787457</v>
                </pt>
                <pt idx="141">
                  <v>3.630202177787457</v>
                </pt>
                <pt idx="142">
                  <v>3.630202177787457</v>
                </pt>
                <pt idx="143">
                  <v>3.630202177787457</v>
                </pt>
                <pt idx="144">
                  <v>3.630202177787457</v>
                </pt>
                <pt idx="145">
                  <v>3.630202177787457</v>
                </pt>
                <pt idx="146">
                  <v>3.630202177787457</v>
                </pt>
                <pt idx="147">
                  <v>3.630202177787457</v>
                </pt>
                <pt idx="148">
                  <v>3.630202177787457</v>
                </pt>
                <pt idx="149">
                  <v>3.630202177787457</v>
                </pt>
                <pt idx="150">
                  <v>3.630202177787457</v>
                </pt>
                <pt idx="151">
                  <v>3.630202177787457</v>
                </pt>
                <pt idx="152">
                  <v>3.630202177787457</v>
                </pt>
                <pt idx="153">
                  <v>3.630202177787457</v>
                </pt>
                <pt idx="154">
                  <v>3.630202177787457</v>
                </pt>
                <pt idx="155">
                  <v>3.630202177787457</v>
                </pt>
                <pt idx="156">
                  <v>3.630202177787457</v>
                </pt>
                <pt idx="157">
                  <v>3.630202177787457</v>
                </pt>
                <pt idx="158">
                  <v>3.630202177787457</v>
                </pt>
                <pt idx="159">
                  <v>3.630202177787457</v>
                </pt>
                <pt idx="160">
                  <v>3.873915940939111</v>
                </pt>
                <pt idx="161">
                  <v>3.873915940939111</v>
                </pt>
                <pt idx="162">
                  <v>3.873915940939111</v>
                </pt>
                <pt idx="163">
                  <v>3.873915940939111</v>
                </pt>
                <pt idx="164">
                  <v>3.873915940939111</v>
                </pt>
                <pt idx="165">
                  <v>3.873915940939111</v>
                </pt>
                <pt idx="166">
                  <v>3.873915940939111</v>
                </pt>
                <pt idx="167">
                  <v>3.873915940939111</v>
                </pt>
                <pt idx="168">
                  <v>3.873915940939111</v>
                </pt>
                <pt idx="169">
                  <v>3.873915940939111</v>
                </pt>
                <pt idx="170">
                  <v>3.873915940939111</v>
                </pt>
                <pt idx="171">
                  <v>3.873915940939111</v>
                </pt>
                <pt idx="172">
                  <v>3.873915940939111</v>
                </pt>
                <pt idx="173">
                  <v>3.873915940939111</v>
                </pt>
                <pt idx="174">
                  <v>3.873915940939111</v>
                </pt>
                <pt idx="175">
                  <v>3.873915940939111</v>
                </pt>
                <pt idx="176">
                  <v>3.873915940939111</v>
                </pt>
                <pt idx="177">
                  <v>3.873915940939111</v>
                </pt>
                <pt idx="178">
                  <v>3.873915940939111</v>
                </pt>
                <pt idx="179">
                  <v>3.873915940939111</v>
                </pt>
                <pt idx="180">
                  <v>3.958532521026715</v>
                </pt>
                <pt idx="181">
                  <v>3.958532521026715</v>
                </pt>
                <pt idx="182">
                  <v>3.958532521026715</v>
                </pt>
                <pt idx="183">
                  <v>3.958532521026715</v>
                </pt>
                <pt idx="184">
                  <v>3.958532521026715</v>
                </pt>
                <pt idx="185">
                  <v>3.958532521026715</v>
                </pt>
                <pt idx="186">
                  <v>3.958532521026715</v>
                </pt>
                <pt idx="187">
                  <v>3.958532521026715</v>
                </pt>
                <pt idx="188">
                  <v>3.958532521026715</v>
                </pt>
                <pt idx="189">
                  <v>3.958532521026715</v>
                </pt>
                <pt idx="190">
                  <v>3.958532521026715</v>
                </pt>
                <pt idx="191">
                  <v>3.958532521026715</v>
                </pt>
                <pt idx="192">
                  <v>3.958532521026715</v>
                </pt>
                <pt idx="193">
                  <v>3.958532521026715</v>
                </pt>
                <pt idx="194">
                  <v>3.958532521026715</v>
                </pt>
                <pt idx="195">
                  <v>3.958532521026715</v>
                </pt>
                <pt idx="196">
                  <v>3.958532521026715</v>
                </pt>
                <pt idx="197">
                  <v>3.958532521026715</v>
                </pt>
                <pt idx="198">
                  <v>3.958532521026715</v>
                </pt>
                <pt idx="199">
                  <v>3.958532521026715</v>
                </pt>
                <pt idx="200">
                  <v>3.98665729864892</v>
                </pt>
                <pt idx="201">
                  <v>3.98665729864892</v>
                </pt>
                <pt idx="202">
                  <v>3.98665729864892</v>
                </pt>
                <pt idx="203">
                  <v>3.98665729864892</v>
                </pt>
                <pt idx="204">
                  <v>3.98665729864892</v>
                </pt>
                <pt idx="205">
                  <v>3.98665729864892</v>
                </pt>
                <pt idx="206">
                  <v>3.98665729864892</v>
                </pt>
                <pt idx="207">
                  <v>3.98665729864892</v>
                </pt>
                <pt idx="208">
                  <v>3.98665729864892</v>
                </pt>
                <pt idx="209">
                  <v>3.98665729864892</v>
                </pt>
                <pt idx="210">
                  <v>3.98665729864892</v>
                </pt>
                <pt idx="211">
                  <v>3.98665729864892</v>
                </pt>
                <pt idx="212">
                  <v>3.98665729864892</v>
                </pt>
                <pt idx="213">
                  <v>3.98665729864892</v>
                </pt>
                <pt idx="214">
                  <v>3.98665729864892</v>
                </pt>
                <pt idx="215">
                  <v>3.98665729864892</v>
                </pt>
                <pt idx="216">
                  <v>3.98665729864892</v>
                </pt>
                <pt idx="217">
                  <v>3.98665729864892</v>
                </pt>
                <pt idx="218">
                  <v>3.98665729864892</v>
                </pt>
                <pt idx="219">
                  <v>3.98665729864892</v>
                </pt>
                <pt idx="220">
                  <v>3.9957662874476</v>
                </pt>
                <pt idx="221">
                  <v>3.9957662874476</v>
                </pt>
                <pt idx="222">
                  <v>3.9957662874476</v>
                </pt>
                <pt idx="223">
                  <v>3.9957662874476</v>
                </pt>
                <pt idx="224">
                  <v>3.9957662874476</v>
                </pt>
                <pt idx="225">
                  <v>3.9957662874476</v>
                </pt>
                <pt idx="226">
                  <v>3.9957662874476</v>
                </pt>
                <pt idx="227">
                  <v>3.9957662874476</v>
                </pt>
                <pt idx="228">
                  <v>3.9957662874476</v>
                </pt>
                <pt idx="229">
                  <v>3.9957662874476</v>
                </pt>
                <pt idx="230">
                  <v>3.9957662874476</v>
                </pt>
                <pt idx="231">
                  <v>3.9957662874476</v>
                </pt>
                <pt idx="232">
                  <v>3.9957662874476</v>
                </pt>
                <pt idx="233">
                  <v>3.9957662874476</v>
                </pt>
                <pt idx="234">
                  <v>3.9957662874476</v>
                </pt>
                <pt idx="235">
                  <v>3.9957662874476</v>
                </pt>
                <pt idx="236">
                  <v>3.9957662874476</v>
                </pt>
                <pt idx="237">
                  <v>3.9957662874476</v>
                </pt>
                <pt idx="238">
                  <v>3.9957662874476</v>
                </pt>
                <pt idx="239">
                  <v>3.9957662874476</v>
                </pt>
                <pt idx="240">
                  <v>3.998668858006521</v>
                </pt>
                <pt idx="241">
                  <v>3.998668858006521</v>
                </pt>
                <pt idx="242">
                  <v>3.998668858006521</v>
                </pt>
                <pt idx="243">
                  <v>3.998668858006521</v>
                </pt>
                <pt idx="244">
                  <v>3.998668858006521</v>
                </pt>
                <pt idx="245">
                  <v>3.998668858006521</v>
                </pt>
                <pt idx="246">
                  <v>3.998668858006521</v>
                </pt>
                <pt idx="247">
                  <v>3.998668858006521</v>
                </pt>
                <pt idx="248">
                  <v>3.998668858006521</v>
                </pt>
                <pt idx="249">
                  <v>3.998668858006521</v>
                </pt>
                <pt idx="250">
                  <v>3.998668858006521</v>
                </pt>
                <pt idx="251">
                  <v>3.998668858006521</v>
                </pt>
                <pt idx="252">
                  <v>3.998668858006521</v>
                </pt>
                <pt idx="253">
                  <v>3.998668858006521</v>
                </pt>
                <pt idx="254">
                  <v>3.998668858006521</v>
                </pt>
                <pt idx="255">
                  <v>3.998668858006521</v>
                </pt>
                <pt idx="256">
                  <v>3.998668858006521</v>
                </pt>
                <pt idx="257">
                  <v>3.998668858006521</v>
                </pt>
                <pt idx="258">
                  <v>3.998668858006521</v>
                </pt>
                <pt idx="259">
                  <v>3.998668858006521</v>
                </pt>
                <pt idx="260">
                  <v>3.999584022883331</v>
                </pt>
                <pt idx="261">
                  <v>3.999584022883331</v>
                </pt>
                <pt idx="262">
                  <v>3.999584022883331</v>
                </pt>
                <pt idx="263">
                  <v>3.999584022883331</v>
                </pt>
                <pt idx="264">
                  <v>3.999584022883331</v>
                </pt>
                <pt idx="265">
                  <v>3.999584022883331</v>
                </pt>
                <pt idx="266">
                  <v>3.999584022883331</v>
                </pt>
                <pt idx="267">
                  <v>3.999584022883331</v>
                </pt>
                <pt idx="268">
                  <v>3.999584022883331</v>
                </pt>
                <pt idx="269">
                  <v>3.999584022883331</v>
                </pt>
                <pt idx="270">
                  <v>3.999584022883331</v>
                </pt>
                <pt idx="271">
                  <v>3.999584022883331</v>
                </pt>
                <pt idx="272">
                  <v>3.999584022883331</v>
                </pt>
                <pt idx="273">
                  <v>3.999584022883331</v>
                </pt>
                <pt idx="274">
                  <v>3.999584022883331</v>
                </pt>
                <pt idx="275">
                  <v>3.999584022883331</v>
                </pt>
                <pt idx="276">
                  <v>3.999584022883331</v>
                </pt>
                <pt idx="277">
                  <v>3.999584022883331</v>
                </pt>
                <pt idx="278">
                  <v>3.999584022883331</v>
                </pt>
                <pt idx="279">
                  <v>3.999584022883331</v>
                </pt>
                <pt idx="280">
                  <v>3.999870546387069</v>
                </pt>
                <pt idx="281">
                  <v>3.999870546387069</v>
                </pt>
                <pt idx="282">
                  <v>3.999870546387069</v>
                </pt>
                <pt idx="283">
                  <v>3.999870546387069</v>
                </pt>
                <pt idx="284">
                  <v>3.999870546387069</v>
                </pt>
                <pt idx="285">
                  <v>3.999870546387069</v>
                </pt>
                <pt idx="286">
                  <v>3.999870546387069</v>
                </pt>
                <pt idx="287">
                  <v>3.999870546387069</v>
                </pt>
                <pt idx="288">
                  <v>3.999870546387069</v>
                </pt>
                <pt idx="289">
                  <v>3.999870546387069</v>
                </pt>
                <pt idx="290">
                  <v>3.999870546387069</v>
                </pt>
                <pt idx="291">
                  <v>3.999870546387069</v>
                </pt>
                <pt idx="292">
                  <v>3.999870546387069</v>
                </pt>
                <pt idx="293">
                  <v>3.999870546387069</v>
                </pt>
                <pt idx="294">
                  <v>3.999870546387069</v>
                </pt>
                <pt idx="295">
                  <v>3.999870546387069</v>
                </pt>
                <pt idx="296">
                  <v>3.999870546387069</v>
                </pt>
                <pt idx="297">
                  <v>3.999870546387069</v>
                </pt>
                <pt idx="298">
                  <v>3.999870546387069</v>
                </pt>
                <pt idx="299">
                  <v>3.999870546387069</v>
                </pt>
                <pt idx="300">
                  <v>3.999959827492656</v>
                </pt>
                <pt idx="301">
                  <v>3.999959827492656</v>
                </pt>
                <pt idx="302">
                  <v>3.999959827492656</v>
                </pt>
                <pt idx="303">
                  <v>3.999959827492656</v>
                </pt>
                <pt idx="304">
                  <v>3.999959827492656</v>
                </pt>
                <pt idx="305">
                  <v>3.999959827492656</v>
                </pt>
                <pt idx="306">
                  <v>3.999959827492656</v>
                </pt>
                <pt idx="307">
                  <v>3.999959827492656</v>
                </pt>
                <pt idx="308">
                  <v>3.999959827492656</v>
                </pt>
                <pt idx="309">
                  <v>3.999959827492656</v>
                </pt>
                <pt idx="310">
                  <v>3.999959827492656</v>
                </pt>
                <pt idx="311">
                  <v>3.999959827492656</v>
                </pt>
                <pt idx="312">
                  <v>3.999959827492656</v>
                </pt>
                <pt idx="313">
                  <v>3.999959827492656</v>
                </pt>
                <pt idx="314">
                  <v>3.999959827492656</v>
                </pt>
                <pt idx="315">
                  <v>3.999959827492656</v>
                </pt>
                <pt idx="316">
                  <v>3.999959827492656</v>
                </pt>
                <pt idx="317">
                  <v>3.999959827492656</v>
                </pt>
                <pt idx="318">
                  <v>3.999959827492656</v>
                </pt>
                <pt idx="319">
                  <v>3.999959827492656</v>
                </pt>
                <pt idx="320">
                  <v>3.999987557763967</v>
                </pt>
                <pt idx="321">
                  <v>3.999987557763967</v>
                </pt>
                <pt idx="322">
                  <v>3.999987557763967</v>
                </pt>
                <pt idx="323">
                  <v>3.999987557763967</v>
                </pt>
                <pt idx="324">
                  <v>3.999987557763967</v>
                </pt>
                <pt idx="325">
                  <v>3.999987557763967</v>
                </pt>
                <pt idx="326">
                  <v>3.999987557763967</v>
                </pt>
                <pt idx="327">
                  <v>3.999987557763967</v>
                </pt>
                <pt idx="328">
                  <v>3.999987557763967</v>
                </pt>
                <pt idx="329">
                  <v>3.999987557763967</v>
                </pt>
                <pt idx="330">
                  <v>3.999987557763967</v>
                </pt>
                <pt idx="331">
                  <v>3.999987557763967</v>
                </pt>
                <pt idx="332">
                  <v>3.999987557763967</v>
                </pt>
                <pt idx="333">
                  <v>3.999987557763967</v>
                </pt>
                <pt idx="334">
                  <v>3.999987557763967</v>
                </pt>
                <pt idx="335">
                  <v>3.999987557763967</v>
                </pt>
                <pt idx="336">
                  <v>3.999987557763967</v>
                </pt>
                <pt idx="337">
                  <v>3.999987557763967</v>
                </pt>
                <pt idx="338">
                  <v>3.999987557763967</v>
                </pt>
                <pt idx="339">
                  <v>3.999987557763967</v>
                </pt>
                <pt idx="340">
                  <v>3.999996151560196</v>
                </pt>
                <pt idx="341">
                  <v>3.999996151560196</v>
                </pt>
                <pt idx="342">
                  <v>3.999996151560196</v>
                </pt>
                <pt idx="343">
                  <v>3.999996151560196</v>
                </pt>
                <pt idx="344">
                  <v>3.999996151560196</v>
                </pt>
                <pt idx="345">
                  <v>3.999996151560196</v>
                </pt>
                <pt idx="346">
                  <v>3.999996151560196</v>
                </pt>
                <pt idx="347">
                  <v>3.999996151560196</v>
                </pt>
                <pt idx="348">
                  <v>3.999996151560196</v>
                </pt>
                <pt idx="349">
                  <v>3.999996151560196</v>
                </pt>
                <pt idx="350">
                  <v>3.999996151560196</v>
                </pt>
                <pt idx="351">
                  <v>3.999996151560196</v>
                </pt>
                <pt idx="352">
                  <v>3.999996151560196</v>
                </pt>
                <pt idx="353">
                  <v>3.999996151560196</v>
                </pt>
                <pt idx="354">
                  <v>3.999996151560196</v>
                </pt>
                <pt idx="355">
                  <v>3.999996151560196</v>
                </pt>
                <pt idx="356">
                  <v>3.999996151560196</v>
                </pt>
                <pt idx="357">
                  <v>3.999996151560196</v>
                </pt>
                <pt idx="358">
                  <v>3.999996151560196</v>
                </pt>
                <pt idx="359">
                  <v>3.999996151560196</v>
                </pt>
                <pt idx="360">
                  <v>3.999998810765756</v>
                </pt>
                <pt idx="361">
                  <v>3.999998810765756</v>
                </pt>
                <pt idx="362">
                  <v>3.999998810765756</v>
                </pt>
                <pt idx="363">
                  <v>3.999998810765756</v>
                </pt>
                <pt idx="364">
                  <v>3.999998810765756</v>
                </pt>
                <pt idx="365">
                  <v>3.999998810765756</v>
                </pt>
                <pt idx="366">
                  <v>3.999998810765756</v>
                </pt>
                <pt idx="367">
                  <v>3.999998810765756</v>
                </pt>
                <pt idx="368">
                  <v>3.999998810765756</v>
                </pt>
                <pt idx="369">
                  <v>3.999998810765756</v>
                </pt>
                <pt idx="370">
                  <v>3.999998810765756</v>
                </pt>
                <pt idx="371">
                  <v>3.999998810765756</v>
                </pt>
                <pt idx="372">
                  <v>3.999998810765756</v>
                </pt>
                <pt idx="373">
                  <v>3.999998810765756</v>
                </pt>
                <pt idx="374">
                  <v>3.999998810765756</v>
                </pt>
                <pt idx="375">
                  <v>3.999998810765756</v>
                </pt>
                <pt idx="376">
                  <v>3.999998810765756</v>
                </pt>
                <pt idx="377">
                  <v>3.999998810765756</v>
                </pt>
                <pt idx="378">
                  <v>3.999998810765756</v>
                </pt>
                <pt idx="379">
                  <v>3.999998810765756</v>
                </pt>
                <pt idx="380">
                  <v>3.999999632742774</v>
                </pt>
                <pt idx="381">
                  <v>3.999999632742774</v>
                </pt>
                <pt idx="382">
                  <v>3.999999632742774</v>
                </pt>
                <pt idx="383">
                  <v>3.999999632742774</v>
                </pt>
                <pt idx="384">
                  <v>3.999999632742774</v>
                </pt>
                <pt idx="385">
                  <v>3.999999632742774</v>
                </pt>
                <pt idx="386">
                  <v>3.999999632742774</v>
                </pt>
                <pt idx="387">
                  <v>3.999999632742774</v>
                </pt>
                <pt idx="388">
                  <v>3.999999632742774</v>
                </pt>
                <pt idx="389">
                  <v>3.999999632742774</v>
                </pt>
                <pt idx="390">
                  <v>3.999999632742774</v>
                </pt>
                <pt idx="391">
                  <v>3.999999632742774</v>
                </pt>
                <pt idx="392">
                  <v>3.999999632742774</v>
                </pt>
                <pt idx="393">
                  <v>3.999999632742774</v>
                </pt>
                <pt idx="394">
                  <v>3.999999632742774</v>
                </pt>
                <pt idx="395">
                  <v>3.999999632742774</v>
                </pt>
                <pt idx="396">
                  <v>3.999999632742774</v>
                </pt>
                <pt idx="397">
                  <v>3.999999632742774</v>
                </pt>
                <pt idx="398">
                  <v>3.999999632742774</v>
                </pt>
                <pt idx="399">
                  <v>3.999999632742774</v>
                </pt>
                <pt idx="400">
                  <v>3.999999886634976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26931024"/>
        <axId val="926938704"/>
      </lineChart>
      <catAx>
        <axId val="926931024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8704"/>
        <crosses val="autoZero"/>
        <auto val="1"/>
        <lblAlgn val="ctr"/>
        <lblOffset val="100"/>
        <noMultiLvlLbl val="0"/>
      </catAx>
      <valAx>
        <axId val="926938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1024"/>
        <crosses val="autoZero"/>
        <crossBetween val="between"/>
      </valAx>
    </plotArea>
    <legend>
      <legendPos val="r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8109071"/>
        <axId val="2058109551"/>
      </lineChart>
      <catAx>
        <axId val="205810907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551"/>
        <crosses val="autoZero"/>
        <auto val="1"/>
        <lblAlgn val="ctr"/>
        <lblOffset val="100"/>
        <noMultiLvlLbl val="0"/>
      </catAx>
      <valAx>
        <axId val="20581095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07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Лист2!$M$8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Лист2!$M$9:$M$159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6.300000000000011</v>
                </pt>
                <pt idx="42">
                  <v>6.600000000000023</v>
                </pt>
                <pt idx="43">
                  <v>6.900000000000034</v>
                </pt>
                <pt idx="44">
                  <v>7.200000000000045</v>
                </pt>
                <pt idx="45">
                  <v>7.500000000000057</v>
                </pt>
                <pt idx="46">
                  <v>7.800000000000068</v>
                </pt>
                <pt idx="47">
                  <v>8.10000000000008</v>
                </pt>
                <pt idx="48">
                  <v>8.400000000000091</v>
                </pt>
                <pt idx="49">
                  <v>8.700000000000102</v>
                </pt>
                <pt idx="50">
                  <v>9.000000000000114</v>
                </pt>
                <pt idx="51">
                  <v>9.300000000000125</v>
                </pt>
                <pt idx="52">
                  <v>9.600000000000136</v>
                </pt>
                <pt idx="53">
                  <v>9.900000000000148</v>
                </pt>
                <pt idx="54">
                  <v>10.20000000000016</v>
                </pt>
                <pt idx="55">
                  <v>10.50000000000017</v>
                </pt>
                <pt idx="56">
                  <v>10.80000000000018</v>
                </pt>
                <pt idx="57">
                  <v>11.10000000000019</v>
                </pt>
                <pt idx="58">
                  <v>11.4000000000002</v>
                </pt>
                <pt idx="59">
                  <v>11.70000000000022</v>
                </pt>
                <pt idx="60">
                  <v>12.00000000000023</v>
                </pt>
                <pt idx="61">
                  <v>12.30000000000024</v>
                </pt>
                <pt idx="62">
                  <v>12.60000000000025</v>
                </pt>
                <pt idx="63">
                  <v>12.90000000000026</v>
                </pt>
                <pt idx="64">
                  <v>13.20000000000027</v>
                </pt>
                <pt idx="65">
                  <v>13.50000000000028</v>
                </pt>
                <pt idx="66">
                  <v>13.8000000000003</v>
                </pt>
                <pt idx="67">
                  <v>14.10000000000031</v>
                </pt>
                <pt idx="68">
                  <v>14.40000000000032</v>
                </pt>
                <pt idx="69">
                  <v>14.70000000000033</v>
                </pt>
                <pt idx="70">
                  <v>15.00000000000034</v>
                </pt>
                <pt idx="71">
                  <v>15.30000000000035</v>
                </pt>
                <pt idx="72">
                  <v>15.60000000000036</v>
                </pt>
                <pt idx="73">
                  <v>15.90000000000038</v>
                </pt>
                <pt idx="74">
                  <v>16.20000000000039</v>
                </pt>
                <pt idx="75">
                  <v>16.5000000000004</v>
                </pt>
                <pt idx="76">
                  <v>16.80000000000041</v>
                </pt>
                <pt idx="77">
                  <v>17.10000000000042</v>
                </pt>
                <pt idx="78">
                  <v>17.40000000000043</v>
                </pt>
                <pt idx="79">
                  <v>17.70000000000044</v>
                </pt>
                <pt idx="80">
                  <v>18.00000000000045</v>
                </pt>
                <pt idx="81">
                  <v>18.30000000000047</v>
                </pt>
                <pt idx="82">
                  <v>18.60000000000048</v>
                </pt>
                <pt idx="83">
                  <v>18.90000000000049</v>
                </pt>
                <pt idx="84">
                  <v>19.2000000000005</v>
                </pt>
                <pt idx="85">
                  <v>19.50000000000051</v>
                </pt>
                <pt idx="86">
                  <v>19.80000000000052</v>
                </pt>
                <pt idx="87">
                  <v>20.10000000000053</v>
                </pt>
                <pt idx="88">
                  <v>20.40000000000055</v>
                </pt>
                <pt idx="89">
                  <v>20.70000000000056</v>
                </pt>
                <pt idx="90">
                  <v>21.00000000000057</v>
                </pt>
                <pt idx="91">
                  <v>21.30000000000058</v>
                </pt>
                <pt idx="92">
                  <v>21.60000000000059</v>
                </pt>
                <pt idx="93">
                  <v>21.9000000000006</v>
                </pt>
                <pt idx="94">
                  <v>22.20000000000061</v>
                </pt>
                <pt idx="95">
                  <v>22.50000000000063</v>
                </pt>
                <pt idx="96">
                  <v>22.80000000000064</v>
                </pt>
                <pt idx="97">
                  <v>23.10000000000065</v>
                </pt>
                <pt idx="98">
                  <v>23.40000000000066</v>
                </pt>
                <pt idx="99">
                  <v>23.70000000000067</v>
                </pt>
                <pt idx="100">
                  <v>24.00000000000068</v>
                </pt>
                <pt idx="101">
                  <v>24.30000000000069</v>
                </pt>
                <pt idx="102">
                  <v>24.6000000000007</v>
                </pt>
                <pt idx="103">
                  <v>24.90000000000072</v>
                </pt>
                <pt idx="104">
                  <v>25.20000000000073</v>
                </pt>
                <pt idx="105">
                  <v>25.50000000000074</v>
                </pt>
                <pt idx="106">
                  <v>25.80000000000075</v>
                </pt>
                <pt idx="107">
                  <v>26.10000000000076</v>
                </pt>
                <pt idx="108">
                  <v>26.40000000000077</v>
                </pt>
                <pt idx="109">
                  <v>26.70000000000078</v>
                </pt>
                <pt idx="110">
                  <v>27.0000000000008</v>
                </pt>
                <pt idx="111">
                  <v>27.30000000000081</v>
                </pt>
                <pt idx="112">
                  <v>27.60000000000082</v>
                </pt>
                <pt idx="113">
                  <v>27.90000000000083</v>
                </pt>
                <pt idx="114">
                  <v>28.20000000000084</v>
                </pt>
                <pt idx="115">
                  <v>28.50000000000085</v>
                </pt>
                <pt idx="116">
                  <v>28.80000000000086</v>
                </pt>
                <pt idx="117">
                  <v>29.10000000000088</v>
                </pt>
                <pt idx="118">
                  <v>29.40000000000089</v>
                </pt>
                <pt idx="119">
                  <v>29.7000000000009</v>
                </pt>
                <pt idx="120">
                  <v>30.00000000000091</v>
                </pt>
                <pt idx="121">
                  <v>30.30000000000092</v>
                </pt>
                <pt idx="122">
                  <v>30.60000000000093</v>
                </pt>
                <pt idx="123">
                  <v>30.90000000000094</v>
                </pt>
                <pt idx="124">
                  <v>31.20000000000095</v>
                </pt>
                <pt idx="125">
                  <v>31.50000000000097</v>
                </pt>
                <pt idx="126">
                  <v>31.80000000000098</v>
                </pt>
                <pt idx="127">
                  <v>32.10000000000099</v>
                </pt>
                <pt idx="128">
                  <v>32.400000000001</v>
                </pt>
                <pt idx="129">
                  <v>32.70000000000101</v>
                </pt>
                <pt idx="130">
                  <v>33.00000000000102</v>
                </pt>
                <pt idx="131">
                  <v>33.30000000000103</v>
                </pt>
                <pt idx="132">
                  <v>33.60000000000105</v>
                </pt>
                <pt idx="133">
                  <v>33.90000000000106</v>
                </pt>
                <pt idx="134">
                  <v>34.20000000000107</v>
                </pt>
                <pt idx="135">
                  <v>34.50000000000108</v>
                </pt>
                <pt idx="136">
                  <v>34.80000000000109</v>
                </pt>
                <pt idx="137">
                  <v>35.1000000000011</v>
                </pt>
                <pt idx="138">
                  <v>35.40000000000111</v>
                </pt>
                <pt idx="139">
                  <v>35.70000000000113</v>
                </pt>
                <pt idx="140">
                  <v>36.00000000000114</v>
                </pt>
                <pt idx="141">
                  <v>36.30000000000115</v>
                </pt>
                <pt idx="142">
                  <v>36.60000000000116</v>
                </pt>
                <pt idx="143">
                  <v>36.90000000000117</v>
                </pt>
                <pt idx="144">
                  <v>37.20000000000118</v>
                </pt>
                <pt idx="145">
                  <v>37.50000000000119</v>
                </pt>
                <pt idx="146">
                  <v>37.80000000000121</v>
                </pt>
                <pt idx="147">
                  <v>38.10000000000122</v>
                </pt>
                <pt idx="148">
                  <v>38.40000000000123</v>
                </pt>
                <pt idx="149">
                  <v>38.70000000000124</v>
                </pt>
                <pt idx="150">
                  <v>39.00000000000125</v>
                </pt>
              </numCache>
            </numRef>
          </val>
          <smooth val="0"/>
        </ser>
        <ser>
          <idx val="1"/>
          <order val="1"/>
          <tx>
            <strRef>
              <f>Лист2!$N$8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Лист2!$N$9:$N$159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7.5</v>
                </pt>
                <pt idx="46">
                  <v>7.5</v>
                </pt>
                <pt idx="47">
                  <v>7.5</v>
                </pt>
                <pt idx="48">
                  <v>7.5</v>
                </pt>
                <pt idx="49">
                  <v>7.5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39</v>
                </pt>
              </numCache>
            </numRef>
          </val>
          <smooth val="0"/>
        </ser>
        <ser>
          <idx val="2"/>
          <order val="2"/>
          <tx>
            <strRef>
              <f>Лист2!$O$8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Лист2!$O$9:$O$159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36</v>
                </pt>
                <pt idx="46">
                  <v>36</v>
                </pt>
                <pt idx="47">
                  <v>36</v>
                </pt>
                <pt idx="48">
                  <v>36</v>
                </pt>
                <pt idx="49">
                  <v>36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9</v>
                </pt>
                <pt idx="56">
                  <v>9</v>
                </pt>
                <pt idx="57">
                  <v>9</v>
                </pt>
                <pt idx="58">
                  <v>9</v>
                </pt>
                <pt idx="59">
                  <v>9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12</v>
                </pt>
                <pt idx="66">
                  <v>12</v>
                </pt>
                <pt idx="67">
                  <v>12</v>
                </pt>
                <pt idx="68">
                  <v>12</v>
                </pt>
                <pt idx="69">
                  <v>12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15</v>
                </pt>
                <pt idx="76">
                  <v>15</v>
                </pt>
                <pt idx="77">
                  <v>15</v>
                </pt>
                <pt idx="78">
                  <v>15</v>
                </pt>
                <pt idx="79">
                  <v>15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18</v>
                </pt>
                <pt idx="86">
                  <v>18</v>
                </pt>
                <pt idx="87">
                  <v>18</v>
                </pt>
                <pt idx="88">
                  <v>18</v>
                </pt>
                <pt idx="89">
                  <v>18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21</v>
                </pt>
                <pt idx="96">
                  <v>21</v>
                </pt>
                <pt idx="97">
                  <v>21</v>
                </pt>
                <pt idx="98">
                  <v>21</v>
                </pt>
                <pt idx="99">
                  <v>21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24</v>
                </pt>
                <pt idx="106">
                  <v>24</v>
                </pt>
                <pt idx="107">
                  <v>24</v>
                </pt>
                <pt idx="108">
                  <v>24</v>
                </pt>
                <pt idx="109">
                  <v>24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27</v>
                </pt>
                <pt idx="116">
                  <v>27</v>
                </pt>
                <pt idx="117">
                  <v>27</v>
                </pt>
                <pt idx="118">
                  <v>27</v>
                </pt>
                <pt idx="119">
                  <v>27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30</v>
                </pt>
                <pt idx="126">
                  <v>30</v>
                </pt>
                <pt idx="127">
                  <v>30</v>
                </pt>
                <pt idx="128">
                  <v>30</v>
                </pt>
                <pt idx="129">
                  <v>30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33</v>
                </pt>
                <pt idx="136">
                  <v>33</v>
                </pt>
                <pt idx="137">
                  <v>33</v>
                </pt>
                <pt idx="138">
                  <v>33</v>
                </pt>
                <pt idx="139">
                  <v>33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36</v>
                </pt>
                <pt idx="146">
                  <v>36</v>
                </pt>
                <pt idx="147">
                  <v>36</v>
                </pt>
                <pt idx="148">
                  <v>36</v>
                </pt>
                <pt idx="149">
                  <v>36</v>
                </pt>
                <pt idx="150">
                  <v>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115311"/>
        <axId val="2058111951"/>
      </lineChart>
      <catAx>
        <axId val="205811531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1951"/>
        <crosses val="autoZero"/>
        <auto val="1"/>
        <lblAlgn val="ctr"/>
        <lblOffset val="100"/>
        <noMultiLvlLbl val="0"/>
      </catAx>
      <valAx>
        <axId val="2058111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531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Лист2!$P$8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Лист2!$P$9:$P$159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36.15000000000001</v>
                </pt>
                <pt idx="41">
                  <v>6.450000000000017</v>
                </pt>
                <pt idx="42">
                  <v>6.750000000000028</v>
                </pt>
                <pt idx="43">
                  <v>7.05000000000004</v>
                </pt>
                <pt idx="44">
                  <v>7.350000000000051</v>
                </pt>
                <pt idx="45">
                  <v>7.650000000000063</v>
                </pt>
                <pt idx="46">
                  <v>7.950000000000074</v>
                </pt>
                <pt idx="47">
                  <v>8.250000000000085</v>
                </pt>
                <pt idx="48">
                  <v>8.550000000000097</v>
                </pt>
                <pt idx="49">
                  <v>8.850000000000108</v>
                </pt>
                <pt idx="50">
                  <v>9.150000000000119</v>
                </pt>
                <pt idx="51">
                  <v>9.450000000000131</v>
                </pt>
                <pt idx="52">
                  <v>9.750000000000142</v>
                </pt>
                <pt idx="53">
                  <v>10.05000000000015</v>
                </pt>
                <pt idx="54">
                  <v>10.35000000000016</v>
                </pt>
                <pt idx="55">
                  <v>10.65000000000018</v>
                </pt>
                <pt idx="56">
                  <v>10.95000000000019</v>
                </pt>
                <pt idx="57">
                  <v>11.2500000000002</v>
                </pt>
                <pt idx="58">
                  <v>11.55000000000021</v>
                </pt>
                <pt idx="59">
                  <v>11.85000000000022</v>
                </pt>
                <pt idx="60">
                  <v>12.15000000000023</v>
                </pt>
                <pt idx="61">
                  <v>12.45000000000024</v>
                </pt>
                <pt idx="62">
                  <v>12.75000000000026</v>
                </pt>
                <pt idx="63">
                  <v>13.05000000000027</v>
                </pt>
                <pt idx="64">
                  <v>13.35000000000028</v>
                </pt>
                <pt idx="65">
                  <v>13.65000000000029</v>
                </pt>
                <pt idx="66">
                  <v>13.9500000000003</v>
                </pt>
                <pt idx="67">
                  <v>14.25000000000031</v>
                </pt>
                <pt idx="68">
                  <v>14.55000000000032</v>
                </pt>
                <pt idx="69">
                  <v>14.85000000000034</v>
                </pt>
                <pt idx="70">
                  <v>15.15000000000035</v>
                </pt>
                <pt idx="71">
                  <v>15.45000000000036</v>
                </pt>
                <pt idx="72">
                  <v>15.75000000000037</v>
                </pt>
                <pt idx="73">
                  <v>16.05000000000038</v>
                </pt>
                <pt idx="74">
                  <v>16.35000000000039</v>
                </pt>
                <pt idx="75">
                  <v>16.6500000000004</v>
                </pt>
                <pt idx="76">
                  <v>16.95000000000041</v>
                </pt>
                <pt idx="77">
                  <v>17.25000000000043</v>
                </pt>
                <pt idx="78">
                  <v>17.55000000000044</v>
                </pt>
                <pt idx="79">
                  <v>17.85000000000045</v>
                </pt>
                <pt idx="80">
                  <v>18.15000000000046</v>
                </pt>
                <pt idx="81">
                  <v>18.45000000000047</v>
                </pt>
                <pt idx="82">
                  <v>18.75000000000048</v>
                </pt>
                <pt idx="83">
                  <v>19.05000000000049</v>
                </pt>
                <pt idx="84">
                  <v>19.35000000000051</v>
                </pt>
                <pt idx="85">
                  <v>19.65000000000052</v>
                </pt>
                <pt idx="86">
                  <v>19.95000000000053</v>
                </pt>
                <pt idx="87">
                  <v>20.25000000000054</v>
                </pt>
                <pt idx="88">
                  <v>20.55000000000055</v>
                </pt>
                <pt idx="89">
                  <v>20.85000000000056</v>
                </pt>
                <pt idx="90">
                  <v>21.15000000000057</v>
                </pt>
                <pt idx="91">
                  <v>21.45000000000059</v>
                </pt>
                <pt idx="92">
                  <v>21.7500000000006</v>
                </pt>
                <pt idx="93">
                  <v>22.05000000000061</v>
                </pt>
                <pt idx="94">
                  <v>22.35000000000062</v>
                </pt>
                <pt idx="95">
                  <v>22.65000000000063</v>
                </pt>
                <pt idx="96">
                  <v>22.95000000000064</v>
                </pt>
                <pt idx="97">
                  <v>23.25000000000065</v>
                </pt>
                <pt idx="98">
                  <v>23.55000000000067</v>
                </pt>
                <pt idx="99">
                  <v>23.85000000000068</v>
                </pt>
                <pt idx="100">
                  <v>24.15000000000069</v>
                </pt>
                <pt idx="101">
                  <v>24.4500000000007</v>
                </pt>
                <pt idx="102">
                  <v>24.75000000000071</v>
                </pt>
                <pt idx="103">
                  <v>25.05000000000072</v>
                </pt>
                <pt idx="104">
                  <v>25.35000000000073</v>
                </pt>
                <pt idx="105">
                  <v>25.65000000000074</v>
                </pt>
                <pt idx="106">
                  <v>25.95000000000076</v>
                </pt>
                <pt idx="107">
                  <v>26.25000000000077</v>
                </pt>
                <pt idx="108">
                  <v>26.55000000000078</v>
                </pt>
                <pt idx="109">
                  <v>26.85000000000079</v>
                </pt>
                <pt idx="110">
                  <v>27.1500000000008</v>
                </pt>
                <pt idx="111">
                  <v>27.45000000000081</v>
                </pt>
                <pt idx="112">
                  <v>27.75000000000082</v>
                </pt>
                <pt idx="113">
                  <v>28.05000000000084</v>
                </pt>
                <pt idx="114">
                  <v>28.35000000000085</v>
                </pt>
                <pt idx="115">
                  <v>28.65000000000086</v>
                </pt>
                <pt idx="116">
                  <v>28.95000000000087</v>
                </pt>
                <pt idx="117">
                  <v>29.25000000000088</v>
                </pt>
                <pt idx="118">
                  <v>29.55000000000089</v>
                </pt>
                <pt idx="119">
                  <v>29.8500000000009</v>
                </pt>
                <pt idx="120">
                  <v>30.15000000000092</v>
                </pt>
                <pt idx="121">
                  <v>30.45000000000093</v>
                </pt>
                <pt idx="122">
                  <v>30.75000000000094</v>
                </pt>
                <pt idx="123">
                  <v>31.05000000000095</v>
                </pt>
                <pt idx="124">
                  <v>31.35000000000096</v>
                </pt>
                <pt idx="125">
                  <v>31.65000000000097</v>
                </pt>
                <pt idx="126">
                  <v>31.95000000000098</v>
                </pt>
                <pt idx="127">
                  <v>32.25000000000099</v>
                </pt>
                <pt idx="128">
                  <v>32.55000000000101</v>
                </pt>
                <pt idx="129">
                  <v>32.85000000000102</v>
                </pt>
                <pt idx="130">
                  <v>33.15000000000103</v>
                </pt>
                <pt idx="131">
                  <v>33.45000000000104</v>
                </pt>
                <pt idx="132">
                  <v>33.75000000000105</v>
                </pt>
                <pt idx="133">
                  <v>34.05000000000106</v>
                </pt>
                <pt idx="134">
                  <v>34.35000000000107</v>
                </pt>
                <pt idx="135">
                  <v>34.65000000000109</v>
                </pt>
                <pt idx="136">
                  <v>34.9500000000011</v>
                </pt>
                <pt idx="137">
                  <v>35.25000000000111</v>
                </pt>
                <pt idx="138">
                  <v>35.55000000000112</v>
                </pt>
                <pt idx="139">
                  <v>35.85000000000113</v>
                </pt>
                <pt idx="140">
                  <v>36.15000000000114</v>
                </pt>
                <pt idx="141">
                  <v>36.45000000000115</v>
                </pt>
                <pt idx="142">
                  <v>36.75000000000117</v>
                </pt>
                <pt idx="143">
                  <v>37.05000000000118</v>
                </pt>
                <pt idx="144">
                  <v>37.35000000000119</v>
                </pt>
                <pt idx="145">
                  <v>37.6500000000012</v>
                </pt>
                <pt idx="146">
                  <v>37.95000000000121</v>
                </pt>
                <pt idx="147">
                  <v>38.25000000000122</v>
                </pt>
                <pt idx="148">
                  <v>38.55000000000123</v>
                </pt>
                <pt idx="149">
                  <v>38.85000000000124</v>
                </pt>
                <pt idx="150">
                  <v>39.15000000000126</v>
                </pt>
              </numCache>
            </numRef>
          </val>
          <smooth val="0"/>
        </ser>
        <ser>
          <idx val="1"/>
          <order val="1"/>
          <tx>
            <strRef>
              <f>Лист2!$Q$8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Лист2!$Q$9:$Q$159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12.75</v>
                </pt>
                <pt idx="41">
                  <v>12.75</v>
                </pt>
                <pt idx="42">
                  <v>12.75</v>
                </pt>
                <pt idx="43">
                  <v>12.75</v>
                </pt>
                <pt idx="44">
                  <v>12.75</v>
                </pt>
                <pt idx="45">
                  <v>8.25</v>
                </pt>
                <pt idx="46">
                  <v>8.25</v>
                </pt>
                <pt idx="47">
                  <v>8.25</v>
                </pt>
                <pt idx="48">
                  <v>8.25</v>
                </pt>
                <pt idx="49">
                  <v>8.25</v>
                </pt>
                <pt idx="50">
                  <v>9.75</v>
                </pt>
                <pt idx="51">
                  <v>9.75</v>
                </pt>
                <pt idx="52">
                  <v>9.75</v>
                </pt>
                <pt idx="53">
                  <v>9.75</v>
                </pt>
                <pt idx="54">
                  <v>9.75</v>
                </pt>
                <pt idx="55">
                  <v>11.25</v>
                </pt>
                <pt idx="56">
                  <v>11.25</v>
                </pt>
                <pt idx="57">
                  <v>11.25</v>
                </pt>
                <pt idx="58">
                  <v>11.25</v>
                </pt>
                <pt idx="59">
                  <v>11.25</v>
                </pt>
                <pt idx="60">
                  <v>12.75</v>
                </pt>
                <pt idx="61">
                  <v>12.75</v>
                </pt>
                <pt idx="62">
                  <v>12.75</v>
                </pt>
                <pt idx="63">
                  <v>12.75</v>
                </pt>
                <pt idx="64">
                  <v>12.75</v>
                </pt>
                <pt idx="65">
                  <v>14.25</v>
                </pt>
                <pt idx="66">
                  <v>14.25</v>
                </pt>
                <pt idx="67">
                  <v>14.25</v>
                </pt>
                <pt idx="68">
                  <v>14.25</v>
                </pt>
                <pt idx="69">
                  <v>14.25</v>
                </pt>
                <pt idx="70">
                  <v>15.75</v>
                </pt>
                <pt idx="71">
                  <v>15.75</v>
                </pt>
                <pt idx="72">
                  <v>15.75</v>
                </pt>
                <pt idx="73">
                  <v>15.75</v>
                </pt>
                <pt idx="74">
                  <v>15.75</v>
                </pt>
                <pt idx="75">
                  <v>17.25</v>
                </pt>
                <pt idx="76">
                  <v>17.25</v>
                </pt>
                <pt idx="77">
                  <v>17.25</v>
                </pt>
                <pt idx="78">
                  <v>17.25</v>
                </pt>
                <pt idx="79">
                  <v>17.25</v>
                </pt>
                <pt idx="80">
                  <v>18.75</v>
                </pt>
                <pt idx="81">
                  <v>18.75</v>
                </pt>
                <pt idx="82">
                  <v>18.75</v>
                </pt>
                <pt idx="83">
                  <v>18.75</v>
                </pt>
                <pt idx="84">
                  <v>18.75</v>
                </pt>
                <pt idx="85">
                  <v>20.25</v>
                </pt>
                <pt idx="86">
                  <v>20.25</v>
                </pt>
                <pt idx="87">
                  <v>20.25</v>
                </pt>
                <pt idx="88">
                  <v>20.25</v>
                </pt>
                <pt idx="89">
                  <v>20.25</v>
                </pt>
                <pt idx="90">
                  <v>21.75</v>
                </pt>
                <pt idx="91">
                  <v>21.75</v>
                </pt>
                <pt idx="92">
                  <v>21.75</v>
                </pt>
                <pt idx="93">
                  <v>21.75</v>
                </pt>
                <pt idx="94">
                  <v>21.75</v>
                </pt>
                <pt idx="95">
                  <v>23.25</v>
                </pt>
                <pt idx="96">
                  <v>23.25</v>
                </pt>
                <pt idx="97">
                  <v>23.25</v>
                </pt>
                <pt idx="98">
                  <v>23.25</v>
                </pt>
                <pt idx="99">
                  <v>23.25</v>
                </pt>
                <pt idx="100">
                  <v>24.75</v>
                </pt>
                <pt idx="101">
                  <v>24.75</v>
                </pt>
                <pt idx="102">
                  <v>24.75</v>
                </pt>
                <pt idx="103">
                  <v>24.75</v>
                </pt>
                <pt idx="104">
                  <v>24.75</v>
                </pt>
                <pt idx="105">
                  <v>26.25</v>
                </pt>
                <pt idx="106">
                  <v>26.25</v>
                </pt>
                <pt idx="107">
                  <v>26.25</v>
                </pt>
                <pt idx="108">
                  <v>26.25</v>
                </pt>
                <pt idx="109">
                  <v>26.25</v>
                </pt>
                <pt idx="110">
                  <v>27.75</v>
                </pt>
                <pt idx="111">
                  <v>27.75</v>
                </pt>
                <pt idx="112">
                  <v>27.75</v>
                </pt>
                <pt idx="113">
                  <v>27.75</v>
                </pt>
                <pt idx="114">
                  <v>27.75</v>
                </pt>
                <pt idx="115">
                  <v>29.25</v>
                </pt>
                <pt idx="116">
                  <v>29.25</v>
                </pt>
                <pt idx="117">
                  <v>29.25</v>
                </pt>
                <pt idx="118">
                  <v>29.25</v>
                </pt>
                <pt idx="119">
                  <v>29.25</v>
                </pt>
                <pt idx="120">
                  <v>30.75</v>
                </pt>
                <pt idx="121">
                  <v>30.75</v>
                </pt>
                <pt idx="122">
                  <v>30.75</v>
                </pt>
                <pt idx="123">
                  <v>30.75</v>
                </pt>
                <pt idx="124">
                  <v>30.75</v>
                </pt>
                <pt idx="125">
                  <v>32.25</v>
                </pt>
                <pt idx="126">
                  <v>32.25</v>
                </pt>
                <pt idx="127">
                  <v>32.25</v>
                </pt>
                <pt idx="128">
                  <v>32.25</v>
                </pt>
                <pt idx="129">
                  <v>32.25</v>
                </pt>
                <pt idx="130">
                  <v>33.75</v>
                </pt>
                <pt idx="131">
                  <v>33.75</v>
                </pt>
                <pt idx="132">
                  <v>33.75</v>
                </pt>
                <pt idx="133">
                  <v>33.75</v>
                </pt>
                <pt idx="134">
                  <v>33.75</v>
                </pt>
                <pt idx="135">
                  <v>35.25</v>
                </pt>
                <pt idx="136">
                  <v>35.25</v>
                </pt>
                <pt idx="137">
                  <v>35.25</v>
                </pt>
                <pt idx="138">
                  <v>35.25</v>
                </pt>
                <pt idx="139">
                  <v>35.25</v>
                </pt>
                <pt idx="140">
                  <v>36.75</v>
                </pt>
                <pt idx="141">
                  <v>36.75</v>
                </pt>
                <pt idx="142">
                  <v>36.75</v>
                </pt>
                <pt idx="143">
                  <v>36.75</v>
                </pt>
                <pt idx="144">
                  <v>36.75</v>
                </pt>
                <pt idx="145">
                  <v>38.25</v>
                </pt>
                <pt idx="146">
                  <v>38.25</v>
                </pt>
                <pt idx="147">
                  <v>38.25</v>
                </pt>
                <pt idx="148">
                  <v>38.25</v>
                </pt>
                <pt idx="149">
                  <v>38.25</v>
                </pt>
                <pt idx="150">
                  <v>39.75</v>
                </pt>
              </numCache>
            </numRef>
          </val>
          <smooth val="0"/>
        </ser>
        <ser>
          <idx val="2"/>
          <order val="2"/>
          <tx>
            <strRef>
              <f>Лист2!$R$8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Лист2!$R$9:$R$159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13.5</v>
                </pt>
                <pt idx="61">
                  <v>13.5</v>
                </pt>
                <pt idx="62">
                  <v>13.5</v>
                </pt>
                <pt idx="63">
                  <v>13.5</v>
                </pt>
                <pt idx="64">
                  <v>13.5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16.5</v>
                </pt>
                <pt idx="71">
                  <v>16.5</v>
                </pt>
                <pt idx="72">
                  <v>16.5</v>
                </pt>
                <pt idx="73">
                  <v>16.5</v>
                </pt>
                <pt idx="74">
                  <v>16.5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19.5</v>
                </pt>
                <pt idx="81">
                  <v>19.5</v>
                </pt>
                <pt idx="82">
                  <v>19.5</v>
                </pt>
                <pt idx="83">
                  <v>19.5</v>
                </pt>
                <pt idx="84">
                  <v>19.5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22.5</v>
                </pt>
                <pt idx="91">
                  <v>22.5</v>
                </pt>
                <pt idx="92">
                  <v>22.5</v>
                </pt>
                <pt idx="93">
                  <v>22.5</v>
                </pt>
                <pt idx="94">
                  <v>22.5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25.5</v>
                </pt>
                <pt idx="101">
                  <v>25.5</v>
                </pt>
                <pt idx="102">
                  <v>25.5</v>
                </pt>
                <pt idx="103">
                  <v>25.5</v>
                </pt>
                <pt idx="104">
                  <v>25.5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28.5</v>
                </pt>
                <pt idx="111">
                  <v>28.5</v>
                </pt>
                <pt idx="112">
                  <v>28.5</v>
                </pt>
                <pt idx="113">
                  <v>28.5</v>
                </pt>
                <pt idx="114">
                  <v>28.5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31.5</v>
                </pt>
                <pt idx="121">
                  <v>31.5</v>
                </pt>
                <pt idx="122">
                  <v>31.5</v>
                </pt>
                <pt idx="123">
                  <v>31.5</v>
                </pt>
                <pt idx="124">
                  <v>31.5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34.5</v>
                </pt>
                <pt idx="131">
                  <v>34.5</v>
                </pt>
                <pt idx="132">
                  <v>34.5</v>
                </pt>
                <pt idx="133">
                  <v>34.5</v>
                </pt>
                <pt idx="134">
                  <v>34.5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37.5</v>
                </pt>
                <pt idx="141">
                  <v>37.5</v>
                </pt>
                <pt idx="142">
                  <v>37.5</v>
                </pt>
                <pt idx="143">
                  <v>37.5</v>
                </pt>
                <pt idx="144">
                  <v>37.5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40.5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056271"/>
        <axId val="2058074511"/>
      </lineChart>
      <catAx>
        <axId val="20580562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74511"/>
        <crosses val="autoZero"/>
        <auto val="1"/>
        <lblAlgn val="ctr"/>
        <lblOffset val="100"/>
        <noMultiLvlLbl val="0"/>
      </catAx>
      <valAx>
        <axId val="2058074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5627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Лист3!$U$1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Лист3!$U$2:$U$1002</f>
              <numCache>
                <formatCode>0.000</formatCode>
                <ptCount val="1001"/>
                <pt idx="0">
                  <v>1.00318451972763</v>
                </pt>
                <pt idx="1">
                  <v>1.005505766029882</v>
                </pt>
                <pt idx="2">
                  <v>1.006026550057529</v>
                </pt>
                <pt idx="3">
                  <v>1.005884341574095</v>
                </pt>
                <pt idx="4">
                  <v>1.000889137417261</v>
                </pt>
                <pt idx="5">
                  <v>1.001486342838524</v>
                </pt>
                <pt idx="6">
                  <v>1.005356568994413</v>
                </pt>
                <pt idx="7">
                  <v>1.00181288021578</v>
                </pt>
                <pt idx="8">
                  <v>1.006821210585825</v>
                </pt>
                <pt idx="9">
                  <v>1.002604498598679</v>
                </pt>
                <pt idx="10">
                  <v>1.008586107523721</v>
                </pt>
                <pt idx="11">
                  <v>1.001213686385325</v>
                </pt>
                <pt idx="12">
                  <v>1.003911838629656</v>
                </pt>
                <pt idx="13">
                  <v>1.008734804662154</v>
                </pt>
                <pt idx="14">
                  <v>1.007030332665268</v>
                </pt>
                <pt idx="15">
                  <v>1.005194405265329</v>
                </pt>
                <pt idx="16">
                  <v>1.003785923126553</v>
                </pt>
                <pt idx="17">
                  <v>1.008787516009271</v>
                </pt>
                <pt idx="18">
                  <v>1.009306809007421</v>
                </pt>
                <pt idx="19">
                  <v>1.006212101039174</v>
                </pt>
                <pt idx="20">
                  <v>1.002648541353152</v>
                </pt>
                <pt idx="21">
                  <v>1.001246421313555</v>
                </pt>
                <pt idx="22">
                  <v>1.004824409824972</v>
                </pt>
                <pt idx="23">
                  <v>1.00388850276719</v>
                </pt>
                <pt idx="24">
                  <v>1.006438694711175</v>
                </pt>
                <pt idx="25">
                  <v>1.008237944034622</v>
                </pt>
                <pt idx="26">
                  <v>1.001879132587344</v>
                </pt>
                <pt idx="27">
                  <v>1.00012291724877</v>
                </pt>
                <pt idx="28">
                  <v>1.0038719969183</v>
                </pt>
                <pt idx="29">
                  <v>1.004518475930174</v>
                </pt>
                <pt idx="30">
                  <v>1.000364724185248</v>
                </pt>
                <pt idx="31">
                  <v>1.009225964529606</v>
                </pt>
                <pt idx="32">
                  <v>1.004877854698231</v>
                </pt>
                <pt idx="33">
                  <v>1.006663986964654</v>
                </pt>
                <pt idx="34">
                  <v>1.006238429190426</v>
                </pt>
                <pt idx="35">
                  <v>1.001289379675368</v>
                </pt>
                <pt idx="36">
                  <v>1.00188306016276</v>
                </pt>
                <pt idx="37">
                  <v>1.003373447180301</v>
                </pt>
                <pt idx="38">
                  <v>1.006635668693734</v>
                </pt>
                <pt idx="39">
                  <v>1.008593024077822</v>
                </pt>
                <pt idx="40">
                  <v>1.000578144561796</v>
                </pt>
                <pt idx="41">
                  <v>1.006143558746378</v>
                </pt>
                <pt idx="42">
                  <v>1.001614070646751</v>
                </pt>
                <pt idx="43">
                  <v>0.9906844671021542</v>
                </pt>
                <pt idx="44">
                  <v>0.9814948928740158</v>
                </pt>
                <pt idx="45">
                  <v>0.9720677151856515</v>
                </pt>
                <pt idx="46">
                  <v>0.9550068175664888</v>
                </pt>
                <pt idx="47">
                  <v>0.9292370449276303</v>
                </pt>
                <pt idx="48">
                  <v>0.9137680040776207</v>
                </pt>
                <pt idx="49">
                  <v>0.8961968957936522</v>
                </pt>
                <pt idx="50">
                  <v>0.8746274727592233</v>
                </pt>
                <pt idx="51">
                  <v>0.8478486047222208</v>
                </pt>
                <pt idx="52">
                  <v>0.8288615971208583</v>
                </pt>
                <pt idx="53">
                  <v>0.8003084884533394</v>
                </pt>
                <pt idx="54">
                  <v>0.7732435157230458</v>
                </pt>
                <pt idx="55">
                  <v>0.7466028901280283</v>
                </pt>
                <pt idx="56">
                  <v>0.7297856252639072</v>
                </pt>
                <pt idx="57">
                  <v>0.6997208153457078</v>
                </pt>
                <pt idx="58">
                  <v>0.6748294657899827</v>
                </pt>
                <pt idx="59">
                  <v>0.6544642587782997</v>
                </pt>
                <pt idx="60">
                  <v>0.6345964730000188</v>
                </pt>
                <pt idx="61">
                  <v>0.6052168462287432</v>
                </pt>
                <pt idx="62">
                  <v>0.5870793465590084</v>
                </pt>
                <pt idx="63">
                  <v>0.6272759756095188</v>
                </pt>
                <pt idx="64">
                  <v>0.7780086000423871</v>
                </pt>
                <pt idx="65">
                  <v>1.021534475353898</v>
                </pt>
                <pt idx="66">
                  <v>1.309966022078669</v>
                </pt>
                <pt idx="67">
                  <v>1.58878239076532</v>
                </pt>
                <pt idx="68">
                  <v>1.859979104553649</v>
                </pt>
                <pt idx="69">
                  <v>2.119720109263468</v>
                </pt>
                <pt idx="70">
                  <v>2.376954224864175</v>
                </pt>
                <pt idx="71">
                  <v>2.627053080835768</v>
                </pt>
                <pt idx="72">
                  <v>2.873369800759799</v>
                </pt>
                <pt idx="73">
                  <v>3.111262870073621</v>
                </pt>
                <pt idx="74">
                  <v>3.349986157782034</v>
                </pt>
                <pt idx="75">
                  <v>3.581838744883769</v>
                </pt>
                <pt idx="76">
                  <v>3.808831240149067</v>
                </pt>
                <pt idx="77">
                  <v>4.035398548976922</v>
                </pt>
                <pt idx="78">
                  <v>4.257117890184801</v>
                </pt>
                <pt idx="79">
                  <v>4.48335096628441</v>
                </pt>
                <pt idx="80">
                  <v>4.708120193575628</v>
                </pt>
                <pt idx="81">
                  <v>4.93061584896368</v>
                </pt>
                <pt idx="82">
                  <v>5.154445729171598</v>
                </pt>
                <pt idx="83">
                  <v>5.377275453287033</v>
                </pt>
                <pt idx="84">
                  <v>5.593281249085253</v>
                </pt>
                <pt idx="85">
                  <v>5.817894011059925</v>
                </pt>
                <pt idx="86">
                  <v>6.040470594134185</v>
                </pt>
                <pt idx="87">
                  <v>6.255589991264797</v>
                </pt>
                <pt idx="88">
                  <v>6.457254684496586</v>
                </pt>
                <pt idx="89">
                  <v>6.655355202100061</v>
                </pt>
                <pt idx="90">
                  <v>6.845849233396141</v>
                </pt>
                <pt idx="91">
                  <v>7.02530047291764</v>
                </pt>
                <pt idx="92">
                  <v>7.203045690519468</v>
                </pt>
                <pt idx="93">
                  <v>7.365590273783061</v>
                </pt>
                <pt idx="94">
                  <v>7.524650425003235</v>
                </pt>
                <pt idx="95">
                  <v>7.676898071335517</v>
                </pt>
                <pt idx="96">
                  <v>7.826801124231261</v>
                </pt>
                <pt idx="97">
                  <v>7.964259195834834</v>
                </pt>
                <pt idx="98">
                  <v>8.102709912597531</v>
                </pt>
                <pt idx="99">
                  <v>8.232709913128989</v>
                </pt>
                <pt idx="100">
                  <v>8.35590574088156</v>
                </pt>
                <pt idx="101">
                  <v>8.473781239956814</v>
                </pt>
                <pt idx="102">
                  <v>8.588990132689672</v>
                </pt>
                <pt idx="103">
                  <v>8.697518824320369</v>
                </pt>
                <pt idx="104">
                  <v>8.79746791923613</v>
                </pt>
                <pt idx="105">
                  <v>8.896951801391852</v>
                </pt>
                <pt idx="106">
                  <v>8.994175654690466</v>
                </pt>
                <pt idx="107">
                  <v>9.08064484526089</v>
                </pt>
                <pt idx="108">
                  <v>9.170064990448623</v>
                </pt>
                <pt idx="109">
                  <v>9.255230456465643</v>
                </pt>
                <pt idx="110">
                  <v>9.325375313969541</v>
                </pt>
                <pt idx="111">
                  <v>9.402802964575979</v>
                </pt>
                <pt idx="112">
                  <v>9.467887766188904</v>
                </pt>
                <pt idx="113">
                  <v>9.538098154964095</v>
                </pt>
                <pt idx="114">
                  <v>9.591280058784468</v>
                </pt>
                <pt idx="115">
                  <v>9.649405781669699</v>
                </pt>
                <pt idx="116">
                  <v>9.702837947991178</v>
                </pt>
                <pt idx="117">
                  <v>9.763354018397944</v>
                </pt>
                <pt idx="118">
                  <v>9.811726113060937</v>
                </pt>
                <pt idx="119">
                  <v>9.856593389876283</v>
                </pt>
                <pt idx="120">
                  <v>9.90045295243293</v>
                </pt>
                <pt idx="121">
                  <v>9.944049751001911</v>
                </pt>
                <pt idx="122">
                  <v>9.975125490159728</v>
                </pt>
                <pt idx="123">
                  <v>10.01204443099621</v>
                </pt>
                <pt idx="124">
                  <v>10.05455648177471</v>
                </pt>
                <pt idx="125">
                  <v>10.08080193668049</v>
                </pt>
                <pt idx="126">
                  <v>10.11343755918017</v>
                </pt>
                <pt idx="127">
                  <v>10.14924689076104</v>
                </pt>
                <pt idx="128">
                  <v>10.17448536426738</v>
                </pt>
                <pt idx="129">
                  <v>10.1993893912086</v>
                </pt>
                <pt idx="130">
                  <v>10.2206998806621</v>
                </pt>
                <pt idx="131">
                  <v>10.24837897105841</v>
                </pt>
                <pt idx="132">
                  <v>10.27054189266866</v>
                </pt>
                <pt idx="133">
                  <v>10.28265782509126</v>
                </pt>
                <pt idx="134">
                  <v>10.30921566984885</v>
                </pt>
                <pt idx="135">
                  <v>10.32047470287851</v>
                </pt>
                <pt idx="136">
                  <v>10.33503204245286</v>
                </pt>
                <pt idx="137">
                  <v>10.35686597588096</v>
                </pt>
                <pt idx="138">
                  <v>10.37001020656873</v>
                </pt>
                <pt idx="139">
                  <v>10.38716230348446</v>
                </pt>
                <pt idx="140">
                  <v>10.3939581861313</v>
                </pt>
                <pt idx="141">
                  <v>10.40324596507752</v>
                </pt>
                <pt idx="142">
                  <v>10.41750090620606</v>
                </pt>
                <pt idx="143">
                  <v>10.42773810874843</v>
                </pt>
                <pt idx="144">
                  <v>10.42948028559885</v>
                </pt>
                <pt idx="145">
                  <v>10.44576620896509</v>
                </pt>
                <pt idx="146">
                  <v>10.45332106609233</v>
                </pt>
                <pt idx="147">
                  <v>10.45186704504746</v>
                </pt>
                <pt idx="148">
                  <v>10.45766284481166</v>
                </pt>
                <pt idx="149">
                  <v>10.46796391294228</v>
                </pt>
                <pt idx="150">
                  <v>10.46856259444678</v>
                </pt>
                <pt idx="151">
                  <v>10.47420141426286</v>
                </pt>
                <pt idx="152">
                  <v>10.47349675977833</v>
                </pt>
                <pt idx="153">
                  <v>10.47691645982556</v>
                </pt>
                <pt idx="154">
                  <v>10.48478031791588</v>
                </pt>
                <pt idx="155">
                  <v>10.48320015380546</v>
                </pt>
                <pt idx="156">
                  <v>10.48194723777641</v>
                </pt>
                <pt idx="157">
                  <v>10.48267454128796</v>
                </pt>
                <pt idx="158">
                  <v>10.47793767016665</v>
                </pt>
                <pt idx="159">
                  <v>10.47576373427137</v>
                </pt>
                <pt idx="160">
                  <v>10.48289678336244</v>
                </pt>
                <pt idx="161">
                  <v>10.47268547848188</v>
                </pt>
                <pt idx="162">
                  <v>10.47783915163595</v>
                </pt>
                <pt idx="163">
                  <v>10.46872454122203</v>
                </pt>
                <pt idx="164">
                  <v>10.46824375152625</v>
                </pt>
                <pt idx="165">
                  <v>10.45946491546831</v>
                </pt>
                <pt idx="166">
                  <v>10.46147129425139</v>
                </pt>
                <pt idx="167">
                  <v>10.45057193610164</v>
                </pt>
                <pt idx="168">
                  <v>10.45459480267124</v>
                </pt>
                <pt idx="169">
                  <v>10.44195969530421</v>
                </pt>
                <pt idx="170">
                  <v>10.43984606147938</v>
                </pt>
                <pt idx="171">
                  <v>10.43450287023362</v>
                </pt>
                <pt idx="172">
                  <v>10.42546786134384</v>
                </pt>
                <pt idx="173">
                  <v>10.42044836494641</v>
                </pt>
                <pt idx="174">
                  <v>10.41755476827807</v>
                </pt>
                <pt idx="175">
                  <v>10.40545617974037</v>
                </pt>
                <pt idx="176">
                  <v>10.40107836692513</v>
                </pt>
                <pt idx="177">
                  <v>10.39754843342216</v>
                </pt>
                <pt idx="178">
                  <v>10.38806900819139</v>
                </pt>
                <pt idx="179">
                  <v>10.37808508267567</v>
                </pt>
                <pt idx="180">
                  <v>10.36905496564658</v>
                </pt>
                <pt idx="181">
                  <v>10.36145473863805</v>
                </pt>
                <pt idx="182">
                  <v>10.36078426115908</v>
                </pt>
                <pt idx="183">
                  <v>10.34974213658682</v>
                </pt>
                <pt idx="184">
                  <v>10.34039867274341</v>
                </pt>
                <pt idx="185">
                  <v>10.33034969220177</v>
                </pt>
                <pt idx="186">
                  <v>10.33061972160528</v>
                </pt>
                <pt idx="187">
                  <v>10.32338632860667</v>
                </pt>
                <pt idx="188">
                  <v>10.30817737875968</v>
                </pt>
                <pt idx="189">
                  <v>10.30152475921834</v>
                </pt>
                <pt idx="190">
                  <v>10.2982876460477</v>
                </pt>
                <pt idx="191">
                  <v>10.28766886172887</v>
                </pt>
                <pt idx="192">
                  <v>10.27505803911706</v>
                </pt>
                <pt idx="193">
                  <v>10.26855487363999</v>
                </pt>
                <pt idx="194">
                  <v>10.26360707664973</v>
                </pt>
                <pt idx="195">
                  <v>10.25282634469954</v>
                </pt>
                <pt idx="196">
                  <v>10.24291682064332</v>
                </pt>
                <pt idx="197">
                  <v>10.2331415242647</v>
                </pt>
                <pt idx="198">
                  <v>10.22561814055985</v>
                </pt>
                <pt idx="199">
                  <v>10.22152218373168</v>
                </pt>
                <pt idx="200">
                  <v>10.21053813270312</v>
                </pt>
                <pt idx="201">
                  <v>10.20829219986267</v>
                </pt>
                <pt idx="202">
                  <v>10.19678633378889</v>
                </pt>
                <pt idx="203">
                  <v>10.19626301401148</v>
                </pt>
                <pt idx="204">
                  <v>10.18368589538383</v>
                </pt>
                <pt idx="205">
                  <v>10.17393029967748</v>
                </pt>
                <pt idx="206">
                  <v>10.1674280590808</v>
                </pt>
                <pt idx="207">
                  <v>10.160936980743</v>
                </pt>
                <pt idx="208">
                  <v>10.15677393798157</v>
                </pt>
                <pt idx="209">
                  <v>10.14915439926311</v>
                </pt>
                <pt idx="210">
                  <v>10.13961277914714</v>
                </pt>
                <pt idx="211">
                  <v>10.13906242509303</v>
                </pt>
                <pt idx="212">
                  <v>10.13480651271382</v>
                </pt>
                <pt idx="213">
                  <v>10.12595196614924</v>
                </pt>
                <pt idx="214">
                  <v>10.11734357235342</v>
                </pt>
                <pt idx="215">
                  <v>10.10947635495987</v>
                </pt>
                <pt idx="216">
                  <v>10.11103096188313</v>
                </pt>
                <pt idx="217">
                  <v>10.09813066110611</v>
                </pt>
                <pt idx="218">
                  <v>10.0957953935426</v>
                </pt>
                <pt idx="219">
                  <v>10.09473227127216</v>
                </pt>
                <pt idx="220">
                  <v>10.08462810797824</v>
                </pt>
                <pt idx="221">
                  <v>10.0843899254727</v>
                </pt>
                <pt idx="222">
                  <v>10.07930273437471</v>
                </pt>
                <pt idx="223">
                  <v>10.07627627957569</v>
                </pt>
                <pt idx="224">
                  <v>10.06942229544688</v>
                </pt>
                <pt idx="225">
                  <v>10.05982027665591</v>
                </pt>
                <pt idx="226">
                  <v>10.05467107681937</v>
                </pt>
                <pt idx="227">
                  <v>10.05352947885692</v>
                </pt>
                <pt idx="228">
                  <v>10.05480943112467</v>
                </pt>
                <pt idx="229">
                  <v>10.04620695724994</v>
                </pt>
                <pt idx="230">
                  <v>10.03873221336233</v>
                </pt>
                <pt idx="231">
                  <v>10.04207143009502</v>
                </pt>
                <pt idx="232">
                  <v>10.03281641396699</v>
                </pt>
                <pt idx="233">
                  <v>10.03657294294355</v>
                </pt>
                <pt idx="234">
                  <v>10.03274138399166</v>
                </pt>
                <pt idx="235">
                  <v>10.02951594224191</v>
                </pt>
                <pt idx="236">
                  <v>10.02363753697051</v>
                </pt>
                <pt idx="237">
                  <v>10.01703103953457</v>
                </pt>
                <pt idx="238">
                  <v>10.01531119106597</v>
                </pt>
                <pt idx="239">
                  <v>10.01695943761114</v>
                </pt>
                <pt idx="240">
                  <v>10.01575502484214</v>
                </pt>
                <pt idx="241">
                  <v>10.00814970229359</v>
                </pt>
                <pt idx="242">
                  <v>10.00204988133505</v>
                </pt>
                <pt idx="243">
                  <v>10.00125610034188</v>
                </pt>
                <pt idx="244">
                  <v>9.999264410827191</v>
                </pt>
                <pt idx="245">
                  <v>10.00183067025272</v>
                </pt>
                <pt idx="246">
                  <v>9.999387433312771</v>
                </pt>
                <pt idx="247">
                  <v>9.995379055377144</v>
                </pt>
                <pt idx="248">
                  <v>9.999465747482189</v>
                </pt>
                <pt idx="249">
                  <v>9.995823611508245</v>
                </pt>
                <pt idx="250">
                  <v>9.994826526319502</v>
                </pt>
                <pt idx="251">
                  <v>9.995058453715203</v>
                </pt>
                <pt idx="252">
                  <v>9.993362434916456</v>
                </pt>
                <pt idx="253">
                  <v>9.990012805784225</v>
                </pt>
                <pt idx="254">
                  <v>9.982290598780297</v>
                </pt>
                <pt idx="255">
                  <v>9.989058882114399</v>
                </pt>
                <pt idx="256">
                  <v>9.98066247441318</v>
                </pt>
                <pt idx="257">
                  <v>9.981216659317878</v>
                </pt>
                <pt idx="258">
                  <v>9.984815004065851</v>
                </pt>
                <pt idx="259">
                  <v>9.982992428830086</v>
                </pt>
                <pt idx="260">
                  <v>9.979844231643371</v>
                </pt>
                <pt idx="261">
                  <v>9.975842346349886</v>
                </pt>
                <pt idx="262">
                  <v>9.978628360574371</v>
                </pt>
                <pt idx="263">
                  <v>9.977661937783916</v>
                </pt>
                <pt idx="264">
                  <v>9.972528938482611</v>
                </pt>
                <pt idx="265">
                  <v>9.972850616322948</v>
                </pt>
                <pt idx="266">
                  <v>9.973039036453871</v>
                </pt>
                <pt idx="267">
                  <v>9.976551415451738</v>
                </pt>
                <pt idx="268">
                  <v>9.979719336196171</v>
                </pt>
                <pt idx="269">
                  <v>9.976890250101489</v>
                </pt>
                <pt idx="270">
                  <v>9.972968738912042</v>
                </pt>
                <pt idx="271">
                  <v>9.975595160893899</v>
                </pt>
                <pt idx="272">
                  <v>9.976108597030583</v>
                </pt>
                <pt idx="273">
                  <v>9.978390451483781</v>
                </pt>
                <pt idx="274">
                  <v>9.979290791411508</v>
                </pt>
                <pt idx="275">
                  <v>9.976972773106482</v>
                </pt>
                <pt idx="276">
                  <v>9.975998466983485</v>
                </pt>
                <pt idx="277">
                  <v>9.974788986660535</v>
                </pt>
                <pt idx="278">
                  <v>9.971062493927766</v>
                </pt>
                <pt idx="279">
                  <v>9.978627520446043</v>
                </pt>
                <pt idx="280">
                  <v>9.977098221948175</v>
                </pt>
                <pt idx="281">
                  <v>9.971134338752725</v>
                </pt>
                <pt idx="282">
                  <v>9.977859015092548</v>
                </pt>
                <pt idx="283">
                  <v>9.969674573726071</v>
                </pt>
                <pt idx="284">
                  <v>9.972048346689039</v>
                </pt>
                <pt idx="285">
                  <v>9.97283123685723</v>
                </pt>
                <pt idx="286">
                  <v>9.977498518470824</v>
                </pt>
                <pt idx="287">
                  <v>9.974500717711303</v>
                </pt>
                <pt idx="288">
                  <v>9.976719421439116</v>
                </pt>
                <pt idx="289">
                  <v>9.973776305799882</v>
                </pt>
                <pt idx="290">
                  <v>9.977261644899613</v>
                </pt>
                <pt idx="291">
                  <v>9.980597440842086</v>
                </pt>
                <pt idx="292">
                  <v>9.979633906577554</v>
                </pt>
                <pt idx="293">
                  <v>9.977607619823345</v>
                </pt>
                <pt idx="294">
                  <v>9.974543387951986</v>
                </pt>
                <pt idx="295">
                  <v>9.982002354099807</v>
                </pt>
                <pt idx="296">
                  <v>9.981058647698845</v>
                </pt>
                <pt idx="297">
                  <v>9.982758174494705</v>
                </pt>
                <pt idx="298">
                  <v>9.984821740701143</v>
                </pt>
                <pt idx="299">
                  <v>9.984212317060157</v>
                </pt>
                <pt idx="300">
                  <v>9.977079635534936</v>
                </pt>
                <pt idx="301">
                  <v>9.978923564916643</v>
                </pt>
                <pt idx="302">
                  <v>9.977058882242504</v>
                </pt>
                <pt idx="303">
                  <v>9.986107662529372</v>
                </pt>
                <pt idx="304">
                  <v>9.982729936535859</v>
                </pt>
                <pt idx="305">
                  <v>9.979456358837471</v>
                </pt>
                <pt idx="306">
                  <v>9.984895759132872</v>
                </pt>
                <pt idx="307">
                  <v>9.981635231130797</v>
                </pt>
                <pt idx="308">
                  <v>9.988247109669315</v>
                </pt>
                <pt idx="309">
                  <v>9.984607474353941</v>
                </pt>
                <pt idx="310">
                  <v>9.98031463868281</v>
                </pt>
                <pt idx="311">
                  <v>9.987843273523596</v>
                </pt>
                <pt idx="312">
                  <v>9.982278755668473</v>
                </pt>
                <pt idx="313">
                  <v>9.983724473143312</v>
                </pt>
                <pt idx="314">
                  <v>9.990871305883186</v>
                </pt>
                <pt idx="315">
                  <v>9.983777917869167</v>
                </pt>
                <pt idx="316">
                  <v>9.991199267298891</v>
                </pt>
                <pt idx="317">
                  <v>9.983241349209873</v>
                </pt>
                <pt idx="318">
                  <v>9.989505229754094</v>
                </pt>
                <pt idx="319">
                  <v>9.990966761657221</v>
                </pt>
                <pt idx="320">
                  <v>9.993286975315245</v>
                </pt>
                <pt idx="321">
                  <v>9.993911983529038</v>
                </pt>
                <pt idx="322">
                  <v>10.02184937833042</v>
                </pt>
                <pt idx="323">
                  <v>10.06177957628019</v>
                </pt>
                <pt idx="324">
                  <v>10.1150046957874</v>
                </pt>
                <pt idx="325">
                  <v>10.16963777163906</v>
                </pt>
                <pt idx="326">
                  <v>10.24385294624734</v>
                </pt>
                <pt idx="327">
                  <v>10.31266894419329</v>
                </pt>
                <pt idx="328">
                  <v>10.40068051014296</v>
                </pt>
                <pt idx="329">
                  <v>10.48836249309498</v>
                </pt>
                <pt idx="330">
                  <v>10.57410584425375</v>
                </pt>
                <pt idx="331">
                  <v>10.66846989802587</v>
                </pt>
                <pt idx="332">
                  <v>10.76964154901398</v>
                </pt>
                <pt idx="333">
                  <v>10.86051442749202</v>
                </pt>
                <pt idx="334">
                  <v>10.95955628003053</v>
                </pt>
                <pt idx="335">
                  <v>11.06223435133381</v>
                </pt>
                <pt idx="336">
                  <v>11.15475813557057</v>
                </pt>
                <pt idx="337">
                  <v>11.25235852270884</v>
                </pt>
                <pt idx="338">
                  <v>11.35350456395213</v>
                </pt>
                <pt idx="339">
                  <v>11.44645216860932</v>
                </pt>
                <pt idx="340">
                  <v>11.54761379305388</v>
                </pt>
                <pt idx="341">
                  <v>11.63505807451801</v>
                </pt>
                <pt idx="342">
                  <v>11.72391415188484</v>
                </pt>
                <pt idx="343">
                  <v>11.78021062301276</v>
                </pt>
                <pt idx="344">
                  <v>11.83368852660593</v>
                </pt>
                <pt idx="345">
                  <v>11.87025520348848</v>
                </pt>
                <pt idx="346">
                  <v>11.88711935203642</v>
                </pt>
                <pt idx="347">
                  <v>11.8951670555997</v>
                </pt>
                <pt idx="348">
                  <v>11.88878998519888</v>
                </pt>
                <pt idx="349">
                  <v>11.88093794601514</v>
                </pt>
                <pt idx="350">
                  <v>11.8540499691589</v>
                </pt>
                <pt idx="351">
                  <v>11.82192094913946</v>
                </pt>
                <pt idx="352">
                  <v>11.78627657854526</v>
                </pt>
                <pt idx="353">
                  <v>11.73961846695532</v>
                </pt>
                <pt idx="354">
                  <v>11.67789987461398</v>
                </pt>
                <pt idx="355">
                  <v>11.6211968100783</v>
                </pt>
                <pt idx="356">
                  <v>11.5520266773332</v>
                </pt>
                <pt idx="357">
                  <v>11.48845327316545</v>
                </pt>
                <pt idx="358">
                  <v>11.40662172438335</v>
                </pt>
                <pt idx="359">
                  <v>11.33308535111057</v>
                </pt>
                <pt idx="360">
                  <v>11.25210273800229</v>
                </pt>
                <pt idx="361">
                  <v>11.15900754128772</v>
                </pt>
                <pt idx="362">
                  <v>11.07776732458755</v>
                </pt>
                <pt idx="363">
                  <v>10.98879675914817</v>
                </pt>
                <pt idx="364">
                  <v>10.89458912005083</v>
                </pt>
                <pt idx="365">
                  <v>10.79184733468704</v>
                </pt>
                <pt idx="366">
                  <v>10.70328426373771</v>
                </pt>
                <pt idx="367">
                  <v>10.60222563944188</v>
                </pt>
                <pt idx="368">
                  <v>10.50372418545335</v>
                </pt>
                <pt idx="369">
                  <v>10.40780131791126</v>
                </pt>
                <pt idx="370">
                  <v>10.32080520279907</v>
                </pt>
                <pt idx="371">
                  <v>10.22013049122495</v>
                </pt>
                <pt idx="372">
                  <v>10.135852045658</v>
                </pt>
                <pt idx="373">
                  <v>10.04555109912364</v>
                </pt>
                <pt idx="374">
                  <v>9.960967840173463</v>
                </pt>
                <pt idx="375">
                  <v>9.87442148813424</v>
                </pt>
                <pt idx="376">
                  <v>9.797516280498991</v>
                </pt>
                <pt idx="377">
                  <v>9.721301413827051</v>
                </pt>
                <pt idx="378">
                  <v>9.64352696468705</v>
                </pt>
                <pt idx="379">
                  <v>9.581916619062939</v>
                </pt>
                <pt idx="380">
                  <v>9.517315745427418</v>
                </pt>
                <pt idx="381">
                  <v>9.446260574979265</v>
                </pt>
                <pt idx="382">
                  <v>9.387948055947094</v>
                </pt>
                <pt idx="383">
                  <v>9.330490936522919</v>
                </pt>
                <pt idx="384">
                  <v>9.282247133281597</v>
                </pt>
                <pt idx="385">
                  <v>9.235762238435774</v>
                </pt>
                <pt idx="386">
                  <v>9.194769429804031</v>
                </pt>
                <pt idx="387">
                  <v>9.144217615074732</v>
                </pt>
                <pt idx="388">
                  <v>9.114406906145371</v>
                </pt>
                <pt idx="389">
                  <v>9.07700166153575</v>
                </pt>
                <pt idx="390">
                  <v>9.047139414186859</v>
                </pt>
                <pt idx="391">
                  <v>9.021454447350589</v>
                </pt>
                <pt idx="392">
                  <v>8.997833546243719</v>
                </pt>
                <pt idx="393">
                  <v>8.978217226269129</v>
                </pt>
                <pt idx="394">
                  <v>8.964131900196682</v>
                </pt>
                <pt idx="395">
                  <v>8.942688004531149</v>
                </pt>
                <pt idx="396">
                  <v>8.932062695968883</v>
                </pt>
                <pt idx="397">
                  <v>8.923860238415418</v>
                </pt>
                <pt idx="398">
                  <v>8.92278990977891</v>
                </pt>
                <pt idx="399">
                  <v>8.916792109883655</v>
                </pt>
                <pt idx="400">
                  <v>8.913958741176678</v>
                </pt>
                <pt idx="401">
                  <v>8.915507994732291</v>
                </pt>
                <pt idx="402">
                  <v>8.916842078992874</v>
                </pt>
                <pt idx="403">
                  <v>8.924397570928992</v>
                </pt>
                <pt idx="404">
                  <v>8.929839077120555</v>
                </pt>
                <pt idx="405">
                  <v>8.938262517946777</v>
                </pt>
                <pt idx="406">
                  <v>8.945705784987632</v>
                </pt>
                <pt idx="407">
                  <v>8.958200417183894</v>
                </pt>
                <pt idx="408">
                  <v>8.973073618579559</v>
                </pt>
                <pt idx="409">
                  <v>8.989702431315397</v>
                </pt>
                <pt idx="410">
                  <v>9.006769868214763</v>
                </pt>
                <pt idx="411">
                  <v>9.014134629800909</v>
                </pt>
                <pt idx="412">
                  <v>9.038617620187521</v>
                </pt>
                <pt idx="413">
                  <v>9.051676646594947</v>
                </pt>
                <pt idx="414">
                  <v>9.074584233386572</v>
                </pt>
                <pt idx="415">
                  <v>9.092369953343612</v>
                </pt>
                <pt idx="416">
                  <v>9.111075648526336</v>
                </pt>
                <pt idx="417">
                  <v>9.129845088762728</v>
                </pt>
                <pt idx="418">
                  <v>9.15416613392617</v>
                </pt>
                <pt idx="419">
                  <v>9.166939715005556</v>
                </pt>
                <pt idx="420">
                  <v>9.195879714192262</v>
                </pt>
                <pt idx="421">
                  <v>9.209942326210575</v>
                </pt>
                <pt idx="422">
                  <v>9.238093911620144</v>
                </pt>
                <pt idx="423">
                  <v>9.2531031849954</v>
                </pt>
                <pt idx="424">
                  <v>9.27784835512332</v>
                </pt>
                <pt idx="425">
                  <v>9.295117226081793</v>
                </pt>
                <pt idx="426">
                  <v>9.321490856267836</v>
                </pt>
                <pt idx="427">
                  <v>9.342617299445571</v>
                </pt>
                <pt idx="428">
                  <v>9.356723427932595</v>
                </pt>
                <pt idx="429">
                  <v>9.376598838978445</v>
                </pt>
                <pt idx="430">
                  <v>9.397071263220509</v>
                </pt>
                <pt idx="431">
                  <v>9.417648952473566</v>
                </pt>
                <pt idx="432">
                  <v>9.438768159256664</v>
                </pt>
                <pt idx="433">
                  <v>9.456324483529185</v>
                </pt>
                <pt idx="434">
                  <v>9.482672368697964</v>
                </pt>
                <pt idx="435">
                  <v>9.503009247527753</v>
                </pt>
                <pt idx="436">
                  <v>9.513389997790707</v>
                </pt>
                <pt idx="437">
                  <v>9.531113722242253</v>
                </pt>
                <pt idx="438">
                  <v>9.55138105488273</v>
                </pt>
                <pt idx="439">
                  <v>9.56883738518451</v>
                </pt>
                <pt idx="440">
                  <v>9.588210616754628</v>
                </pt>
                <pt idx="441">
                  <v>9.603449715077605</v>
                </pt>
                <pt idx="442">
                  <v>9.620457135865479</v>
                </pt>
                <pt idx="443">
                  <v>9.636644611688688</v>
                </pt>
                <pt idx="444">
                  <v>9.654637638871762</v>
                </pt>
                <pt idx="445">
                  <v>9.669048799454668</v>
                </pt>
                <pt idx="446">
                  <v>9.676808453830464</v>
                </pt>
                <pt idx="447">
                  <v>9.697620910486323</v>
                </pt>
                <pt idx="448">
                  <v>9.705292816850273</v>
                </pt>
                <pt idx="449">
                  <v>9.726556610632608</v>
                </pt>
                <pt idx="450">
                  <v>9.733169919724988</v>
                </pt>
                <pt idx="451">
                  <v>9.745050855841294</v>
                </pt>
                <pt idx="452">
                  <v>9.76263471979472</v>
                </pt>
                <pt idx="453">
                  <v>9.770406998261567</v>
                </pt>
                <pt idx="454">
                  <v>9.781739801397798</v>
                </pt>
                <pt idx="455">
                  <v>9.798229052359599</v>
                </pt>
                <pt idx="456">
                  <v>9.810481324191917</v>
                </pt>
                <pt idx="457">
                  <v>9.812998442414033</v>
                </pt>
                <pt idx="458">
                  <v>9.82875784869357</v>
                </pt>
                <pt idx="459">
                  <v>9.833345175151228</v>
                </pt>
                <pt idx="460">
                  <v>9.846307113557364</v>
                </pt>
                <pt idx="461">
                  <v>9.852082430889434</v>
                </pt>
                <pt idx="462">
                  <v>9.868104714066108</v>
                </pt>
                <pt idx="463">
                  <v>9.876902211167248</v>
                </pt>
                <pt idx="464">
                  <v>9.884155930494835</v>
                </pt>
                <pt idx="465">
                  <v>9.892401787563202</v>
                </pt>
                <pt idx="466">
                  <v>9.895963444550922</v>
                </pt>
                <pt idx="467">
                  <v>9.90243798480885</v>
                </pt>
                <pt idx="468">
                  <v>9.914515191698429</v>
                </pt>
                <pt idx="469">
                  <v>9.921543782795936</v>
                </pt>
                <pt idx="470">
                  <v>9.927742347488101</v>
                </pt>
                <pt idx="471">
                  <v>9.935342442045199</v>
                </pt>
                <pt idx="472">
                  <v>9.94475703138157</v>
                </pt>
                <pt idx="473">
                  <v>9.9485260569868</v>
                </pt>
                <pt idx="474">
                  <v>9.952533013742396</v>
                </pt>
                <pt idx="475">
                  <v>9.961329557971496</v>
                </pt>
                <pt idx="476">
                  <v>9.966247640848266</v>
                </pt>
                <pt idx="477">
                  <v>9.972584017713876</v>
                </pt>
                <pt idx="478">
                  <v>9.972993493282775</v>
                </pt>
                <pt idx="479">
                  <v>9.976439372104306</v>
                </pt>
                <pt idx="480">
                  <v>9.97903981066721</v>
                </pt>
                <pt idx="481">
                  <v>9.990415416071441</v>
                </pt>
                <pt idx="482">
                  <v>9.991907510766374</v>
                </pt>
                <pt idx="483">
                  <v>9.993166967434409</v>
                </pt>
                <pt idx="484">
                  <v>9.998627635313044</v>
                </pt>
                <pt idx="485">
                  <v>10.00239277988138</v>
                </pt>
                <pt idx="486">
                  <v>10.00983106659058</v>
                </pt>
                <pt idx="487">
                  <v>10.01088915453635</v>
                </pt>
                <pt idx="488">
                  <v>10.00894949848671</v>
                </pt>
                <pt idx="489">
                  <v>10.01524631667704</v>
                </pt>
                <pt idx="490">
                  <v>10.01401793156217</v>
                </pt>
                <pt idx="491">
                  <v>10.02632719711574</v>
                </pt>
                <pt idx="492">
                  <v>10.02666862257473</v>
                </pt>
                <pt idx="493">
                  <v>10.02788844890653</v>
                </pt>
                <pt idx="494">
                  <v>10.03079953936505</v>
                </pt>
                <pt idx="495">
                  <v>10.03321410342257</v>
                </pt>
                <pt idx="496">
                  <v>10.02941627011819</v>
                </pt>
                <pt idx="497">
                  <v>10.03279047610108</v>
                </pt>
                <pt idx="498">
                  <v>10.03148877859721</v>
                </pt>
                <pt idx="499">
                  <v>10.03591264103681</v>
                </pt>
                <pt idx="500">
                  <v>10.03872354922046</v>
                </pt>
                <pt idx="501">
                  <v>10.03921343165557</v>
                </pt>
                <pt idx="502">
                  <v>10.04607776977832</v>
                </pt>
                <pt idx="503">
                  <v>10.0383672208255</v>
                </pt>
                <pt idx="504">
                  <v>10.0433148917878</v>
                </pt>
                <pt idx="505">
                  <v>10.04415755143705</v>
                </pt>
                <pt idx="506">
                  <v>10.04906241709913</v>
                </pt>
                <pt idx="507">
                  <v>10.05081606704941</v>
                </pt>
                <pt idx="508">
                  <v>10.04463713308475</v>
                </pt>
                <pt idx="509">
                  <v>10.05174330388647</v>
                </pt>
                <pt idx="510">
                  <v>10.05223421593468</v>
                </pt>
                <pt idx="511">
                  <v>10.04690960227789</v>
                </pt>
                <pt idx="512">
                  <v>10.04688648570628</v>
                </pt>
                <pt idx="513">
                  <v>10.05297045161736</v>
                </pt>
                <pt idx="514">
                  <v>10.04787012057224</v>
                </pt>
                <pt idx="515">
                  <v>10.04723011716245</v>
                </pt>
                <pt idx="516">
                  <v>10.04759912406712</v>
                </pt>
                <pt idx="517">
                  <v>10.05017793395695</v>
                </pt>
                <pt idx="518">
                  <v>10.0451208631333</v>
                </pt>
                <pt idx="519">
                  <v>10.04511495373955</v>
                </pt>
                <pt idx="520">
                  <v>10.05189425126041</v>
                </pt>
                <pt idx="521">
                  <v>10.04601003461953</v>
                </pt>
                <pt idx="522">
                  <v>10.05231165500436</v>
                </pt>
                <pt idx="523">
                  <v>10.04878274965492</v>
                </pt>
                <pt idx="524">
                  <v>10.05114003245032</v>
                </pt>
                <pt idx="525">
                  <v>10.04232467702058</v>
                </pt>
                <pt idx="526">
                  <v>10.04428002576943</v>
                </pt>
                <pt idx="527">
                  <v>10.0422256804699</v>
                </pt>
                <pt idx="528">
                  <v>10.04216789999002</v>
                </pt>
                <pt idx="529">
                  <v>10.04139470798768</v>
                </pt>
                <pt idx="530">
                  <v>10.04752143394608</v>
                </pt>
                <pt idx="531">
                  <v>10.04636904632811</v>
                </pt>
                <pt idx="532">
                  <v>10.03779788667091</v>
                </pt>
                <pt idx="533">
                  <v>10.03901554665961</v>
                </pt>
                <pt idx="534">
                  <v>10.03875604123045</v>
                </pt>
                <pt idx="535">
                  <v>10.03832726870822</v>
                </pt>
                <pt idx="536">
                  <v>10.03409945268675</v>
                </pt>
                <pt idx="537">
                  <v>10.03909617664216</v>
                </pt>
                <pt idx="538">
                  <v>10.03762307747067</v>
                </pt>
                <pt idx="539">
                  <v>10.03760037709368</v>
                </pt>
                <pt idx="540">
                  <v>10.03270078753089</v>
                </pt>
                <pt idx="541">
                  <v>10.03743493312371</v>
                </pt>
                <pt idx="542">
                  <v>10.03417403607657</v>
                </pt>
                <pt idx="543">
                  <v>10.03499587931977</v>
                </pt>
                <pt idx="544">
                  <v>10.03747449063331</v>
                </pt>
                <pt idx="545">
                  <v>10.0271044086624</v>
                </pt>
                <pt idx="546">
                  <v>10.02812387416736</v>
                </pt>
                <pt idx="547">
                  <v>10.02649620317095</v>
                </pt>
                <pt idx="548">
                  <v>10.03156393226072</v>
                </pt>
                <pt idx="549">
                  <v>10.02798596854964</v>
                </pt>
                <pt idx="550">
                  <v>10.02684513815636</v>
                </pt>
                <pt idx="551">
                  <v>10.02997691821353</v>
                </pt>
                <pt idx="552">
                  <v>10.02686108778962</v>
                </pt>
                <pt idx="553">
                  <v>10.02051741760902</v>
                </pt>
                <pt idx="554">
                  <v>10.01976081361406</v>
                </pt>
                <pt idx="555">
                  <v>10.02533515682767</v>
                </pt>
                <pt idx="556">
                  <v>10.02415232443587</v>
                </pt>
                <pt idx="557">
                  <v>10.02261719694981</v>
                </pt>
                <pt idx="558">
                  <v>10.02473767287215</v>
                </pt>
                <pt idx="559">
                  <v>10.01705991036368</v>
                </pt>
                <pt idx="560">
                  <v>10.01915030846259</v>
                </pt>
                <pt idx="561">
                  <v>10.01776383177712</v>
                </pt>
                <pt idx="562">
                  <v>10.01468625448291</v>
                </pt>
                <pt idx="563">
                  <v>10.02022610492955</v>
                </pt>
                <pt idx="564">
                  <v>10.01979281304776</v>
                </pt>
                <pt idx="565">
                  <v>10.01608720760334</v>
                </pt>
                <pt idx="566">
                  <v>10.01477453894381</v>
                </pt>
                <pt idx="567">
                  <v>10.01162688825628</v>
                </pt>
                <pt idx="568">
                  <v>10.01222888587643</v>
                </pt>
                <pt idx="569">
                  <v>10.01669130109724</v>
                </pt>
                <pt idx="570">
                  <v>10.01452031922616</v>
                </pt>
                <pt idx="571">
                  <v>10.01560725383562</v>
                </pt>
                <pt idx="572">
                  <v>10.01335457789839</v>
                </pt>
                <pt idx="573">
                  <v>10.01666795195526</v>
                </pt>
                <pt idx="574">
                  <v>10.01360748145873</v>
                </pt>
                <pt idx="575">
                  <v>10.01304204278502</v>
                </pt>
                <pt idx="576">
                  <v>10.01310949550506</v>
                </pt>
                <pt idx="577">
                  <v>10.01407833473616</v>
                </pt>
                <pt idx="578">
                  <v>10.01057822490253</v>
                </pt>
                <pt idx="579">
                  <v>10.01258020373976</v>
                </pt>
                <pt idx="580">
                  <v>10.00889778506248</v>
                </pt>
                <pt idx="581">
                  <v>10.0053312474742</v>
                </pt>
                <pt idx="582">
                  <v>10.00952190244944</v>
                </pt>
                <pt idx="583">
                  <v>10.00945199906531</v>
                </pt>
                <pt idx="584">
                  <v>10.00309374899186</v>
                </pt>
                <pt idx="585">
                  <v>10.00051981995686</v>
                </pt>
                <pt idx="586">
                  <v>10.00288274191185</v>
                </pt>
                <pt idx="587">
                  <v>10.00628941647692</v>
                </pt>
                <pt idx="588">
                  <v>10.00084781190067</v>
                </pt>
                <pt idx="589">
                  <v>10.00509274583512</v>
                </pt>
                <pt idx="590">
                  <v>10.0001866674103</v>
                </pt>
                <pt idx="591">
                  <v>9.998817950859266</v>
                </pt>
                <pt idx="592">
                  <v>9.998848827935774</v>
                </pt>
                <pt idx="593">
                  <v>10.0033996198602</v>
                </pt>
                <pt idx="594">
                  <v>9.998351615249634</v>
                </pt>
                <pt idx="595">
                  <v>10.00435310469374</v>
                </pt>
                <pt idx="596">
                  <v>9.9990443744106</v>
                </pt>
                <pt idx="597">
                  <v>9.998409077285602</v>
                </pt>
                <pt idx="598">
                  <v>9.999949410241797</v>
                </pt>
                <pt idx="599">
                  <v>9.995537609817314</v>
                </pt>
                <pt idx="600">
                  <v>9.99514455976081</v>
                </pt>
                <pt idx="601">
                  <v>10.00232924616441</v>
                </pt>
                <pt idx="602">
                  <v>9.998960256902775</v>
                </pt>
                <pt idx="603">
                  <v>9.999615964804281</v>
                </pt>
                <pt idx="604">
                  <v>10.00277843602605</v>
                </pt>
                <pt idx="605">
                  <v>9.995638796756301</v>
                </pt>
                <pt idx="606">
                  <v>10.00232535524963</v>
                </pt>
                <pt idx="607">
                  <v>9.999539535128063</v>
                </pt>
                <pt idx="608">
                  <v>10.0006609439246</v>
                </pt>
                <pt idx="609">
                  <v>9.999211805441913</v>
                </pt>
                <pt idx="610">
                  <v>10.00097141864672</v>
                </pt>
                <pt idx="611">
                  <v>9.995939291795679</v>
                </pt>
                <pt idx="612">
                  <v>9.996448004763515</v>
                </pt>
                <pt idx="613">
                  <v>10.00203485709962</v>
                </pt>
                <pt idx="614">
                  <v>10.00102084753764</v>
                </pt>
                <pt idx="615">
                  <v>9.997851649213862</v>
                </pt>
                <pt idx="616">
                  <v>10.00285490678331</v>
                </pt>
                <pt idx="617">
                  <v>10.00193779478234</v>
                </pt>
                <pt idx="618">
                  <v>9.99545992748536</v>
                </pt>
                <pt idx="619">
                  <v>10.00047122419414</v>
                </pt>
                <pt idx="620">
                  <v>10.00052802941732</v>
                </pt>
                <pt idx="621">
                  <v>9.935112828753972</v>
                </pt>
                <pt idx="622">
                  <v>9.759850663056524</v>
                </pt>
                <pt idx="623">
                  <v>9.494468461529005</v>
                </pt>
                <pt idx="624">
                  <v>9.182986841317454</v>
                </pt>
                <pt idx="625">
                  <v>8.889388672986669</v>
                </pt>
                <pt idx="626">
                  <v>8.599999283924125</v>
                </pt>
                <pt idx="627">
                  <v>8.314105883931273</v>
                </pt>
                <pt idx="628">
                  <v>8.044821134083822</v>
                </pt>
                <pt idx="629">
                  <v>7.784619232051248</v>
                </pt>
                <pt idx="630">
                  <v>7.52252046381786</v>
                </pt>
                <pt idx="631">
                  <v>7.273466670890323</v>
                </pt>
                <pt idx="632">
                  <v>7.027230539687556</v>
                </pt>
                <pt idx="633">
                  <v>6.782911302085332</v>
                </pt>
                <pt idx="634">
                  <v>6.550243274173113</v>
                </pt>
                <pt idx="635">
                  <v>6.310092126855009</v>
                </pt>
                <pt idx="636">
                  <v>6.083581080666123</v>
                </pt>
                <pt idx="637">
                  <v>5.850588787855627</v>
                </pt>
                <pt idx="638">
                  <v>5.627020770570385</v>
                </pt>
                <pt idx="639">
                  <v>5.402126040907578</v>
                </pt>
                <pt idx="640">
                  <v>5.174026500264929</v>
                </pt>
                <pt idx="641">
                  <v>4.959257380667658</v>
                </pt>
                <pt idx="642">
                  <v>4.736167187602845</v>
                </pt>
                <pt idx="643">
                  <v>4.512773462341073</v>
                </pt>
                <pt idx="644">
                  <v>4.296901013186694</v>
                </pt>
                <pt idx="645">
                  <v>4.090188809777256</v>
                </pt>
                <pt idx="646">
                  <v>3.885961385971694</v>
                </pt>
                <pt idx="647">
                  <v>3.693878293623957</v>
                </pt>
                <pt idx="648">
                  <v>3.509173392363402</v>
                </pt>
                <pt idx="649">
                  <v>3.33243908108217</v>
                </pt>
                <pt idx="650">
                  <v>3.170367001963112</v>
                </pt>
                <pt idx="651">
                  <v>3.019542224080866</v>
                </pt>
                <pt idx="652">
                  <v>2.865010393002037</v>
                </pt>
                <pt idx="653">
                  <v>2.724919835544136</v>
                </pt>
                <pt idx="654">
                  <v>2.585713048095599</v>
                </pt>
                <pt idx="655">
                  <v>2.458919081810321</v>
                </pt>
                <pt idx="656">
                  <v>2.333863923206599</v>
                </pt>
                <pt idx="657">
                  <v>2.219202010347324</v>
                </pt>
                <pt idx="658">
                  <v>2.106972870996399</v>
                </pt>
                <pt idx="659">
                  <v>1.999454716547524</v>
                </pt>
                <pt idx="660">
                  <v>1.902021302085863</v>
                </pt>
                <pt idx="661">
                  <v>1.797095567088975</v>
                </pt>
                <pt idx="662">
                  <v>1.707127142282432</v>
                </pt>
                <pt idx="663">
                  <v>1.626600233591255</v>
                </pt>
                <pt idx="664">
                  <v>1.537145375676645</v>
                </pt>
                <pt idx="665">
                  <v>1.467202052031029</v>
                </pt>
                <pt idx="666">
                  <v>1.387481078892802</v>
                </pt>
                <pt idx="667">
                  <v>1.321857170007236</v>
                </pt>
                <pt idx="668">
                  <v>1.258869076290365</v>
                </pt>
                <pt idx="669">
                  <v>1.195515516103476</v>
                </pt>
                <pt idx="670">
                  <v>1.146258036336135</v>
                </pt>
                <pt idx="671">
                  <v>1.092999007240755</v>
                </pt>
                <pt idx="672">
                  <v>1.041842181880973</v>
                </pt>
                <pt idx="673">
                  <v>0.9976861013826603</v>
                </pt>
                <pt idx="674">
                  <v>0.9601036484913442</v>
                </pt>
                <pt idx="675">
                  <v>0.9234359305661145</v>
                </pt>
                <pt idx="676">
                  <v>0.8871291919473802</v>
                </pt>
                <pt idx="677">
                  <v>0.8453246612179782</v>
                </pt>
                <pt idx="678">
                  <v>0.8169847272422099</v>
                </pt>
                <pt idx="679">
                  <v>0.782051549072509</v>
                </pt>
                <pt idx="680">
                  <v>0.7589883488191846</v>
                </pt>
                <pt idx="681">
                  <v>0.7339618632775511</v>
                </pt>
                <pt idx="682">
                  <v>0.7078479317267455</v>
                </pt>
                <pt idx="683">
                  <v>0.690812096545533</v>
                </pt>
                <pt idx="684">
                  <v>0.6620880003326105</v>
                </pt>
                <pt idx="685">
                  <v>0.6507428640311651</v>
                </pt>
                <pt idx="686">
                  <v>0.6320069831108116</v>
                </pt>
                <pt idx="687">
                  <v>0.6094652581228913</v>
                </pt>
                <pt idx="688">
                  <v>0.5935027834992066</v>
                </pt>
                <pt idx="689">
                  <v>0.5808333818857209</v>
                </pt>
                <pt idx="690">
                  <v>0.5675126119511394</v>
                </pt>
                <pt idx="691">
                  <v>0.5586158855325727</v>
                </pt>
                <pt idx="692">
                  <v>0.5529782584048472</v>
                </pt>
                <pt idx="693">
                  <v>0.5450518733280439</v>
                </pt>
                <pt idx="694">
                  <v>0.5311070034166006</v>
                </pt>
                <pt idx="695">
                  <v>0.5232869547802559</v>
                </pt>
                <pt idx="696">
                  <v>0.5190389117982575</v>
                </pt>
                <pt idx="697">
                  <v>0.5165487042573234</v>
                </pt>
                <pt idx="698">
                  <v>0.505995487561171</v>
                </pt>
                <pt idx="699">
                  <v>0.5027109909572046</v>
                </pt>
                <pt idx="700">
                  <v>0.5005399245006333</v>
                </pt>
                <pt idx="701">
                  <v>0.4987741436120512</v>
                </pt>
                <pt idx="702">
                  <v>0.4961540827429181</v>
                </pt>
                <pt idx="703">
                  <v>0.4930318230781803</v>
                </pt>
                <pt idx="704">
                  <v>0.4935635768810165</v>
                </pt>
                <pt idx="705">
                  <v>0.4918607337466466</v>
                </pt>
                <pt idx="706">
                  <v>0.4888896919234068</v>
                </pt>
                <pt idx="707">
                  <v>0.4906257780129701</v>
                </pt>
                <pt idx="708">
                  <v>0.4907667962604667</v>
                </pt>
                <pt idx="709">
                  <v>0.4914974209858894</v>
                </pt>
                <pt idx="710">
                  <v>0.4892454741584985</v>
                </pt>
                <pt idx="711">
                  <v>0.4903565606389472</v>
                </pt>
                <pt idx="712">
                  <v>0.4967183587933685</v>
                </pt>
                <pt idx="713">
                  <v>0.5045661658489582</v>
                </pt>
                <pt idx="714">
                  <v>0.5077916048082894</v>
                </pt>
                <pt idx="715">
                  <v>0.5044881687062754</v>
                </pt>
                <pt idx="716">
                  <v>0.5053523587236024</v>
                </pt>
                <pt idx="717">
                  <v>0.5129206948622083</v>
                </pt>
                <pt idx="718">
                  <v>0.5182539664738115</v>
                </pt>
                <pt idx="719">
                  <v>0.5198935272931217</v>
                </pt>
                <pt idx="720">
                  <v>0.524103209614509</v>
                </pt>
                <pt idx="721">
                  <v>0.5321371048518428</v>
                </pt>
                <pt idx="722">
                  <v>0.5387861080814079</v>
                </pt>
                <pt idx="723">
                  <v>0.5461760366831792</v>
                </pt>
                <pt idx="724">
                  <v>0.550565792284319</v>
                </pt>
                <pt idx="725">
                  <v>0.5563160621981247</v>
                </pt>
                <pt idx="726">
                  <v>0.5659651994124709</v>
                </pt>
                <pt idx="727">
                  <v>0.5708377891980034</v>
                </pt>
                <pt idx="728">
                  <v>0.5768557809929075</v>
                </pt>
                <pt idx="729">
                  <v>0.5822154516420313</v>
                </pt>
                <pt idx="730">
                  <v>0.5914482588964968</v>
                </pt>
                <pt idx="731">
                  <v>0.6053326794375713</v>
                </pt>
                <pt idx="732">
                  <v>0.6047442875624913</v>
                </pt>
                <pt idx="733">
                  <v>0.6138619035987448</v>
                </pt>
                <pt idx="734">
                  <v>0.6214921744006437</v>
                </pt>
                <pt idx="735">
                  <v>0.6381844289828483</v>
                </pt>
                <pt idx="736">
                  <v>0.6400031954055262</v>
                </pt>
                <pt idx="737">
                  <v>0.6457385183029792</v>
                </pt>
                <pt idx="738">
                  <v>0.6579553889784736</v>
                </pt>
                <pt idx="739">
                  <v>0.6665183677361191</v>
                </pt>
                <pt idx="740">
                  <v>0.674170531866083</v>
                </pt>
                <pt idx="741">
                  <v>0.6783982480534529</v>
                </pt>
                <pt idx="742">
                  <v>0.6871443090029966</v>
                </pt>
                <pt idx="743">
                  <v>0.7045498212700352</v>
                </pt>
                <pt idx="744">
                  <v>0.7037985732734794</v>
                </pt>
                <pt idx="745">
                  <v>0.7161770033478073</v>
                </pt>
                <pt idx="746">
                  <v>0.7215802903419025</v>
                </pt>
                <pt idx="747">
                  <v>0.7350777578493997</v>
                </pt>
                <pt idx="748">
                  <v>0.7464889832317191</v>
                </pt>
                <pt idx="749">
                  <v>0.7465334024307938</v>
                </pt>
                <pt idx="750">
                  <v>0.7631911982933883</v>
                </pt>
                <pt idx="751">
                  <v>0.7642095893681983</v>
                </pt>
                <pt idx="752">
                  <v>0.7706897672589501</v>
                </pt>
                <pt idx="753">
                  <v>0.7863585286832435</v>
                </pt>
                <pt idx="754">
                  <v>0.7936300398417574</v>
                </pt>
                <pt idx="755">
                  <v>0.7979545974470169</v>
                </pt>
                <pt idx="756">
                  <v>0.8103628476840227</v>
                </pt>
                <pt idx="757">
                  <v>0.816190195661775</v>
                </pt>
                <pt idx="758">
                  <v>0.8248350732266382</v>
                </pt>
                <pt idx="759">
                  <v>0.8314009924705004</v>
                </pt>
                <pt idx="760">
                  <v>0.8361743490826496</v>
                </pt>
                <pt idx="761">
                  <v>0.8401315964205028</v>
                </pt>
                <pt idx="762">
                  <v>0.8444562761568019</v>
                </pt>
                <pt idx="763">
                  <v>0.8589393363712733</v>
                </pt>
                <pt idx="764">
                  <v>0.8631563737839545</v>
                </pt>
                <pt idx="765">
                  <v>0.8704270397864807</v>
                </pt>
                <pt idx="766">
                  <v>0.8731660596238239</v>
                </pt>
                <pt idx="767">
                  <v>0.8826794880402856</v>
                </pt>
                <pt idx="768">
                  <v>0.8889517443018935</v>
                </pt>
                <pt idx="769">
                  <v>0.8983654799232148</v>
                </pt>
                <pt idx="770">
                  <v>0.8955993322374746</v>
                </pt>
                <pt idx="771">
                  <v>0.9077911141025713</v>
                </pt>
                <pt idx="772">
                  <v>0.9118098579378628</v>
                </pt>
                <pt idx="773">
                  <v>0.9172842733524029</v>
                </pt>
                <pt idx="774">
                  <v>0.9235167288272865</v>
                </pt>
                <pt idx="775">
                  <v>0.9256960365911774</v>
                </pt>
                <pt idx="776">
                  <v>0.9313326582354494</v>
                </pt>
                <pt idx="777">
                  <v>0.9344456861784315</v>
                </pt>
                <pt idx="778">
                  <v>0.9401605868520891</v>
                </pt>
                <pt idx="779">
                  <v>0.9439161618908765</v>
                </pt>
                <pt idx="780">
                  <v>0.9467850725567662</v>
                </pt>
                <pt idx="781">
                  <v>0.9531661220073527</v>
                </pt>
                <pt idx="782">
                  <v>0.9526167598606419</v>
                </pt>
                <pt idx="783">
                  <v>0.9629799846512609</v>
                </pt>
                <pt idx="784">
                  <v>0.9648130879035427</v>
                </pt>
                <pt idx="785">
                  <v>0.9675298070121557</v>
                </pt>
                <pt idx="786">
                  <v>0.9721296017969298</v>
                </pt>
                <pt idx="787">
                  <v>0.978999956246642</v>
                </pt>
                <pt idx="788">
                  <v>0.9801500605915676</v>
                </pt>
                <pt idx="789">
                  <v>0.9778604887724502</v>
                </pt>
                <pt idx="790">
                  <v>0.982311569797227</v>
                </pt>
                <pt idx="791">
                  <v>0.9872848149832686</v>
                </pt>
                <pt idx="792">
                  <v>0.9904165944973004</v>
                </pt>
                <pt idx="793">
                  <v>0.9878088719352156</v>
                </pt>
                <pt idx="794">
                  <v>0.9980039841688096</v>
                </pt>
                <pt idx="795">
                  <v>0.9992109463252762</v>
                </pt>
                <pt idx="796">
                  <v>0.9957047803289656</v>
                </pt>
                <pt idx="797">
                  <v>0.9988252904526771</v>
                </pt>
                <pt idx="798">
                  <v>0.997160073182195</v>
                </pt>
                <pt idx="799">
                  <v>1.002197594947587</v>
                </pt>
                <pt idx="800">
                  <v>1.003326016780485</v>
                </pt>
                <pt idx="801">
                  <v>1.003749714482957</v>
                </pt>
                <pt idx="802">
                  <v>1.005896258916317</v>
                </pt>
                <pt idx="803">
                  <v>1.013524376545236</v>
                </pt>
                <pt idx="804">
                  <v>1.00901697571123</v>
                </pt>
                <pt idx="805">
                  <v>1.008116411750424</v>
                </pt>
                <pt idx="806">
                  <v>1.015154182676012</v>
                </pt>
                <pt idx="807">
                  <v>1.014315856807029</v>
                </pt>
                <pt idx="808">
                  <v>1.016067749776318</v>
                </pt>
                <pt idx="809">
                  <v>1.021466064198115</v>
                </pt>
                <pt idx="810">
                  <v>1.018827235829333</v>
                </pt>
                <pt idx="811">
                  <v>1.016550679872085</v>
                </pt>
                <pt idx="812">
                  <v>1.01937832813566</v>
                </pt>
                <pt idx="813">
                  <v>1.019036035486922</v>
                </pt>
                <pt idx="814">
                  <v>1.023411347713111</v>
                </pt>
                <pt idx="815">
                  <v>1.017375832837362</v>
                </pt>
                <pt idx="816">
                  <v>1.019397041671259</v>
                </pt>
                <pt idx="817">
                  <v>1.027032491699808</v>
                </pt>
                <pt idx="818">
                  <v>1.025445618148711</v>
                </pt>
                <pt idx="819">
                  <v>1.026413158930418</v>
                </pt>
                <pt idx="820">
                  <v>1.023169658458901</v>
                </pt>
                <pt idx="821">
                  <v>1.021741517754449</v>
                </pt>
                <pt idx="822">
                  <v>1.026565029757101</v>
                </pt>
                <pt idx="823">
                  <v>1.028781162853866</v>
                </pt>
                <pt idx="824">
                  <v>1.021465338891099</v>
                </pt>
                <pt idx="825">
                  <v>1.022312878150158</v>
                </pt>
                <pt idx="826">
                  <v>1.024337189852684</v>
                </pt>
                <pt idx="827">
                  <v>1.022175819822709</v>
                </pt>
                <pt idx="828">
                  <v>1.022348076046943</v>
                </pt>
                <pt idx="829">
                  <v>1.022678845576323</v>
                </pt>
                <pt idx="830">
                  <v>1.022591996038186</v>
                </pt>
                <pt idx="831">
                  <v>1.027358536418838</v>
                </pt>
                <pt idx="832">
                  <v>1.02340554146047</v>
                </pt>
                <pt idx="833">
                  <v>1.024952845631838</v>
                </pt>
                <pt idx="834">
                  <v>1.02190453809686</v>
                </pt>
                <pt idx="835">
                  <v>1.025523519886574</v>
                </pt>
                <pt idx="836">
                  <v>1.026023298075121</v>
                </pt>
                <pt idx="837">
                  <v>1.022340711972296</v>
                </pt>
                <pt idx="838">
                  <v>1.024980235051979</v>
                </pt>
                <pt idx="839">
                  <v>1.020945936107945</v>
                </pt>
                <pt idx="840">
                  <v>1.025010471881819</v>
                </pt>
                <pt idx="841">
                  <v>1.028895783563537</v>
                </pt>
                <pt idx="842">
                  <v>1.023595646278382</v>
                </pt>
                <pt idx="843">
                  <v>1.020741106106467</v>
                </pt>
                <pt idx="844">
                  <v>1.026063857160778</v>
                </pt>
                <pt idx="845">
                  <v>1.017389807775543</v>
                </pt>
                <pt idx="846">
                  <v>1.017087762201688</v>
                </pt>
                <pt idx="847">
                  <v>1.01849624132229</v>
                </pt>
                <pt idx="848">
                  <v>1.020889105517983</v>
                </pt>
                <pt idx="849">
                  <v>1.020541126611364</v>
                </pt>
                <pt idx="850">
                  <v>1.023426611878852</v>
                </pt>
                <pt idx="851">
                  <v>1.024063971448311</v>
                </pt>
                <pt idx="852">
                  <v>1.01600309367884</v>
                </pt>
                <pt idx="853">
                  <v>1.017245885163261</v>
                </pt>
                <pt idx="854">
                  <v>1.01827526494385</v>
                </pt>
                <pt idx="855">
                  <v>1.023375653925634</v>
                </pt>
                <pt idx="856">
                  <v>1.021702118545919</v>
                </pt>
                <pt idx="857">
                  <v>1.013182132571627</v>
                </pt>
                <pt idx="858">
                  <v>1.01298990408422</v>
                </pt>
                <pt idx="859">
                  <v>1.015123028837306</v>
                </pt>
                <pt idx="860">
                  <v>1.014856086432641</v>
                </pt>
                <pt idx="861">
                  <v>1.019252955439741</v>
                </pt>
                <pt idx="862">
                  <v>1.018587536872948</v>
                </pt>
                <pt idx="863">
                  <v>1.014858993817006</v>
                </pt>
                <pt idx="864">
                  <v>1.015212135265004</v>
                </pt>
                <pt idx="865">
                  <v>1.012852387595045</v>
                </pt>
                <pt idx="866">
                  <v>1.013638324496971</v>
                </pt>
                <pt idx="867">
                  <v>1.018723127488203</v>
                </pt>
                <pt idx="868">
                  <v>1.017971513624461</v>
                </pt>
                <pt idx="869">
                  <v>1.009416868719574</v>
                </pt>
                <pt idx="870">
                  <v>1.012578770095543</v>
                </pt>
                <pt idx="871">
                  <v>1.013377048206234</v>
                </pt>
                <pt idx="872">
                  <v>1.007548970593763</v>
                </pt>
                <pt idx="873">
                  <v>1.008836236283853</v>
                </pt>
                <pt idx="874">
                  <v>1.010298347250612</v>
                </pt>
                <pt idx="875">
                  <v>1.012369356421436</v>
                </pt>
                <pt idx="876">
                  <v>1.011198696846284</v>
                </pt>
                <pt idx="877">
                  <v>1.008286709467128</v>
                </pt>
                <pt idx="878">
                  <v>1.009259913795328</v>
                </pt>
                <pt idx="879">
                  <v>1.013302962311303</v>
                </pt>
                <pt idx="880">
                  <v>1.006049066878919</v>
                </pt>
                <pt idx="881">
                  <v>1.010091863306352</v>
                </pt>
                <pt idx="882">
                  <v>1.012151887534335</v>
                </pt>
                <pt idx="883">
                  <v>1.004690289208404</v>
                </pt>
                <pt idx="884">
                  <v>1.010293972684704</v>
                </pt>
                <pt idx="885">
                  <v>1.003639249111423</v>
                </pt>
                <pt idx="886">
                  <v>1.002999540624593</v>
                </pt>
                <pt idx="887">
                  <v>1.002768724858851</v>
                </pt>
                <pt idx="888">
                  <v>1.003106598076434</v>
                </pt>
                <pt idx="889">
                  <v>1.00952442862632</v>
                </pt>
                <pt idx="890">
                  <v>1.00329964591857</v>
                </pt>
                <pt idx="891">
                  <v>1.006018435285655</v>
                </pt>
                <pt idx="892">
                  <v>1.003056690571273</v>
                </pt>
                <pt idx="893">
                  <v>1.000352228673113</v>
                </pt>
                <pt idx="894">
                  <v>1.001196979360494</v>
                </pt>
                <pt idx="895">
                  <v>1.004246534038296</v>
                </pt>
                <pt idx="896">
                  <v>1.006467786949634</v>
                </pt>
                <pt idx="897">
                  <v>1.002689638691286</v>
                </pt>
                <pt idx="898">
                  <v>1.005775442913664</v>
                </pt>
                <pt idx="899">
                  <v>1.001437477842958</v>
                </pt>
                <pt idx="900">
                  <v>1.004339350153524</v>
                </pt>
                <pt idx="901">
                  <v>1.0056157516252</v>
                </pt>
                <pt idx="902">
                  <v>1.001381858749927</v>
                </pt>
                <pt idx="903">
                  <v>1.006794667530632</v>
                </pt>
                <pt idx="904">
                  <v>0.9982255140798547</v>
                </pt>
                <pt idx="905">
                  <v>1.002770161486792</v>
                </pt>
                <pt idx="906">
                  <v>1.003349635969953</v>
                </pt>
                <pt idx="907">
                  <v>1.003201461759823</v>
                </pt>
                <pt idx="908">
                  <v>0.9961721710030806</v>
                </pt>
                <pt idx="909">
                  <v>0.9978431455207352</v>
                </pt>
                <pt idx="910">
                  <v>1.002309518937981</v>
                </pt>
                <pt idx="911">
                  <v>0.9963697537506816</v>
                </pt>
                <pt idx="912">
                  <v>1.002696452192707</v>
                </pt>
                <pt idx="913">
                  <v>1.004978166552676</v>
                </pt>
                <pt idx="914">
                  <v>0.9983841573513106</v>
                </pt>
                <pt idx="915">
                  <v>0.9984292710729273</v>
                </pt>
                <pt idx="916">
                  <v>0.9999580823354575</v>
                </pt>
                <pt idx="917">
                  <v>1.002747438569442</v>
                </pt>
                <pt idx="918">
                  <v>0.9958923549683174</v>
                </pt>
                <pt idx="919">
                  <v>1.003311835984726</v>
                </pt>
                <pt idx="920">
                  <v>0.999649994752846</v>
                </pt>
                <pt idx="921">
                  <v>0.9968978502765741</v>
                </pt>
                <pt idx="922">
                  <v>1.003515440018673</v>
                </pt>
                <pt idx="923">
                  <v>1.00465028073631</v>
                </pt>
                <pt idx="924">
                  <v>1.004143281397341</v>
                </pt>
                <pt idx="925">
                  <v>1.001223950062238</v>
                </pt>
                <pt idx="926">
                  <v>0.9996295450267776</v>
                </pt>
                <pt idx="927">
                  <v>1.002811208534224</v>
                </pt>
                <pt idx="928">
                  <v>0.9939142474168069</v>
                </pt>
                <pt idx="929">
                  <v>0.9960898808253889</v>
                </pt>
                <pt idx="930">
                  <v>1.003645306732172</v>
                </pt>
                <pt idx="931">
                  <v>1.002091122292744</v>
                </pt>
                <pt idx="932">
                  <v>0.996913087244734</v>
                </pt>
                <pt idx="933">
                  <v>0.9950574899428689</v>
                </pt>
                <pt idx="934">
                  <v>0.995410258713798</v>
                </pt>
                <pt idx="935">
                  <v>0.9982798512556652</v>
                </pt>
                <pt idx="936">
                  <v>0.9976217764449743</v>
                </pt>
                <pt idx="937">
                  <v>1.001665123255263</v>
                </pt>
                <pt idx="938">
                  <v>0.9988724227328022</v>
                </pt>
                <pt idx="939">
                  <v>0.995798989139507</v>
                </pt>
                <pt idx="940">
                  <v>0.9946554523136056</v>
                </pt>
                <pt idx="941">
                  <v>1.003481444429587</v>
                </pt>
                <pt idx="942">
                  <v>0.9954861991677174</v>
                </pt>
                <pt idx="943">
                  <v>1.002377430829259</v>
                </pt>
                <pt idx="944">
                  <v>0.9944771098192917</v>
                </pt>
                <pt idx="945">
                  <v>0.9963043832667333</v>
                </pt>
                <pt idx="946">
                  <v>1.002769042556344</v>
                </pt>
                <pt idx="947">
                  <v>1.001410303044567</v>
                </pt>
                <pt idx="948">
                  <v>0.9988859941452898</v>
                </pt>
                <pt idx="949">
                  <v>1.003079379670886</v>
                </pt>
                <pt idx="950">
                  <v>1.002504837782052</v>
                </pt>
                <pt idx="951">
                  <v>1.00145224048682</v>
                </pt>
                <pt idx="952">
                  <v>0.9999825395330674</v>
                </pt>
                <pt idx="953">
                  <v>0.9935731913617786</v>
                </pt>
                <pt idx="954">
                  <v>0.994994392247696</v>
                </pt>
                <pt idx="955">
                  <v>0.9985483876024123</v>
                </pt>
                <pt idx="956">
                  <v>0.998195954086567</v>
                </pt>
                <pt idx="957">
                  <v>0.9963893306325713</v>
                </pt>
                <pt idx="958">
                  <v>0.9998343005176967</v>
                </pt>
                <pt idx="959">
                  <v>1.002881976927855</v>
                </pt>
                <pt idx="960">
                  <v>1.002128206644867</v>
                </pt>
                <pt idx="961">
                  <v>0.9963994737936662</v>
                </pt>
                <pt idx="962">
                  <v>0.995196631662668</v>
                </pt>
                <pt idx="963">
                  <v>0.9946742806886388</v>
                </pt>
                <pt idx="964">
                  <v>0.9982205275707907</v>
                </pt>
                <pt idx="965">
                  <v>1.000475919485047</v>
                </pt>
                <pt idx="966">
                  <v>1.000154240276264</v>
                </pt>
                <pt idx="967">
                  <v>1.003937438493808</v>
                </pt>
                <pt idx="968">
                  <v>1.001139006314191</v>
                </pt>
                <pt idx="969">
                  <v>1.002966714266176</v>
                </pt>
                <pt idx="970">
                  <v>1.002743715053344</v>
                </pt>
                <pt idx="971">
                  <v>0.9947590520889537</v>
                </pt>
                <pt idx="972">
                  <v>0.9988275917720744</v>
                </pt>
                <pt idx="973">
                  <v>0.9950117281921917</v>
                </pt>
                <pt idx="974">
                  <v>1.001631808690769</v>
                </pt>
                <pt idx="975">
                  <v>0.9977632500852006</v>
                </pt>
                <pt idx="976">
                  <v>1.002299822405612</v>
                </pt>
                <pt idx="977">
                  <v>1.004147002276476</v>
                </pt>
                <pt idx="978">
                  <v>1.002911033743849</v>
                </pt>
                <pt idx="979">
                  <v>0.9960583352252851</v>
                </pt>
                <pt idx="980">
                  <v>1.004493440131508</v>
                </pt>
                <pt idx="981">
                  <v>1.001258641465633</v>
                </pt>
                <pt idx="982">
                  <v>0.9963103067030799</v>
                </pt>
                <pt idx="983">
                  <v>0.9972288598958399</v>
                </pt>
                <pt idx="984">
                  <v>0.9971178177420623</v>
                </pt>
                <pt idx="985">
                  <v>1.00181729917469</v>
                </pt>
                <pt idx="986">
                  <v>0.9957762777837906</v>
                </pt>
                <pt idx="987">
                  <v>0.99923871599673</v>
                </pt>
                <pt idx="988">
                  <v>1.005067914496084</v>
                </pt>
                <pt idx="989">
                  <v>0.9976769692632983</v>
                </pt>
                <pt idx="990">
                  <v>0.9965045944788047</v>
                </pt>
                <pt idx="991">
                  <v>0.9956581639174539</v>
                </pt>
                <pt idx="992">
                  <v>0.9975625535215246</v>
                </pt>
                <pt idx="993">
                  <v>0.999832212054843</v>
                </pt>
                <pt idx="994">
                  <v>0.9957099691173014</v>
                </pt>
                <pt idx="995">
                  <v>1.000164393627466</v>
                </pt>
                <pt idx="996">
                  <v>1.001729733439554</v>
                </pt>
                <pt idx="997">
                  <v>1.001127080370871</v>
                </pt>
                <pt idx="998">
                  <v>0.9988361424007123</v>
                </pt>
                <pt idx="999">
                  <v>1.002622078460586</v>
                </pt>
                <pt idx="1000">
                  <v>1.0009303072365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27574879"/>
        <axId val="1527573215"/>
      </lineChart>
      <catAx>
        <axId val="1527574879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3215"/>
        <crosses val="autoZero"/>
        <auto val="1"/>
        <lblAlgn val="ctr"/>
        <lblOffset val="100"/>
        <noMultiLvlLbl val="0"/>
      </catAx>
      <valAx>
        <axId val="15275732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48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8396717024155"/>
          <y val="0.01627905362302682"/>
          <w val="0.8943760999602067"/>
          <h val="0.9778866700546336"/>
        </manualLayout>
      </layout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Лист4!$N$1</f>
              <strCache>
                <ptCount val="1"/>
                <pt idx="0">
                  <v>e(nT0)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Лист4!$N$2:$N$1002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0.9908445868619822</v>
                </pt>
                <pt idx="64">
                  <v>0.9649042496375982</v>
                </pt>
                <pt idx="65">
                  <v>0.9237048905165179</v>
                </pt>
                <pt idx="66">
                  <v>0.876401922636759</v>
                </pt>
                <pt idx="67">
                  <v>0.8321507591363393</v>
                </pt>
                <pt idx="68">
                  <v>0.7894254978255894</v>
                </pt>
                <pt idx="69">
                  <v>0.748226138704509</v>
                </pt>
                <pt idx="70">
                  <v>0.7085526817730983</v>
                </pt>
                <pt idx="71">
                  <v>0.6704051270313574</v>
                </pt>
                <pt idx="72">
                  <v>0.6353093766689555</v>
                </pt>
                <pt idx="73">
                  <v>0.6002136263065538</v>
                </pt>
                <pt idx="74">
                  <v>0.565117875944152</v>
                </pt>
                <pt idx="75">
                  <v>0.5330739299610895</v>
                </pt>
                <pt idx="76">
                  <v>0.501029983978027</v>
                </pt>
                <pt idx="77">
                  <v>0.4689860379949645</v>
                </pt>
                <pt idx="78">
                  <v>0.4384679942015717</v>
                </pt>
                <pt idx="79">
                  <v>0.4094758525978485</v>
                </pt>
                <pt idx="80">
                  <v>0.3804837109941253</v>
                </pt>
                <pt idx="81">
                  <v>0.351491569390402</v>
                </pt>
                <pt idx="82">
                  <v>0.3240253299763485</v>
                </pt>
                <pt idx="83">
                  <v>0.2965590905622949</v>
                </pt>
                <pt idx="84">
                  <v>0.2690928511482414</v>
                </pt>
                <pt idx="85">
                  <v>0.2416266117341879</v>
                </pt>
                <pt idx="86">
                  <v>0.2156862745098039</v>
                </pt>
                <pt idx="87">
                  <v>0.1912718394750895</v>
                </pt>
                <pt idx="88">
                  <v>0.168383306630045</v>
                </pt>
                <pt idx="89">
                  <v>0.1485465781643397</v>
                </pt>
                <pt idx="90">
                  <v>0.1302357518883039</v>
                </pt>
                <pt idx="91">
                  <v>0.1134508278019379</v>
                </pt>
                <pt idx="92">
                  <v>0.09819180590524157</v>
                </pt>
                <pt idx="93">
                  <v>0.08598458838788425</v>
                </pt>
                <pt idx="94">
                  <v>0.07377737087052716</v>
                </pt>
                <pt idx="95">
                  <v>0.06462195773250934</v>
                </pt>
                <pt idx="96">
                  <v>0.05546654459449152</v>
                </pt>
                <pt idx="97">
                  <v>0.04783703364614322</v>
                </pt>
                <pt idx="98">
                  <v>0.04173342488746468</v>
                </pt>
                <pt idx="99">
                  <v>0.03562981612878613</v>
                </pt>
                <pt idx="100">
                  <v>0.03105210955977722</v>
                </pt>
                <pt idx="101">
                  <v>0.02647440299076831</v>
                </pt>
                <pt idx="102">
                  <v>0.02342259861142904</v>
                </pt>
                <pt idx="103">
                  <v>0.0218966964217594</v>
                </pt>
                <pt idx="104">
                  <v>0.02037079423208976</v>
                </pt>
                <pt idx="105">
                  <v>0.01884489204242012</v>
                </pt>
                <pt idx="106">
                  <v>0.01884489204242012</v>
                </pt>
                <pt idx="107">
                  <v>0.01884489204242012</v>
                </pt>
                <pt idx="108">
                  <v>0.02037079423208976</v>
                </pt>
                <pt idx="109">
                  <v>0.0218966964217594</v>
                </pt>
                <pt idx="110">
                  <v>0.02342259861142904</v>
                </pt>
                <pt idx="111">
                  <v>0.02647440299076831</v>
                </pt>
                <pt idx="112">
                  <v>0.02952620737010758</v>
                </pt>
                <pt idx="113">
                  <v>0.03257801174944686</v>
                </pt>
                <pt idx="114">
                  <v>0.03562981612878613</v>
                </pt>
                <pt idx="115">
                  <v>0.0386816205081254</v>
                </pt>
                <pt idx="116">
                  <v>0.04173342488746468</v>
                </pt>
                <pt idx="117">
                  <v>0.04631113145647359</v>
                </pt>
                <pt idx="118">
                  <v>0.04936293583581297</v>
                </pt>
                <pt idx="119">
                  <v>0.05241474021515224</v>
                </pt>
                <pt idx="120">
                  <v>0.05546654459449152</v>
                </pt>
                <pt idx="121">
                  <v>0.05851834897383079</v>
                </pt>
                <pt idx="122">
                  <v>0.06157015335317007</v>
                </pt>
                <pt idx="123">
                  <v>0.0630960555428397</v>
                </pt>
                <pt idx="124">
                  <v>0.06614785992217898</v>
                </pt>
                <pt idx="125">
                  <v>0.06767376211184861</v>
                </pt>
                <pt idx="126">
                  <v>0.07072556649118789</v>
                </pt>
                <pt idx="127">
                  <v>0.07225146868085752</v>
                </pt>
                <pt idx="128">
                  <v>0.07377737087052716</v>
                </pt>
                <pt idx="129">
                  <v>0.07377737087052716</v>
                </pt>
                <pt idx="130">
                  <v>0.0753032730601968</v>
                </pt>
                <pt idx="131">
                  <v>0.0753032730601968</v>
                </pt>
                <pt idx="132">
                  <v>0.07682917524986643</v>
                </pt>
                <pt idx="133">
                  <v>0.07682917524986643</v>
                </pt>
                <pt idx="134">
                  <v>0.07682917524986643</v>
                </pt>
                <pt idx="135">
                  <v>0.0753032730601968</v>
                </pt>
                <pt idx="136">
                  <v>0.0753032730601968</v>
                </pt>
                <pt idx="137">
                  <v>0.07377737087052716</v>
                </pt>
                <pt idx="138">
                  <v>0.07225146868085752</v>
                </pt>
                <pt idx="139">
                  <v>0.07225146868085752</v>
                </pt>
                <pt idx="140">
                  <v>0.06919966430151825</v>
                </pt>
                <pt idx="141">
                  <v>0.06767376211184861</v>
                </pt>
                <pt idx="142">
                  <v>0.06614785992217898</v>
                </pt>
                <pt idx="143">
                  <v>0.06462195773250934</v>
                </pt>
                <pt idx="144">
                  <v>0.06157015335317007</v>
                </pt>
                <pt idx="145">
                  <v>0.06004425116350043</v>
                </pt>
                <pt idx="146">
                  <v>0.05699244678416115</v>
                </pt>
                <pt idx="147">
                  <v>0.05394064240482188</v>
                </pt>
                <pt idx="148">
                  <v>0.05241474021515224</v>
                </pt>
                <pt idx="149">
                  <v>0.04936293583581297</v>
                </pt>
                <pt idx="150">
                  <v>0.04631113145647359</v>
                </pt>
                <pt idx="151">
                  <v>0.04325932707713431</v>
                </pt>
                <pt idx="152">
                  <v>0.04173342488746468</v>
                </pt>
                <pt idx="153">
                  <v>0.0386816205081254</v>
                </pt>
                <pt idx="154">
                  <v>0.03562981612878613</v>
                </pt>
                <pt idx="155">
                  <v>0.03257801174944686</v>
                </pt>
                <pt idx="156">
                  <v>0.03105210955977722</v>
                </pt>
                <pt idx="157">
                  <v>0.02800030518043795</v>
                </pt>
                <pt idx="158">
                  <v>0.02494850080109867</v>
                </pt>
                <pt idx="159">
                  <v>0.02342259861142904</v>
                </pt>
                <pt idx="160">
                  <v>0.02037079423208976</v>
                </pt>
                <pt idx="161">
                  <v>0.01731898985275049</v>
                </pt>
                <pt idx="162">
                  <v>0.01579308766308085</v>
                </pt>
                <pt idx="163">
                  <v>0.01426718547341121</v>
                </pt>
                <pt idx="164">
                  <v>0.01121538109407194</v>
                </pt>
                <pt idx="165">
                  <v>0.009689478904402304</v>
                </pt>
                <pt idx="166">
                  <v>0.008163576714732668</v>
                </pt>
                <pt idx="167">
                  <v>0.006637674525063031</v>
                </pt>
                <pt idx="168">
                  <v>0.005111772335393394</v>
                </pt>
                <pt idx="169">
                  <v>0.003585870145723757</v>
                </pt>
                <pt idx="170">
                  <v>0.002059967956054121</v>
                </pt>
                <pt idx="171">
                  <v>0.0005340657663844839</v>
                </pt>
                <pt idx="172">
                  <v>-0.0009918364232852639</v>
                </pt>
                <pt idx="173">
                  <v>-0.002517738612954901</v>
                </pt>
                <pt idx="174">
                  <v>-0.002517738612954901</v>
                </pt>
                <pt idx="175">
                  <v>-0.004043640802624537</v>
                </pt>
                <pt idx="176">
                  <v>-0.004043640802624537</v>
                </pt>
                <pt idx="177">
                  <v>-0.005569542992294174</v>
                </pt>
                <pt idx="178">
                  <v>-0.005569542992294174</v>
                </pt>
                <pt idx="179">
                  <v>-0.005569542992294174</v>
                </pt>
                <pt idx="180">
                  <v>-0.007095445181963811</v>
                </pt>
                <pt idx="181">
                  <v>-0.007095445181963811</v>
                </pt>
                <pt idx="182">
                  <v>-0.007095445181963811</v>
                </pt>
                <pt idx="183">
                  <v>-0.007095445181963811</v>
                </pt>
                <pt idx="184">
                  <v>-0.007095445181963811</v>
                </pt>
                <pt idx="185">
                  <v>-0.007095445181963811</v>
                </pt>
                <pt idx="186">
                  <v>-0.007095445181963811</v>
                </pt>
                <pt idx="187">
                  <v>-0.007095445181963811</v>
                </pt>
                <pt idx="188">
                  <v>-0.007095445181963811</v>
                </pt>
                <pt idx="189">
                  <v>-0.007095445181963811</v>
                </pt>
                <pt idx="190">
                  <v>-0.007095445181963811</v>
                </pt>
                <pt idx="191">
                  <v>-0.007095445181963811</v>
                </pt>
                <pt idx="192">
                  <v>-0.005569542992294174</v>
                </pt>
                <pt idx="193">
                  <v>-0.005569542992294174</v>
                </pt>
                <pt idx="194">
                  <v>-0.005569542992294174</v>
                </pt>
                <pt idx="195">
                  <v>-0.005569542992294174</v>
                </pt>
                <pt idx="196">
                  <v>-0.004043640802624537</v>
                </pt>
                <pt idx="197">
                  <v>-0.004043640802624537</v>
                </pt>
                <pt idx="198">
                  <v>-0.004043640802624537</v>
                </pt>
                <pt idx="199">
                  <v>-0.004043640802624537</v>
                </pt>
                <pt idx="200">
                  <v>-0.002517738612954901</v>
                </pt>
                <pt idx="201">
                  <v>-0.002517738612954901</v>
                </pt>
                <pt idx="202">
                  <v>-0.002517738612954901</v>
                </pt>
                <pt idx="203">
                  <v>-0.002517738612954901</v>
                </pt>
                <pt idx="204">
                  <v>-0.0009918364232852639</v>
                </pt>
                <pt idx="205">
                  <v>-0.0009918364232852639</v>
                </pt>
                <pt idx="206">
                  <v>-0.0009918364232852639</v>
                </pt>
                <pt idx="207">
                  <v>-0.0009918364232852639</v>
                </pt>
                <pt idx="208">
                  <v>-0.0009918364232852639</v>
                </pt>
                <pt idx="209">
                  <v>-0.0009918364232852639</v>
                </pt>
                <pt idx="210">
                  <v>-0.0009918364232852639</v>
                </pt>
                <pt idx="211">
                  <v>0.0005340657663844839</v>
                </pt>
                <pt idx="212">
                  <v>0.0005340657663844839</v>
                </pt>
                <pt idx="213">
                  <v>0.0005340657663844839</v>
                </pt>
                <pt idx="214">
                  <v>0.0005340657663844839</v>
                </pt>
                <pt idx="215">
                  <v>0.0005340657663844839</v>
                </pt>
                <pt idx="216">
                  <v>0.0005340657663844839</v>
                </pt>
                <pt idx="217">
                  <v>0.0005340657663844839</v>
                </pt>
                <pt idx="218">
                  <v>0.0005340657663844839</v>
                </pt>
                <pt idx="219">
                  <v>0.0005340657663844839</v>
                </pt>
                <pt idx="220">
                  <v>0.0005340657663844839</v>
                </pt>
                <pt idx="221">
                  <v>0.0005340657663844839</v>
                </pt>
                <pt idx="222">
                  <v>0.0005340657663844839</v>
                </pt>
                <pt idx="223">
                  <v>0.0005340657663844839</v>
                </pt>
                <pt idx="224">
                  <v>0.0005340657663844839</v>
                </pt>
                <pt idx="225">
                  <v>0.0005340657663844839</v>
                </pt>
                <pt idx="226">
                  <v>0.0005340657663844839</v>
                </pt>
                <pt idx="227">
                  <v>0.0005340657663844839</v>
                </pt>
                <pt idx="228">
                  <v>0.0005340657663844839</v>
                </pt>
                <pt idx="229">
                  <v>0.0005340657663844839</v>
                </pt>
                <pt idx="230">
                  <v>0.0005340657663844839</v>
                </pt>
                <pt idx="231">
                  <v>0.0005340657663844839</v>
                </pt>
                <pt idx="232">
                  <v>-0.0009918364232852639</v>
                </pt>
                <pt idx="233">
                  <v>-0.0009918364232852639</v>
                </pt>
                <pt idx="234">
                  <v>-0.0009918364232852639</v>
                </pt>
                <pt idx="235">
                  <v>-0.0009918364232852639</v>
                </pt>
                <pt idx="236">
                  <v>-0.0009918364232852639</v>
                </pt>
                <pt idx="237">
                  <v>-0.0009918364232852639</v>
                </pt>
                <pt idx="238">
                  <v>-0.0009918364232852639</v>
                </pt>
                <pt idx="239">
                  <v>-0.0009918364232852639</v>
                </pt>
                <pt idx="240">
                  <v>-0.0009918364232852639</v>
                </pt>
                <pt idx="241">
                  <v>-0.0009918364232852639</v>
                </pt>
                <pt idx="242">
                  <v>-0.0009918364232852639</v>
                </pt>
                <pt idx="243">
                  <v>-0.0009918364232852639</v>
                </pt>
                <pt idx="244">
                  <v>-0.0009918364232852639</v>
                </pt>
                <pt idx="245">
                  <v>-0.0009918364232852639</v>
                </pt>
                <pt idx="246">
                  <v>-0.0009918364232852639</v>
                </pt>
                <pt idx="247">
                  <v>-0.0009918364232852639</v>
                </pt>
                <pt idx="248">
                  <v>-0.0009918364232852639</v>
                </pt>
                <pt idx="249">
                  <v>-0.0009918364232852639</v>
                </pt>
                <pt idx="250">
                  <v>-0.0009918364232852639</v>
                </pt>
                <pt idx="251">
                  <v>-0.0009918364232852639</v>
                </pt>
                <pt idx="252">
                  <v>-0.0009918364232852639</v>
                </pt>
                <pt idx="253">
                  <v>-0.0009918364232852639</v>
                </pt>
                <pt idx="254">
                  <v>-0.0009918364232852639</v>
                </pt>
                <pt idx="255">
                  <v>-0.0009918364232852639</v>
                </pt>
                <pt idx="256">
                  <v>-0.0009918364232852639</v>
                </pt>
                <pt idx="257">
                  <v>-0.0009918364232852639</v>
                </pt>
                <pt idx="258">
                  <v>-0.0009918364232852639</v>
                </pt>
                <pt idx="259">
                  <v>-0.0009918364232852639</v>
                </pt>
                <pt idx="260">
                  <v>-0.0009918364232852639</v>
                </pt>
                <pt idx="261">
                  <v>-0.0009918364232852639</v>
                </pt>
                <pt idx="262">
                  <v>-0.0009918364232852639</v>
                </pt>
                <pt idx="263">
                  <v>-0.0009918364232852639</v>
                </pt>
                <pt idx="264">
                  <v>-0.0009918364232852639</v>
                </pt>
                <pt idx="265">
                  <v>-0.0009918364232852639</v>
                </pt>
                <pt idx="266">
                  <v>-0.0009918364232852639</v>
                </pt>
                <pt idx="267">
                  <v>-0.0009918364232852639</v>
                </pt>
                <pt idx="268">
                  <v>-0.0009918364232852639</v>
                </pt>
                <pt idx="269">
                  <v>-0.0009918364232852639</v>
                </pt>
                <pt idx="270">
                  <v>-0.0009918364232852639</v>
                </pt>
                <pt idx="271">
                  <v>-0.0009918364232852639</v>
                </pt>
                <pt idx="272">
                  <v>-0.0009918364232852639</v>
                </pt>
                <pt idx="273">
                  <v>-0.0009918364232852639</v>
                </pt>
                <pt idx="274">
                  <v>0.0005340657663844839</v>
                </pt>
                <pt idx="275">
                  <v>0.0005340657663844839</v>
                </pt>
                <pt idx="276">
                  <v>0.0005340657663844839</v>
                </pt>
                <pt idx="277">
                  <v>0.0005340657663844839</v>
                </pt>
                <pt idx="278">
                  <v>0.0005340657663844839</v>
                </pt>
                <pt idx="279">
                  <v>0.0005340657663844839</v>
                </pt>
                <pt idx="280">
                  <v>0.0005340657663844839</v>
                </pt>
                <pt idx="281">
                  <v>0.0005340657663844839</v>
                </pt>
                <pt idx="282">
                  <v>0.0005340657663844839</v>
                </pt>
                <pt idx="283">
                  <v>0.0005340657663844839</v>
                </pt>
                <pt idx="284">
                  <v>0.0005340657663844839</v>
                </pt>
                <pt idx="285">
                  <v>0.0005340657663844839</v>
                </pt>
                <pt idx="286">
                  <v>0.0005340657663844839</v>
                </pt>
                <pt idx="287">
                  <v>0.0005340657663844839</v>
                </pt>
                <pt idx="288">
                  <v>0.0005340657663844839</v>
                </pt>
                <pt idx="289">
                  <v>0.0005340657663844839</v>
                </pt>
                <pt idx="290">
                  <v>0.0005340657663844839</v>
                </pt>
                <pt idx="291">
                  <v>0.0005340657663844839</v>
                </pt>
                <pt idx="292">
                  <v>0.0005340657663844839</v>
                </pt>
                <pt idx="293">
                  <v>0.0005340657663844839</v>
                </pt>
                <pt idx="294">
                  <v>0.0005340657663844839</v>
                </pt>
                <pt idx="295">
                  <v>0.0005340657663844839</v>
                </pt>
                <pt idx="296">
                  <v>0.0005340657663844839</v>
                </pt>
                <pt idx="297">
                  <v>0.0005340657663844839</v>
                </pt>
                <pt idx="298">
                  <v>0.0005340657663844839</v>
                </pt>
                <pt idx="299">
                  <v>-0.0009918364232852639</v>
                </pt>
                <pt idx="300">
                  <v>-0.0009918364232852639</v>
                </pt>
                <pt idx="301">
                  <v>-0.0009918364232852639</v>
                </pt>
                <pt idx="302">
                  <v>-0.0009918364232852639</v>
                </pt>
                <pt idx="303">
                  <v>-0.0009918364232852639</v>
                </pt>
                <pt idx="304">
                  <v>-0.0009918364232852639</v>
                </pt>
                <pt idx="305">
                  <v>-0.0009918364232852639</v>
                </pt>
                <pt idx="306">
                  <v>-0.0009918364232852639</v>
                </pt>
                <pt idx="307">
                  <v>-0.0009918364232852639</v>
                </pt>
                <pt idx="308">
                  <v>-0.0009918364232852639</v>
                </pt>
                <pt idx="309">
                  <v>-0.0009918364232852639</v>
                </pt>
                <pt idx="310">
                  <v>-0.0009918364232852639</v>
                </pt>
                <pt idx="311">
                  <v>-0.0009918364232852639</v>
                </pt>
                <pt idx="312">
                  <v>-0.0009918364232852639</v>
                </pt>
                <pt idx="313">
                  <v>-0.0009918364232852639</v>
                </pt>
                <pt idx="314">
                  <v>-0.0009918364232852639</v>
                </pt>
                <pt idx="315">
                  <v>-0.0009918364232852639</v>
                </pt>
                <pt idx="316">
                  <v>-0.0009918364232852639</v>
                </pt>
                <pt idx="317">
                  <v>-0.0009918364232852639</v>
                </pt>
                <pt idx="318">
                  <v>-0.0009918364232852639</v>
                </pt>
                <pt idx="319">
                  <v>-0.0009918364232852639</v>
                </pt>
                <pt idx="320">
                  <v>-0.0009918364232852639</v>
                </pt>
                <pt idx="321">
                  <v>-0.0009918364232852639</v>
                </pt>
                <pt idx="322">
                  <v>-0.0009918364232852639</v>
                </pt>
                <pt idx="323">
                  <v>-0.0009918364232852639</v>
                </pt>
                <pt idx="324">
                  <v>-0.0009918364232852639</v>
                </pt>
                <pt idx="325">
                  <v>-0.0009918364232852639</v>
                </pt>
                <pt idx="326">
                  <v>-0.0009918364232852639</v>
                </pt>
                <pt idx="327">
                  <v>-0.0009918364232852639</v>
                </pt>
                <pt idx="328">
                  <v>0.0005340657663844839</v>
                </pt>
                <pt idx="329">
                  <v>0.0005340657663844839</v>
                </pt>
                <pt idx="330">
                  <v>0.0005340657663844839</v>
                </pt>
                <pt idx="331">
                  <v>0.0005340657663844839</v>
                </pt>
                <pt idx="332">
                  <v>0.0005340657663844839</v>
                </pt>
                <pt idx="333">
                  <v>0.0005340657663844839</v>
                </pt>
                <pt idx="334">
                  <v>0.0005340657663844839</v>
                </pt>
                <pt idx="335">
                  <v>0.0005340657663844839</v>
                </pt>
                <pt idx="336">
                  <v>0.0005340657663844839</v>
                </pt>
                <pt idx="337">
                  <v>0.0005340657663844839</v>
                </pt>
                <pt idx="338">
                  <v>0.0005340657663844839</v>
                </pt>
                <pt idx="339">
                  <v>0.0005340657663844839</v>
                </pt>
                <pt idx="340">
                  <v>0.0005340657663844839</v>
                </pt>
                <pt idx="341">
                  <v>0.0005340657663844839</v>
                </pt>
                <pt idx="342">
                  <v>0.0005340657663844839</v>
                </pt>
                <pt idx="343">
                  <v>0.0005340657663844839</v>
                </pt>
                <pt idx="344">
                  <v>0.0005340657663844839</v>
                </pt>
                <pt idx="345">
                  <v>0.0005340657663844839</v>
                </pt>
                <pt idx="346">
                  <v>0.0005340657663844839</v>
                </pt>
                <pt idx="347">
                  <v>0.0005340657663844839</v>
                </pt>
                <pt idx="348">
                  <v>0.0005340657663844839</v>
                </pt>
                <pt idx="349">
                  <v>0.0005340657663844839</v>
                </pt>
                <pt idx="350">
                  <v>0.0005340657663844839</v>
                </pt>
                <pt idx="351">
                  <v>0.0005340657663844839</v>
                </pt>
                <pt idx="352">
                  <v>0.0005340657663844839</v>
                </pt>
                <pt idx="353">
                  <v>0.0005340657663844839</v>
                </pt>
                <pt idx="354">
                  <v>0.0005340657663844839</v>
                </pt>
                <pt idx="355">
                  <v>-0.0009918364232852639</v>
                </pt>
                <pt idx="356">
                  <v>-0.0009918364232852639</v>
                </pt>
                <pt idx="357">
                  <v>-0.0009918364232852639</v>
                </pt>
                <pt idx="358">
                  <v>-0.0009918364232852639</v>
                </pt>
                <pt idx="359">
                  <v>-0.0009918364232852639</v>
                </pt>
                <pt idx="360">
                  <v>-0.0009918364232852639</v>
                </pt>
                <pt idx="361">
                  <v>-0.0009918364232852639</v>
                </pt>
                <pt idx="362">
                  <v>-0.0009918364232852639</v>
                </pt>
                <pt idx="363">
                  <v>-0.0009918364232852639</v>
                </pt>
                <pt idx="364">
                  <v>-0.0009918364232852639</v>
                </pt>
                <pt idx="365">
                  <v>-0.0009918364232852639</v>
                </pt>
                <pt idx="366">
                  <v>-0.0009918364232852639</v>
                </pt>
                <pt idx="367">
                  <v>-0.0009918364232852639</v>
                </pt>
                <pt idx="368">
                  <v>-0.0009918364232852639</v>
                </pt>
                <pt idx="369">
                  <v>-0.0009918364232852639</v>
                </pt>
                <pt idx="370">
                  <v>-0.0009918364232852639</v>
                </pt>
                <pt idx="371">
                  <v>-0.0009918364232852639</v>
                </pt>
                <pt idx="372">
                  <v>-0.0009918364232852639</v>
                </pt>
                <pt idx="373">
                  <v>-0.0009918364232852639</v>
                </pt>
                <pt idx="374">
                  <v>-0.0009918364232852639</v>
                </pt>
                <pt idx="375">
                  <v>-0.0009918364232852639</v>
                </pt>
                <pt idx="376">
                  <v>-0.0009918364232852639</v>
                </pt>
                <pt idx="377">
                  <v>-0.0009918364232852639</v>
                </pt>
                <pt idx="378">
                  <v>-0.0009918364232852639</v>
                </pt>
                <pt idx="379">
                  <v>-0.0009918364232852639</v>
                </pt>
                <pt idx="380">
                  <v>-0.0009918364232852639</v>
                </pt>
                <pt idx="381">
                  <v>-0.0009918364232852639</v>
                </pt>
                <pt idx="382">
                  <v>-0.0009918364232852639</v>
                </pt>
                <pt idx="383">
                  <v>0.0005340657663844839</v>
                </pt>
                <pt idx="384">
                  <v>0.0005340657663844839</v>
                </pt>
                <pt idx="385">
                  <v>0.0005340657663844839</v>
                </pt>
                <pt idx="386">
                  <v>0.0005340657663844839</v>
                </pt>
                <pt idx="387">
                  <v>0.0005340657663844839</v>
                </pt>
                <pt idx="388">
                  <v>0.0005340657663844839</v>
                </pt>
                <pt idx="389">
                  <v>0.0005340657663844839</v>
                </pt>
                <pt idx="390">
                  <v>0.0005340657663844839</v>
                </pt>
                <pt idx="391">
                  <v>0.0005340657663844839</v>
                </pt>
                <pt idx="392">
                  <v>0.0005340657663844839</v>
                </pt>
                <pt idx="393">
                  <v>0.0005340657663844839</v>
                </pt>
                <pt idx="394">
                  <v>0.0005340657663844839</v>
                </pt>
                <pt idx="395">
                  <v>0.0005340657663844839</v>
                </pt>
                <pt idx="396">
                  <v>0.0005340657663844839</v>
                </pt>
                <pt idx="397">
                  <v>0.0005340657663844839</v>
                </pt>
                <pt idx="398">
                  <v>0.0005340657663844839</v>
                </pt>
                <pt idx="399">
                  <v>0.0005340657663844839</v>
                </pt>
                <pt idx="400">
                  <v>0.0005340657663844839</v>
                </pt>
                <pt idx="401">
                  <v>0.0005340657663844839</v>
                </pt>
                <pt idx="402">
                  <v>0.0005340657663844839</v>
                </pt>
                <pt idx="403">
                  <v>0.0005340657663844839</v>
                </pt>
                <pt idx="404">
                  <v>0.0005340657663844839</v>
                </pt>
                <pt idx="405">
                  <v>0.0005340657663844839</v>
                </pt>
                <pt idx="406">
                  <v>0.0005340657663844839</v>
                </pt>
                <pt idx="407">
                  <v>0.0005340657663844839</v>
                </pt>
                <pt idx="408">
                  <v>0.0005340657663844839</v>
                </pt>
                <pt idx="409">
                  <v>0.0005340657663844839</v>
                </pt>
                <pt idx="410">
                  <v>-0.0009918364232852639</v>
                </pt>
                <pt idx="411">
                  <v>-0.0009918364232852639</v>
                </pt>
                <pt idx="412">
                  <v>-0.0009918364232852639</v>
                </pt>
                <pt idx="413">
                  <v>-0.0009918364232852639</v>
                </pt>
                <pt idx="414">
                  <v>-0.0009918364232852639</v>
                </pt>
                <pt idx="415">
                  <v>-0.0009918364232852639</v>
                </pt>
                <pt idx="416">
                  <v>-0.0009918364232852639</v>
                </pt>
                <pt idx="417">
                  <v>-0.0009918364232852639</v>
                </pt>
                <pt idx="418">
                  <v>-0.0009918364232852639</v>
                </pt>
                <pt idx="419">
                  <v>-0.0009918364232852639</v>
                </pt>
                <pt idx="420">
                  <v>-0.0009918364232852639</v>
                </pt>
                <pt idx="421">
                  <v>-0.0009918364232852639</v>
                </pt>
                <pt idx="422">
                  <v>-0.0009918364232852639</v>
                </pt>
                <pt idx="423">
                  <v>-0.0009918364232852639</v>
                </pt>
                <pt idx="424">
                  <v>-0.0009918364232852639</v>
                </pt>
                <pt idx="425">
                  <v>-0.0009918364232852639</v>
                </pt>
                <pt idx="426">
                  <v>-0.0009918364232852639</v>
                </pt>
                <pt idx="427">
                  <v>-0.0009918364232852639</v>
                </pt>
                <pt idx="428">
                  <v>-0.0009918364232852639</v>
                </pt>
                <pt idx="429">
                  <v>-0.0009918364232852639</v>
                </pt>
                <pt idx="430">
                  <v>-0.0009918364232852639</v>
                </pt>
                <pt idx="431">
                  <v>-0.0009918364232852639</v>
                </pt>
                <pt idx="432">
                  <v>-0.0009918364232852639</v>
                </pt>
                <pt idx="433">
                  <v>-0.0009918364232852639</v>
                </pt>
                <pt idx="434">
                  <v>-0.0009918364232852639</v>
                </pt>
                <pt idx="435">
                  <v>-0.0009918364232852639</v>
                </pt>
                <pt idx="436">
                  <v>-0.0009918364232852639</v>
                </pt>
                <pt idx="437">
                  <v>0.0005340657663844839</v>
                </pt>
                <pt idx="438">
                  <v>0.0005340657663844839</v>
                </pt>
                <pt idx="439">
                  <v>0.0005340657663844839</v>
                </pt>
                <pt idx="440">
                  <v>0.0005340657663844839</v>
                </pt>
                <pt idx="441">
                  <v>0.0005340657663844839</v>
                </pt>
                <pt idx="442">
                  <v>0.0005340657663844839</v>
                </pt>
                <pt idx="443">
                  <v>0.0005340657663844839</v>
                </pt>
                <pt idx="444">
                  <v>0.0005340657663844839</v>
                </pt>
                <pt idx="445">
                  <v>0.0005340657663844839</v>
                </pt>
                <pt idx="446">
                  <v>0.0005340657663844839</v>
                </pt>
                <pt idx="447">
                  <v>0.0005340657663844839</v>
                </pt>
                <pt idx="448">
                  <v>0.0005340657663844839</v>
                </pt>
                <pt idx="449">
                  <v>0.0005340657663844839</v>
                </pt>
                <pt idx="450">
                  <v>0.0005340657663844839</v>
                </pt>
                <pt idx="451">
                  <v>0.0005340657663844839</v>
                </pt>
                <pt idx="452">
                  <v>0.0005340657663844839</v>
                </pt>
                <pt idx="453">
                  <v>0.0005340657663844839</v>
                </pt>
                <pt idx="454">
                  <v>0.0005340657663844839</v>
                </pt>
                <pt idx="455">
                  <v>0.0005340657663844839</v>
                </pt>
                <pt idx="456">
                  <v>0.0005340657663844839</v>
                </pt>
                <pt idx="457">
                  <v>0.0005340657663844839</v>
                </pt>
                <pt idx="458">
                  <v>0.0005340657663844839</v>
                </pt>
                <pt idx="459">
                  <v>0.0005340657663844839</v>
                </pt>
                <pt idx="460">
                  <v>0.0005340657663844839</v>
                </pt>
                <pt idx="461">
                  <v>0.0005340657663844839</v>
                </pt>
                <pt idx="462">
                  <v>0.0005340657663844839</v>
                </pt>
                <pt idx="463">
                  <v>0.0005340657663844839</v>
                </pt>
                <pt idx="464">
                  <v>-0.0009918364232852639</v>
                </pt>
                <pt idx="465">
                  <v>-0.0009918364232852639</v>
                </pt>
                <pt idx="466">
                  <v>-0.0009918364232852639</v>
                </pt>
                <pt idx="467">
                  <v>-0.0009918364232852639</v>
                </pt>
                <pt idx="468">
                  <v>-0.0009918364232852639</v>
                </pt>
                <pt idx="469">
                  <v>-0.0009918364232852639</v>
                </pt>
                <pt idx="470">
                  <v>-0.0009918364232852639</v>
                </pt>
                <pt idx="471">
                  <v>-0.0009918364232852639</v>
                </pt>
                <pt idx="472">
                  <v>-0.0009918364232852639</v>
                </pt>
                <pt idx="473">
                  <v>-0.0009918364232852639</v>
                </pt>
                <pt idx="474">
                  <v>-0.0009918364232852639</v>
                </pt>
                <pt idx="475">
                  <v>-0.0009918364232852639</v>
                </pt>
                <pt idx="476">
                  <v>-0.0009918364232852639</v>
                </pt>
                <pt idx="477">
                  <v>-0.0009918364232852639</v>
                </pt>
                <pt idx="478">
                  <v>-0.0009918364232852639</v>
                </pt>
                <pt idx="479">
                  <v>-0.0009918364232852639</v>
                </pt>
                <pt idx="480">
                  <v>-0.0009918364232852639</v>
                </pt>
                <pt idx="481">
                  <v>-0.0009918364232852639</v>
                </pt>
                <pt idx="482">
                  <v>-0.0009918364232852639</v>
                </pt>
                <pt idx="483">
                  <v>-0.0009918364232852639</v>
                </pt>
                <pt idx="484">
                  <v>-0.0009918364232852639</v>
                </pt>
                <pt idx="485">
                  <v>-0.0009918364232852639</v>
                </pt>
                <pt idx="486">
                  <v>-0.0009918364232852639</v>
                </pt>
                <pt idx="487">
                  <v>-0.0009918364232852639</v>
                </pt>
                <pt idx="488">
                  <v>-0.0009918364232852639</v>
                </pt>
                <pt idx="489">
                  <v>-0.0009918364232852639</v>
                </pt>
                <pt idx="490">
                  <v>-0.0009918364232852639</v>
                </pt>
                <pt idx="491">
                  <v>0.0005340657663844839</v>
                </pt>
                <pt idx="492">
                  <v>0.0005340657663844839</v>
                </pt>
                <pt idx="493">
                  <v>0.0005340657663844839</v>
                </pt>
                <pt idx="494">
                  <v>0.0005340657663844839</v>
                </pt>
                <pt idx="495">
                  <v>0.0005340657663844839</v>
                </pt>
                <pt idx="496">
                  <v>0.0005340657663844839</v>
                </pt>
                <pt idx="497">
                  <v>0.0005340657663844839</v>
                </pt>
                <pt idx="498">
                  <v>0.0005340657663844839</v>
                </pt>
                <pt idx="499">
                  <v>0.0005340657663844839</v>
                </pt>
                <pt idx="500">
                  <v>0.0005340657663844839</v>
                </pt>
                <pt idx="501">
                  <v>0.0005340657663844839</v>
                </pt>
                <pt idx="502">
                  <v>0.0005340657663844839</v>
                </pt>
                <pt idx="503">
                  <v>0.0005340657663844839</v>
                </pt>
                <pt idx="504">
                  <v>0.0005340657663844839</v>
                </pt>
                <pt idx="505">
                  <v>0.0005340657663844839</v>
                </pt>
                <pt idx="506">
                  <v>0.0005340657663844839</v>
                </pt>
                <pt idx="507">
                  <v>0.0005340657663844839</v>
                </pt>
                <pt idx="508">
                  <v>0.0005340657663844839</v>
                </pt>
                <pt idx="509">
                  <v>0.0005340657663844839</v>
                </pt>
                <pt idx="510">
                  <v>0.0005340657663844839</v>
                </pt>
                <pt idx="511">
                  <v>0.0005340657663844839</v>
                </pt>
                <pt idx="512">
                  <v>0.0005340657663844839</v>
                </pt>
                <pt idx="513">
                  <v>0.0005340657663844839</v>
                </pt>
                <pt idx="514">
                  <v>0.0005340657663844839</v>
                </pt>
                <pt idx="515">
                  <v>0.0005340657663844839</v>
                </pt>
                <pt idx="516">
                  <v>0.0005340657663844839</v>
                </pt>
                <pt idx="517">
                  <v>0.0005340657663844839</v>
                </pt>
                <pt idx="518">
                  <v>-0.0009918364232852639</v>
                </pt>
                <pt idx="519">
                  <v>-0.0009918364232852639</v>
                </pt>
                <pt idx="520">
                  <v>-0.0009918364232852639</v>
                </pt>
                <pt idx="521">
                  <v>-0.0009918364232852639</v>
                </pt>
                <pt idx="522">
                  <v>-0.0009918364232852639</v>
                </pt>
                <pt idx="523">
                  <v>-0.0009918364232852639</v>
                </pt>
                <pt idx="524">
                  <v>-0.0009918364232852639</v>
                </pt>
                <pt idx="525">
                  <v>-0.0009918364232852639</v>
                </pt>
                <pt idx="526">
                  <v>-0.0009918364232852639</v>
                </pt>
                <pt idx="527">
                  <v>-0.0009918364232852639</v>
                </pt>
                <pt idx="528">
                  <v>-0.0009918364232852639</v>
                </pt>
                <pt idx="529">
                  <v>-0.0009918364232852639</v>
                </pt>
                <pt idx="530">
                  <v>-0.0009918364232852639</v>
                </pt>
                <pt idx="531">
                  <v>-0.0009918364232852639</v>
                </pt>
                <pt idx="532">
                  <v>-0.0009918364232852639</v>
                </pt>
                <pt idx="533">
                  <v>-0.0009918364232852639</v>
                </pt>
                <pt idx="534">
                  <v>-0.0009918364232852639</v>
                </pt>
                <pt idx="535">
                  <v>-0.0009918364232852639</v>
                </pt>
                <pt idx="536">
                  <v>-0.0009918364232852639</v>
                </pt>
                <pt idx="537">
                  <v>-0.0009918364232852639</v>
                </pt>
                <pt idx="538">
                  <v>-0.0009918364232852639</v>
                </pt>
                <pt idx="539">
                  <v>-0.0009918364232852639</v>
                </pt>
                <pt idx="540">
                  <v>-0.0009918364232852639</v>
                </pt>
                <pt idx="541">
                  <v>-0.0009918364232852639</v>
                </pt>
                <pt idx="542">
                  <v>-0.0009918364232852639</v>
                </pt>
                <pt idx="543">
                  <v>-0.0009918364232852639</v>
                </pt>
                <pt idx="544">
                  <v>-0.0009918364232852639</v>
                </pt>
                <pt idx="545">
                  <v>0.0005340657663844839</v>
                </pt>
                <pt idx="546">
                  <v>0.0005340657663844839</v>
                </pt>
                <pt idx="547">
                  <v>0.0005340657663844839</v>
                </pt>
                <pt idx="548">
                  <v>0.0005340657663844839</v>
                </pt>
                <pt idx="549">
                  <v>0.0005340657663844839</v>
                </pt>
                <pt idx="550">
                  <v>0.0005340657663844839</v>
                </pt>
                <pt idx="551">
                  <v>0.0005340657663844839</v>
                </pt>
                <pt idx="552">
                  <v>0.0005340657663844839</v>
                </pt>
                <pt idx="553">
                  <v>0.0005340657663844839</v>
                </pt>
                <pt idx="554">
                  <v>0.0005340657663844839</v>
                </pt>
                <pt idx="555">
                  <v>0.0005340657663844839</v>
                </pt>
                <pt idx="556">
                  <v>0.0005340657663844839</v>
                </pt>
                <pt idx="557">
                  <v>0.0005340657663844839</v>
                </pt>
                <pt idx="558">
                  <v>0.0005340657663844839</v>
                </pt>
                <pt idx="559">
                  <v>0.0005340657663844839</v>
                </pt>
                <pt idx="560">
                  <v>0.0005340657663844839</v>
                </pt>
                <pt idx="561">
                  <v>0.0005340657663844839</v>
                </pt>
                <pt idx="562">
                  <v>0.0005340657663844839</v>
                </pt>
                <pt idx="563">
                  <v>0.0005340657663844839</v>
                </pt>
                <pt idx="564">
                  <v>0.0005340657663844839</v>
                </pt>
                <pt idx="565">
                  <v>0.0005340657663844839</v>
                </pt>
                <pt idx="566">
                  <v>0.0005340657663844839</v>
                </pt>
                <pt idx="567">
                  <v>0.0005340657663844839</v>
                </pt>
                <pt idx="568">
                  <v>0.0005340657663844839</v>
                </pt>
                <pt idx="569">
                  <v>0.0005340657663844839</v>
                </pt>
                <pt idx="570">
                  <v>0.0005340657663844839</v>
                </pt>
                <pt idx="571">
                  <v>0.0005340657663844839</v>
                </pt>
                <pt idx="572">
                  <v>-0.0009918364232852639</v>
                </pt>
                <pt idx="573">
                  <v>-0.0009918364232852639</v>
                </pt>
                <pt idx="574">
                  <v>-0.0009918364232852639</v>
                </pt>
                <pt idx="575">
                  <v>-0.0009918364232852639</v>
                </pt>
                <pt idx="576">
                  <v>-0.0009918364232852639</v>
                </pt>
                <pt idx="577">
                  <v>-0.0009918364232852639</v>
                </pt>
                <pt idx="578">
                  <v>-0.0009918364232852639</v>
                </pt>
                <pt idx="579">
                  <v>-0.0009918364232852639</v>
                </pt>
                <pt idx="580">
                  <v>-0.0009918364232852639</v>
                </pt>
                <pt idx="581">
                  <v>-0.0009918364232852639</v>
                </pt>
                <pt idx="582">
                  <v>-0.0009918364232852639</v>
                </pt>
                <pt idx="583">
                  <v>-0.0009918364232852639</v>
                </pt>
                <pt idx="584">
                  <v>-0.0009918364232852639</v>
                </pt>
                <pt idx="585">
                  <v>-0.0009918364232852639</v>
                </pt>
                <pt idx="586">
                  <v>-0.0009918364232852639</v>
                </pt>
                <pt idx="587">
                  <v>-0.0009918364232852639</v>
                </pt>
                <pt idx="588">
                  <v>-0.0009918364232852639</v>
                </pt>
                <pt idx="589">
                  <v>-0.0009918364232852639</v>
                </pt>
                <pt idx="590">
                  <v>-0.0009918364232852639</v>
                </pt>
                <pt idx="591">
                  <v>-0.0009918364232852639</v>
                </pt>
                <pt idx="592">
                  <v>-0.0009918364232852639</v>
                </pt>
                <pt idx="593">
                  <v>-0.0009918364232852639</v>
                </pt>
                <pt idx="594">
                  <v>-0.0009918364232852639</v>
                </pt>
                <pt idx="595">
                  <v>-0.0009918364232852639</v>
                </pt>
                <pt idx="596">
                  <v>-0.0009918364232852639</v>
                </pt>
                <pt idx="597">
                  <v>-0.0009918364232852639</v>
                </pt>
                <pt idx="598">
                  <v>-0.0009918364232852639</v>
                </pt>
                <pt idx="599">
                  <v>0.0005340657663844839</v>
                </pt>
                <pt idx="600">
                  <v>0.0005340657663844839</v>
                </pt>
                <pt idx="601">
                  <v>0.0005340657663844839</v>
                </pt>
                <pt idx="602">
                  <v>0.0005340657663844839</v>
                </pt>
                <pt idx="603">
                  <v>0.0005340657663844839</v>
                </pt>
                <pt idx="604">
                  <v>0.0005340657663844839</v>
                </pt>
                <pt idx="605">
                  <v>0.0005340657663844839</v>
                </pt>
                <pt idx="606">
                  <v>0.0005340657663844839</v>
                </pt>
                <pt idx="607">
                  <v>0.0005340657663844839</v>
                </pt>
                <pt idx="608">
                  <v>0.0005340657663844839</v>
                </pt>
                <pt idx="609">
                  <v>0.0005340657663844839</v>
                </pt>
                <pt idx="610">
                  <v>0.0005340657663844839</v>
                </pt>
                <pt idx="611">
                  <v>0.0005340657663844839</v>
                </pt>
                <pt idx="612">
                  <v>0.0005340657663844839</v>
                </pt>
                <pt idx="613">
                  <v>0.0005340657663844839</v>
                </pt>
                <pt idx="614">
                  <v>0.0005340657663844839</v>
                </pt>
                <pt idx="615">
                  <v>0.0005340657663844839</v>
                </pt>
                <pt idx="616">
                  <v>0.0005340657663844839</v>
                </pt>
                <pt idx="617">
                  <v>0.0005340657663844839</v>
                </pt>
                <pt idx="618">
                  <v>0.0005340657663844839</v>
                </pt>
                <pt idx="619">
                  <v>0.0005340657663844839</v>
                </pt>
                <pt idx="620">
                  <v>0.0005340657663844839</v>
                </pt>
                <pt idx="621">
                  <v>0.0005340657663844839</v>
                </pt>
                <pt idx="622">
                  <v>0.0005340657663844839</v>
                </pt>
                <pt idx="623">
                  <v>0.0005340657663844839</v>
                </pt>
                <pt idx="624">
                  <v>0.0005340657663844839</v>
                </pt>
                <pt idx="625">
                  <v>0.0005340657663844839</v>
                </pt>
                <pt idx="626">
                  <v>-0.0009918364232852639</v>
                </pt>
                <pt idx="627">
                  <v>-0.0009918364232852639</v>
                </pt>
                <pt idx="628">
                  <v>-0.0009918364232852639</v>
                </pt>
                <pt idx="629">
                  <v>-0.0009918364232852639</v>
                </pt>
                <pt idx="630">
                  <v>-0.0009918364232852639</v>
                </pt>
                <pt idx="631">
                  <v>-0.0009918364232852639</v>
                </pt>
                <pt idx="632">
                  <v>-0.0009918364232852639</v>
                </pt>
                <pt idx="633">
                  <v>-0.0009918364232852639</v>
                </pt>
                <pt idx="634">
                  <v>-0.0009918364232852639</v>
                </pt>
                <pt idx="635">
                  <v>-0.0009918364232852639</v>
                </pt>
                <pt idx="636">
                  <v>-0.0009918364232852639</v>
                </pt>
                <pt idx="637">
                  <v>-0.0009918364232852639</v>
                </pt>
                <pt idx="638">
                  <v>-0.0009918364232852639</v>
                </pt>
                <pt idx="639">
                  <v>-0.0009918364232852639</v>
                </pt>
                <pt idx="640">
                  <v>-0.0009918364232852639</v>
                </pt>
                <pt idx="641">
                  <v>-0.0009918364232852639</v>
                </pt>
                <pt idx="642">
                  <v>-0.0009918364232852639</v>
                </pt>
                <pt idx="643">
                  <v>-0.0009918364232852639</v>
                </pt>
                <pt idx="644">
                  <v>-0.0009918364232852639</v>
                </pt>
                <pt idx="645">
                  <v>-0.0009918364232852639</v>
                </pt>
                <pt idx="646">
                  <v>-0.0009918364232852639</v>
                </pt>
                <pt idx="647">
                  <v>-0.0009918364232852639</v>
                </pt>
                <pt idx="648">
                  <v>-0.0009918364232852639</v>
                </pt>
                <pt idx="649">
                  <v>-0.0009918364232852639</v>
                </pt>
                <pt idx="650">
                  <v>-0.0009918364232852639</v>
                </pt>
                <pt idx="651">
                  <v>-0.0009918364232852639</v>
                </pt>
                <pt idx="652">
                  <v>-0.0009918364232852639</v>
                </pt>
                <pt idx="653">
                  <v>0.0005340657663844839</v>
                </pt>
                <pt idx="654">
                  <v>0.0005340657663844839</v>
                </pt>
                <pt idx="655">
                  <v>0.0005340657663844839</v>
                </pt>
                <pt idx="656">
                  <v>0.0005340657663844839</v>
                </pt>
                <pt idx="657">
                  <v>0.0005340657663844839</v>
                </pt>
                <pt idx="658">
                  <v>0.0005340657663844839</v>
                </pt>
                <pt idx="659">
                  <v>0.0005340657663844839</v>
                </pt>
                <pt idx="660">
                  <v>0.0005340657663844839</v>
                </pt>
                <pt idx="661">
                  <v>0.0005340657663844839</v>
                </pt>
                <pt idx="662">
                  <v>0.0005340657663844839</v>
                </pt>
                <pt idx="663">
                  <v>0.0005340657663844839</v>
                </pt>
                <pt idx="664">
                  <v>0.0005340657663844839</v>
                </pt>
                <pt idx="665">
                  <v>0.0005340657663844839</v>
                </pt>
                <pt idx="666">
                  <v>0.0005340657663844839</v>
                </pt>
                <pt idx="667">
                  <v>0.0005340657663844839</v>
                </pt>
                <pt idx="668">
                  <v>0.0005340657663844839</v>
                </pt>
                <pt idx="669">
                  <v>0.0005340657663844839</v>
                </pt>
                <pt idx="670">
                  <v>0.0005340657663844839</v>
                </pt>
                <pt idx="671">
                  <v>0.0005340657663844839</v>
                </pt>
                <pt idx="672">
                  <v>0.0005340657663844839</v>
                </pt>
                <pt idx="673">
                  <v>0.0005340657663844839</v>
                </pt>
                <pt idx="674">
                  <v>0.0005340657663844839</v>
                </pt>
                <pt idx="675">
                  <v>0.0005340657663844839</v>
                </pt>
                <pt idx="676">
                  <v>0.0005340657663844839</v>
                </pt>
                <pt idx="677">
                  <v>0.0005340657663844839</v>
                </pt>
                <pt idx="678">
                  <v>0.0005340657663844839</v>
                </pt>
                <pt idx="679">
                  <v>0.0005340657663844839</v>
                </pt>
                <pt idx="680">
                  <v>-0.0009918364232852639</v>
                </pt>
                <pt idx="681">
                  <v>-0.0009918364232852639</v>
                </pt>
                <pt idx="682">
                  <v>-0.0009918364232852639</v>
                </pt>
                <pt idx="683">
                  <v>-0.0009918364232852639</v>
                </pt>
                <pt idx="684">
                  <v>-0.0009918364232852639</v>
                </pt>
                <pt idx="685">
                  <v>-0.0009918364232852639</v>
                </pt>
                <pt idx="686">
                  <v>-0.0009918364232852639</v>
                </pt>
                <pt idx="687">
                  <v>-0.0009918364232852639</v>
                </pt>
                <pt idx="688">
                  <v>-0.0009918364232852639</v>
                </pt>
                <pt idx="689">
                  <v>-0.0009918364232852639</v>
                </pt>
                <pt idx="690">
                  <v>-0.0009918364232852639</v>
                </pt>
                <pt idx="691">
                  <v>-0.0009918364232852639</v>
                </pt>
                <pt idx="692">
                  <v>-0.0009918364232852639</v>
                </pt>
                <pt idx="693">
                  <v>-0.0009918364232852639</v>
                </pt>
                <pt idx="694">
                  <v>-0.0009918364232852639</v>
                </pt>
                <pt idx="695">
                  <v>-0.0009918364232852639</v>
                </pt>
                <pt idx="696">
                  <v>-0.0009918364232852639</v>
                </pt>
                <pt idx="697">
                  <v>-0.0009918364232852639</v>
                </pt>
                <pt idx="698">
                  <v>-0.0009918364232852639</v>
                </pt>
                <pt idx="699">
                  <v>-0.0009918364232852639</v>
                </pt>
                <pt idx="700">
                  <v>-0.0009918364232852639</v>
                </pt>
                <pt idx="701">
                  <v>-0.0009918364232852639</v>
                </pt>
                <pt idx="702">
                  <v>-0.0009918364232852639</v>
                </pt>
                <pt idx="703">
                  <v>-0.0009918364232852639</v>
                </pt>
                <pt idx="704">
                  <v>-0.0009918364232852639</v>
                </pt>
                <pt idx="705">
                  <v>-0.0009918364232852639</v>
                </pt>
                <pt idx="706">
                  <v>-0.0009918364232852639</v>
                </pt>
                <pt idx="707">
                  <v>0.0005340657663844839</v>
                </pt>
                <pt idx="708">
                  <v>0.0005340657663844839</v>
                </pt>
                <pt idx="709">
                  <v>0.0005340657663844839</v>
                </pt>
                <pt idx="710">
                  <v>0.0005340657663844839</v>
                </pt>
                <pt idx="711">
                  <v>0.0005340657663844839</v>
                </pt>
                <pt idx="712">
                  <v>0.0005340657663844839</v>
                </pt>
                <pt idx="713">
                  <v>0.0005340657663844839</v>
                </pt>
                <pt idx="714">
                  <v>0.0005340657663844839</v>
                </pt>
                <pt idx="715">
                  <v>0.0005340657663844839</v>
                </pt>
                <pt idx="716">
                  <v>0.0005340657663844839</v>
                </pt>
                <pt idx="717">
                  <v>0.0005340657663844839</v>
                </pt>
                <pt idx="718">
                  <v>0.0005340657663844839</v>
                </pt>
                <pt idx="719">
                  <v>0.0005340657663844839</v>
                </pt>
                <pt idx="720">
                  <v>0.0005340657663844839</v>
                </pt>
                <pt idx="721">
                  <v>0.0005340657663844839</v>
                </pt>
                <pt idx="722">
                  <v>0.0005340657663844839</v>
                </pt>
                <pt idx="723">
                  <v>0.0005340657663844839</v>
                </pt>
                <pt idx="724">
                  <v>0.0005340657663844839</v>
                </pt>
                <pt idx="725">
                  <v>0.0005340657663844839</v>
                </pt>
                <pt idx="726">
                  <v>0.0005340657663844839</v>
                </pt>
                <pt idx="727">
                  <v>0.0005340657663844839</v>
                </pt>
                <pt idx="728">
                  <v>0.0005340657663844839</v>
                </pt>
                <pt idx="729">
                  <v>0.0005340657663844839</v>
                </pt>
                <pt idx="730">
                  <v>0.0005340657663844839</v>
                </pt>
                <pt idx="731">
                  <v>0.0005340657663844839</v>
                </pt>
                <pt idx="732">
                  <v>0.0005340657663844839</v>
                </pt>
                <pt idx="733">
                  <v>0.0005340657663844839</v>
                </pt>
                <pt idx="734">
                  <v>-0.0009918364232852639</v>
                </pt>
                <pt idx="735">
                  <v>-0.0009918364232852639</v>
                </pt>
                <pt idx="736">
                  <v>-0.0009918364232852639</v>
                </pt>
                <pt idx="737">
                  <v>-0.0009918364232852639</v>
                </pt>
                <pt idx="738">
                  <v>-0.0009918364232852639</v>
                </pt>
                <pt idx="739">
                  <v>-0.0009918364232852639</v>
                </pt>
                <pt idx="740">
                  <v>-0.0009918364232852639</v>
                </pt>
                <pt idx="741">
                  <v>-0.0009918364232852639</v>
                </pt>
                <pt idx="742">
                  <v>-0.0009918364232852639</v>
                </pt>
                <pt idx="743">
                  <v>-0.0009918364232852639</v>
                </pt>
                <pt idx="744">
                  <v>-0.0009918364232852639</v>
                </pt>
                <pt idx="745">
                  <v>-0.0009918364232852639</v>
                </pt>
                <pt idx="746">
                  <v>-0.0009918364232852639</v>
                </pt>
                <pt idx="747">
                  <v>-0.0009918364232852639</v>
                </pt>
                <pt idx="748">
                  <v>-0.0009918364232852639</v>
                </pt>
                <pt idx="749">
                  <v>-0.0009918364232852639</v>
                </pt>
                <pt idx="750">
                  <v>-0.0009918364232852639</v>
                </pt>
                <pt idx="751">
                  <v>-0.0009918364232852639</v>
                </pt>
                <pt idx="752">
                  <v>-0.0009918364232852639</v>
                </pt>
                <pt idx="753">
                  <v>-0.0009918364232852639</v>
                </pt>
                <pt idx="754">
                  <v>-0.0009918364232852639</v>
                </pt>
                <pt idx="755">
                  <v>-0.0009918364232852639</v>
                </pt>
                <pt idx="756">
                  <v>-0.0009918364232852639</v>
                </pt>
                <pt idx="757">
                  <v>-0.0009918364232852639</v>
                </pt>
                <pt idx="758">
                  <v>-0.0009918364232852639</v>
                </pt>
                <pt idx="759">
                  <v>-0.0009918364232852639</v>
                </pt>
                <pt idx="760">
                  <v>-0.0009918364232852639</v>
                </pt>
                <pt idx="761">
                  <v>0.0005340657663844839</v>
                </pt>
                <pt idx="762">
                  <v>0.0005340657663844839</v>
                </pt>
                <pt idx="763">
                  <v>0.0005340657663844839</v>
                </pt>
                <pt idx="764">
                  <v>0.0005340657663844839</v>
                </pt>
                <pt idx="765">
                  <v>0.0005340657663844839</v>
                </pt>
                <pt idx="766">
                  <v>0.0005340657663844839</v>
                </pt>
                <pt idx="767">
                  <v>0.0005340657663844839</v>
                </pt>
                <pt idx="768">
                  <v>0.0005340657663844839</v>
                </pt>
                <pt idx="769">
                  <v>0.0005340657663844839</v>
                </pt>
                <pt idx="770">
                  <v>0.0005340657663844839</v>
                </pt>
                <pt idx="771">
                  <v>0.0005340657663844839</v>
                </pt>
                <pt idx="772">
                  <v>0.0005340657663844839</v>
                </pt>
                <pt idx="773">
                  <v>0.0005340657663844839</v>
                </pt>
                <pt idx="774">
                  <v>0.0005340657663844839</v>
                </pt>
                <pt idx="775">
                  <v>0.0005340657663844839</v>
                </pt>
                <pt idx="776">
                  <v>0.0005340657663844839</v>
                </pt>
                <pt idx="777">
                  <v>0.0005340657663844839</v>
                </pt>
                <pt idx="778">
                  <v>0.0005340657663844839</v>
                </pt>
                <pt idx="779">
                  <v>0.0005340657663844839</v>
                </pt>
                <pt idx="780">
                  <v>0.0005340657663844839</v>
                </pt>
                <pt idx="781">
                  <v>0.0005340657663844839</v>
                </pt>
                <pt idx="782">
                  <v>0.0005340657663844839</v>
                </pt>
                <pt idx="783">
                  <v>0.0005340657663844839</v>
                </pt>
                <pt idx="784">
                  <v>0.0005340657663844839</v>
                </pt>
                <pt idx="785">
                  <v>0.0005340657663844839</v>
                </pt>
                <pt idx="786">
                  <v>0.0005340657663844839</v>
                </pt>
                <pt idx="787">
                  <v>0.0005340657663844839</v>
                </pt>
                <pt idx="788">
                  <v>0.0005340657663844839</v>
                </pt>
                <pt idx="789">
                  <v>0.0005340657663844839</v>
                </pt>
                <pt idx="790">
                  <v>0.0005340657663844839</v>
                </pt>
                <pt idx="791">
                  <v>0.0005340657663844839</v>
                </pt>
                <pt idx="792">
                  <v>0.0005340657663844839</v>
                </pt>
                <pt idx="793">
                  <v>0.0005340657663844839</v>
                </pt>
                <pt idx="794">
                  <v>0.0005340657663844839</v>
                </pt>
                <pt idx="795">
                  <v>0.0005340657663844839</v>
                </pt>
                <pt idx="796">
                  <v>0.0005340657663844839</v>
                </pt>
                <pt idx="797">
                  <v>0.0005340657663844839</v>
                </pt>
                <pt idx="798">
                  <v>0.0005340657663844839</v>
                </pt>
                <pt idx="799">
                  <v>0.0005340657663844839</v>
                </pt>
                <pt idx="800">
                  <v>0.0005340657663844839</v>
                </pt>
                <pt idx="801">
                  <v>0.0005340657663844839</v>
                </pt>
                <pt idx="802">
                  <v>0.0005340657663844839</v>
                </pt>
                <pt idx="803">
                  <v>0.0005340657663844839</v>
                </pt>
                <pt idx="804">
                  <v>0.0005340657663844839</v>
                </pt>
                <pt idx="805">
                  <v>0.0005340657663844839</v>
                </pt>
                <pt idx="806">
                  <v>0.0005340657663844839</v>
                </pt>
                <pt idx="807">
                  <v>0.0005340657663844839</v>
                </pt>
                <pt idx="808">
                  <v>0.0005340657663844839</v>
                </pt>
                <pt idx="809">
                  <v>0.0005340657663844839</v>
                </pt>
                <pt idx="810">
                  <v>0.0005340657663844839</v>
                </pt>
                <pt idx="811">
                  <v>0.0005340657663844839</v>
                </pt>
                <pt idx="812">
                  <v>0.0005340657663844839</v>
                </pt>
                <pt idx="813">
                  <v>0.0005340657663844839</v>
                </pt>
                <pt idx="814">
                  <v>0.0005340657663844839</v>
                </pt>
                <pt idx="815">
                  <v>0.0005340657663844839</v>
                </pt>
                <pt idx="816">
                  <v>0.0005340657663844839</v>
                </pt>
                <pt idx="817">
                  <v>0.0005340657663844839</v>
                </pt>
                <pt idx="818">
                  <v>0.0005340657663844839</v>
                </pt>
                <pt idx="819">
                  <v>0.0005340657663844839</v>
                </pt>
                <pt idx="820">
                  <v>0.0005340657663844839</v>
                </pt>
                <pt idx="821">
                  <v>0.0005340657663844839</v>
                </pt>
                <pt idx="822">
                  <v>0.0005340657663844839</v>
                </pt>
                <pt idx="823">
                  <v>0.0005340657663844839</v>
                </pt>
                <pt idx="824">
                  <v>0.0005340657663844839</v>
                </pt>
                <pt idx="825">
                  <v>0.0005340657663844839</v>
                </pt>
                <pt idx="826">
                  <v>0.0005340657663844839</v>
                </pt>
                <pt idx="827">
                  <v>0.0005340657663844839</v>
                </pt>
                <pt idx="828">
                  <v>0.0005340657663844839</v>
                </pt>
                <pt idx="829">
                  <v>0.0005340657663844839</v>
                </pt>
                <pt idx="830">
                  <v>0.0005340657663844839</v>
                </pt>
                <pt idx="831">
                  <v>0.0005340657663844839</v>
                </pt>
                <pt idx="832">
                  <v>0.0005340657663844839</v>
                </pt>
                <pt idx="833">
                  <v>0.0005340657663844839</v>
                </pt>
                <pt idx="834">
                  <v>0.0005340657663844839</v>
                </pt>
                <pt idx="835">
                  <v>0.0005340657663844839</v>
                </pt>
                <pt idx="836">
                  <v>0.0005340657663844839</v>
                </pt>
                <pt idx="837">
                  <v>0.0005340657663844839</v>
                </pt>
                <pt idx="838">
                  <v>0.0005340657663844839</v>
                </pt>
                <pt idx="839">
                  <v>0.0005340657663844839</v>
                </pt>
                <pt idx="840">
                  <v>0.0005340657663844839</v>
                </pt>
                <pt idx="841">
                  <v>0.0005340657663844839</v>
                </pt>
                <pt idx="842">
                  <v>0.0005340657663844839</v>
                </pt>
                <pt idx="843">
                  <v>0.0005340657663844839</v>
                </pt>
                <pt idx="844">
                  <v>0.0005340657663844839</v>
                </pt>
                <pt idx="845">
                  <v>0.0005340657663844839</v>
                </pt>
                <pt idx="846">
                  <v>0.0005340657663844839</v>
                </pt>
                <pt idx="847">
                  <v>0.0005340657663844839</v>
                </pt>
                <pt idx="848">
                  <v>0.0005340657663844839</v>
                </pt>
                <pt idx="849">
                  <v>0.0005340657663844839</v>
                </pt>
                <pt idx="850">
                  <v>0.0005340657663844839</v>
                </pt>
                <pt idx="851">
                  <v>0.0005340657663844839</v>
                </pt>
                <pt idx="852">
                  <v>0.0005340657663844839</v>
                </pt>
                <pt idx="853">
                  <v>0.0005340657663844839</v>
                </pt>
                <pt idx="854">
                  <v>0.0005340657663844839</v>
                </pt>
                <pt idx="855">
                  <v>0.0005340657663844839</v>
                </pt>
                <pt idx="856">
                  <v>0.0005340657663844839</v>
                </pt>
                <pt idx="857">
                  <v>0.0005340657663844839</v>
                </pt>
                <pt idx="858">
                  <v>0.0005340657663844839</v>
                </pt>
                <pt idx="859">
                  <v>0.0005340657663844839</v>
                </pt>
                <pt idx="860">
                  <v>0.0005340657663844839</v>
                </pt>
                <pt idx="861">
                  <v>0.0005340657663844839</v>
                </pt>
                <pt idx="862">
                  <v>0.0005340657663844839</v>
                </pt>
                <pt idx="863">
                  <v>0.0005340657663844839</v>
                </pt>
                <pt idx="864">
                  <v>0.0005340657663844839</v>
                </pt>
                <pt idx="865">
                  <v>0.0005340657663844839</v>
                </pt>
                <pt idx="866">
                  <v>0.0005340657663844839</v>
                </pt>
                <pt idx="867">
                  <v>0.0005340657663844839</v>
                </pt>
                <pt idx="868">
                  <v>0.0005340657663844839</v>
                </pt>
                <pt idx="869">
                  <v>0.0005340657663844839</v>
                </pt>
                <pt idx="870">
                  <v>0.0005340657663844839</v>
                </pt>
                <pt idx="871">
                  <v>0.0005340657663844839</v>
                </pt>
                <pt idx="872">
                  <v>0.0005340657663844839</v>
                </pt>
                <pt idx="873">
                  <v>0.0005340657663844839</v>
                </pt>
                <pt idx="874">
                  <v>0.0005340657663844839</v>
                </pt>
                <pt idx="875">
                  <v>0.0005340657663844839</v>
                </pt>
                <pt idx="876">
                  <v>0.0005340657663844839</v>
                </pt>
                <pt idx="877">
                  <v>0.0005340657663844839</v>
                </pt>
                <pt idx="878">
                  <v>0.0005340657663844839</v>
                </pt>
                <pt idx="879">
                  <v>0.0005340657663844839</v>
                </pt>
                <pt idx="880">
                  <v>0.0005340657663844839</v>
                </pt>
                <pt idx="881">
                  <v>0.0005340657663844839</v>
                </pt>
                <pt idx="882">
                  <v>0.0005340657663844839</v>
                </pt>
                <pt idx="883">
                  <v>0.0005340657663844839</v>
                </pt>
                <pt idx="884">
                  <v>0.0005340657663844839</v>
                </pt>
                <pt idx="885">
                  <v>0.0005340657663844839</v>
                </pt>
                <pt idx="886">
                  <v>0.0005340657663844839</v>
                </pt>
                <pt idx="887">
                  <v>0.0005340657663844839</v>
                </pt>
                <pt idx="888">
                  <v>0.0005340657663844839</v>
                </pt>
                <pt idx="889">
                  <v>0.0005340657663844839</v>
                </pt>
                <pt idx="890">
                  <v>0.0005340657663844839</v>
                </pt>
                <pt idx="891">
                  <v>0.0005340657663844839</v>
                </pt>
                <pt idx="892">
                  <v>0.0005340657663844839</v>
                </pt>
                <pt idx="893">
                  <v>0.0005340657663844839</v>
                </pt>
                <pt idx="894">
                  <v>0.0005340657663844839</v>
                </pt>
                <pt idx="895">
                  <v>0.0005340657663844839</v>
                </pt>
                <pt idx="896">
                  <v>0.0005340657663844839</v>
                </pt>
                <pt idx="897">
                  <v>0.0005340657663844839</v>
                </pt>
                <pt idx="898">
                  <v>0.0005340657663844839</v>
                </pt>
                <pt idx="899">
                  <v>0.0005340657663844839</v>
                </pt>
                <pt idx="900">
                  <v>0.0005340657663844839</v>
                </pt>
                <pt idx="901">
                  <v>0.0005340657663844839</v>
                </pt>
                <pt idx="902">
                  <v>0.0005340657663844839</v>
                </pt>
                <pt idx="903">
                  <v>0.0005340657663844839</v>
                </pt>
                <pt idx="904">
                  <v>0.0005340657663844839</v>
                </pt>
                <pt idx="905">
                  <v>0.0005340657663844839</v>
                </pt>
                <pt idx="906">
                  <v>0.0005340657663844839</v>
                </pt>
                <pt idx="907">
                  <v>0.0005340657663844839</v>
                </pt>
                <pt idx="908">
                  <v>0.0005340657663844839</v>
                </pt>
                <pt idx="909">
                  <v>0.0005340657663844839</v>
                </pt>
                <pt idx="910">
                  <v>0.0005340657663844839</v>
                </pt>
                <pt idx="911">
                  <v>0.0005340657663844839</v>
                </pt>
                <pt idx="912">
                  <v>0.0005340657663844839</v>
                </pt>
                <pt idx="913">
                  <v>0.0005340657663844839</v>
                </pt>
                <pt idx="914">
                  <v>0.0005340657663844839</v>
                </pt>
                <pt idx="915">
                  <v>0.0005340657663844839</v>
                </pt>
                <pt idx="916">
                  <v>0.0005340657663844839</v>
                </pt>
                <pt idx="917">
                  <v>0.0005340657663844839</v>
                </pt>
                <pt idx="918">
                  <v>0.0005340657663844839</v>
                </pt>
                <pt idx="919">
                  <v>0.0005340657663844839</v>
                </pt>
                <pt idx="920">
                  <v>0.0005340657663844839</v>
                </pt>
                <pt idx="921">
                  <v>0.0005340657663844839</v>
                </pt>
                <pt idx="922">
                  <v>0.0005340657663844839</v>
                </pt>
                <pt idx="923">
                  <v>0.0005340657663844839</v>
                </pt>
                <pt idx="924">
                  <v>0.0005340657663844839</v>
                </pt>
                <pt idx="925">
                  <v>0.0005340657663844839</v>
                </pt>
                <pt idx="926">
                  <v>0.0005340657663844839</v>
                </pt>
                <pt idx="927">
                  <v>0.0005340657663844839</v>
                </pt>
                <pt idx="928">
                  <v>0.0005340657663844839</v>
                </pt>
                <pt idx="929">
                  <v>0.0005340657663844839</v>
                </pt>
                <pt idx="930">
                  <v>0.0005340657663844839</v>
                </pt>
                <pt idx="931">
                  <v>0.0005340657663844839</v>
                </pt>
                <pt idx="932">
                  <v>0.0005340657663844839</v>
                </pt>
                <pt idx="933">
                  <v>0.0005340657663844839</v>
                </pt>
                <pt idx="934">
                  <v>0.0005340657663844839</v>
                </pt>
                <pt idx="935">
                  <v>0.0005340657663844839</v>
                </pt>
                <pt idx="936">
                  <v>0.0005340657663844839</v>
                </pt>
                <pt idx="937">
                  <v>0.0005340657663844839</v>
                </pt>
                <pt idx="938">
                  <v>0.0005340657663844839</v>
                </pt>
                <pt idx="939">
                  <v>0.0005340657663844839</v>
                </pt>
                <pt idx="940">
                  <v>0.0005340657663844839</v>
                </pt>
                <pt idx="941">
                  <v>0.0005340657663844839</v>
                </pt>
                <pt idx="942">
                  <v>0.0005340657663844839</v>
                </pt>
                <pt idx="943">
                  <v>0.0005340657663844839</v>
                </pt>
                <pt idx="944">
                  <v>0.0005340657663844839</v>
                </pt>
                <pt idx="945">
                  <v>0.0005340657663844839</v>
                </pt>
                <pt idx="946">
                  <v>0.0005340657663844839</v>
                </pt>
                <pt idx="947">
                  <v>0.0005340657663844839</v>
                </pt>
                <pt idx="948">
                  <v>0.0005340657663844839</v>
                </pt>
                <pt idx="949">
                  <v>0.0005340657663844839</v>
                </pt>
                <pt idx="950">
                  <v>0.0005340657663844839</v>
                </pt>
                <pt idx="951">
                  <v>0.0005340657663844839</v>
                </pt>
                <pt idx="952">
                  <v>0.0005340657663844839</v>
                </pt>
                <pt idx="953">
                  <v>0.0005340657663844839</v>
                </pt>
                <pt idx="954">
                  <v>0.0005340657663844839</v>
                </pt>
                <pt idx="955">
                  <v>0.0005340657663844839</v>
                </pt>
                <pt idx="956">
                  <v>0.0005340657663844839</v>
                </pt>
                <pt idx="957">
                  <v>0.0005340657663844839</v>
                </pt>
                <pt idx="958">
                  <v>0.0005340657663844839</v>
                </pt>
                <pt idx="959">
                  <v>0.0005340657663844839</v>
                </pt>
                <pt idx="960">
                  <v>0.0005340657663844839</v>
                </pt>
                <pt idx="961">
                  <v>0.0005340657663844839</v>
                </pt>
                <pt idx="962">
                  <v>0.0005340657663844839</v>
                </pt>
                <pt idx="963">
                  <v>0.0005340657663844839</v>
                </pt>
                <pt idx="964">
                  <v>0.0005340657663844839</v>
                </pt>
                <pt idx="965">
                  <v>0.0005340657663844839</v>
                </pt>
                <pt idx="966">
                  <v>0.0005340657663844839</v>
                </pt>
                <pt idx="967">
                  <v>0.0005340657663844839</v>
                </pt>
                <pt idx="968">
                  <v>0.0005340657663844839</v>
                </pt>
                <pt idx="969">
                  <v>0.0005340657663844839</v>
                </pt>
                <pt idx="970">
                  <v>0.0005340657663844839</v>
                </pt>
                <pt idx="971">
                  <v>0.0005340657663844839</v>
                </pt>
                <pt idx="972">
                  <v>0.0005340657663844839</v>
                </pt>
                <pt idx="973">
                  <v>0.0005340657663844839</v>
                </pt>
                <pt idx="974">
                  <v>0.0005340657663844839</v>
                </pt>
                <pt idx="975">
                  <v>0.0005340657663844839</v>
                </pt>
                <pt idx="976">
                  <v>0.0005340657663844839</v>
                </pt>
                <pt idx="977">
                  <v>0.0005340657663844839</v>
                </pt>
                <pt idx="978">
                  <v>0.0005340657663844839</v>
                </pt>
                <pt idx="979">
                  <v>0.0005340657663844839</v>
                </pt>
                <pt idx="980">
                  <v>0.0005340657663844839</v>
                </pt>
                <pt idx="981">
                  <v>0.0005340657663844839</v>
                </pt>
                <pt idx="982">
                  <v>0.0005340657663844839</v>
                </pt>
                <pt idx="983">
                  <v>0.0005340657663844839</v>
                </pt>
                <pt idx="984">
                  <v>0.0005340657663844839</v>
                </pt>
                <pt idx="985">
                  <v>0.0005340657663844839</v>
                </pt>
                <pt idx="986">
                  <v>0.0005340657663844839</v>
                </pt>
                <pt idx="987">
                  <v>0.0005340657663844839</v>
                </pt>
                <pt idx="988">
                  <v>0.0005340657663844839</v>
                </pt>
                <pt idx="989">
                  <v>0.0005340657663844839</v>
                </pt>
                <pt idx="990">
                  <v>0.0005340657663844839</v>
                </pt>
                <pt idx="991">
                  <v>0.0005340657663844839</v>
                </pt>
                <pt idx="992">
                  <v>0.0005340657663844839</v>
                </pt>
                <pt idx="993">
                  <v>0.0005340657663844839</v>
                </pt>
                <pt idx="994">
                  <v>0.0005340657663844839</v>
                </pt>
                <pt idx="995">
                  <v>0.0005340657663844839</v>
                </pt>
                <pt idx="996">
                  <v>0.0005340657663844839</v>
                </pt>
                <pt idx="997">
                  <v>0.0005340657663844839</v>
                </pt>
                <pt idx="998">
                  <v>0.0005340657663844839</v>
                </pt>
                <pt idx="999">
                  <v>0.0005340657663844839</v>
                </pt>
                <pt idx="1000">
                  <v>0.0005340657663844839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twoCellAnchor>
    <from>
      <col>1</col>
      <colOff>579452</colOff>
      <row>6</row>
      <rowOff>79513</rowOff>
    </from>
    <to>
      <col>9</col>
      <colOff>274652</colOff>
      <row>21</row>
      <rowOff>79513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18</col>
      <colOff>114300</colOff>
      <row>71</row>
      <rowOff>121920</rowOff>
    </from>
    <to>
      <col>25</col>
      <colOff>419100</colOff>
      <row>86</row>
      <rowOff>121920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76200</colOff>
      <row>3</row>
      <rowOff>60960</rowOff>
    </from>
    <to>
      <col>27</col>
      <colOff>381000</colOff>
      <row>18</row>
      <rowOff>60960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525780</colOff>
      <row>20</row>
      <rowOff>60960</rowOff>
    </from>
    <to>
      <col>27</col>
      <colOff>220980</colOff>
      <row>35</row>
      <rowOff>60960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407670</colOff>
      <row>37</row>
      <rowOff>181927</rowOff>
    </from>
    <to>
      <col>7</col>
      <colOff>125730</colOff>
      <row>52</row>
      <rowOff>69532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457200</colOff>
      <row>20</row>
      <rowOff>4761</rowOff>
    </from>
    <to>
      <col>10</col>
      <colOff>177166</colOff>
      <row>36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28</col>
      <colOff>622128</colOff>
      <row>2</row>
      <rowOff>162102</rowOff>
    </from>
    <to>
      <col>58</col>
      <colOff>535690</colOff>
      <row>69</row>
      <rowOff>10084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60960</colOff>
      <row>62</row>
      <rowOff>35242</rowOff>
    </from>
    <to>
      <col>9</col>
      <colOff>405766</colOff>
      <row>78</row>
      <rowOff>30480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666653</colOff>
      <row>4</row>
      <rowOff>54428</rowOff>
    </from>
    <to>
      <col>57</col>
      <colOff>214179</colOff>
      <row>50</row>
      <rowOff>43541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97972</colOff>
      <row>45</row>
      <rowOff>10885</rowOff>
    </from>
    <to>
      <col>9</col>
      <colOff>442778</colOff>
      <row>61</row>
      <rowOff>6124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"/>
  <sheetViews>
    <sheetView zoomScale="115" zoomScaleNormal="115" workbookViewId="0">
      <selection activeCell="H2" sqref="H2"/>
    </sheetView>
  </sheetViews>
  <sheetFormatPr baseColWidth="8" defaultRowHeight="14.4"/>
  <cols>
    <col width="15.88671875" customWidth="1" min="2" max="2"/>
  </cols>
  <sheetData>
    <row r="1">
      <c r="A1" s="41" t="inlineStr">
        <is>
          <t>Параметры исходные</t>
        </is>
      </c>
      <c r="B1" s="48" t="n"/>
      <c r="C1" s="41" t="inlineStr">
        <is>
          <t>ЦД (T0)</t>
        </is>
      </c>
      <c r="D1" s="6" t="n">
        <v>1</v>
      </c>
      <c r="E1" s="6" t="n">
        <v>10</v>
      </c>
      <c r="F1" s="7" t="n">
        <v>20</v>
      </c>
      <c r="J1" t="inlineStr">
        <is>
          <t>t</t>
        </is>
      </c>
      <c r="K1" t="inlineStr">
        <is>
          <t>x(t)</t>
        </is>
      </c>
      <c r="L1" t="inlineStr">
        <is>
          <t>y(t)</t>
        </is>
      </c>
      <c r="M1" t="inlineStr">
        <is>
          <t>y(n*T01)</t>
        </is>
      </c>
      <c r="N1" t="inlineStr">
        <is>
          <t>y(n*T02)</t>
        </is>
      </c>
      <c r="O1" t="inlineStr">
        <is>
          <t>y(n*T03)</t>
        </is>
      </c>
      <c r="Q1" t="inlineStr">
        <is>
          <t>T01</t>
        </is>
      </c>
      <c r="R1" t="inlineStr">
        <is>
          <t>T02</t>
        </is>
      </c>
      <c r="S1" t="inlineStr">
        <is>
          <t>T03</t>
        </is>
      </c>
      <c r="U1" t="inlineStr">
        <is>
          <t>max1</t>
        </is>
      </c>
      <c r="V1" t="inlineStr">
        <is>
          <t>max2</t>
        </is>
      </c>
      <c r="W1" t="inlineStr">
        <is>
          <t>max3</t>
        </is>
      </c>
    </row>
    <row r="2">
      <c r="A2" s="2" t="inlineStr">
        <is>
          <t>K</t>
        </is>
      </c>
      <c r="B2" s="1" t="n">
        <v>4</v>
      </c>
      <c r="C2" s="2" t="inlineStr">
        <is>
          <t>A1</t>
        </is>
      </c>
      <c r="D2" s="3">
        <f>EXP(-D1/$B$4)+EXP(-D1/$B$5)</f>
        <v/>
      </c>
      <c r="E2" s="3">
        <f>EXP(-E1/$B$4)+EXP(-E1/$B$5)</f>
        <v/>
      </c>
      <c r="F2" s="4">
        <f>EXP(-F1/$B$4)+EXP(-F1/$B$5)</f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Q2">
        <f>L2-M2</f>
        <v/>
      </c>
      <c r="R2">
        <f>L2-N2</f>
        <v/>
      </c>
      <c r="S2">
        <f>L2-O2</f>
        <v/>
      </c>
      <c r="U2">
        <f>MAX(Q2:Q402)</f>
        <v/>
      </c>
      <c r="V2">
        <f>MAX(R2:R402)</f>
        <v/>
      </c>
      <c r="W2">
        <f>MAX(S2:S402)</f>
        <v/>
      </c>
    </row>
    <row r="3">
      <c r="A3" s="8" t="inlineStr">
        <is>
          <t>τ</t>
        </is>
      </c>
      <c r="B3" s="1" t="n">
        <v>40</v>
      </c>
      <c r="C3" s="2" t="inlineStr">
        <is>
          <t>A2</t>
        </is>
      </c>
      <c r="D3" s="3">
        <f>EXP(-D1/$B$4)*EXP(-D1/$B$5)</f>
        <v/>
      </c>
      <c r="E3" s="3">
        <f>EXP(-E1/$B$4)*EXP(-E1/$B$5)</f>
        <v/>
      </c>
      <c r="F3" s="4">
        <f>EXP(-F1/$B$4)*EXP(-F1/$B$5)</f>
        <v/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Q3">
        <f>L3-M3</f>
        <v/>
      </c>
      <c r="R3">
        <f>L3-N3</f>
        <v/>
      </c>
      <c r="S3">
        <f>L3-O3</f>
        <v/>
      </c>
    </row>
    <row r="4">
      <c r="A4" s="2" t="inlineStr">
        <is>
          <t>T1</t>
        </is>
      </c>
      <c r="B4" s="1" t="n">
        <v>17</v>
      </c>
      <c r="C4" s="2" t="inlineStr">
        <is>
          <t>B1</t>
        </is>
      </c>
      <c r="D4" s="3">
        <f>$B$2*(1+$B$4/($B$5-$B$4)*EXP(-D$1/$B$4)-$B$5/($B$5-$B$4)*EXP(-D$1/$B$5))</f>
        <v/>
      </c>
      <c r="E4" s="3">
        <f>$B$2*(1+$B$4/($B$5-$B$4)*EXP(-E$1/$B$4)-$B$5/($B$5-$B$4)*EXP(-E$1/$B$5))</f>
        <v/>
      </c>
      <c r="F4" s="4">
        <f>$B$2*(1+$B$4/($B$5-$B$4)*EXP(-F$1/$B$4)-$B$5/($B$5-$B$4)*EXP(-F$1/$B$5))</f>
        <v/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Q4">
        <f>L4-M4</f>
        <v/>
      </c>
      <c r="R4">
        <f>L4-N4</f>
        <v/>
      </c>
      <c r="S4">
        <f>L4-O4</f>
        <v/>
      </c>
    </row>
    <row r="5">
      <c r="A5" s="2" t="inlineStr">
        <is>
          <t>T2</t>
        </is>
      </c>
      <c r="B5" s="1" t="n">
        <v>13</v>
      </c>
      <c r="C5" s="2" t="inlineStr">
        <is>
          <t>B2</t>
        </is>
      </c>
      <c r="D5" s="3">
        <f>$B$2*(EXP(-D1/$B$4)*EXP(-D1/$B$5)+$B$4/($B$5-$B$4)*EXP(-D1/$B$5)-$B$5/($B$5-$B$4)*EXP(-D1/$B$4))</f>
        <v/>
      </c>
      <c r="E5" s="3">
        <f>$B$2*(EXP(-E1/$B$4)*EXP(-E1/$B$5)+$B$4/($B$5-$B$4)*EXP(-E1/$B$5)-$B$5/($B$5-$B$4)*EXP(-E1/$B$4))</f>
        <v/>
      </c>
      <c r="F5" s="4">
        <f>$B$2*(EXP(-F1/$B$4)*EXP(-F1/$B$5)+$B$4/($B$5-$B$4)*EXP(-F1/$B$5)-$B$5/($B$5-$B$4)*EXP(-F1/$B$4))</f>
        <v/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Q5">
        <f>L5-M5</f>
        <v/>
      </c>
      <c r="R5">
        <f>L5-N5</f>
        <v/>
      </c>
      <c r="S5">
        <f>L5-O5</f>
        <v/>
      </c>
    </row>
    <row r="6"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Q6">
        <f>L6-M6</f>
        <v/>
      </c>
      <c r="R6">
        <f>L6-N6</f>
        <v/>
      </c>
      <c r="S6">
        <f>L6-O6</f>
        <v/>
      </c>
    </row>
    <row r="7"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Q7">
        <f>L7-M7</f>
        <v/>
      </c>
      <c r="R7">
        <f>L7-N7</f>
        <v/>
      </c>
      <c r="S7">
        <f>L7-O7</f>
        <v/>
      </c>
    </row>
    <row r="8"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Q8">
        <f>L8-M8</f>
        <v/>
      </c>
      <c r="R8">
        <f>L8-N8</f>
        <v/>
      </c>
      <c r="S8">
        <f>L8-O8</f>
        <v/>
      </c>
    </row>
    <row r="9"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Q9">
        <f>L9-M9</f>
        <v/>
      </c>
      <c r="R9">
        <f>L9-N9</f>
        <v/>
      </c>
      <c r="S9">
        <f>L9-O9</f>
        <v/>
      </c>
    </row>
    <row r="10"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Q10">
        <f>L10-M10</f>
        <v/>
      </c>
      <c r="R10">
        <f>L10-N10</f>
        <v/>
      </c>
      <c r="S10">
        <f>L10-O10</f>
        <v/>
      </c>
    </row>
    <row r="11"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Q11">
        <f>L11-M11</f>
        <v/>
      </c>
      <c r="R11">
        <f>L11-N11</f>
        <v/>
      </c>
      <c r="S11">
        <f>L11-O11</f>
        <v/>
      </c>
    </row>
    <row r="12">
      <c r="J12" t="n">
        <v>10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Q12">
        <f>L12-M12</f>
        <v/>
      </c>
      <c r="R12">
        <f>L12-N12</f>
        <v/>
      </c>
      <c r="S12">
        <f>L12-O12</f>
        <v/>
      </c>
    </row>
    <row r="13">
      <c r="J13" t="n">
        <v>11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Q13">
        <f>L13-M13</f>
        <v/>
      </c>
      <c r="R13">
        <f>L13-N13</f>
        <v/>
      </c>
      <c r="S13">
        <f>L13-O13</f>
        <v/>
      </c>
    </row>
    <row r="14">
      <c r="J14" t="n">
        <v>12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Q14">
        <f>L14-M14</f>
        <v/>
      </c>
      <c r="R14">
        <f>L14-N14</f>
        <v/>
      </c>
      <c r="S14">
        <f>L14-O14</f>
        <v/>
      </c>
    </row>
    <row r="15"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Q15">
        <f>L15-M15</f>
        <v/>
      </c>
      <c r="R15">
        <f>L15-N15</f>
        <v/>
      </c>
      <c r="S15">
        <f>L15-O15</f>
        <v/>
      </c>
    </row>
    <row r="16">
      <c r="J16" t="n">
        <v>14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Q16">
        <f>L16-M16</f>
        <v/>
      </c>
      <c r="R16">
        <f>L16-N16</f>
        <v/>
      </c>
      <c r="S16">
        <f>L16-O16</f>
        <v/>
      </c>
    </row>
    <row r="17">
      <c r="J17" t="n">
        <v>15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Q17">
        <f>L17-M17</f>
        <v/>
      </c>
      <c r="R17">
        <f>L17-N17</f>
        <v/>
      </c>
      <c r="S17">
        <f>L17-O17</f>
        <v/>
      </c>
    </row>
    <row r="18">
      <c r="J18" t="n">
        <v>16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Q18">
        <f>L18-M18</f>
        <v/>
      </c>
      <c r="R18">
        <f>L18-N18</f>
        <v/>
      </c>
      <c r="S18">
        <f>L18-O18</f>
        <v/>
      </c>
    </row>
    <row r="19">
      <c r="J19" t="n">
        <v>17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Q19">
        <f>L19-M19</f>
        <v/>
      </c>
      <c r="R19">
        <f>L19-N19</f>
        <v/>
      </c>
      <c r="S19">
        <f>L19-O19</f>
        <v/>
      </c>
    </row>
    <row r="20">
      <c r="J20" t="n">
        <v>18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Q20">
        <f>L20-M20</f>
        <v/>
      </c>
      <c r="R20">
        <f>L20-N20</f>
        <v/>
      </c>
      <c r="S20">
        <f>L20-O20</f>
        <v/>
      </c>
    </row>
    <row r="21">
      <c r="J21" t="n">
        <v>19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Q21">
        <f>L21-M21</f>
        <v/>
      </c>
      <c r="R21">
        <f>L21-N21</f>
        <v/>
      </c>
      <c r="S21">
        <f>L21-O21</f>
        <v/>
      </c>
    </row>
    <row r="22">
      <c r="J22" t="n">
        <v>20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Q22">
        <f>L22-M22</f>
        <v/>
      </c>
      <c r="R22">
        <f>L22-N22</f>
        <v/>
      </c>
      <c r="S22">
        <f>L22-O22</f>
        <v/>
      </c>
    </row>
    <row r="23">
      <c r="J23" t="n">
        <v>21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Q23">
        <f>L23-M23</f>
        <v/>
      </c>
      <c r="R23">
        <f>L23-N23</f>
        <v/>
      </c>
      <c r="S23">
        <f>L23-O23</f>
        <v/>
      </c>
    </row>
    <row r="24">
      <c r="J24" t="n">
        <v>22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Q24">
        <f>L24-M24</f>
        <v/>
      </c>
      <c r="R24">
        <f>L24-N24</f>
        <v/>
      </c>
      <c r="S24">
        <f>L24-O24</f>
        <v/>
      </c>
    </row>
    <row r="25">
      <c r="J25" t="n">
        <v>23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Q25">
        <f>L25-M25</f>
        <v/>
      </c>
      <c r="R25">
        <f>L25-N25</f>
        <v/>
      </c>
      <c r="S25">
        <f>L25-O25</f>
        <v/>
      </c>
    </row>
    <row r="26">
      <c r="J26" t="n">
        <v>24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Q26">
        <f>L26-M26</f>
        <v/>
      </c>
      <c r="R26">
        <f>L26-N26</f>
        <v/>
      </c>
      <c r="S26">
        <f>L26-O26</f>
        <v/>
      </c>
    </row>
    <row r="27">
      <c r="J27" t="n">
        <v>25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Q27">
        <f>L27-M27</f>
        <v/>
      </c>
      <c r="R27">
        <f>L27-N27</f>
        <v/>
      </c>
      <c r="S27">
        <f>L27-O27</f>
        <v/>
      </c>
    </row>
    <row r="28">
      <c r="J28" t="n">
        <v>26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Q28">
        <f>L28-M28</f>
        <v/>
      </c>
      <c r="R28">
        <f>L28-N28</f>
        <v/>
      </c>
      <c r="S28">
        <f>L28-O28</f>
        <v/>
      </c>
    </row>
    <row r="29">
      <c r="J29" t="n">
        <v>27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Q29">
        <f>L29-M29</f>
        <v/>
      </c>
      <c r="R29">
        <f>L29-N29</f>
        <v/>
      </c>
      <c r="S29">
        <f>L29-O29</f>
        <v/>
      </c>
    </row>
    <row r="30">
      <c r="J30" t="n">
        <v>28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Q30">
        <f>L30-M30</f>
        <v/>
      </c>
      <c r="R30">
        <f>L30-N30</f>
        <v/>
      </c>
      <c r="S30">
        <f>L30-O30</f>
        <v/>
      </c>
    </row>
    <row r="31">
      <c r="J31" t="n">
        <v>29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Q31">
        <f>L31-M31</f>
        <v/>
      </c>
      <c r="R31">
        <f>L31-N31</f>
        <v/>
      </c>
      <c r="S31">
        <f>L31-O31</f>
        <v/>
      </c>
    </row>
    <row r="32">
      <c r="J32" t="n">
        <v>30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Q32">
        <f>L32-M32</f>
        <v/>
      </c>
      <c r="R32">
        <f>L32-N32</f>
        <v/>
      </c>
      <c r="S32">
        <f>L32-O32</f>
        <v/>
      </c>
    </row>
    <row r="33">
      <c r="J33" t="n">
        <v>31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Q33">
        <f>L33-M33</f>
        <v/>
      </c>
      <c r="R33">
        <f>L33-N33</f>
        <v/>
      </c>
      <c r="S33">
        <f>L33-O33</f>
        <v/>
      </c>
    </row>
    <row r="34">
      <c r="J34" t="n">
        <v>32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Q34">
        <f>L34-M34</f>
        <v/>
      </c>
      <c r="R34">
        <f>L34-N34</f>
        <v/>
      </c>
      <c r="S34">
        <f>L34-O34</f>
        <v/>
      </c>
    </row>
    <row r="35">
      <c r="J35" t="n">
        <v>33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Q35">
        <f>L35-M35</f>
        <v/>
      </c>
      <c r="R35">
        <f>L35-N35</f>
        <v/>
      </c>
      <c r="S35">
        <f>L35-O35</f>
        <v/>
      </c>
    </row>
    <row r="36">
      <c r="J36" t="n">
        <v>34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Q36">
        <f>L36-M36</f>
        <v/>
      </c>
      <c r="R36">
        <f>L36-N36</f>
        <v/>
      </c>
      <c r="S36">
        <f>L36-O36</f>
        <v/>
      </c>
    </row>
    <row r="37">
      <c r="J37" t="n">
        <v>35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Q37">
        <f>L37-M37</f>
        <v/>
      </c>
      <c r="R37">
        <f>L37-N37</f>
        <v/>
      </c>
      <c r="S37">
        <f>L37-O37</f>
        <v/>
      </c>
    </row>
    <row r="38">
      <c r="J38" t="n">
        <v>36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Q38">
        <f>L38-M38</f>
        <v/>
      </c>
      <c r="R38">
        <f>L38-N38</f>
        <v/>
      </c>
      <c r="S38">
        <f>L38-O38</f>
        <v/>
      </c>
    </row>
    <row r="39">
      <c r="J39" t="n">
        <v>37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Q39">
        <f>L39-M39</f>
        <v/>
      </c>
      <c r="R39">
        <f>L39-N39</f>
        <v/>
      </c>
      <c r="S39">
        <f>L39-O39</f>
        <v/>
      </c>
    </row>
    <row r="40">
      <c r="J40" t="n">
        <v>38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Q40">
        <f>L40-M40</f>
        <v/>
      </c>
      <c r="R40">
        <f>L40-N40</f>
        <v/>
      </c>
      <c r="S40">
        <f>L40-O40</f>
        <v/>
      </c>
    </row>
    <row r="41">
      <c r="J41" t="n">
        <v>39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Q41">
        <f>L41-M41</f>
        <v/>
      </c>
      <c r="R41">
        <f>L41-N41</f>
        <v/>
      </c>
      <c r="S41">
        <f>L41-O41</f>
        <v/>
      </c>
    </row>
    <row r="42">
      <c r="J42" t="n">
        <v>40</v>
      </c>
      <c r="K42" t="n">
        <v>1</v>
      </c>
      <c r="L42">
        <f>IF(J82&lt;$B$3, 0, $B$2*K82*(1-($B$4/($B$4-$B$5))*EXP(-(J82-$J$42-$B$3)/$B$4)+($B$5/($B$4-$B$5))*EXP(-(J82-$J$42-$B$3)/$B$5)))</f>
        <v/>
      </c>
      <c r="M42">
        <f>$D$2*M41-$D$3*M40 + $D$4*K2+$D$5*K3</f>
        <v/>
      </c>
      <c r="N42" t="n">
        <v>0</v>
      </c>
      <c r="O42" t="n">
        <v>0</v>
      </c>
      <c r="Q42">
        <f>L42-M42</f>
        <v/>
      </c>
      <c r="R42">
        <f>L42-N42</f>
        <v/>
      </c>
      <c r="S42">
        <f>L42-O42</f>
        <v/>
      </c>
    </row>
    <row r="43">
      <c r="J43" t="n">
        <v>41</v>
      </c>
      <c r="K43" t="n">
        <v>1</v>
      </c>
      <c r="L43" t="n">
        <v>0</v>
      </c>
      <c r="M43">
        <f>$D$2*M42-$D$3*M41 + $D$4*K3+$D$5*K4</f>
        <v/>
      </c>
      <c r="N43" t="n">
        <v>0</v>
      </c>
      <c r="O43" t="n">
        <v>0</v>
      </c>
      <c r="Q43">
        <f>L43-M43</f>
        <v/>
      </c>
      <c r="R43">
        <f>L43-N43</f>
        <v/>
      </c>
      <c r="S43">
        <f>L43-O43</f>
        <v/>
      </c>
    </row>
    <row r="44">
      <c r="J44" t="n">
        <v>42</v>
      </c>
      <c r="K44" t="n">
        <v>1</v>
      </c>
      <c r="L44" t="n">
        <v>0</v>
      </c>
      <c r="M44">
        <f>$D$2*M43-$D$3*M42 + $D$4*K4+$D$5*K5</f>
        <v/>
      </c>
      <c r="N44" t="n">
        <v>0</v>
      </c>
      <c r="O44" t="n">
        <v>0</v>
      </c>
      <c r="Q44">
        <f>L44-M44</f>
        <v/>
      </c>
      <c r="R44">
        <f>L44-N44</f>
        <v/>
      </c>
      <c r="S44">
        <f>L44-O44</f>
        <v/>
      </c>
    </row>
    <row r="45">
      <c r="J45" t="n">
        <v>43</v>
      </c>
      <c r="K45" t="n">
        <v>1</v>
      </c>
      <c r="L45" t="n">
        <v>0</v>
      </c>
      <c r="M45">
        <f>$D$2*M44-$D$3*M43 + $D$4*K5+$D$5*K6</f>
        <v/>
      </c>
      <c r="N45" t="n">
        <v>0</v>
      </c>
      <c r="O45" t="n">
        <v>0</v>
      </c>
      <c r="Q45">
        <f>L45-M45</f>
        <v/>
      </c>
      <c r="R45">
        <f>L45-N45</f>
        <v/>
      </c>
      <c r="S45">
        <f>L45-O45</f>
        <v/>
      </c>
    </row>
    <row r="46">
      <c r="J46" t="n">
        <v>44</v>
      </c>
      <c r="K46" t="n">
        <v>1</v>
      </c>
      <c r="L46" t="n">
        <v>0</v>
      </c>
      <c r="M46">
        <f>$D$2*M45-$D$3*M44 + $D$4*K6+$D$5*K7</f>
        <v/>
      </c>
      <c r="N46" t="n">
        <v>0</v>
      </c>
      <c r="O46" t="n">
        <v>0</v>
      </c>
      <c r="Q46">
        <f>L46-M46</f>
        <v/>
      </c>
      <c r="R46">
        <f>L46-N46</f>
        <v/>
      </c>
      <c r="S46">
        <f>L46-O46</f>
        <v/>
      </c>
    </row>
    <row r="47">
      <c r="J47" t="n">
        <v>45</v>
      </c>
      <c r="K47" t="n">
        <v>1</v>
      </c>
      <c r="L47" t="n">
        <v>0</v>
      </c>
      <c r="M47">
        <f>$D$2*M46-$D$3*M45 + $D$4*K7+$D$5*K8</f>
        <v/>
      </c>
      <c r="N47" t="n">
        <v>0</v>
      </c>
      <c r="O47" t="n">
        <v>0</v>
      </c>
      <c r="Q47">
        <f>L47-M47</f>
        <v/>
      </c>
      <c r="R47">
        <f>L47-N47</f>
        <v/>
      </c>
      <c r="S47">
        <f>L47-O47</f>
        <v/>
      </c>
    </row>
    <row r="48">
      <c r="J48" t="n">
        <v>46</v>
      </c>
      <c r="K48" t="n">
        <v>1</v>
      </c>
      <c r="L48" t="n">
        <v>0</v>
      </c>
      <c r="M48">
        <f>$D$2*M47-$D$3*M46 + $D$4*K8+$D$5*K9</f>
        <v/>
      </c>
      <c r="N48" t="n">
        <v>0</v>
      </c>
      <c r="O48" t="n">
        <v>0</v>
      </c>
      <c r="Q48">
        <f>L48-M48</f>
        <v/>
      </c>
      <c r="R48">
        <f>L48-N48</f>
        <v/>
      </c>
      <c r="S48">
        <f>L48-O48</f>
        <v/>
      </c>
    </row>
    <row r="49">
      <c r="J49" t="n">
        <v>47</v>
      </c>
      <c r="K49" t="n">
        <v>1</v>
      </c>
      <c r="L49" t="n">
        <v>0</v>
      </c>
      <c r="M49">
        <f>$D$2*M48-$D$3*M47 + $D$4*K9+$D$5*K10</f>
        <v/>
      </c>
      <c r="N49" t="n">
        <v>0</v>
      </c>
      <c r="O49" t="n">
        <v>0</v>
      </c>
      <c r="Q49">
        <f>L49-M49</f>
        <v/>
      </c>
      <c r="R49">
        <f>L49-N49</f>
        <v/>
      </c>
      <c r="S49">
        <f>L49-O49</f>
        <v/>
      </c>
    </row>
    <row r="50">
      <c r="J50" t="n">
        <v>48</v>
      </c>
      <c r="K50" t="n">
        <v>1</v>
      </c>
      <c r="L50" t="n">
        <v>0</v>
      </c>
      <c r="M50">
        <f>$D$2*M49-$D$3*M48 + $D$4*K10+$D$5*K11</f>
        <v/>
      </c>
      <c r="N50" t="n">
        <v>0</v>
      </c>
      <c r="O50" t="n">
        <v>0</v>
      </c>
      <c r="Q50">
        <f>L50-M50</f>
        <v/>
      </c>
      <c r="R50">
        <f>L50-N50</f>
        <v/>
      </c>
      <c r="S50">
        <f>L50-O50</f>
        <v/>
      </c>
    </row>
    <row r="51">
      <c r="J51" t="n">
        <v>49</v>
      </c>
      <c r="K51" t="n">
        <v>1</v>
      </c>
      <c r="L51" t="n">
        <v>0</v>
      </c>
      <c r="M51">
        <f>$D$2*M50-$D$3*M49 + $D$4*K11+$D$5*K12</f>
        <v/>
      </c>
      <c r="N51" t="n">
        <v>0</v>
      </c>
      <c r="O51" t="n">
        <v>0</v>
      </c>
      <c r="Q51">
        <f>L51-M51</f>
        <v/>
      </c>
      <c r="R51">
        <f>L51-N51</f>
        <v/>
      </c>
      <c r="S51">
        <f>L51-O51</f>
        <v/>
      </c>
    </row>
    <row r="52">
      <c r="J52" t="n">
        <v>50</v>
      </c>
      <c r="K52" t="n">
        <v>1</v>
      </c>
      <c r="L52" t="n">
        <v>0</v>
      </c>
      <c r="M52">
        <f>$D$2*M51-$D$3*M50 + $D$4*K12+$D$5*K13</f>
        <v/>
      </c>
      <c r="N52">
        <f>$E$2 *N42 - $E$3 *N32 + $E$4 *K2 + $E$5 * 0</f>
        <v/>
      </c>
      <c r="O52" t="n">
        <v>0</v>
      </c>
      <c r="Q52">
        <f>L52-M52</f>
        <v/>
      </c>
      <c r="R52">
        <f>L52-N52</f>
        <v/>
      </c>
      <c r="S52">
        <f>L52-O52</f>
        <v/>
      </c>
    </row>
    <row r="53">
      <c r="J53" t="n">
        <v>51</v>
      </c>
      <c r="K53" t="n">
        <v>1</v>
      </c>
      <c r="L53" t="n">
        <v>0</v>
      </c>
      <c r="M53">
        <f>$D$2*M52-$D$3*M51 + $D$4*K13+$D$5*K14</f>
        <v/>
      </c>
      <c r="N53">
        <f>$E$2 *N43 - $E$3 *N33 + $E$4 *K3 + $E$5 * 0</f>
        <v/>
      </c>
      <c r="O53" t="n">
        <v>0</v>
      </c>
      <c r="Q53">
        <f>L53-M53</f>
        <v/>
      </c>
      <c r="R53">
        <f>L53-N53</f>
        <v/>
      </c>
      <c r="S53">
        <f>L53-O53</f>
        <v/>
      </c>
    </row>
    <row r="54">
      <c r="J54" t="n">
        <v>52</v>
      </c>
      <c r="K54" t="n">
        <v>1</v>
      </c>
      <c r="L54" t="n">
        <v>0</v>
      </c>
      <c r="M54">
        <f>$D$2*M53-$D$3*M52 + $D$4*K14+$D$5*K15</f>
        <v/>
      </c>
      <c r="N54">
        <f>$E$2 *N44 - $E$3 *N34 + $E$4 *K4 + $E$5 * 0</f>
        <v/>
      </c>
      <c r="O54" t="n">
        <v>0</v>
      </c>
      <c r="Q54">
        <f>L54-M54</f>
        <v/>
      </c>
      <c r="R54">
        <f>L54-N54</f>
        <v/>
      </c>
      <c r="S54">
        <f>L54-O54</f>
        <v/>
      </c>
    </row>
    <row r="55">
      <c r="J55" t="n">
        <v>53</v>
      </c>
      <c r="K55" t="n">
        <v>1</v>
      </c>
      <c r="L55" t="n">
        <v>0</v>
      </c>
      <c r="M55">
        <f>$D$2*M54-$D$3*M53 + $D$4*K15+$D$5*K16</f>
        <v/>
      </c>
      <c r="N55">
        <f>$E$2 *N45 - $E$3 *N35 + $E$4 *K5 + $E$5 * 0</f>
        <v/>
      </c>
      <c r="O55" t="n">
        <v>0</v>
      </c>
      <c r="Q55">
        <f>L55-M55</f>
        <v/>
      </c>
      <c r="R55">
        <f>L55-N55</f>
        <v/>
      </c>
      <c r="S55">
        <f>L55-O55</f>
        <v/>
      </c>
    </row>
    <row r="56">
      <c r="J56" t="n">
        <v>54</v>
      </c>
      <c r="K56" t="n">
        <v>1</v>
      </c>
      <c r="L56" t="n">
        <v>0</v>
      </c>
      <c r="M56">
        <f>$D$2*M55-$D$3*M54 + $D$4*K16+$D$5*K17</f>
        <v/>
      </c>
      <c r="N56">
        <f>$E$2 *N46 - $E$3 *N36 + $E$4 *K6 + $E$5 * 0</f>
        <v/>
      </c>
      <c r="O56" t="n">
        <v>0</v>
      </c>
      <c r="Q56">
        <f>L56-M56</f>
        <v/>
      </c>
      <c r="R56">
        <f>L56-N56</f>
        <v/>
      </c>
      <c r="S56">
        <f>L56-O56</f>
        <v/>
      </c>
    </row>
    <row r="57">
      <c r="J57" t="n">
        <v>55</v>
      </c>
      <c r="K57" t="n">
        <v>1</v>
      </c>
      <c r="L57" t="n">
        <v>0</v>
      </c>
      <c r="M57">
        <f>$D$2*M56-$D$3*M55 + $D$4*K17+$D$5*K18</f>
        <v/>
      </c>
      <c r="N57">
        <f>$E$2 *N47 - $E$3 *N37 + $E$4 *K7 + $E$5 * 0</f>
        <v/>
      </c>
      <c r="O57" t="n">
        <v>0</v>
      </c>
      <c r="Q57">
        <f>L57-M57</f>
        <v/>
      </c>
      <c r="R57">
        <f>L57-N57</f>
        <v/>
      </c>
      <c r="S57">
        <f>L57-O57</f>
        <v/>
      </c>
    </row>
    <row r="58">
      <c r="J58" t="n">
        <v>56</v>
      </c>
      <c r="K58" t="n">
        <v>1</v>
      </c>
      <c r="L58" t="n">
        <v>0</v>
      </c>
      <c r="M58">
        <f>$D$2*M57-$D$3*M56 + $D$4*K18+$D$5*K19</f>
        <v/>
      </c>
      <c r="N58">
        <f>$E$2 *N48 - $E$3 *N38 + $E$4 *K8 + $E$5 * 0</f>
        <v/>
      </c>
      <c r="O58" t="n">
        <v>0</v>
      </c>
      <c r="Q58">
        <f>L58-M58</f>
        <v/>
      </c>
      <c r="R58">
        <f>L58-N58</f>
        <v/>
      </c>
      <c r="S58">
        <f>L58-O58</f>
        <v/>
      </c>
    </row>
    <row r="59">
      <c r="J59" t="n">
        <v>57</v>
      </c>
      <c r="K59" t="n">
        <v>1</v>
      </c>
      <c r="L59" t="n">
        <v>0</v>
      </c>
      <c r="M59">
        <f>$D$2*M58-$D$3*M57 + $D$4*K19+$D$5*K20</f>
        <v/>
      </c>
      <c r="N59">
        <f>$E$2 *N49 - $E$3 *N39 + $E$4 *K9 + $E$5 * 0</f>
        <v/>
      </c>
      <c r="O59" t="n">
        <v>0</v>
      </c>
      <c r="Q59">
        <f>L59-M59</f>
        <v/>
      </c>
      <c r="R59">
        <f>L59-N59</f>
        <v/>
      </c>
      <c r="S59">
        <f>L59-O59</f>
        <v/>
      </c>
    </row>
    <row r="60">
      <c r="J60" t="n">
        <v>58</v>
      </c>
      <c r="K60" t="n">
        <v>1</v>
      </c>
      <c r="L60" t="n">
        <v>0</v>
      </c>
      <c r="M60">
        <f>$D$2*M59-$D$3*M58 + $D$4*K20+$D$5*K21</f>
        <v/>
      </c>
      <c r="N60">
        <f>$E$2 *N50 - $E$3 *N40 + $E$4 *K10 + $E$5 * 0</f>
        <v/>
      </c>
      <c r="O60" t="n">
        <v>0</v>
      </c>
      <c r="Q60">
        <f>L60-M60</f>
        <v/>
      </c>
      <c r="R60">
        <f>L60-N60</f>
        <v/>
      </c>
      <c r="S60">
        <f>L60-O60</f>
        <v/>
      </c>
    </row>
    <row r="61">
      <c r="J61" t="n">
        <v>59</v>
      </c>
      <c r="K61" t="n">
        <v>1</v>
      </c>
      <c r="L61" t="n">
        <v>0</v>
      </c>
      <c r="M61">
        <f>$D$2*M60-$D$3*M59 + $D$4*K21+$D$5*K22</f>
        <v/>
      </c>
      <c r="N61">
        <f>$E$2 *N51 - $E$3 *N41 + $E$4 *K11 + $E$5 * 0</f>
        <v/>
      </c>
      <c r="O61" t="n">
        <v>0</v>
      </c>
      <c r="Q61">
        <f>L61-M61</f>
        <v/>
      </c>
      <c r="R61">
        <f>L61-N61</f>
        <v/>
      </c>
      <c r="S61">
        <f>L61-O61</f>
        <v/>
      </c>
    </row>
    <row r="62">
      <c r="J62" t="n">
        <v>60</v>
      </c>
      <c r="K62" t="n">
        <v>1</v>
      </c>
      <c r="L62" t="n">
        <v>0</v>
      </c>
      <c r="M62">
        <f>$D$2*M61-$D$3*M60 + $D$4*K22+$D$5*K23</f>
        <v/>
      </c>
      <c r="N62">
        <f>$E$2 *N52 - $E$3 *N42 + $E$4 *K22 + $E$5 * K12</f>
        <v/>
      </c>
      <c r="O62">
        <f>$F$2 * O42 - $F$3 * O22 + $F$4 * K2 + $F$5 * 0</f>
        <v/>
      </c>
      <c r="Q62">
        <f>L62-M62</f>
        <v/>
      </c>
      <c r="R62">
        <f>L62-N62</f>
        <v/>
      </c>
      <c r="S62">
        <f>L62-O62</f>
        <v/>
      </c>
    </row>
    <row r="63">
      <c r="J63" t="n">
        <v>61</v>
      </c>
      <c r="K63" t="n">
        <v>1</v>
      </c>
      <c r="L63" t="n">
        <v>0</v>
      </c>
      <c r="M63">
        <f>$D$2*M62-$D$3*M61 + $D$4*K23+$D$5*K24</f>
        <v/>
      </c>
      <c r="N63">
        <f>$E$2 *N53 - $E$3 *N43 + $E$4 *K12 + $E$5 * K2</f>
        <v/>
      </c>
      <c r="O63">
        <f>$F$2 * O43 - $F$3 * O23 + $F$4 * K3 + $F$5 * 0</f>
        <v/>
      </c>
      <c r="Q63">
        <f>L63-M63</f>
        <v/>
      </c>
      <c r="R63">
        <f>L63-N63</f>
        <v/>
      </c>
      <c r="S63">
        <f>L63-O63</f>
        <v/>
      </c>
    </row>
    <row r="64">
      <c r="J64" t="n">
        <v>62</v>
      </c>
      <c r="K64" t="n">
        <v>1</v>
      </c>
      <c r="L64" t="n">
        <v>0</v>
      </c>
      <c r="M64">
        <f>$D$2*M63-$D$3*M62 + $D$4*K24+$D$5*K25</f>
        <v/>
      </c>
      <c r="N64">
        <f>$E$2 *N54 - $E$3 *N44 + $E$4 *K13 + $E$5 * K3</f>
        <v/>
      </c>
      <c r="O64">
        <f>$F$2 * O44 - $F$3 * O24 + $F$4 * K4 + $F$5 * 0</f>
        <v/>
      </c>
      <c r="Q64">
        <f>L64-M64</f>
        <v/>
      </c>
      <c r="R64">
        <f>L64-N64</f>
        <v/>
      </c>
      <c r="S64">
        <f>L64-O64</f>
        <v/>
      </c>
    </row>
    <row r="65">
      <c r="J65" t="n">
        <v>63</v>
      </c>
      <c r="K65" t="n">
        <v>1</v>
      </c>
      <c r="L65" t="n">
        <v>0</v>
      </c>
      <c r="M65">
        <f>$D$2*M64-$D$3*M63 + $D$4*K25+$D$5*K26</f>
        <v/>
      </c>
      <c r="N65">
        <f>$E$2 *N55 - $E$3 *N45 + $E$4 *K14 + $E$5 * K4</f>
        <v/>
      </c>
      <c r="O65">
        <f>$F$2 * O45 - $F$3 * O25 + $F$4 * K5 + $F$5 * 0</f>
        <v/>
      </c>
      <c r="Q65">
        <f>L65-M65</f>
        <v/>
      </c>
      <c r="R65">
        <f>L65-N65</f>
        <v/>
      </c>
      <c r="S65">
        <f>L65-O65</f>
        <v/>
      </c>
    </row>
    <row r="66">
      <c r="J66" t="n">
        <v>64</v>
      </c>
      <c r="K66" t="n">
        <v>1</v>
      </c>
      <c r="L66" t="n">
        <v>0</v>
      </c>
      <c r="M66">
        <f>$D$2*M65-$D$3*M64 + $D$4*K26+$D$5*K27</f>
        <v/>
      </c>
      <c r="N66">
        <f>$E$2 *N56 - $E$3 *N46 + $E$4 *K15 + $E$5 * K5</f>
        <v/>
      </c>
      <c r="O66">
        <f>$F$2 * O46 - $F$3 * O26 + $F$4 * K6 + $F$5 * 0</f>
        <v/>
      </c>
      <c r="Q66">
        <f>L66-M66</f>
        <v/>
      </c>
      <c r="R66">
        <f>L66-N66</f>
        <v/>
      </c>
      <c r="S66">
        <f>L66-O66</f>
        <v/>
      </c>
    </row>
    <row r="67">
      <c r="J67" t="n">
        <v>65</v>
      </c>
      <c r="K67" t="n">
        <v>1</v>
      </c>
      <c r="L67" t="n">
        <v>0</v>
      </c>
      <c r="M67">
        <f>$D$2*M66-$D$3*M65 + $D$4*K27+$D$5*K28</f>
        <v/>
      </c>
      <c r="N67">
        <f>$E$2 *N57 - $E$3 *N47 + $E$4 *K16 + $E$5 * K6</f>
        <v/>
      </c>
      <c r="O67">
        <f>$F$2 * O47 - $F$3 * O27 + $F$4 * K7 + $F$5 * 0</f>
        <v/>
      </c>
      <c r="Q67">
        <f>L67-M67</f>
        <v/>
      </c>
      <c r="R67">
        <f>L67-N67</f>
        <v/>
      </c>
      <c r="S67">
        <f>L67-O67</f>
        <v/>
      </c>
    </row>
    <row r="68">
      <c r="J68" t="n">
        <v>66</v>
      </c>
      <c r="K68" t="n">
        <v>1</v>
      </c>
      <c r="L68" t="n">
        <v>0</v>
      </c>
      <c r="M68">
        <f>$D$2*M67-$D$3*M66 + $D$4*K28+$D$5*K29</f>
        <v/>
      </c>
      <c r="N68">
        <f>$E$2 *N58 - $E$3 *N48 + $E$4 *K17 + $E$5 * K7</f>
        <v/>
      </c>
      <c r="O68">
        <f>$F$2 * O48 - $F$3 * O28 + $F$4 * K8 + $F$5 * 0</f>
        <v/>
      </c>
      <c r="Q68">
        <f>L68-M68</f>
        <v/>
      </c>
      <c r="R68">
        <f>L68-N68</f>
        <v/>
      </c>
      <c r="S68">
        <f>L68-O68</f>
        <v/>
      </c>
    </row>
    <row r="69">
      <c r="J69" t="n">
        <v>67</v>
      </c>
      <c r="K69" t="n">
        <v>1</v>
      </c>
      <c r="L69" t="n">
        <v>0</v>
      </c>
      <c r="M69">
        <f>$D$2*M68-$D$3*M67 + $D$4*K29+$D$5*K30</f>
        <v/>
      </c>
      <c r="N69">
        <f>$E$2 *N59 - $E$3 *N49 + $E$4 *K18 + $E$5 * K8</f>
        <v/>
      </c>
      <c r="O69">
        <f>$F$2 * O49 - $F$3 * O29 + $F$4 * K9 + $F$5 * 0</f>
        <v/>
      </c>
      <c r="Q69">
        <f>L69-M69</f>
        <v/>
      </c>
      <c r="R69">
        <f>L69-N69</f>
        <v/>
      </c>
      <c r="S69">
        <f>L69-O69</f>
        <v/>
      </c>
    </row>
    <row r="70">
      <c r="J70" t="n">
        <v>68</v>
      </c>
      <c r="K70" t="n">
        <v>1</v>
      </c>
      <c r="L70" t="n">
        <v>0</v>
      </c>
      <c r="M70">
        <f>$D$2*M69-$D$3*M68 + $D$4*K30+$D$5*K31</f>
        <v/>
      </c>
      <c r="N70">
        <f>$E$2 *N60 - $E$3 *N50 + $E$4 *K19 + $E$5 * K9</f>
        <v/>
      </c>
      <c r="O70">
        <f>$F$2 * O50 - $F$3 * O30 + $F$4 * K10 + $F$5 * 0</f>
        <v/>
      </c>
      <c r="Q70">
        <f>L70-M70</f>
        <v/>
      </c>
      <c r="R70">
        <f>L70-N70</f>
        <v/>
      </c>
      <c r="S70">
        <f>L70-O70</f>
        <v/>
      </c>
    </row>
    <row r="71">
      <c r="J71" t="n">
        <v>69</v>
      </c>
      <c r="K71" t="n">
        <v>1</v>
      </c>
      <c r="L71" t="n">
        <v>0</v>
      </c>
      <c r="M71">
        <f>$D$2*M70-$D$3*M69 + $D$4*K31+$D$5*K32</f>
        <v/>
      </c>
      <c r="N71">
        <f>$E$2 *N61 - $E$3 *N51 + $E$4 *K20 + $E$5 * K10</f>
        <v/>
      </c>
      <c r="O71">
        <f>$F$2 * O51 - $F$3 * O31 + $F$4 * K11 + $F$5 * 0</f>
        <v/>
      </c>
      <c r="Q71">
        <f>L71-M71</f>
        <v/>
      </c>
      <c r="R71">
        <f>L71-N71</f>
        <v/>
      </c>
      <c r="S71">
        <f>L71-O71</f>
        <v/>
      </c>
    </row>
    <row r="72">
      <c r="J72" t="n">
        <v>70</v>
      </c>
      <c r="K72" t="n">
        <v>1</v>
      </c>
      <c r="L72" t="n">
        <v>0</v>
      </c>
      <c r="M72">
        <f>$D$2*M71-$D$3*M70 + $D$4*K32+$D$5*K33</f>
        <v/>
      </c>
      <c r="N72">
        <f>$E$2 *N62 - $E$3 *N52 + $E$4 *K21 + $E$5 * K11</f>
        <v/>
      </c>
      <c r="O72">
        <f>$F$2 * O52 - $F$3 * O32 + $F$4 * K12 + $F$5 * 0</f>
        <v/>
      </c>
      <c r="Q72">
        <f>L72-M72</f>
        <v/>
      </c>
      <c r="R72">
        <f>L72-N72</f>
        <v/>
      </c>
      <c r="S72">
        <f>L72-O72</f>
        <v/>
      </c>
    </row>
    <row r="73">
      <c r="J73" t="n">
        <v>71</v>
      </c>
      <c r="K73" t="n">
        <v>1</v>
      </c>
      <c r="L73" t="n">
        <v>0</v>
      </c>
      <c r="M73">
        <f>$D$2*M72-$D$3*M71 + $D$4*K33+$D$5*K34</f>
        <v/>
      </c>
      <c r="N73">
        <f>$E$2 *N63 - $E$3 *N53 + $E$4 *K22 + $E$5 * K12</f>
        <v/>
      </c>
      <c r="O73">
        <f>$F$2 * O53 - $F$3 * O33 + $F$4 * K13 + $F$5 * 0</f>
        <v/>
      </c>
      <c r="Q73">
        <f>L73-M73</f>
        <v/>
      </c>
      <c r="R73">
        <f>L73-N73</f>
        <v/>
      </c>
      <c r="S73">
        <f>L73-O73</f>
        <v/>
      </c>
    </row>
    <row r="74">
      <c r="J74" t="n">
        <v>72</v>
      </c>
      <c r="K74" t="n">
        <v>1</v>
      </c>
      <c r="L74" t="n">
        <v>0</v>
      </c>
      <c r="M74">
        <f>$D$2*M73-$D$3*M72 + $D$4*K34+$D$5*K35</f>
        <v/>
      </c>
      <c r="N74">
        <f>$E$2 *N64 - $E$3 *N54 + $E$4 *K23 + $E$5 * K13</f>
        <v/>
      </c>
      <c r="O74">
        <f>$F$2 * O54 - $F$3 * O34 + $F$4 * K14 + $F$5 * 0</f>
        <v/>
      </c>
      <c r="Q74">
        <f>L74-M74</f>
        <v/>
      </c>
      <c r="R74">
        <f>L74-N74</f>
        <v/>
      </c>
      <c r="S74">
        <f>L74-O74</f>
        <v/>
      </c>
    </row>
    <row r="75">
      <c r="J75" t="n">
        <v>73</v>
      </c>
      <c r="K75" t="n">
        <v>1</v>
      </c>
      <c r="L75" t="n">
        <v>0</v>
      </c>
      <c r="M75">
        <f>$D$2*M74-$D$3*M73 + $D$4*K35+$D$5*K36</f>
        <v/>
      </c>
      <c r="N75">
        <f>$E$2 *N65 - $E$3 *N55 + $E$4 *K24 + $E$5 * K14</f>
        <v/>
      </c>
      <c r="O75">
        <f>$F$2 * O55 - $F$3 * O35 + $F$4 * K15 + $F$5 * 0</f>
        <v/>
      </c>
      <c r="Q75">
        <f>L75-M75</f>
        <v/>
      </c>
      <c r="R75">
        <f>L75-N75</f>
        <v/>
      </c>
      <c r="S75">
        <f>L75-O75</f>
        <v/>
      </c>
    </row>
    <row r="76">
      <c r="J76" t="n">
        <v>74</v>
      </c>
      <c r="K76" t="n">
        <v>1</v>
      </c>
      <c r="L76" t="n">
        <v>0</v>
      </c>
      <c r="M76">
        <f>$D$2*M75-$D$3*M74 + $D$4*K36+$D$5*K37</f>
        <v/>
      </c>
      <c r="N76">
        <f>$E$2 *N66 - $E$3 *N56 + $E$4 *K25 + $E$5 * K15</f>
        <v/>
      </c>
      <c r="O76">
        <f>$F$2 * O56 - $F$3 * O36 + $F$4 * K16 + $F$5 * 0</f>
        <v/>
      </c>
      <c r="Q76">
        <f>L76-M76</f>
        <v/>
      </c>
      <c r="R76">
        <f>L76-N76</f>
        <v/>
      </c>
      <c r="S76">
        <f>L76-O76</f>
        <v/>
      </c>
    </row>
    <row r="77">
      <c r="J77" t="n">
        <v>75</v>
      </c>
      <c r="K77" t="n">
        <v>1</v>
      </c>
      <c r="L77" t="n">
        <v>0</v>
      </c>
      <c r="M77">
        <f>$D$2*M76-$D$3*M75 + $D$4*K37+$D$5*K38</f>
        <v/>
      </c>
      <c r="N77">
        <f>$E$2 *N67 - $E$3 *N57 + $E$4 *K26 + $E$5 * K16</f>
        <v/>
      </c>
      <c r="O77">
        <f>$F$2 * O57 - $F$3 * O37 + $F$4 * K17 + $F$5 * 0</f>
        <v/>
      </c>
      <c r="Q77">
        <f>L77-M77</f>
        <v/>
      </c>
      <c r="R77">
        <f>L77-N77</f>
        <v/>
      </c>
      <c r="S77">
        <f>L77-O77</f>
        <v/>
      </c>
    </row>
    <row r="78">
      <c r="J78" t="n">
        <v>76</v>
      </c>
      <c r="K78" t="n">
        <v>1</v>
      </c>
      <c r="L78" t="n">
        <v>0</v>
      </c>
      <c r="M78">
        <f>$D$2*M77-$D$3*M76 + $D$4*K38+$D$5*K39</f>
        <v/>
      </c>
      <c r="N78">
        <f>$E$2 *N68 - $E$3 *N58 + $E$4 *K27 + $E$5 * K17</f>
        <v/>
      </c>
      <c r="O78">
        <f>$F$2 * O58 - $F$3 * O38 + $F$4 * K18 + $F$5 * 0</f>
        <v/>
      </c>
      <c r="Q78">
        <f>L78-M78</f>
        <v/>
      </c>
      <c r="R78">
        <f>L78-N78</f>
        <v/>
      </c>
      <c r="S78">
        <f>L78-O78</f>
        <v/>
      </c>
    </row>
    <row r="79">
      <c r="J79" t="n">
        <v>77</v>
      </c>
      <c r="K79" t="n">
        <v>1</v>
      </c>
      <c r="L79" t="n">
        <v>0</v>
      </c>
      <c r="M79">
        <f>$D$2*M78-$D$3*M77 + $D$4*K39+$D$5*K40</f>
        <v/>
      </c>
      <c r="N79">
        <f>$E$2 *N69 - $E$3 *N59 + $E$4 *K28 + $E$5 * K18</f>
        <v/>
      </c>
      <c r="O79">
        <f>$F$2 * O59 - $F$3 * O39 + $F$4 * K19 + $F$5 * 0</f>
        <v/>
      </c>
      <c r="Q79">
        <f>L79-M79</f>
        <v/>
      </c>
      <c r="R79">
        <f>L79-N79</f>
        <v/>
      </c>
      <c r="S79">
        <f>L79-O79</f>
        <v/>
      </c>
    </row>
    <row r="80">
      <c r="J80" t="n">
        <v>78</v>
      </c>
      <c r="K80" t="n">
        <v>1</v>
      </c>
      <c r="L80" t="n">
        <v>0</v>
      </c>
      <c r="M80">
        <f>$D$2*M79-$D$3*M78 + $D$4*K40+$D$5*K41</f>
        <v/>
      </c>
      <c r="N80">
        <f>$E$2 *N70 - $E$3 *N60 + $E$4 *K29 + $E$5 * K19</f>
        <v/>
      </c>
      <c r="O80">
        <f>$F$2 * O60 - $F$3 * O40 + $F$4 * K20 + $F$5 * 0</f>
        <v/>
      </c>
      <c r="Q80">
        <f>L80-M80</f>
        <v/>
      </c>
      <c r="R80">
        <f>L80-N80</f>
        <v/>
      </c>
      <c r="S80">
        <f>L80-O80</f>
        <v/>
      </c>
    </row>
    <row r="81">
      <c r="J81" t="n">
        <v>79</v>
      </c>
      <c r="K81" t="n">
        <v>1</v>
      </c>
      <c r="L81" t="n">
        <v>0</v>
      </c>
      <c r="M81" t="n">
        <v>0</v>
      </c>
      <c r="N81">
        <f>$E$2 *N71 - $E$3 *N61 + $E$4 *K30 + $E$5 * K20</f>
        <v/>
      </c>
      <c r="O81">
        <f>$F$2 * O61 - $F$3 * O41 + $F$4 * K21 + $F$5 * 0</f>
        <v/>
      </c>
      <c r="Q81">
        <f>L81-M81</f>
        <v/>
      </c>
      <c r="R81">
        <f>L81-N81</f>
        <v/>
      </c>
      <c r="S81">
        <f>L81-O81</f>
        <v/>
      </c>
    </row>
    <row r="82">
      <c r="J82" t="n">
        <v>80</v>
      </c>
      <c r="K82" t="n">
        <v>1</v>
      </c>
      <c r="L82">
        <f>$B$2*K82*(1-EXP(-(J82-$J$42-$B$3)/$B$4)*$B$4/($B$4-$B$5)+EXP(-(J82-$J$42-$B$3)/$B$5)*$B$5/($B$4-$B$5))</f>
        <v/>
      </c>
      <c r="M82">
        <f>$D$2*M81-$D$3*M80 + $D$4*K2+$D$5*K3</f>
        <v/>
      </c>
      <c r="N82">
        <f>$E$2 *N72 - $E$3 *N62 + $E$4 *K31 + $E$5 * K21</f>
        <v/>
      </c>
      <c r="O82">
        <f>$F$2 * O62 - $F$3 * O42 + $F$4 * K22 + $F$5 * K2</f>
        <v/>
      </c>
      <c r="Q82">
        <f>L82-M82</f>
        <v/>
      </c>
      <c r="R82">
        <f>L82-N82</f>
        <v/>
      </c>
      <c r="S82">
        <f>L82-O82</f>
        <v/>
      </c>
    </row>
    <row r="83">
      <c r="J83" t="n">
        <v>81</v>
      </c>
      <c r="K83" t="n">
        <v>1</v>
      </c>
      <c r="L83">
        <f>$B$2*K83*(1-EXP(-(J83-$J$42-$B$3)/$B$4)*$B$4/($B$4-$B$5)+EXP(-(J83-$J$42-$B$3)/$B$5)*$B$5/($B$4-$B$5))</f>
        <v/>
      </c>
      <c r="M83">
        <f>$D$2*M82-$D$3*M81 + $D$4*K43+$D$5*K44</f>
        <v/>
      </c>
      <c r="N83">
        <f>$E$2 *N73 - $E$3 *N63 + $E$4 *K32 + $E$5 * K22</f>
        <v/>
      </c>
      <c r="O83">
        <f>$F$2 * O63 - $F$3 * O43 + $F$4 * K23 + $F$5 * K3</f>
        <v/>
      </c>
      <c r="Q83">
        <f>L83-M83</f>
        <v/>
      </c>
      <c r="R83">
        <f>L83-N83</f>
        <v/>
      </c>
      <c r="S83">
        <f>L83-O83</f>
        <v/>
      </c>
    </row>
    <row r="84">
      <c r="J84" t="n">
        <v>82</v>
      </c>
      <c r="K84" t="n">
        <v>1</v>
      </c>
      <c r="L84">
        <f>$B$2*K84*(1-EXP(-(J84-$J$42-$B$3)/$B$4)*$B$4/($B$4-$B$5)+EXP(-(J84-$J$42-$B$3)/$B$5)*$B$5/($B$4-$B$5))</f>
        <v/>
      </c>
      <c r="M84">
        <f>$D$2*M83-$D$3*M82 + $D$4*K44+$D$5*K45</f>
        <v/>
      </c>
      <c r="N84">
        <f>$E$2 *N74 - $E$3 *N64 + $E$4 *K33 + $E$5 * K23</f>
        <v/>
      </c>
      <c r="O84">
        <f>$F$2 * O64 - $F$3 * O44 + $F$4 * K24 + $F$5 * K4</f>
        <v/>
      </c>
      <c r="Q84">
        <f>L84-M84</f>
        <v/>
      </c>
      <c r="R84">
        <f>L84-N84</f>
        <v/>
      </c>
      <c r="S84">
        <f>L84-O84</f>
        <v/>
      </c>
    </row>
    <row r="85">
      <c r="J85" t="n">
        <v>83</v>
      </c>
      <c r="K85" t="n">
        <v>1</v>
      </c>
      <c r="L85">
        <f>$B$2*K85*(1-EXP(-(J85-$J$42-$B$3)/$B$4)*$B$4/($B$4-$B$5)+EXP(-(J85-$J$42-$B$3)/$B$5)*$B$5/($B$4-$B$5))</f>
        <v/>
      </c>
      <c r="M85">
        <f>$D$2*M84-$D$3*M83 + $D$4*K45+$D$5*K46</f>
        <v/>
      </c>
      <c r="N85">
        <f>$E$2 *N75 - $E$3 *N65 + $E$4 *K34 + $E$5 * K24</f>
        <v/>
      </c>
      <c r="O85">
        <f>$F$2 * O65 - $F$3 * O45 + $F$4 * K25 + $F$5 * K5</f>
        <v/>
      </c>
      <c r="Q85">
        <f>L85-M85</f>
        <v/>
      </c>
      <c r="R85">
        <f>L85-N85</f>
        <v/>
      </c>
      <c r="S85">
        <f>L85-O85</f>
        <v/>
      </c>
    </row>
    <row r="86">
      <c r="J86" t="n">
        <v>84</v>
      </c>
      <c r="K86" t="n">
        <v>1</v>
      </c>
      <c r="L86">
        <f>$B$2*K86*(1-EXP(-(J86-$J$42-$B$3)/$B$4)*$B$4/($B$4-$B$5)+EXP(-(J86-$J$42-$B$3)/$B$5)*$B$5/($B$4-$B$5))</f>
        <v/>
      </c>
      <c r="M86">
        <f>$D$2*M85-$D$3*M84 + $D$4*K46+$D$5*K47</f>
        <v/>
      </c>
      <c r="N86">
        <f>$E$2 *N76 - $E$3 *N66 + $E$4 *K35 + $E$5 * K25</f>
        <v/>
      </c>
      <c r="O86">
        <f>$F$2 * O66 - $F$3 * O46 + $F$4 * K26 + $F$5 * K6</f>
        <v/>
      </c>
      <c r="Q86">
        <f>L86-M86</f>
        <v/>
      </c>
      <c r="R86">
        <f>L86-N86</f>
        <v/>
      </c>
      <c r="S86">
        <f>L86-O86</f>
        <v/>
      </c>
    </row>
    <row r="87">
      <c r="J87" t="n">
        <v>85</v>
      </c>
      <c r="K87" t="n">
        <v>1</v>
      </c>
      <c r="L87">
        <f>$B$2*K87*(1-EXP(-(J87-$J$42-$B$3)/$B$4)*$B$4/($B$4-$B$5)+EXP(-(J87-$J$42-$B$3)/$B$5)*$B$5/($B$4-$B$5))</f>
        <v/>
      </c>
      <c r="M87">
        <f>$D$2*M86-$D$3*M85 + $D$4*K47+$D$5*K48</f>
        <v/>
      </c>
      <c r="N87">
        <f>$E$2 *N77 - $E$3 *N67 + $E$4 *K36 + $E$5 * K26</f>
        <v/>
      </c>
      <c r="O87">
        <f>$F$2 * O67 - $F$3 * O47 + $F$4 * K27 + $F$5 * K7</f>
        <v/>
      </c>
      <c r="Q87">
        <f>L87-M87</f>
        <v/>
      </c>
      <c r="R87">
        <f>L87-N87</f>
        <v/>
      </c>
      <c r="S87">
        <f>L87-O87</f>
        <v/>
      </c>
    </row>
    <row r="88">
      <c r="J88" t="n">
        <v>86</v>
      </c>
      <c r="K88" t="n">
        <v>1</v>
      </c>
      <c r="L88">
        <f>$B$2*K88*(1-EXP(-(J88-$J$42-$B$3)/$B$4)*$B$4/($B$4-$B$5)+EXP(-(J88-$J$42-$B$3)/$B$5)*$B$5/($B$4-$B$5))</f>
        <v/>
      </c>
      <c r="M88">
        <f>$D$2*M87-$D$3*M86 + $D$4*K48+$D$5*K49</f>
        <v/>
      </c>
      <c r="N88">
        <f>$E$2 *N78 - $E$3 *N68 + $E$4 *K37 + $E$5 * K27</f>
        <v/>
      </c>
      <c r="O88">
        <f>$F$2 * O68 - $F$3 * O48 + $F$4 * K28 + $F$5 * K8</f>
        <v/>
      </c>
      <c r="Q88">
        <f>L88-M88</f>
        <v/>
      </c>
      <c r="R88">
        <f>L88-N88</f>
        <v/>
      </c>
      <c r="S88">
        <f>L88-O88</f>
        <v/>
      </c>
    </row>
    <row r="89">
      <c r="J89" t="n">
        <v>87</v>
      </c>
      <c r="K89" t="n">
        <v>1</v>
      </c>
      <c r="L89">
        <f>$B$2*K89*(1-EXP(-(J89-$J$42-$B$3)/$B$4)*$B$4/($B$4-$B$5)+EXP(-(J89-$J$42-$B$3)/$B$5)*$B$5/($B$4-$B$5))</f>
        <v/>
      </c>
      <c r="M89">
        <f>$D$2*M88-$D$3*M87 + $D$4*K49+$D$5*K50</f>
        <v/>
      </c>
      <c r="N89">
        <f>$E$2 *N79 - $E$3 *N69 + $E$4 *K38 + $E$5 * K28</f>
        <v/>
      </c>
      <c r="O89">
        <f>$F$2 * O69 - $F$3 * O49 + $F$4 * K29 + $F$5 * K9</f>
        <v/>
      </c>
      <c r="Q89">
        <f>L89-M89</f>
        <v/>
      </c>
      <c r="R89">
        <f>L89-N89</f>
        <v/>
      </c>
      <c r="S89">
        <f>L89-O89</f>
        <v/>
      </c>
    </row>
    <row r="90">
      <c r="J90" t="n">
        <v>88</v>
      </c>
      <c r="K90" t="n">
        <v>1</v>
      </c>
      <c r="L90">
        <f>$B$2*K90*(1-EXP(-(J90-$J$42-$B$3)/$B$4)*$B$4/($B$4-$B$5)+EXP(-(J90-$J$42-$B$3)/$B$5)*$B$5/($B$4-$B$5))</f>
        <v/>
      </c>
      <c r="M90">
        <f>$D$2*M89-$D$3*M88 + $D$4*K50+$D$5*K51</f>
        <v/>
      </c>
      <c r="N90">
        <f>$E$2 *N80 - $E$3 *N70 + $E$4 *K39 + $E$5 * K29</f>
        <v/>
      </c>
      <c r="O90">
        <f>$F$2 * O70 - $F$3 * O50 + $F$4 * K30 + $F$5 * K10</f>
        <v/>
      </c>
      <c r="Q90">
        <f>L90-M90</f>
        <v/>
      </c>
      <c r="R90">
        <f>L90-N90</f>
        <v/>
      </c>
      <c r="S90">
        <f>L90-O90</f>
        <v/>
      </c>
    </row>
    <row r="91">
      <c r="J91" t="n">
        <v>89</v>
      </c>
      <c r="K91" t="n">
        <v>1</v>
      </c>
      <c r="L91">
        <f>$B$2*K91*(1-EXP(-(J91-$J$42-$B$3)/$B$4)*$B$4/($B$4-$B$5)+EXP(-(J91-$J$42-$B$3)/$B$5)*$B$5/($B$4-$B$5))</f>
        <v/>
      </c>
      <c r="M91">
        <f>$D$2*M90-$D$3*M89 + $D$4*K51+$D$5*K52</f>
        <v/>
      </c>
      <c r="N91">
        <f>$E$2 *N81 - $E$3 *N71 + $E$4 *K40 + $E$5 * K30</f>
        <v/>
      </c>
      <c r="O91">
        <f>$F$2 * O71 - $F$3 * O51 + $F$4 * K31 + $F$5 * K11</f>
        <v/>
      </c>
      <c r="Q91">
        <f>L91-M91</f>
        <v/>
      </c>
      <c r="R91">
        <f>L91-N91</f>
        <v/>
      </c>
      <c r="S91">
        <f>L91-O91</f>
        <v/>
      </c>
    </row>
    <row r="92">
      <c r="J92" t="n">
        <v>90</v>
      </c>
      <c r="K92" t="n">
        <v>1</v>
      </c>
      <c r="L92">
        <f>$B$2*K92*(1-EXP(-(J92-$J$42-$B$3)/$B$4)*$B$4/($B$4-$B$5)+EXP(-(J92-$J$42-$B$3)/$B$5)*$B$5/($B$4-$B$5))</f>
        <v/>
      </c>
      <c r="M92">
        <f>$D$2*M91-$D$3*M90 + $D$4*K52+$D$5*K53</f>
        <v/>
      </c>
      <c r="N92">
        <f>$E$2 *N82 - $E$3 *N72 + $E$4 *K41 + $E$5 * K31</f>
        <v/>
      </c>
      <c r="O92">
        <f>$F$2 * O72 - $F$3 * O52 + $F$4 * K32 + $F$5 * K12</f>
        <v/>
      </c>
      <c r="Q92">
        <f>L92-M92</f>
        <v/>
      </c>
      <c r="R92">
        <f>L92-N92</f>
        <v/>
      </c>
      <c r="S92">
        <f>L92-O92</f>
        <v/>
      </c>
    </row>
    <row r="93">
      <c r="J93" t="n">
        <v>91</v>
      </c>
      <c r="K93" t="n">
        <v>1</v>
      </c>
      <c r="L93">
        <f>$B$2*K93*(1-EXP(-(J93-$J$42-$B$3)/$B$4)*$B$4/($B$4-$B$5)+EXP(-(J93-$J$42-$B$3)/$B$5)*$B$5/($B$4-$B$5))</f>
        <v/>
      </c>
      <c r="M93">
        <f>$D$2*M92-$D$3*M91 + $D$4*K53+$D$5*K54</f>
        <v/>
      </c>
      <c r="N93">
        <f>$E$2 *N83 - $E$3 *N73 + $E$4 *K42 + $E$5 * K32</f>
        <v/>
      </c>
      <c r="O93">
        <f>$F$2 * O73 - $F$3 * O53 + $F$4 * K33 + $F$5 * K13</f>
        <v/>
      </c>
      <c r="Q93">
        <f>L93-M93</f>
        <v/>
      </c>
      <c r="R93">
        <f>L93-N93</f>
        <v/>
      </c>
      <c r="S93">
        <f>L93-O93</f>
        <v/>
      </c>
    </row>
    <row r="94">
      <c r="J94" t="n">
        <v>92</v>
      </c>
      <c r="K94" t="n">
        <v>1</v>
      </c>
      <c r="L94">
        <f>$B$2*K94*(1-EXP(-(J94-$J$42-$B$3)/$B$4)*$B$4/($B$4-$B$5)+EXP(-(J94-$J$42-$B$3)/$B$5)*$B$5/($B$4-$B$5))</f>
        <v/>
      </c>
      <c r="M94">
        <f>$D$2*M93-$D$3*M92 + $D$4*K54+$D$5*K55</f>
        <v/>
      </c>
      <c r="N94">
        <f>$E$2 *N84 - $E$3 *N74 + $E$4 *K43 + $E$5 * K33</f>
        <v/>
      </c>
      <c r="O94">
        <f>$F$2 * O74 - $F$3 * O54 + $F$4 * K34 + $F$5 * K14</f>
        <v/>
      </c>
      <c r="Q94">
        <f>L94-M94</f>
        <v/>
      </c>
      <c r="R94">
        <f>L94-N94</f>
        <v/>
      </c>
      <c r="S94">
        <f>L94-O94</f>
        <v/>
      </c>
    </row>
    <row r="95">
      <c r="J95" t="n">
        <v>93</v>
      </c>
      <c r="K95" t="n">
        <v>1</v>
      </c>
      <c r="L95">
        <f>$B$2*K95*(1-EXP(-(J95-$J$42-$B$3)/$B$4)*$B$4/($B$4-$B$5)+EXP(-(J95-$J$42-$B$3)/$B$5)*$B$5/($B$4-$B$5))</f>
        <v/>
      </c>
      <c r="M95">
        <f>$D$2*M94-$D$3*M93 + $D$4*K55+$D$5*K56</f>
        <v/>
      </c>
      <c r="N95">
        <f>$E$2 *N85 - $E$3 *N75 + $E$4 *K44 + $E$5 * K34</f>
        <v/>
      </c>
      <c r="O95">
        <f>$F$2 * O75 - $F$3 * O55 + $F$4 * K35 + $F$5 * K15</f>
        <v/>
      </c>
      <c r="Q95">
        <f>L95-M95</f>
        <v/>
      </c>
      <c r="R95">
        <f>L95-N95</f>
        <v/>
      </c>
      <c r="S95">
        <f>L95-O95</f>
        <v/>
      </c>
    </row>
    <row r="96">
      <c r="J96" t="n">
        <v>94</v>
      </c>
      <c r="K96" t="n">
        <v>1</v>
      </c>
      <c r="L96">
        <f>$B$2*K96*(1-EXP(-(J96-$J$42-$B$3)/$B$4)*$B$4/($B$4-$B$5)+EXP(-(J96-$J$42-$B$3)/$B$5)*$B$5/($B$4-$B$5))</f>
        <v/>
      </c>
      <c r="M96">
        <f>$D$2*M95-$D$3*M94 + $D$4*K56+$D$5*K57</f>
        <v/>
      </c>
      <c r="N96">
        <f>$E$2 *N86 - $E$3 *N76 + $E$4 *K45 + $E$5 * K35</f>
        <v/>
      </c>
      <c r="O96">
        <f>$F$2 * O76 - $F$3 * O56 + $F$4 * K36 + $F$5 * K16</f>
        <v/>
      </c>
      <c r="Q96">
        <f>L96-M96</f>
        <v/>
      </c>
      <c r="R96">
        <f>L96-N96</f>
        <v/>
      </c>
      <c r="S96">
        <f>L96-O96</f>
        <v/>
      </c>
    </row>
    <row r="97">
      <c r="J97" t="n">
        <v>95</v>
      </c>
      <c r="K97" t="n">
        <v>1</v>
      </c>
      <c r="L97">
        <f>$B$2*K97*(1-EXP(-(J97-$J$42-$B$3)/$B$4)*$B$4/($B$4-$B$5)+EXP(-(J97-$J$42-$B$3)/$B$5)*$B$5/($B$4-$B$5))</f>
        <v/>
      </c>
      <c r="M97">
        <f>$D$2*M96-$D$3*M95 + $D$4*K57+$D$5*K58</f>
        <v/>
      </c>
      <c r="N97">
        <f>$E$2 *N87 - $E$3 *N77 + $E$4 *K46 + $E$5 * K36</f>
        <v/>
      </c>
      <c r="O97">
        <f>$F$2 * O77 - $F$3 * O57 + $F$4 * K37 + $F$5 * K17</f>
        <v/>
      </c>
      <c r="Q97">
        <f>L97-M97</f>
        <v/>
      </c>
      <c r="R97">
        <f>L97-N97</f>
        <v/>
      </c>
      <c r="S97">
        <f>L97-O97</f>
        <v/>
      </c>
    </row>
    <row r="98">
      <c r="J98" t="n">
        <v>96</v>
      </c>
      <c r="K98" t="n">
        <v>1</v>
      </c>
      <c r="L98">
        <f>$B$2*K98*(1-EXP(-(J98-$J$42-$B$3)/$B$4)*$B$4/($B$4-$B$5)+EXP(-(J98-$J$42-$B$3)/$B$5)*$B$5/($B$4-$B$5))</f>
        <v/>
      </c>
      <c r="M98">
        <f>$D$2*M97-$D$3*M96 + $D$4*K58+$D$5*K59</f>
        <v/>
      </c>
      <c r="N98">
        <f>$E$2 *N88 - $E$3 *N78 + $E$4 *K47 + $E$5 * K37</f>
        <v/>
      </c>
      <c r="O98">
        <f>$F$2 * O78 - $F$3 * O58 + $F$4 * K38 + $F$5 * K18</f>
        <v/>
      </c>
      <c r="Q98">
        <f>L98-M98</f>
        <v/>
      </c>
      <c r="R98">
        <f>L98-N98</f>
        <v/>
      </c>
      <c r="S98">
        <f>L98-O98</f>
        <v/>
      </c>
    </row>
    <row r="99">
      <c r="J99" t="n">
        <v>97</v>
      </c>
      <c r="K99" t="n">
        <v>1</v>
      </c>
      <c r="L99">
        <f>$B$2*K99*(1-EXP(-(J99-$J$42-$B$3)/$B$4)*$B$4/($B$4-$B$5)+EXP(-(J99-$J$42-$B$3)/$B$5)*$B$5/($B$4-$B$5))</f>
        <v/>
      </c>
      <c r="M99">
        <f>$D$2*M98-$D$3*M97 + $D$4*K59+$D$5*K60</f>
        <v/>
      </c>
      <c r="N99">
        <f>$E$2 *N89 - $E$3 *N79 + $E$4 *K48 + $E$5 * K38</f>
        <v/>
      </c>
      <c r="O99">
        <f>$F$2 * O79 - $F$3 * O59 + $F$4 * K39 + $F$5 * K19</f>
        <v/>
      </c>
      <c r="Q99">
        <f>L99-M99</f>
        <v/>
      </c>
      <c r="R99">
        <f>L99-N99</f>
        <v/>
      </c>
      <c r="S99">
        <f>L99-O99</f>
        <v/>
      </c>
    </row>
    <row r="100">
      <c r="J100" t="n">
        <v>98</v>
      </c>
      <c r="K100" t="n">
        <v>1</v>
      </c>
      <c r="L100">
        <f>$B$2*K100*(1-EXP(-(J100-$J$42-$B$3)/$B$4)*$B$4/($B$4-$B$5)+EXP(-(J100-$J$42-$B$3)/$B$5)*$B$5/($B$4-$B$5))</f>
        <v/>
      </c>
      <c r="M100">
        <f>$D$2*M99-$D$3*M98 + $D$4*K60+$D$5*K61</f>
        <v/>
      </c>
      <c r="N100">
        <f>$E$2 *N90 - $E$3 *N80 + $E$4 *K49 + $E$5 * K39</f>
        <v/>
      </c>
      <c r="O100">
        <f>$F$2 * O80 - $F$3 * O60 + $F$4 * K40 + $F$5 * K20</f>
        <v/>
      </c>
      <c r="Q100">
        <f>L100-M100</f>
        <v/>
      </c>
      <c r="R100">
        <f>L100-N100</f>
        <v/>
      </c>
      <c r="S100">
        <f>L100-O100</f>
        <v/>
      </c>
    </row>
    <row r="101">
      <c r="J101" t="n">
        <v>99</v>
      </c>
      <c r="K101" t="n">
        <v>1</v>
      </c>
      <c r="L101">
        <f>$B$2*K101*(1-EXP(-(J101-$J$42-$B$3)/$B$4)*$B$4/($B$4-$B$5)+EXP(-(J101-$J$42-$B$3)/$B$5)*$B$5/($B$4-$B$5))</f>
        <v/>
      </c>
      <c r="M101">
        <f>$D$2*M100-$D$3*M99 + $D$4*K61+$D$5*K62</f>
        <v/>
      </c>
      <c r="N101">
        <f>$E$2 *N91 - $E$3 *N81 + $E$4 *K50 + $E$5 * K40</f>
        <v/>
      </c>
      <c r="O101">
        <f>$F$2 * O81 - $F$3 * O61 + $F$4 * K41 + $F$5 * K21</f>
        <v/>
      </c>
      <c r="Q101">
        <f>L101-M101</f>
        <v/>
      </c>
      <c r="R101">
        <f>L101-N101</f>
        <v/>
      </c>
      <c r="S101">
        <f>L101-O101</f>
        <v/>
      </c>
    </row>
    <row r="102">
      <c r="J102" t="n">
        <v>100</v>
      </c>
      <c r="K102" t="n">
        <v>1</v>
      </c>
      <c r="L102">
        <f>$B$2*K102*(1-EXP(-(J102-$J$42-$B$3)/$B$4)*$B$4/($B$4-$B$5)+EXP(-(J102-$J$42-$B$3)/$B$5)*$B$5/($B$4-$B$5))</f>
        <v/>
      </c>
      <c r="M102">
        <f>$D$2*M101-$D$3*M100 + $D$4*K62+$D$5*K63</f>
        <v/>
      </c>
      <c r="N102">
        <f>$E$2 *N92 - $E$3 *N82 + $E$4 *K51 + $E$5 * K41</f>
        <v/>
      </c>
      <c r="O102">
        <f>$F$2 * O82 - $F$3 * O62 + $F$4 * K42 + $F$5 * K22</f>
        <v/>
      </c>
      <c r="Q102">
        <f>L102-M102</f>
        <v/>
      </c>
      <c r="R102">
        <f>L102-N102</f>
        <v/>
      </c>
      <c r="S102">
        <f>L102-O102</f>
        <v/>
      </c>
    </row>
    <row r="103">
      <c r="J103" t="n">
        <v>101</v>
      </c>
      <c r="K103" t="n">
        <v>1</v>
      </c>
      <c r="L103">
        <f>$B$2*K103*(1-EXP(-(J103-$J$42-$B$3)/$B$4)*$B$4/($B$4-$B$5)+EXP(-(J103-$J$42-$B$3)/$B$5)*$B$5/($B$4-$B$5))</f>
        <v/>
      </c>
      <c r="M103">
        <f>$D$2*M102-$D$3*M101 + $D$4*K63+$D$5*K64</f>
        <v/>
      </c>
      <c r="N103">
        <f>$E$2 *N93 - $E$3 *N83 + $E$4 *K52 + $E$5 * K42</f>
        <v/>
      </c>
      <c r="O103">
        <f>$F$2 * O83 - $F$3 * O63 + $F$4 * K43 + $F$5 * K23</f>
        <v/>
      </c>
      <c r="Q103">
        <f>L103-M103</f>
        <v/>
      </c>
      <c r="R103">
        <f>L103-N103</f>
        <v/>
      </c>
      <c r="S103">
        <f>L103-O103</f>
        <v/>
      </c>
    </row>
    <row r="104">
      <c r="J104" t="n">
        <v>102</v>
      </c>
      <c r="K104" t="n">
        <v>1</v>
      </c>
      <c r="L104">
        <f>$B$2*K104*(1-EXP(-(J104-$J$42-$B$3)/$B$4)*$B$4/($B$4-$B$5)+EXP(-(J104-$J$42-$B$3)/$B$5)*$B$5/($B$4-$B$5))</f>
        <v/>
      </c>
      <c r="M104">
        <f>$D$2*M103-$D$3*M102 + $D$4*K64+$D$5*K65</f>
        <v/>
      </c>
      <c r="N104">
        <f>$E$2 *N94 - $E$3 *N84 + $E$4 *K53 + $E$5 * K43</f>
        <v/>
      </c>
      <c r="O104">
        <f>$F$2 * O84 - $F$3 * O64 + $F$4 * K44 + $F$5 * K24</f>
        <v/>
      </c>
      <c r="Q104">
        <f>L104-M104</f>
        <v/>
      </c>
      <c r="R104">
        <f>L104-N104</f>
        <v/>
      </c>
      <c r="S104">
        <f>L104-O104</f>
        <v/>
      </c>
    </row>
    <row r="105">
      <c r="J105" t="n">
        <v>103</v>
      </c>
      <c r="K105" t="n">
        <v>1</v>
      </c>
      <c r="L105">
        <f>$B$2*K105*(1-EXP(-(J105-$J$42-$B$3)/$B$4)*$B$4/($B$4-$B$5)+EXP(-(J105-$J$42-$B$3)/$B$5)*$B$5/($B$4-$B$5))</f>
        <v/>
      </c>
      <c r="M105">
        <f>$D$2*M104-$D$3*M103 + $D$4*K65+$D$5*K66</f>
        <v/>
      </c>
      <c r="N105">
        <f>$E$2 *N95 - $E$3 *N85 + $E$4 *K54 + $E$5 * K44</f>
        <v/>
      </c>
      <c r="O105">
        <f>$F$2 * O85 - $F$3 * O65 + $F$4 * K45 + $F$5 * K25</f>
        <v/>
      </c>
      <c r="Q105">
        <f>L105-M105</f>
        <v/>
      </c>
      <c r="R105">
        <f>L105-N105</f>
        <v/>
      </c>
      <c r="S105">
        <f>L105-O105</f>
        <v/>
      </c>
    </row>
    <row r="106">
      <c r="J106" t="n">
        <v>104</v>
      </c>
      <c r="K106" t="n">
        <v>1</v>
      </c>
      <c r="L106">
        <f>$B$2*K106*(1-EXP(-(J106-$J$42-$B$3)/$B$4)*$B$4/($B$4-$B$5)+EXP(-(J106-$J$42-$B$3)/$B$5)*$B$5/($B$4-$B$5))</f>
        <v/>
      </c>
      <c r="M106">
        <f>$D$2*M105-$D$3*M104 + $D$4*K66+$D$5*K67</f>
        <v/>
      </c>
      <c r="N106">
        <f>$E$2 *N96 - $E$3 *N86 + $E$4 *K55 + $E$5 * K45</f>
        <v/>
      </c>
      <c r="O106">
        <f>$F$2 * O86 - $F$3 * O66 + $F$4 * K46 + $F$5 * K26</f>
        <v/>
      </c>
      <c r="Q106">
        <f>L106-M106</f>
        <v/>
      </c>
      <c r="R106">
        <f>L106-N106</f>
        <v/>
      </c>
      <c r="S106">
        <f>L106-O106</f>
        <v/>
      </c>
    </row>
    <row r="107">
      <c r="J107" t="n">
        <v>105</v>
      </c>
      <c r="K107" t="n">
        <v>1</v>
      </c>
      <c r="L107">
        <f>$B$2*K107*(1-EXP(-(J107-$J$42-$B$3)/$B$4)*$B$4/($B$4-$B$5)+EXP(-(J107-$J$42-$B$3)/$B$5)*$B$5/($B$4-$B$5))</f>
        <v/>
      </c>
      <c r="M107">
        <f>$D$2*M106-$D$3*M105 + $D$4*K67+$D$5*K68</f>
        <v/>
      </c>
      <c r="N107">
        <f>$E$2 *N97 - $E$3 *N87 + $E$4 *K56 + $E$5 * K46</f>
        <v/>
      </c>
      <c r="O107">
        <f>$F$2 * O87 - $F$3 * O67 + $F$4 * K47 + $F$5 * K27</f>
        <v/>
      </c>
      <c r="Q107">
        <f>L107-M107</f>
        <v/>
      </c>
      <c r="R107">
        <f>L107-N107</f>
        <v/>
      </c>
      <c r="S107">
        <f>L107-O107</f>
        <v/>
      </c>
    </row>
    <row r="108">
      <c r="J108" t="n">
        <v>106</v>
      </c>
      <c r="K108" t="n">
        <v>1</v>
      </c>
      <c r="L108">
        <f>$B$2*K108*(1-EXP(-(J108-$J$42-$B$3)/$B$4)*$B$4/($B$4-$B$5)+EXP(-(J108-$J$42-$B$3)/$B$5)*$B$5/($B$4-$B$5))</f>
        <v/>
      </c>
      <c r="M108">
        <f>$D$2*M107-$D$3*M106 + $D$4*K68+$D$5*K69</f>
        <v/>
      </c>
      <c r="N108">
        <f>$E$2 *N98 - $E$3 *N88 + $E$4 *K57 + $E$5 * K47</f>
        <v/>
      </c>
      <c r="O108">
        <f>$F$2 * O88 - $F$3 * O68 + $F$4 * K48 + $F$5 * K28</f>
        <v/>
      </c>
      <c r="Q108">
        <f>L108-M108</f>
        <v/>
      </c>
      <c r="R108">
        <f>L108-N108</f>
        <v/>
      </c>
      <c r="S108">
        <f>L108-O108</f>
        <v/>
      </c>
    </row>
    <row r="109">
      <c r="J109" t="n">
        <v>107</v>
      </c>
      <c r="K109" t="n">
        <v>1</v>
      </c>
      <c r="L109">
        <f>$B$2*K109*(1-EXP(-(J109-$J$42-$B$3)/$B$4)*$B$4/($B$4-$B$5)+EXP(-(J109-$J$42-$B$3)/$B$5)*$B$5/($B$4-$B$5))</f>
        <v/>
      </c>
      <c r="M109">
        <f>$D$2*M108-$D$3*M107 + $D$4*K69+$D$5*K70</f>
        <v/>
      </c>
      <c r="N109">
        <f>$E$2 *N99 - $E$3 *N89 + $E$4 *K58 + $E$5 * K48</f>
        <v/>
      </c>
      <c r="O109">
        <f>$F$2 * O89 - $F$3 * O69 + $F$4 * K49 + $F$5 * K29</f>
        <v/>
      </c>
      <c r="Q109">
        <f>L109-M109</f>
        <v/>
      </c>
      <c r="R109">
        <f>L109-N109</f>
        <v/>
      </c>
      <c r="S109">
        <f>L109-O109</f>
        <v/>
      </c>
    </row>
    <row r="110">
      <c r="J110" t="n">
        <v>108</v>
      </c>
      <c r="K110" t="n">
        <v>1</v>
      </c>
      <c r="L110">
        <f>$B$2*K110*(1-EXP(-(J110-$J$42-$B$3)/$B$4)*$B$4/($B$4-$B$5)+EXP(-(J110-$J$42-$B$3)/$B$5)*$B$5/($B$4-$B$5))</f>
        <v/>
      </c>
      <c r="M110">
        <f>$D$2*M109-$D$3*M108 + $D$4*K70+$D$5*K71</f>
        <v/>
      </c>
      <c r="N110">
        <f>$E$2 *N100 - $E$3 *N90 + $E$4 *K59 + $E$5 * K49</f>
        <v/>
      </c>
      <c r="O110">
        <f>$F$2 * O90 - $F$3 * O70 + $F$4 * K50 + $F$5 * K30</f>
        <v/>
      </c>
      <c r="Q110">
        <f>L110-M110</f>
        <v/>
      </c>
      <c r="R110">
        <f>L110-N110</f>
        <v/>
      </c>
      <c r="S110">
        <f>L110-O110</f>
        <v/>
      </c>
    </row>
    <row r="111">
      <c r="J111" t="n">
        <v>109</v>
      </c>
      <c r="K111" t="n">
        <v>1</v>
      </c>
      <c r="L111">
        <f>$B$2*K111*(1-EXP(-(J111-$J$42-$B$3)/$B$4)*$B$4/($B$4-$B$5)+EXP(-(J111-$J$42-$B$3)/$B$5)*$B$5/($B$4-$B$5))</f>
        <v/>
      </c>
      <c r="M111">
        <f>$D$2*M110-$D$3*M109 + $D$4*K71+$D$5*K72</f>
        <v/>
      </c>
      <c r="N111">
        <f>$E$2 *N101 - $E$3 *N91 + $E$4 *K60 + $E$5 * K50</f>
        <v/>
      </c>
      <c r="O111">
        <f>$F$2 * O91 - $F$3 * O71 + $F$4 * K51 + $F$5 * K31</f>
        <v/>
      </c>
      <c r="Q111">
        <f>L111-M111</f>
        <v/>
      </c>
      <c r="R111">
        <f>L111-N111</f>
        <v/>
      </c>
      <c r="S111">
        <f>L111-O111</f>
        <v/>
      </c>
    </row>
    <row r="112">
      <c r="J112" t="n">
        <v>110</v>
      </c>
      <c r="K112" t="n">
        <v>1</v>
      </c>
      <c r="L112">
        <f>$B$2*K112*(1-EXP(-(J112-$J$42-$B$3)/$B$4)*$B$4/($B$4-$B$5)+EXP(-(J112-$J$42-$B$3)/$B$5)*$B$5/($B$4-$B$5))</f>
        <v/>
      </c>
      <c r="M112">
        <f>$D$2*M111-$D$3*M110 + $D$4*K72+$D$5*K73</f>
        <v/>
      </c>
      <c r="N112">
        <f>$E$2 *N102 - $E$3 *N92 + $E$4 *K61 + $E$5 * K51</f>
        <v/>
      </c>
      <c r="O112">
        <f>$F$2 * O92 - $F$3 * O72 + $F$4 * K52 + $F$5 * K32</f>
        <v/>
      </c>
      <c r="Q112">
        <f>L112-M112</f>
        <v/>
      </c>
      <c r="R112">
        <f>L112-N112</f>
        <v/>
      </c>
      <c r="S112">
        <f>L112-O112</f>
        <v/>
      </c>
    </row>
    <row r="113">
      <c r="J113" t="n">
        <v>111</v>
      </c>
      <c r="K113" t="n">
        <v>1</v>
      </c>
      <c r="L113">
        <f>$B$2*K113*(1-EXP(-(J113-$J$42-$B$3)/$B$4)*$B$4/($B$4-$B$5)+EXP(-(J113-$J$42-$B$3)/$B$5)*$B$5/($B$4-$B$5))</f>
        <v/>
      </c>
      <c r="M113">
        <f>$D$2*M112-$D$3*M111 + $D$4*K73+$D$5*K74</f>
        <v/>
      </c>
      <c r="N113">
        <f>$E$2 *N103 - $E$3 *N93 + $E$4 *K62 + $E$5 * K52</f>
        <v/>
      </c>
      <c r="O113">
        <f>$F$2 * O93 - $F$3 * O73 + $F$4 * K53 + $F$5 * K33</f>
        <v/>
      </c>
      <c r="Q113">
        <f>L113-M113</f>
        <v/>
      </c>
      <c r="R113">
        <f>L113-N113</f>
        <v/>
      </c>
      <c r="S113">
        <f>L113-O113</f>
        <v/>
      </c>
    </row>
    <row r="114">
      <c r="J114" t="n">
        <v>112</v>
      </c>
      <c r="K114" t="n">
        <v>1</v>
      </c>
      <c r="L114">
        <f>$B$2*K114*(1-EXP(-(J114-$J$42-$B$3)/$B$4)*$B$4/($B$4-$B$5)+EXP(-(J114-$J$42-$B$3)/$B$5)*$B$5/($B$4-$B$5))</f>
        <v/>
      </c>
      <c r="M114">
        <f>$D$2*M113-$D$3*M112 + $D$4*K74+$D$5*K75</f>
        <v/>
      </c>
      <c r="N114">
        <f>$E$2 *N104 - $E$3 *N94 + $E$4 *K63 + $E$5 * K53</f>
        <v/>
      </c>
      <c r="O114">
        <f>$F$2 * O94 - $F$3 * O74 + $F$4 * K54 + $F$5 * K34</f>
        <v/>
      </c>
      <c r="Q114">
        <f>L114-M114</f>
        <v/>
      </c>
      <c r="R114">
        <f>L114-N114</f>
        <v/>
      </c>
      <c r="S114">
        <f>L114-O114</f>
        <v/>
      </c>
    </row>
    <row r="115">
      <c r="J115" t="n">
        <v>113</v>
      </c>
      <c r="K115" t="n">
        <v>1</v>
      </c>
      <c r="L115">
        <f>$B$2*K115*(1-EXP(-(J115-$J$42-$B$3)/$B$4)*$B$4/($B$4-$B$5)+EXP(-(J115-$J$42-$B$3)/$B$5)*$B$5/($B$4-$B$5))</f>
        <v/>
      </c>
      <c r="M115">
        <f>$D$2*M114-$D$3*M113 + $D$4*K75+$D$5*K76</f>
        <v/>
      </c>
      <c r="N115">
        <f>$E$2 *N105 - $E$3 *N95 + $E$4 *K64 + $E$5 * K54</f>
        <v/>
      </c>
      <c r="O115">
        <f>$F$2 * O95 - $F$3 * O75 + $F$4 * K55 + $F$5 * K35</f>
        <v/>
      </c>
      <c r="Q115">
        <f>L115-M115</f>
        <v/>
      </c>
      <c r="R115">
        <f>L115-N115</f>
        <v/>
      </c>
      <c r="S115">
        <f>L115-O115</f>
        <v/>
      </c>
    </row>
    <row r="116">
      <c r="J116" t="n">
        <v>114</v>
      </c>
      <c r="K116" t="n">
        <v>1</v>
      </c>
      <c r="L116">
        <f>$B$2*K116*(1-EXP(-(J116-$J$42-$B$3)/$B$4)*$B$4/($B$4-$B$5)+EXP(-(J116-$J$42-$B$3)/$B$5)*$B$5/($B$4-$B$5))</f>
        <v/>
      </c>
      <c r="M116">
        <f>$D$2*M115-$D$3*M114 + $D$4*K76+$D$5*K77</f>
        <v/>
      </c>
      <c r="N116">
        <f>$E$2 *N106 - $E$3 *N96 + $E$4 *K65 + $E$5 * K55</f>
        <v/>
      </c>
      <c r="O116">
        <f>$F$2 * O96 - $F$3 * O76 + $F$4 * K56 + $F$5 * K36</f>
        <v/>
      </c>
      <c r="Q116">
        <f>L116-M116</f>
        <v/>
      </c>
      <c r="R116">
        <f>L116-N116</f>
        <v/>
      </c>
      <c r="S116">
        <f>L116-O116</f>
        <v/>
      </c>
    </row>
    <row r="117">
      <c r="J117" t="n">
        <v>115</v>
      </c>
      <c r="K117" t="n">
        <v>1</v>
      </c>
      <c r="L117">
        <f>$B$2*K117*(1-EXP(-(J117-$J$42-$B$3)/$B$4)*$B$4/($B$4-$B$5)+EXP(-(J117-$J$42-$B$3)/$B$5)*$B$5/($B$4-$B$5))</f>
        <v/>
      </c>
      <c r="M117">
        <f>$D$2*M116-$D$3*M115 + $D$4*K77+$D$5*K78</f>
        <v/>
      </c>
      <c r="N117">
        <f>$E$2 *N107 - $E$3 *N97 + $E$4 *K66 + $E$5 * K56</f>
        <v/>
      </c>
      <c r="O117">
        <f>$F$2 * O97 - $F$3 * O77 + $F$4 * K57 + $F$5 * K37</f>
        <v/>
      </c>
      <c r="Q117">
        <f>L117-M117</f>
        <v/>
      </c>
      <c r="R117">
        <f>L117-N117</f>
        <v/>
      </c>
      <c r="S117">
        <f>L117-O117</f>
        <v/>
      </c>
    </row>
    <row r="118">
      <c r="J118" t="n">
        <v>116</v>
      </c>
      <c r="K118" t="n">
        <v>1</v>
      </c>
      <c r="L118">
        <f>$B$2*K118*(1-EXP(-(J118-$J$42-$B$3)/$B$4)*$B$4/($B$4-$B$5)+EXP(-(J118-$J$42-$B$3)/$B$5)*$B$5/($B$4-$B$5))</f>
        <v/>
      </c>
      <c r="M118">
        <f>$D$2*M117-$D$3*M116 + $D$4*K78+$D$5*K79</f>
        <v/>
      </c>
      <c r="N118">
        <f>$E$2 *N108 - $E$3 *N98 + $E$4 *K67 + $E$5 * K57</f>
        <v/>
      </c>
      <c r="O118">
        <f>$F$2 * O98 - $F$3 * O78 + $F$4 * K58 + $F$5 * K38</f>
        <v/>
      </c>
      <c r="Q118">
        <f>L118-M118</f>
        <v/>
      </c>
      <c r="R118">
        <f>L118-N118</f>
        <v/>
      </c>
      <c r="S118">
        <f>L118-O118</f>
        <v/>
      </c>
    </row>
    <row r="119">
      <c r="J119" t="n">
        <v>117</v>
      </c>
      <c r="K119" t="n">
        <v>1</v>
      </c>
      <c r="L119">
        <f>$B$2*K119*(1-EXP(-(J119-$J$42-$B$3)/$B$4)*$B$4/($B$4-$B$5)+EXP(-(J119-$J$42-$B$3)/$B$5)*$B$5/($B$4-$B$5))</f>
        <v/>
      </c>
      <c r="M119">
        <f>$D$2*M118-$D$3*M117 + $D$4*K79+$D$5*K80</f>
        <v/>
      </c>
      <c r="N119">
        <f>$E$2 *N109 - $E$3 *N99 + $E$4 *K68 + $E$5 * K58</f>
        <v/>
      </c>
      <c r="O119">
        <f>$F$2 * O99 - $F$3 * O79 + $F$4 * K59 + $F$5 * K39</f>
        <v/>
      </c>
      <c r="Q119">
        <f>L119-M119</f>
        <v/>
      </c>
      <c r="R119">
        <f>L119-N119</f>
        <v/>
      </c>
      <c r="S119">
        <f>L119-O119</f>
        <v/>
      </c>
    </row>
    <row r="120">
      <c r="J120" t="n">
        <v>118</v>
      </c>
      <c r="K120" t="n">
        <v>1</v>
      </c>
      <c r="L120">
        <f>$B$2*K120*(1-EXP(-(J120-$J$42-$B$3)/$B$4)*$B$4/($B$4-$B$5)+EXP(-(J120-$J$42-$B$3)/$B$5)*$B$5/($B$4-$B$5))</f>
        <v/>
      </c>
      <c r="M120">
        <f>$D$2*M119-$D$3*M118 + $D$4*K80+$D$5*K81</f>
        <v/>
      </c>
      <c r="N120">
        <f>$E$2 *N110 - $E$3 *N100 + $E$4 *K69 + $E$5 * K59</f>
        <v/>
      </c>
      <c r="O120">
        <f>$F$2 * O100 - $F$3 * O80 + $F$4 * K60 + $F$5 * K40</f>
        <v/>
      </c>
      <c r="Q120">
        <f>L120-M120</f>
        <v/>
      </c>
      <c r="R120">
        <f>L120-N120</f>
        <v/>
      </c>
      <c r="S120">
        <f>L120-O120</f>
        <v/>
      </c>
    </row>
    <row r="121">
      <c r="J121" t="n">
        <v>119</v>
      </c>
      <c r="K121" t="n">
        <v>1</v>
      </c>
      <c r="L121">
        <f>$B$2*K121*(1-EXP(-(J121-$J$42-$B$3)/$B$4)*$B$4/($B$4-$B$5)+EXP(-(J121-$J$42-$B$3)/$B$5)*$B$5/($B$4-$B$5))</f>
        <v/>
      </c>
      <c r="M121">
        <f>$D$2*M120-$D$3*M119 + $D$4*K81+$D$5*K82</f>
        <v/>
      </c>
      <c r="N121">
        <f>$E$2 *N111 - $E$3 *N101 + $E$4 *K70 + $E$5 * K60</f>
        <v/>
      </c>
      <c r="O121">
        <f>$F$2 * O101 - $F$3 * O81 + $F$4 * K61 + $F$5 * K41</f>
        <v/>
      </c>
      <c r="Q121">
        <f>L121-M121</f>
        <v/>
      </c>
      <c r="R121">
        <f>L121-N121</f>
        <v/>
      </c>
      <c r="S121">
        <f>L121-O121</f>
        <v/>
      </c>
    </row>
    <row r="122">
      <c r="J122" t="n">
        <v>120</v>
      </c>
      <c r="K122" t="n">
        <v>1</v>
      </c>
      <c r="L122">
        <f>$B$2*K122*(1-EXP(-(J122-$J$42-$B$3)/$B$4)*$B$4/($B$4-$B$5)+EXP(-(J122-$J$42-$B$3)/$B$5)*$B$5/($B$4-$B$5))</f>
        <v/>
      </c>
      <c r="M122">
        <f>$D$2*M121-$D$3*M120 + $D$4*K82+$D$5*K83</f>
        <v/>
      </c>
      <c r="N122">
        <f>$E$2 *N112 - $E$3 *N102 + $E$4 *K71 + $E$5 * K61</f>
        <v/>
      </c>
      <c r="O122">
        <f>$F$2 * O102 - $F$3 * O82 + $F$4 * K62 + $F$5 * K42</f>
        <v/>
      </c>
      <c r="Q122">
        <f>L122-M122</f>
        <v/>
      </c>
      <c r="R122">
        <f>L122-N122</f>
        <v/>
      </c>
      <c r="S122">
        <f>L122-O122</f>
        <v/>
      </c>
    </row>
    <row r="123">
      <c r="J123" t="n">
        <v>121</v>
      </c>
      <c r="K123" t="n">
        <v>1</v>
      </c>
      <c r="L123">
        <f>$B$2*K123*(1-EXP(-(J123-$J$42-$B$3)/$B$4)*$B$4/($B$4-$B$5)+EXP(-(J123-$J$42-$B$3)/$B$5)*$B$5/($B$4-$B$5))</f>
        <v/>
      </c>
      <c r="M123">
        <f>$D$2*M122-$D$3*M121 + $D$4*K83+$D$5*K84</f>
        <v/>
      </c>
      <c r="N123">
        <f>$E$2 *N113 - $E$3 *N103 + $E$4 *K72 + $E$5 * K62</f>
        <v/>
      </c>
      <c r="O123">
        <f>$F$2 * O103 - $F$3 * O83 + $F$4 * K63 + $F$5 * K43</f>
        <v/>
      </c>
      <c r="Q123">
        <f>L123-M123</f>
        <v/>
      </c>
      <c r="R123">
        <f>L123-N123</f>
        <v/>
      </c>
      <c r="S123">
        <f>L123-O123</f>
        <v/>
      </c>
    </row>
    <row r="124">
      <c r="J124" t="n">
        <v>122</v>
      </c>
      <c r="K124" t="n">
        <v>1</v>
      </c>
      <c r="L124">
        <f>$B$2*K124*(1-EXP(-(J124-$J$42-$B$3)/$B$4)*$B$4/($B$4-$B$5)+EXP(-(J124-$J$42-$B$3)/$B$5)*$B$5/($B$4-$B$5))</f>
        <v/>
      </c>
      <c r="M124">
        <f>$D$2*M123-$D$3*M122 + $D$4*K84+$D$5*K85</f>
        <v/>
      </c>
      <c r="N124">
        <f>$E$2 *N114 - $E$3 *N104 + $E$4 *K73 + $E$5 * K63</f>
        <v/>
      </c>
      <c r="O124">
        <f>$F$2 * O104 - $F$3 * O84 + $F$4 * K64 + $F$5 * K44</f>
        <v/>
      </c>
      <c r="Q124">
        <f>L124-M124</f>
        <v/>
      </c>
      <c r="R124">
        <f>L124-N124</f>
        <v/>
      </c>
      <c r="S124">
        <f>L124-O124</f>
        <v/>
      </c>
    </row>
    <row r="125">
      <c r="J125" t="n">
        <v>123</v>
      </c>
      <c r="K125" t="n">
        <v>1</v>
      </c>
      <c r="L125">
        <f>$B$2*K125*(1-EXP(-(J125-$J$42-$B$3)/$B$4)*$B$4/($B$4-$B$5)+EXP(-(J125-$J$42-$B$3)/$B$5)*$B$5/($B$4-$B$5))</f>
        <v/>
      </c>
      <c r="M125">
        <f>$D$2*M124-$D$3*M123 + $D$4*K85+$D$5*K86</f>
        <v/>
      </c>
      <c r="N125">
        <f>$E$2 *N115 - $E$3 *N105 + $E$4 *K74 + $E$5 * K64</f>
        <v/>
      </c>
      <c r="O125">
        <f>$F$2 * O105 - $F$3 * O85 + $F$4 * K65 + $F$5 * K45</f>
        <v/>
      </c>
      <c r="Q125">
        <f>L125-M125</f>
        <v/>
      </c>
      <c r="R125">
        <f>L125-N125</f>
        <v/>
      </c>
      <c r="S125">
        <f>L125-O125</f>
        <v/>
      </c>
    </row>
    <row r="126">
      <c r="J126" t="n">
        <v>124</v>
      </c>
      <c r="K126" t="n">
        <v>1</v>
      </c>
      <c r="L126">
        <f>$B$2*K126*(1-EXP(-(J126-$J$42-$B$3)/$B$4)*$B$4/($B$4-$B$5)+EXP(-(J126-$J$42-$B$3)/$B$5)*$B$5/($B$4-$B$5))</f>
        <v/>
      </c>
      <c r="M126">
        <f>$D$2*M125-$D$3*M124 + $D$4*K86+$D$5*K87</f>
        <v/>
      </c>
      <c r="N126">
        <f>$E$2 *N116 - $E$3 *N106 + $E$4 *K75 + $E$5 * K65</f>
        <v/>
      </c>
      <c r="O126">
        <f>$F$2 * O106 - $F$3 * O86 + $F$4 * K66 + $F$5 * K46</f>
        <v/>
      </c>
      <c r="Q126">
        <f>L126-M126</f>
        <v/>
      </c>
      <c r="R126">
        <f>L126-N126</f>
        <v/>
      </c>
      <c r="S126">
        <f>L126-O126</f>
        <v/>
      </c>
    </row>
    <row r="127">
      <c r="J127" t="n">
        <v>125</v>
      </c>
      <c r="K127" t="n">
        <v>1</v>
      </c>
      <c r="L127">
        <f>$B$2*K127*(1-EXP(-(J127-$J$42-$B$3)/$B$4)*$B$4/($B$4-$B$5)+EXP(-(J127-$J$42-$B$3)/$B$5)*$B$5/($B$4-$B$5))</f>
        <v/>
      </c>
      <c r="M127">
        <f>$D$2*M126-$D$3*M125 + $D$4*K87+$D$5*K88</f>
        <v/>
      </c>
      <c r="N127">
        <f>$E$2 *N117 - $E$3 *N107 + $E$4 *K76 + $E$5 * K66</f>
        <v/>
      </c>
      <c r="O127">
        <f>$F$2 * O107 - $F$3 * O87 + $F$4 * K67 + $F$5 * K47</f>
        <v/>
      </c>
      <c r="Q127">
        <f>L127-M127</f>
        <v/>
      </c>
      <c r="R127">
        <f>L127-N127</f>
        <v/>
      </c>
      <c r="S127">
        <f>L127-O127</f>
        <v/>
      </c>
    </row>
    <row r="128">
      <c r="J128" t="n">
        <v>126</v>
      </c>
      <c r="K128" t="n">
        <v>1</v>
      </c>
      <c r="L128">
        <f>$B$2*K128*(1-EXP(-(J128-$J$42-$B$3)/$B$4)*$B$4/($B$4-$B$5)+EXP(-(J128-$J$42-$B$3)/$B$5)*$B$5/($B$4-$B$5))</f>
        <v/>
      </c>
      <c r="M128">
        <f>$D$2*M127-$D$3*M126 + $D$4*K88+$D$5*K89</f>
        <v/>
      </c>
      <c r="N128">
        <f>$E$2 *N118 - $E$3 *N108 + $E$4 *K77 + $E$5 * K67</f>
        <v/>
      </c>
      <c r="O128">
        <f>$F$2 * O108 - $F$3 * O88 + $F$4 * K68 + $F$5 * K48</f>
        <v/>
      </c>
      <c r="Q128">
        <f>L128-M128</f>
        <v/>
      </c>
      <c r="R128">
        <f>L128-N128</f>
        <v/>
      </c>
      <c r="S128">
        <f>L128-O128</f>
        <v/>
      </c>
    </row>
    <row r="129">
      <c r="J129" t="n">
        <v>127</v>
      </c>
      <c r="K129" t="n">
        <v>1</v>
      </c>
      <c r="L129">
        <f>$B$2*K129*(1-EXP(-(J129-$J$42-$B$3)/$B$4)*$B$4/($B$4-$B$5)+EXP(-(J129-$J$42-$B$3)/$B$5)*$B$5/($B$4-$B$5))</f>
        <v/>
      </c>
      <c r="M129">
        <f>$D$2*M128-$D$3*M127 + $D$4*K89+$D$5*K90</f>
        <v/>
      </c>
      <c r="N129">
        <f>$E$2 *N119 - $E$3 *N109 + $E$4 *K78 + $E$5 * K68</f>
        <v/>
      </c>
      <c r="O129">
        <f>$F$2 * O109 - $F$3 * O89 + $F$4 * K69 + $F$5 * K49</f>
        <v/>
      </c>
      <c r="Q129">
        <f>L129-M129</f>
        <v/>
      </c>
      <c r="R129">
        <f>L129-N129</f>
        <v/>
      </c>
      <c r="S129">
        <f>L129-O129</f>
        <v/>
      </c>
    </row>
    <row r="130">
      <c r="J130" t="n">
        <v>128</v>
      </c>
      <c r="K130" t="n">
        <v>1</v>
      </c>
      <c r="L130">
        <f>$B$2*K130*(1-EXP(-(J130-$J$42-$B$3)/$B$4)*$B$4/($B$4-$B$5)+EXP(-(J130-$J$42-$B$3)/$B$5)*$B$5/($B$4-$B$5))</f>
        <v/>
      </c>
      <c r="M130">
        <f>$D$2*M129-$D$3*M128 + $D$4*K90+$D$5*K91</f>
        <v/>
      </c>
      <c r="N130">
        <f>$E$2 *N120 - $E$3 *N110 + $E$4 *K79 + $E$5 * K69</f>
        <v/>
      </c>
      <c r="O130">
        <f>$F$2 * O110 - $F$3 * O90 + $F$4 * K70 + $F$5 * K50</f>
        <v/>
      </c>
      <c r="Q130">
        <f>L130-M130</f>
        <v/>
      </c>
      <c r="R130">
        <f>L130-N130</f>
        <v/>
      </c>
      <c r="S130">
        <f>L130-O130</f>
        <v/>
      </c>
    </row>
    <row r="131">
      <c r="J131" t="n">
        <v>129</v>
      </c>
      <c r="K131" t="n">
        <v>1</v>
      </c>
      <c r="L131">
        <f>$B$2*K131*(1-EXP(-(J131-$J$42-$B$3)/$B$4)*$B$4/($B$4-$B$5)+EXP(-(J131-$J$42-$B$3)/$B$5)*$B$5/($B$4-$B$5))</f>
        <v/>
      </c>
      <c r="M131">
        <f>$D$2*M130-$D$3*M129 + $D$4*K91+$D$5*K92</f>
        <v/>
      </c>
      <c r="N131">
        <f>$E$2 *N121 - $E$3 *N111 + $E$4 *K80 + $E$5 * K70</f>
        <v/>
      </c>
      <c r="O131">
        <f>$F$2 * O111 - $F$3 * O91 + $F$4 * K71 + $F$5 * K51</f>
        <v/>
      </c>
      <c r="Q131">
        <f>L131-M131</f>
        <v/>
      </c>
      <c r="R131">
        <f>L131-N131</f>
        <v/>
      </c>
      <c r="S131">
        <f>L131-O131</f>
        <v/>
      </c>
    </row>
    <row r="132">
      <c r="J132" t="n">
        <v>130</v>
      </c>
      <c r="K132" t="n">
        <v>1</v>
      </c>
      <c r="L132">
        <f>$B$2*K132*(1-EXP(-(J132-$J$42-$B$3)/$B$4)*$B$4/($B$4-$B$5)+EXP(-(J132-$J$42-$B$3)/$B$5)*$B$5/($B$4-$B$5))</f>
        <v/>
      </c>
      <c r="M132">
        <f>$D$2*M131-$D$3*M130 + $D$4*K92+$D$5*K93</f>
        <v/>
      </c>
      <c r="N132">
        <f>$E$2 *N122 - $E$3 *N112 + $E$4 *K81 + $E$5 * K71</f>
        <v/>
      </c>
      <c r="O132">
        <f>$F$2 * O112 - $F$3 * O92 + $F$4 * K72 + $F$5 * K52</f>
        <v/>
      </c>
      <c r="Q132">
        <f>L132-M132</f>
        <v/>
      </c>
      <c r="R132">
        <f>L132-N132</f>
        <v/>
      </c>
      <c r="S132">
        <f>L132-O132</f>
        <v/>
      </c>
    </row>
    <row r="133">
      <c r="J133" t="n">
        <v>131</v>
      </c>
      <c r="K133" t="n">
        <v>1</v>
      </c>
      <c r="L133">
        <f>$B$2*K133*(1-EXP(-(J133-$J$42-$B$3)/$B$4)*$B$4/($B$4-$B$5)+EXP(-(J133-$J$42-$B$3)/$B$5)*$B$5/($B$4-$B$5))</f>
        <v/>
      </c>
      <c r="M133">
        <f>$D$2*M132-$D$3*M131 + $D$4*K93+$D$5*K94</f>
        <v/>
      </c>
      <c r="N133">
        <f>$E$2 *N123 - $E$3 *N113 + $E$4 *K82 + $E$5 * K72</f>
        <v/>
      </c>
      <c r="O133">
        <f>$F$2 * O113 - $F$3 * O93 + $F$4 * K73 + $F$5 * K53</f>
        <v/>
      </c>
      <c r="Q133">
        <f>L133-M133</f>
        <v/>
      </c>
      <c r="R133">
        <f>L133-N133</f>
        <v/>
      </c>
      <c r="S133">
        <f>L133-O133</f>
        <v/>
      </c>
    </row>
    <row r="134">
      <c r="J134" t="n">
        <v>132</v>
      </c>
      <c r="K134" t="n">
        <v>1</v>
      </c>
      <c r="L134">
        <f>$B$2*K134*(1-EXP(-(J134-$J$42-$B$3)/$B$4)*$B$4/($B$4-$B$5)+EXP(-(J134-$J$42-$B$3)/$B$5)*$B$5/($B$4-$B$5))</f>
        <v/>
      </c>
      <c r="M134">
        <f>$D$2*M133-$D$3*M132 + $D$4*K94+$D$5*K95</f>
        <v/>
      </c>
      <c r="N134">
        <f>$E$2 *N124 - $E$3 *N114 + $E$4 *K83 + $E$5 * K73</f>
        <v/>
      </c>
      <c r="O134">
        <f>$F$2 * O114 - $F$3 * O94 + $F$4 * K74 + $F$5 * K54</f>
        <v/>
      </c>
      <c r="Q134">
        <f>L134-M134</f>
        <v/>
      </c>
      <c r="R134">
        <f>L134-N134</f>
        <v/>
      </c>
      <c r="S134">
        <f>L134-O134</f>
        <v/>
      </c>
    </row>
    <row r="135">
      <c r="J135" t="n">
        <v>133</v>
      </c>
      <c r="K135" t="n">
        <v>1</v>
      </c>
      <c r="L135">
        <f>$B$2*K135*(1-EXP(-(J135-$J$42-$B$3)/$B$4)*$B$4/($B$4-$B$5)+EXP(-(J135-$J$42-$B$3)/$B$5)*$B$5/($B$4-$B$5))</f>
        <v/>
      </c>
      <c r="M135">
        <f>$D$2*M134-$D$3*M133 + $D$4*K95+$D$5*K96</f>
        <v/>
      </c>
      <c r="N135">
        <f>$E$2 *N125 - $E$3 *N115 + $E$4 *K84 + $E$5 * K74</f>
        <v/>
      </c>
      <c r="O135">
        <f>$F$2 * O115 - $F$3 * O95 + $F$4 * K75 + $F$5 * K55</f>
        <v/>
      </c>
      <c r="Q135">
        <f>L135-M135</f>
        <v/>
      </c>
      <c r="R135">
        <f>L135-N135</f>
        <v/>
      </c>
      <c r="S135">
        <f>L135-O135</f>
        <v/>
      </c>
    </row>
    <row r="136">
      <c r="J136" t="n">
        <v>134</v>
      </c>
      <c r="K136" t="n">
        <v>1</v>
      </c>
      <c r="L136">
        <f>$B$2*K136*(1-EXP(-(J136-$J$42-$B$3)/$B$4)*$B$4/($B$4-$B$5)+EXP(-(J136-$J$42-$B$3)/$B$5)*$B$5/($B$4-$B$5))</f>
        <v/>
      </c>
      <c r="M136">
        <f>$D$2*M135-$D$3*M134 + $D$4*K96+$D$5*K97</f>
        <v/>
      </c>
      <c r="N136">
        <f>$E$2 *N126 - $E$3 *N116 + $E$4 *K85 + $E$5 * K75</f>
        <v/>
      </c>
      <c r="O136">
        <f>$F$2 * O116 - $F$3 * O96 + $F$4 * K76 + $F$5 * K56</f>
        <v/>
      </c>
      <c r="Q136">
        <f>L136-M136</f>
        <v/>
      </c>
      <c r="R136">
        <f>L136-N136</f>
        <v/>
      </c>
      <c r="S136">
        <f>L136-O136</f>
        <v/>
      </c>
    </row>
    <row r="137">
      <c r="J137" t="n">
        <v>135</v>
      </c>
      <c r="K137" t="n">
        <v>1</v>
      </c>
      <c r="L137">
        <f>$B$2*K137*(1-EXP(-(J137-$J$42-$B$3)/$B$4)*$B$4/($B$4-$B$5)+EXP(-(J137-$J$42-$B$3)/$B$5)*$B$5/($B$4-$B$5))</f>
        <v/>
      </c>
      <c r="M137">
        <f>$D$2*M136-$D$3*M135 + $D$4*K97+$D$5*K98</f>
        <v/>
      </c>
      <c r="N137">
        <f>$E$2 *N127 - $E$3 *N117 + $E$4 *K86 + $E$5 * K76</f>
        <v/>
      </c>
      <c r="O137">
        <f>$F$2 * O117 - $F$3 * O97 + $F$4 * K77 + $F$5 * K57</f>
        <v/>
      </c>
      <c r="Q137">
        <f>L137-M137</f>
        <v/>
      </c>
      <c r="R137">
        <f>L137-N137</f>
        <v/>
      </c>
      <c r="S137">
        <f>L137-O137</f>
        <v/>
      </c>
    </row>
    <row r="138">
      <c r="J138" t="n">
        <v>136</v>
      </c>
      <c r="K138" t="n">
        <v>1</v>
      </c>
      <c r="L138">
        <f>$B$2*K138*(1-EXP(-(J138-$J$42-$B$3)/$B$4)*$B$4/($B$4-$B$5)+EXP(-(J138-$J$42-$B$3)/$B$5)*$B$5/($B$4-$B$5))</f>
        <v/>
      </c>
      <c r="M138">
        <f>$D$2*M137-$D$3*M136 + $D$4*K98+$D$5*K99</f>
        <v/>
      </c>
      <c r="N138">
        <f>$E$2 *N128 - $E$3 *N118 + $E$4 *K87 + $E$5 * K77</f>
        <v/>
      </c>
      <c r="O138">
        <f>$F$2 * O118 - $F$3 * O98 + $F$4 * K78 + $F$5 * K58</f>
        <v/>
      </c>
      <c r="Q138">
        <f>L138-M138</f>
        <v/>
      </c>
      <c r="R138">
        <f>L138-N138</f>
        <v/>
      </c>
      <c r="S138">
        <f>L138-O138</f>
        <v/>
      </c>
    </row>
    <row r="139">
      <c r="J139" t="n">
        <v>137</v>
      </c>
      <c r="K139" t="n">
        <v>1</v>
      </c>
      <c r="L139">
        <f>$B$2*K139*(1-EXP(-(J139-$J$42-$B$3)/$B$4)*$B$4/($B$4-$B$5)+EXP(-(J139-$J$42-$B$3)/$B$5)*$B$5/($B$4-$B$5))</f>
        <v/>
      </c>
      <c r="M139">
        <f>$D$2*M138-$D$3*M137 + $D$4*K99+$D$5*K100</f>
        <v/>
      </c>
      <c r="N139">
        <f>$E$2 *N129 - $E$3 *N119 + $E$4 *K88 + $E$5 * K78</f>
        <v/>
      </c>
      <c r="O139">
        <f>$F$2 * O119 - $F$3 * O99 + $F$4 * K79 + $F$5 * K59</f>
        <v/>
      </c>
      <c r="Q139">
        <f>L139-M139</f>
        <v/>
      </c>
      <c r="R139">
        <f>L139-N139</f>
        <v/>
      </c>
      <c r="S139">
        <f>L139-O139</f>
        <v/>
      </c>
    </row>
    <row r="140">
      <c r="J140" t="n">
        <v>138</v>
      </c>
      <c r="K140" t="n">
        <v>1</v>
      </c>
      <c r="L140">
        <f>$B$2*K140*(1-EXP(-(J140-$J$42-$B$3)/$B$4)*$B$4/($B$4-$B$5)+EXP(-(J140-$J$42-$B$3)/$B$5)*$B$5/($B$4-$B$5))</f>
        <v/>
      </c>
      <c r="M140">
        <f>$D$2*M139-$D$3*M138 + $D$4*K100+$D$5*K101</f>
        <v/>
      </c>
      <c r="N140">
        <f>$E$2 *N130 - $E$3 *N120 + $E$4 *K89 + $E$5 * K79</f>
        <v/>
      </c>
      <c r="O140">
        <f>$F$2 * O120 - $F$3 * O100 + $F$4 * K80 + $F$5 * K60</f>
        <v/>
      </c>
      <c r="Q140">
        <f>L140-M140</f>
        <v/>
      </c>
      <c r="R140">
        <f>L140-N140</f>
        <v/>
      </c>
      <c r="S140">
        <f>L140-O140</f>
        <v/>
      </c>
    </row>
    <row r="141">
      <c r="J141" t="n">
        <v>139</v>
      </c>
      <c r="K141" t="n">
        <v>1</v>
      </c>
      <c r="L141">
        <f>$B$2*K141*(1-EXP(-(J141-$J$42-$B$3)/$B$4)*$B$4/($B$4-$B$5)+EXP(-(J141-$J$42-$B$3)/$B$5)*$B$5/($B$4-$B$5))</f>
        <v/>
      </c>
      <c r="M141">
        <f>$D$2*M140-$D$3*M139 + $D$4*K101+$D$5*K102</f>
        <v/>
      </c>
      <c r="N141">
        <f>$E$2 *N131 - $E$3 *N121 + $E$4 *K90 + $E$5 * K80</f>
        <v/>
      </c>
      <c r="O141">
        <f>$F$2 * O121 - $F$3 * O101 + $F$4 * K81 + $F$5 * K61</f>
        <v/>
      </c>
      <c r="Q141">
        <f>L141-M141</f>
        <v/>
      </c>
      <c r="R141">
        <f>L141-N141</f>
        <v/>
      </c>
      <c r="S141">
        <f>L141-O141</f>
        <v/>
      </c>
    </row>
    <row r="142">
      <c r="J142" t="n">
        <v>140</v>
      </c>
      <c r="K142" t="n">
        <v>1</v>
      </c>
      <c r="L142">
        <f>$B$2*K142*(1-EXP(-(J142-$J$42-$B$3)/$B$4)*$B$4/($B$4-$B$5)+EXP(-(J142-$J$42-$B$3)/$B$5)*$B$5/($B$4-$B$5))</f>
        <v/>
      </c>
      <c r="M142">
        <f>$D$2*M141-$D$3*M140 + $D$4*K102+$D$5*K103</f>
        <v/>
      </c>
      <c r="N142">
        <f>$E$2 *N132 - $E$3 *N122 + $E$4 *K91 + $E$5 * K81</f>
        <v/>
      </c>
      <c r="O142">
        <f>$F$2 * O122 - $F$3 * O102 + $F$4 * K82 + $F$5 * K62</f>
        <v/>
      </c>
      <c r="Q142">
        <f>L142-M142</f>
        <v/>
      </c>
      <c r="R142">
        <f>L142-N142</f>
        <v/>
      </c>
      <c r="S142">
        <f>L142-O142</f>
        <v/>
      </c>
    </row>
    <row r="143">
      <c r="J143" t="n">
        <v>141</v>
      </c>
      <c r="K143" t="n">
        <v>1</v>
      </c>
      <c r="L143">
        <f>$B$2*K143*(1-EXP(-(J143-$J$42-$B$3)/$B$4)*$B$4/($B$4-$B$5)+EXP(-(J143-$J$42-$B$3)/$B$5)*$B$5/($B$4-$B$5))</f>
        <v/>
      </c>
      <c r="M143">
        <f>$D$2*M142-$D$3*M141 + $D$4*K103+$D$5*K104</f>
        <v/>
      </c>
      <c r="N143">
        <f>$E$2 *N133 - $E$3 *N123 + $E$4 *K92 + $E$5 * K82</f>
        <v/>
      </c>
      <c r="O143">
        <f>$F$2 * O123 - $F$3 * O103 + $F$4 * K83 + $F$5 * K63</f>
        <v/>
      </c>
      <c r="Q143">
        <f>L143-M143</f>
        <v/>
      </c>
      <c r="R143">
        <f>L143-N143</f>
        <v/>
      </c>
      <c r="S143">
        <f>L143-O143</f>
        <v/>
      </c>
    </row>
    <row r="144">
      <c r="J144" t="n">
        <v>142</v>
      </c>
      <c r="K144" t="n">
        <v>1</v>
      </c>
      <c r="L144">
        <f>$B$2*K144*(1-EXP(-(J144-$J$42-$B$3)/$B$4)*$B$4/($B$4-$B$5)+EXP(-(J144-$J$42-$B$3)/$B$5)*$B$5/($B$4-$B$5))</f>
        <v/>
      </c>
      <c r="M144">
        <f>$D$2*M143-$D$3*M142 + $D$4*K104+$D$5*K105</f>
        <v/>
      </c>
      <c r="N144">
        <f>$E$2 *N134 - $E$3 *N124 + $E$4 *K93 + $E$5 * K83</f>
        <v/>
      </c>
      <c r="O144">
        <f>$F$2 * O124 - $F$3 * O104 + $F$4 * K84 + $F$5 * K64</f>
        <v/>
      </c>
      <c r="Q144">
        <f>L144-M144</f>
        <v/>
      </c>
      <c r="R144">
        <f>L144-N144</f>
        <v/>
      </c>
      <c r="S144">
        <f>L144-O144</f>
        <v/>
      </c>
    </row>
    <row r="145">
      <c r="J145" t="n">
        <v>143</v>
      </c>
      <c r="K145" t="n">
        <v>1</v>
      </c>
      <c r="L145">
        <f>$B$2*K145*(1-EXP(-(J145-$J$42-$B$3)/$B$4)*$B$4/($B$4-$B$5)+EXP(-(J145-$J$42-$B$3)/$B$5)*$B$5/($B$4-$B$5))</f>
        <v/>
      </c>
      <c r="M145">
        <f>$D$2*M144-$D$3*M143 + $D$4*K105+$D$5*K106</f>
        <v/>
      </c>
      <c r="N145">
        <f>$E$2 *N135 - $E$3 *N125 + $E$4 *K94 + $E$5 * K84</f>
        <v/>
      </c>
      <c r="O145">
        <f>$F$2 * O125 - $F$3 * O105 + $F$4 * K85 + $F$5 * K65</f>
        <v/>
      </c>
      <c r="Q145">
        <f>L145-M145</f>
        <v/>
      </c>
      <c r="R145">
        <f>L145-N145</f>
        <v/>
      </c>
      <c r="S145">
        <f>L145-O145</f>
        <v/>
      </c>
    </row>
    <row r="146">
      <c r="J146" t="n">
        <v>144</v>
      </c>
      <c r="K146" t="n">
        <v>1</v>
      </c>
      <c r="L146">
        <f>$B$2*K146*(1-EXP(-(J146-$J$42-$B$3)/$B$4)*$B$4/($B$4-$B$5)+EXP(-(J146-$J$42-$B$3)/$B$5)*$B$5/($B$4-$B$5))</f>
        <v/>
      </c>
      <c r="M146">
        <f>$D$2*M145-$D$3*M144 + $D$4*K106+$D$5*K107</f>
        <v/>
      </c>
      <c r="N146">
        <f>$E$2 *N136 - $E$3 *N126 + $E$4 *K95 + $E$5 * K85</f>
        <v/>
      </c>
      <c r="O146">
        <f>$F$2 * O126 - $F$3 * O106 + $F$4 * K86 + $F$5 * K66</f>
        <v/>
      </c>
      <c r="Q146">
        <f>L146-M146</f>
        <v/>
      </c>
      <c r="R146">
        <f>L146-N146</f>
        <v/>
      </c>
      <c r="S146">
        <f>L146-O146</f>
        <v/>
      </c>
    </row>
    <row r="147">
      <c r="J147" t="n">
        <v>145</v>
      </c>
      <c r="K147" t="n">
        <v>1</v>
      </c>
      <c r="L147">
        <f>$B$2*K147*(1-EXP(-(J147-$J$42-$B$3)/$B$4)*$B$4/($B$4-$B$5)+EXP(-(J147-$J$42-$B$3)/$B$5)*$B$5/($B$4-$B$5))</f>
        <v/>
      </c>
      <c r="M147">
        <f>$D$2*M146-$D$3*M145 + $D$4*K107+$D$5*K108</f>
        <v/>
      </c>
      <c r="N147">
        <f>$E$2 *N137 - $E$3 *N127 + $E$4 *K96 + $E$5 * K86</f>
        <v/>
      </c>
      <c r="O147">
        <f>$F$2 * O127 - $F$3 * O107 + $F$4 * K87 + $F$5 * K67</f>
        <v/>
      </c>
      <c r="Q147">
        <f>L147-M147</f>
        <v/>
      </c>
      <c r="R147">
        <f>L147-N147</f>
        <v/>
      </c>
      <c r="S147">
        <f>L147-O147</f>
        <v/>
      </c>
    </row>
    <row r="148">
      <c r="J148" t="n">
        <v>146</v>
      </c>
      <c r="K148" t="n">
        <v>1</v>
      </c>
      <c r="L148">
        <f>$B$2*K148*(1-EXP(-(J148-$J$42-$B$3)/$B$4)*$B$4/($B$4-$B$5)+EXP(-(J148-$J$42-$B$3)/$B$5)*$B$5/($B$4-$B$5))</f>
        <v/>
      </c>
      <c r="M148">
        <f>$D$2*M147-$D$3*M146 + $D$4*K108+$D$5*K109</f>
        <v/>
      </c>
      <c r="N148">
        <f>$E$2 *N138 - $E$3 *N128 + $E$4 *K97 + $E$5 * K87</f>
        <v/>
      </c>
      <c r="O148">
        <f>$F$2 * O128 - $F$3 * O108 + $F$4 * K88 + $F$5 * K68</f>
        <v/>
      </c>
      <c r="Q148">
        <f>L148-M148</f>
        <v/>
      </c>
      <c r="R148">
        <f>L148-N148</f>
        <v/>
      </c>
      <c r="S148">
        <f>L148-O148</f>
        <v/>
      </c>
    </row>
    <row r="149">
      <c r="J149" t="n">
        <v>147</v>
      </c>
      <c r="K149" t="n">
        <v>1</v>
      </c>
      <c r="L149">
        <f>$B$2*K149*(1-EXP(-(J149-$J$42-$B$3)/$B$4)*$B$4/($B$4-$B$5)+EXP(-(J149-$J$42-$B$3)/$B$5)*$B$5/($B$4-$B$5))</f>
        <v/>
      </c>
      <c r="M149">
        <f>$D$2*M148-$D$3*M147 + $D$4*K109+$D$5*K110</f>
        <v/>
      </c>
      <c r="N149">
        <f>$E$2 *N139 - $E$3 *N129 + $E$4 *K98 + $E$5 * K88</f>
        <v/>
      </c>
      <c r="O149">
        <f>$F$2 * O129 - $F$3 * O109 + $F$4 * K89 + $F$5 * K69</f>
        <v/>
      </c>
      <c r="Q149">
        <f>L149-M149</f>
        <v/>
      </c>
      <c r="R149">
        <f>L149-N149</f>
        <v/>
      </c>
      <c r="S149">
        <f>L149-O149</f>
        <v/>
      </c>
    </row>
    <row r="150">
      <c r="J150" t="n">
        <v>148</v>
      </c>
      <c r="K150" t="n">
        <v>1</v>
      </c>
      <c r="L150">
        <f>$B$2*K150*(1-EXP(-(J150-$J$42-$B$3)/$B$4)*$B$4/($B$4-$B$5)+EXP(-(J150-$J$42-$B$3)/$B$5)*$B$5/($B$4-$B$5))</f>
        <v/>
      </c>
      <c r="M150">
        <f>$D$2*M149-$D$3*M148 + $D$4*K110+$D$5*K111</f>
        <v/>
      </c>
      <c r="N150">
        <f>$E$2 *N140 - $E$3 *N130 + $E$4 *K99 + $E$5 * K89</f>
        <v/>
      </c>
      <c r="O150">
        <f>$F$2 * O130 - $F$3 * O110 + $F$4 * K90 + $F$5 * K70</f>
        <v/>
      </c>
      <c r="Q150">
        <f>L150-M150</f>
        <v/>
      </c>
      <c r="R150">
        <f>L150-N150</f>
        <v/>
      </c>
      <c r="S150">
        <f>L150-O150</f>
        <v/>
      </c>
    </row>
    <row r="151">
      <c r="J151" t="n">
        <v>149</v>
      </c>
      <c r="K151" t="n">
        <v>1</v>
      </c>
      <c r="L151">
        <f>$B$2*K151*(1-EXP(-(J151-$J$42-$B$3)/$B$4)*$B$4/($B$4-$B$5)+EXP(-(J151-$J$42-$B$3)/$B$5)*$B$5/($B$4-$B$5))</f>
        <v/>
      </c>
      <c r="M151">
        <f>$D$2*M150-$D$3*M149 + $D$4*K111+$D$5*K112</f>
        <v/>
      </c>
      <c r="N151">
        <f>$E$2 *N141 - $E$3 *N131 + $E$4 *K100 + $E$5 * K90</f>
        <v/>
      </c>
      <c r="O151">
        <f>$F$2 * O131 - $F$3 * O111 + $F$4 * K91 + $F$5 * K71</f>
        <v/>
      </c>
      <c r="Q151">
        <f>L151-M151</f>
        <v/>
      </c>
      <c r="R151">
        <f>L151-N151</f>
        <v/>
      </c>
      <c r="S151">
        <f>L151-O151</f>
        <v/>
      </c>
    </row>
    <row r="152">
      <c r="J152" t="n">
        <v>150</v>
      </c>
      <c r="K152" t="n">
        <v>1</v>
      </c>
      <c r="L152">
        <f>$B$2*K152*(1-EXP(-(J152-$J$42-$B$3)/$B$4)*$B$4/($B$4-$B$5)+EXP(-(J152-$J$42-$B$3)/$B$5)*$B$5/($B$4-$B$5))</f>
        <v/>
      </c>
      <c r="M152">
        <f>$D$2*M151-$D$3*M150 + $D$4*K112+$D$5*K113</f>
        <v/>
      </c>
      <c r="N152">
        <f>$E$2 *N142 - $E$3 *N132 + $E$4 *K101 + $E$5 * K91</f>
        <v/>
      </c>
      <c r="O152">
        <f>$F$2 * O132 - $F$3 * O112 + $F$4 * K92 + $F$5 * K72</f>
        <v/>
      </c>
      <c r="Q152">
        <f>L152-M152</f>
        <v/>
      </c>
      <c r="R152">
        <f>L152-N152</f>
        <v/>
      </c>
      <c r="S152">
        <f>L152-O152</f>
        <v/>
      </c>
    </row>
    <row r="153">
      <c r="J153" t="n">
        <v>151</v>
      </c>
      <c r="K153" t="n">
        <v>1</v>
      </c>
      <c r="L153">
        <f>$B$2*K153*(1-EXP(-(J153-$J$42-$B$3)/$B$4)*$B$4/($B$4-$B$5)+EXP(-(J153-$J$42-$B$3)/$B$5)*$B$5/($B$4-$B$5))</f>
        <v/>
      </c>
      <c r="M153">
        <f>$D$2*M152-$D$3*M151 + $D$4*K113+$D$5*K114</f>
        <v/>
      </c>
      <c r="N153">
        <f>$E$2 *N143 - $E$3 *N133 + $E$4 *K102 + $E$5 * K92</f>
        <v/>
      </c>
      <c r="O153">
        <f>$F$2 * O133 - $F$3 * O113 + $F$4 * K93 + $F$5 * K73</f>
        <v/>
      </c>
      <c r="Q153">
        <f>L153-M153</f>
        <v/>
      </c>
      <c r="R153">
        <f>L153-N153</f>
        <v/>
      </c>
      <c r="S153">
        <f>L153-O153</f>
        <v/>
      </c>
    </row>
    <row r="154">
      <c r="J154" t="n">
        <v>152</v>
      </c>
      <c r="K154" t="n">
        <v>1</v>
      </c>
      <c r="L154">
        <f>$B$2*K154*(1-EXP(-(J154-$J$42-$B$3)/$B$4)*$B$4/($B$4-$B$5)+EXP(-(J154-$J$42-$B$3)/$B$5)*$B$5/($B$4-$B$5))</f>
        <v/>
      </c>
      <c r="M154">
        <f>$D$2*M153-$D$3*M152 + $D$4*K114+$D$5*K115</f>
        <v/>
      </c>
      <c r="N154">
        <f>$E$2 *N144 - $E$3 *N134 + $E$4 *K103 + $E$5 * K93</f>
        <v/>
      </c>
      <c r="O154">
        <f>$F$2 * O134 - $F$3 * O114 + $F$4 * K94 + $F$5 * K74</f>
        <v/>
      </c>
      <c r="Q154">
        <f>L154-M154</f>
        <v/>
      </c>
      <c r="R154">
        <f>L154-N154</f>
        <v/>
      </c>
      <c r="S154">
        <f>L154-O154</f>
        <v/>
      </c>
    </row>
    <row r="155">
      <c r="J155" t="n">
        <v>153</v>
      </c>
      <c r="K155" t="n">
        <v>1</v>
      </c>
      <c r="L155">
        <f>$B$2*K155*(1-EXP(-(J155-$J$42-$B$3)/$B$4)*$B$4/($B$4-$B$5)+EXP(-(J155-$J$42-$B$3)/$B$5)*$B$5/($B$4-$B$5))</f>
        <v/>
      </c>
      <c r="M155">
        <f>$D$2*M154-$D$3*M153 + $D$4*K115+$D$5*K116</f>
        <v/>
      </c>
      <c r="N155">
        <f>$E$2 *N145 - $E$3 *N135 + $E$4 *K104 + $E$5 * K94</f>
        <v/>
      </c>
      <c r="O155">
        <f>$F$2 * O135 - $F$3 * O115 + $F$4 * K95 + $F$5 * K75</f>
        <v/>
      </c>
      <c r="Q155">
        <f>L155-M155</f>
        <v/>
      </c>
      <c r="R155">
        <f>L155-N155</f>
        <v/>
      </c>
      <c r="S155">
        <f>L155-O155</f>
        <v/>
      </c>
    </row>
    <row r="156">
      <c r="J156" t="n">
        <v>154</v>
      </c>
      <c r="K156" t="n">
        <v>1</v>
      </c>
      <c r="L156">
        <f>$B$2*K156*(1-EXP(-(J156-$J$42-$B$3)/$B$4)*$B$4/($B$4-$B$5)+EXP(-(J156-$J$42-$B$3)/$B$5)*$B$5/($B$4-$B$5))</f>
        <v/>
      </c>
      <c r="M156">
        <f>$D$2*M155-$D$3*M154 + $D$4*K116+$D$5*K117</f>
        <v/>
      </c>
      <c r="N156">
        <f>$E$2 *N146 - $E$3 *N136 + $E$4 *K105 + $E$5 * K95</f>
        <v/>
      </c>
      <c r="O156">
        <f>$F$2 * O136 - $F$3 * O116 + $F$4 * K96 + $F$5 * K76</f>
        <v/>
      </c>
      <c r="Q156">
        <f>L156-M156</f>
        <v/>
      </c>
      <c r="R156">
        <f>L156-N156</f>
        <v/>
      </c>
      <c r="S156">
        <f>L156-O156</f>
        <v/>
      </c>
    </row>
    <row r="157">
      <c r="J157" t="n">
        <v>155</v>
      </c>
      <c r="K157" t="n">
        <v>1</v>
      </c>
      <c r="L157">
        <f>$B$2*K157*(1-EXP(-(J157-$J$42-$B$3)/$B$4)*$B$4/($B$4-$B$5)+EXP(-(J157-$J$42-$B$3)/$B$5)*$B$5/($B$4-$B$5))</f>
        <v/>
      </c>
      <c r="M157">
        <f>$D$2*M156-$D$3*M155 + $D$4*K117+$D$5*K118</f>
        <v/>
      </c>
      <c r="N157">
        <f>$E$2 *N147 - $E$3 *N137 + $E$4 *K106 + $E$5 * K96</f>
        <v/>
      </c>
      <c r="O157">
        <f>$F$2 * O137 - $F$3 * O117 + $F$4 * K97 + $F$5 * K77</f>
        <v/>
      </c>
      <c r="Q157">
        <f>L157-M157</f>
        <v/>
      </c>
      <c r="R157">
        <f>L157-N157</f>
        <v/>
      </c>
      <c r="S157">
        <f>L157-O157</f>
        <v/>
      </c>
    </row>
    <row r="158">
      <c r="J158" t="n">
        <v>156</v>
      </c>
      <c r="K158" t="n">
        <v>1</v>
      </c>
      <c r="L158">
        <f>$B$2*K158*(1-EXP(-(J158-$J$42-$B$3)/$B$4)*$B$4/($B$4-$B$5)+EXP(-(J158-$J$42-$B$3)/$B$5)*$B$5/($B$4-$B$5))</f>
        <v/>
      </c>
      <c r="M158">
        <f>$D$2*M157-$D$3*M156 + $D$4*K118+$D$5*K119</f>
        <v/>
      </c>
      <c r="N158">
        <f>$E$2 *N148 - $E$3 *N138 + $E$4 *K107 + $E$5 * K97</f>
        <v/>
      </c>
      <c r="O158">
        <f>$F$2 * O138 - $F$3 * O118 + $F$4 * K98 + $F$5 * K78</f>
        <v/>
      </c>
      <c r="Q158">
        <f>L158-M158</f>
        <v/>
      </c>
      <c r="R158">
        <f>L158-N158</f>
        <v/>
      </c>
      <c r="S158">
        <f>L158-O158</f>
        <v/>
      </c>
    </row>
    <row r="159">
      <c r="J159" t="n">
        <v>157</v>
      </c>
      <c r="K159" t="n">
        <v>1</v>
      </c>
      <c r="L159">
        <f>$B$2*K159*(1-EXP(-(J159-$J$42-$B$3)/$B$4)*$B$4/($B$4-$B$5)+EXP(-(J159-$J$42-$B$3)/$B$5)*$B$5/($B$4-$B$5))</f>
        <v/>
      </c>
      <c r="M159">
        <f>$D$2*M158-$D$3*M157 + $D$4*K119+$D$5*K120</f>
        <v/>
      </c>
      <c r="N159">
        <f>$E$2 *N149 - $E$3 *N139 + $E$4 *K108 + $E$5 * K98</f>
        <v/>
      </c>
      <c r="O159">
        <f>$F$2 * O139 - $F$3 * O119 + $F$4 * K99 + $F$5 * K79</f>
        <v/>
      </c>
      <c r="Q159">
        <f>L159-M159</f>
        <v/>
      </c>
      <c r="R159">
        <f>L159-N159</f>
        <v/>
      </c>
      <c r="S159">
        <f>L159-O159</f>
        <v/>
      </c>
    </row>
    <row r="160">
      <c r="J160" t="n">
        <v>158</v>
      </c>
      <c r="K160" t="n">
        <v>1</v>
      </c>
      <c r="L160">
        <f>$B$2*K160*(1-EXP(-(J160-$J$42-$B$3)/$B$4)*$B$4/($B$4-$B$5)+EXP(-(J160-$J$42-$B$3)/$B$5)*$B$5/($B$4-$B$5))</f>
        <v/>
      </c>
      <c r="M160">
        <f>$D$2*M159-$D$3*M158 + $D$4*K120+$D$5*K121</f>
        <v/>
      </c>
      <c r="N160">
        <f>$E$2 *N150 - $E$3 *N140 + $E$4 *K109 + $E$5 * K99</f>
        <v/>
      </c>
      <c r="O160">
        <f>$F$2 * O140 - $F$3 * O120 + $F$4 * K100 + $F$5 * K80</f>
        <v/>
      </c>
      <c r="Q160">
        <f>L160-M160</f>
        <v/>
      </c>
      <c r="R160">
        <f>L160-N160</f>
        <v/>
      </c>
      <c r="S160">
        <f>L160-O160</f>
        <v/>
      </c>
    </row>
    <row r="161">
      <c r="J161" t="n">
        <v>159</v>
      </c>
      <c r="K161" t="n">
        <v>1</v>
      </c>
      <c r="L161">
        <f>$B$2*K161*(1-EXP(-(J161-$J$42-$B$3)/$B$4)*$B$4/($B$4-$B$5)+EXP(-(J161-$J$42-$B$3)/$B$5)*$B$5/($B$4-$B$5))</f>
        <v/>
      </c>
      <c r="M161">
        <f>$D$2*M160-$D$3*M159 + $D$4*K121+$D$5*K122</f>
        <v/>
      </c>
      <c r="N161">
        <f>$E$2 *N151 - $E$3 *N141 + $E$4 *K110 + $E$5 * K100</f>
        <v/>
      </c>
      <c r="O161">
        <f>$F$2 * O141 - $F$3 * O121 + $F$4 * K101 + $F$5 * K81</f>
        <v/>
      </c>
      <c r="Q161">
        <f>L161-M161</f>
        <v/>
      </c>
      <c r="R161">
        <f>L161-N161</f>
        <v/>
      </c>
      <c r="S161">
        <f>L161-O161</f>
        <v/>
      </c>
    </row>
    <row r="162">
      <c r="J162" t="n">
        <v>160</v>
      </c>
      <c r="K162" t="n">
        <v>1</v>
      </c>
      <c r="L162">
        <f>$B$2*K162*(1-EXP(-(J162-$J$42-$B$3)/$B$4)*$B$4/($B$4-$B$5)+EXP(-(J162-$J$42-$B$3)/$B$5)*$B$5/($B$4-$B$5))</f>
        <v/>
      </c>
      <c r="M162">
        <f>$D$2*M161-$D$3*M160 + $D$4*K122+$D$5*K123</f>
        <v/>
      </c>
      <c r="N162">
        <f>$E$2 *N152 - $E$3 *N142 + $E$4 *K111 + $E$5 * K101</f>
        <v/>
      </c>
      <c r="O162">
        <f>$F$2 * O142 - $F$3 * O122 + $F$4 * K102 + $F$5 * K82</f>
        <v/>
      </c>
      <c r="Q162">
        <f>L162-M162</f>
        <v/>
      </c>
      <c r="R162">
        <f>L162-N162</f>
        <v/>
      </c>
      <c r="S162">
        <f>L162-O162</f>
        <v/>
      </c>
    </row>
    <row r="163">
      <c r="J163" t="n">
        <v>161</v>
      </c>
      <c r="K163" t="n">
        <v>1</v>
      </c>
      <c r="L163">
        <f>$B$2*K163*(1-EXP(-(J163-$J$42-$B$3)/$B$4)*$B$4/($B$4-$B$5)+EXP(-(J163-$J$42-$B$3)/$B$5)*$B$5/($B$4-$B$5))</f>
        <v/>
      </c>
      <c r="M163">
        <f>$D$2*M162-$D$3*M161 + $D$4*K123+$D$5*K124</f>
        <v/>
      </c>
      <c r="N163">
        <f>$E$2 *N153 - $E$3 *N143 + $E$4 *K112 + $E$5 * K102</f>
        <v/>
      </c>
      <c r="O163">
        <f>$F$2 * O143 - $F$3 * O123 + $F$4 * K103 + $F$5 * K83</f>
        <v/>
      </c>
      <c r="Q163">
        <f>L163-M163</f>
        <v/>
      </c>
      <c r="R163">
        <f>L163-N163</f>
        <v/>
      </c>
      <c r="S163">
        <f>L163-O163</f>
        <v/>
      </c>
    </row>
    <row r="164">
      <c r="J164" t="n">
        <v>162</v>
      </c>
      <c r="K164" t="n">
        <v>1</v>
      </c>
      <c r="L164">
        <f>$B$2*K164*(1-EXP(-(J164-$J$42-$B$3)/$B$4)*$B$4/($B$4-$B$5)+EXP(-(J164-$J$42-$B$3)/$B$5)*$B$5/($B$4-$B$5))</f>
        <v/>
      </c>
      <c r="M164">
        <f>$D$2*M163-$D$3*M162 + $D$4*K124+$D$5*K125</f>
        <v/>
      </c>
      <c r="N164">
        <f>$E$2 *N154 - $E$3 *N144 + $E$4 *K113 + $E$5 * K103</f>
        <v/>
      </c>
      <c r="O164">
        <f>$F$2 * O144 - $F$3 * O124 + $F$4 * K104 + $F$5 * K84</f>
        <v/>
      </c>
      <c r="Q164">
        <f>L164-M164</f>
        <v/>
      </c>
      <c r="R164">
        <f>L164-N164</f>
        <v/>
      </c>
      <c r="S164">
        <f>L164-O164</f>
        <v/>
      </c>
    </row>
    <row r="165">
      <c r="J165" t="n">
        <v>163</v>
      </c>
      <c r="K165" t="n">
        <v>1</v>
      </c>
      <c r="L165">
        <f>$B$2*K165*(1-EXP(-(J165-$J$42-$B$3)/$B$4)*$B$4/($B$4-$B$5)+EXP(-(J165-$J$42-$B$3)/$B$5)*$B$5/($B$4-$B$5))</f>
        <v/>
      </c>
      <c r="M165">
        <f>$D$2*M164-$D$3*M163 + $D$4*K125+$D$5*K126</f>
        <v/>
      </c>
      <c r="N165">
        <f>$E$2 *N155 - $E$3 *N145 + $E$4 *K114 + $E$5 * K104</f>
        <v/>
      </c>
      <c r="O165">
        <f>$F$2 * O145 - $F$3 * O125 + $F$4 * K105 + $F$5 * K85</f>
        <v/>
      </c>
      <c r="Q165">
        <f>L165-M165</f>
        <v/>
      </c>
      <c r="R165">
        <f>L165-N165</f>
        <v/>
      </c>
      <c r="S165">
        <f>L165-O165</f>
        <v/>
      </c>
    </row>
    <row r="166">
      <c r="J166" t="n">
        <v>164</v>
      </c>
      <c r="K166" t="n">
        <v>1</v>
      </c>
      <c r="L166">
        <f>$B$2*K166*(1-EXP(-(J166-$J$42-$B$3)/$B$4)*$B$4/($B$4-$B$5)+EXP(-(J166-$J$42-$B$3)/$B$5)*$B$5/($B$4-$B$5))</f>
        <v/>
      </c>
      <c r="M166">
        <f>$D$2*M165-$D$3*M164 + $D$4*K126+$D$5*K127</f>
        <v/>
      </c>
      <c r="N166">
        <f>$E$2 *N156 - $E$3 *N146 + $E$4 *K115 + $E$5 * K105</f>
        <v/>
      </c>
      <c r="O166">
        <f>$F$2 * O146 - $F$3 * O126 + $F$4 * K106 + $F$5 * K86</f>
        <v/>
      </c>
      <c r="Q166">
        <f>L166-M166</f>
        <v/>
      </c>
      <c r="R166">
        <f>L166-N166</f>
        <v/>
      </c>
      <c r="S166">
        <f>L166-O166</f>
        <v/>
      </c>
    </row>
    <row r="167">
      <c r="J167" t="n">
        <v>165</v>
      </c>
      <c r="K167" t="n">
        <v>1</v>
      </c>
      <c r="L167">
        <f>$B$2*K167*(1-EXP(-(J167-$J$42-$B$3)/$B$4)*$B$4/($B$4-$B$5)+EXP(-(J167-$J$42-$B$3)/$B$5)*$B$5/($B$4-$B$5))</f>
        <v/>
      </c>
      <c r="M167">
        <f>$D$2*M166-$D$3*M165 + $D$4*K127+$D$5*K128</f>
        <v/>
      </c>
      <c r="N167">
        <f>$E$2 *N157 - $E$3 *N147 + $E$4 *K116 + $E$5 * K106</f>
        <v/>
      </c>
      <c r="O167">
        <f>$F$2 * O147 - $F$3 * O127 + $F$4 * K107 + $F$5 * K87</f>
        <v/>
      </c>
      <c r="Q167">
        <f>L167-M167</f>
        <v/>
      </c>
      <c r="R167">
        <f>L167-N167</f>
        <v/>
      </c>
      <c r="S167">
        <f>L167-O167</f>
        <v/>
      </c>
    </row>
    <row r="168">
      <c r="J168" t="n">
        <v>166</v>
      </c>
      <c r="K168" t="n">
        <v>1</v>
      </c>
      <c r="L168">
        <f>$B$2*K168*(1-EXP(-(J168-$J$42-$B$3)/$B$4)*$B$4/($B$4-$B$5)+EXP(-(J168-$J$42-$B$3)/$B$5)*$B$5/($B$4-$B$5))</f>
        <v/>
      </c>
      <c r="M168">
        <f>$D$2*M167-$D$3*M166 + $D$4*K128+$D$5*K129</f>
        <v/>
      </c>
      <c r="N168">
        <f>$E$2 *N158 - $E$3 *N148 + $E$4 *K117 + $E$5 * K107</f>
        <v/>
      </c>
      <c r="O168">
        <f>$F$2 * O148 - $F$3 * O128 + $F$4 * K108 + $F$5 * K88</f>
        <v/>
      </c>
      <c r="Q168">
        <f>L168-M168</f>
        <v/>
      </c>
      <c r="R168">
        <f>L168-N168</f>
        <v/>
      </c>
      <c r="S168">
        <f>L168-O168</f>
        <v/>
      </c>
    </row>
    <row r="169">
      <c r="J169" t="n">
        <v>167</v>
      </c>
      <c r="K169" t="n">
        <v>1</v>
      </c>
      <c r="L169">
        <f>$B$2*K169*(1-EXP(-(J169-$J$42-$B$3)/$B$4)*$B$4/($B$4-$B$5)+EXP(-(J169-$J$42-$B$3)/$B$5)*$B$5/($B$4-$B$5))</f>
        <v/>
      </c>
      <c r="M169">
        <f>$D$2*M168-$D$3*M167 + $D$4*K129+$D$5*K130</f>
        <v/>
      </c>
      <c r="N169">
        <f>$E$2 *N159 - $E$3 *N149 + $E$4 *K118 + $E$5 * K108</f>
        <v/>
      </c>
      <c r="O169">
        <f>$F$2 * O149 - $F$3 * O129 + $F$4 * K109 + $F$5 * K89</f>
        <v/>
      </c>
      <c r="Q169">
        <f>L169-M169</f>
        <v/>
      </c>
      <c r="R169">
        <f>L169-N169</f>
        <v/>
      </c>
      <c r="S169">
        <f>L169-O169</f>
        <v/>
      </c>
    </row>
    <row r="170">
      <c r="J170" t="n">
        <v>168</v>
      </c>
      <c r="K170" t="n">
        <v>1</v>
      </c>
      <c r="L170">
        <f>$B$2*K170*(1-EXP(-(J170-$J$42-$B$3)/$B$4)*$B$4/($B$4-$B$5)+EXP(-(J170-$J$42-$B$3)/$B$5)*$B$5/($B$4-$B$5))</f>
        <v/>
      </c>
      <c r="M170">
        <f>$D$2*M169-$D$3*M168 + $D$4*K130+$D$5*K131</f>
        <v/>
      </c>
      <c r="N170">
        <f>$E$2 *N160 - $E$3 *N150 + $E$4 *K119 + $E$5 * K109</f>
        <v/>
      </c>
      <c r="O170">
        <f>$F$2 * O150 - $F$3 * O130 + $F$4 * K110 + $F$5 * K90</f>
        <v/>
      </c>
      <c r="Q170">
        <f>L170-M170</f>
        <v/>
      </c>
      <c r="R170">
        <f>L170-N170</f>
        <v/>
      </c>
      <c r="S170">
        <f>L170-O170</f>
        <v/>
      </c>
    </row>
    <row r="171">
      <c r="J171" t="n">
        <v>169</v>
      </c>
      <c r="K171" t="n">
        <v>1</v>
      </c>
      <c r="L171">
        <f>$B$2*K171*(1-EXP(-(J171-$J$42-$B$3)/$B$4)*$B$4/($B$4-$B$5)+EXP(-(J171-$J$42-$B$3)/$B$5)*$B$5/($B$4-$B$5))</f>
        <v/>
      </c>
      <c r="M171">
        <f>$D$2*M170-$D$3*M169 + $D$4*K131+$D$5*K132</f>
        <v/>
      </c>
      <c r="N171">
        <f>$E$2 *N161 - $E$3 *N151 + $E$4 *K120 + $E$5 * K110</f>
        <v/>
      </c>
      <c r="O171">
        <f>$F$2 * O151 - $F$3 * O131 + $F$4 * K111 + $F$5 * K91</f>
        <v/>
      </c>
      <c r="Q171">
        <f>L171-M171</f>
        <v/>
      </c>
      <c r="R171">
        <f>L171-N171</f>
        <v/>
      </c>
      <c r="S171">
        <f>L171-O171</f>
        <v/>
      </c>
    </row>
    <row r="172">
      <c r="J172" t="n">
        <v>170</v>
      </c>
      <c r="K172" t="n">
        <v>1</v>
      </c>
      <c r="L172">
        <f>$B$2*K172*(1-EXP(-(J172-$J$42-$B$3)/$B$4)*$B$4/($B$4-$B$5)+EXP(-(J172-$J$42-$B$3)/$B$5)*$B$5/($B$4-$B$5))</f>
        <v/>
      </c>
      <c r="M172">
        <f>$D$2*M171-$D$3*M170 + $D$4*K132+$D$5*K133</f>
        <v/>
      </c>
      <c r="N172">
        <f>$E$2 *N162 - $E$3 *N152 + $E$4 *K121 + $E$5 * K111</f>
        <v/>
      </c>
      <c r="O172">
        <f>$F$2 * O152 - $F$3 * O132 + $F$4 * K112 + $F$5 * K92</f>
        <v/>
      </c>
      <c r="Q172">
        <f>L172-M172</f>
        <v/>
      </c>
      <c r="R172">
        <f>L172-N172</f>
        <v/>
      </c>
      <c r="S172">
        <f>L172-O172</f>
        <v/>
      </c>
    </row>
    <row r="173">
      <c r="J173" t="n">
        <v>171</v>
      </c>
      <c r="K173" t="n">
        <v>1</v>
      </c>
      <c r="L173">
        <f>$B$2*K173*(1-EXP(-(J173-$J$42-$B$3)/$B$4)*$B$4/($B$4-$B$5)+EXP(-(J173-$J$42-$B$3)/$B$5)*$B$5/($B$4-$B$5))</f>
        <v/>
      </c>
      <c r="M173">
        <f>$D$2*M172-$D$3*M171 + $D$4*K133+$D$5*K134</f>
        <v/>
      </c>
      <c r="N173">
        <f>$E$2 *N163 - $E$3 *N153 + $E$4 *K122 + $E$5 * K112</f>
        <v/>
      </c>
      <c r="O173">
        <f>$F$2 * O153 - $F$3 * O133 + $F$4 * K113 + $F$5 * K93</f>
        <v/>
      </c>
      <c r="Q173">
        <f>L173-M173</f>
        <v/>
      </c>
      <c r="R173">
        <f>L173-N173</f>
        <v/>
      </c>
      <c r="S173">
        <f>L173-O173</f>
        <v/>
      </c>
    </row>
    <row r="174">
      <c r="J174" t="n">
        <v>172</v>
      </c>
      <c r="K174" t="n">
        <v>1</v>
      </c>
      <c r="L174">
        <f>$B$2*K174*(1-EXP(-(J174-$J$42-$B$3)/$B$4)*$B$4/($B$4-$B$5)+EXP(-(J174-$J$42-$B$3)/$B$5)*$B$5/($B$4-$B$5))</f>
        <v/>
      </c>
      <c r="M174">
        <f>$D$2*M173-$D$3*M172 + $D$4*K134+$D$5*K135</f>
        <v/>
      </c>
      <c r="N174">
        <f>$E$2 *N164 - $E$3 *N154 + $E$4 *K123 + $E$5 * K113</f>
        <v/>
      </c>
      <c r="O174">
        <f>$F$2 * O154 - $F$3 * O134 + $F$4 * K114 + $F$5 * K94</f>
        <v/>
      </c>
      <c r="Q174">
        <f>L174-M174</f>
        <v/>
      </c>
      <c r="R174">
        <f>L174-N174</f>
        <v/>
      </c>
      <c r="S174">
        <f>L174-O174</f>
        <v/>
      </c>
    </row>
    <row r="175">
      <c r="J175" t="n">
        <v>173</v>
      </c>
      <c r="K175" t="n">
        <v>1</v>
      </c>
      <c r="L175">
        <f>$B$2*K175*(1-EXP(-(J175-$J$42-$B$3)/$B$4)*$B$4/($B$4-$B$5)+EXP(-(J175-$J$42-$B$3)/$B$5)*$B$5/($B$4-$B$5))</f>
        <v/>
      </c>
      <c r="M175">
        <f>$D$2*M174-$D$3*M173 + $D$4*K135+$D$5*K136</f>
        <v/>
      </c>
      <c r="N175">
        <f>$E$2 *N165 - $E$3 *N155 + $E$4 *K124 + $E$5 * K114</f>
        <v/>
      </c>
      <c r="O175">
        <f>$F$2 * O155 - $F$3 * O135 + $F$4 * K115 + $F$5 * K95</f>
        <v/>
      </c>
      <c r="Q175">
        <f>L175-M175</f>
        <v/>
      </c>
      <c r="R175">
        <f>L175-N175</f>
        <v/>
      </c>
      <c r="S175">
        <f>L175-O175</f>
        <v/>
      </c>
    </row>
    <row r="176">
      <c r="J176" t="n">
        <v>174</v>
      </c>
      <c r="K176" t="n">
        <v>1</v>
      </c>
      <c r="L176">
        <f>$B$2*K176*(1-EXP(-(J176-$J$42-$B$3)/$B$4)*$B$4/($B$4-$B$5)+EXP(-(J176-$J$42-$B$3)/$B$5)*$B$5/($B$4-$B$5))</f>
        <v/>
      </c>
      <c r="M176">
        <f>$D$2*M175-$D$3*M174 + $D$4*K136+$D$5*K137</f>
        <v/>
      </c>
      <c r="N176">
        <f>$E$2 *N166 - $E$3 *N156 + $E$4 *K125 + $E$5 * K115</f>
        <v/>
      </c>
      <c r="O176">
        <f>$F$2 * O156 - $F$3 * O136 + $F$4 * K116 + $F$5 * K96</f>
        <v/>
      </c>
      <c r="Q176">
        <f>L176-M176</f>
        <v/>
      </c>
      <c r="R176">
        <f>L176-N176</f>
        <v/>
      </c>
      <c r="S176">
        <f>L176-O176</f>
        <v/>
      </c>
    </row>
    <row r="177">
      <c r="J177" t="n">
        <v>175</v>
      </c>
      <c r="K177" t="n">
        <v>1</v>
      </c>
      <c r="L177">
        <f>$B$2*K177*(1-EXP(-(J177-$J$42-$B$3)/$B$4)*$B$4/($B$4-$B$5)+EXP(-(J177-$J$42-$B$3)/$B$5)*$B$5/($B$4-$B$5))</f>
        <v/>
      </c>
      <c r="M177">
        <f>$D$2*M176-$D$3*M175 + $D$4*K137+$D$5*K138</f>
        <v/>
      </c>
      <c r="N177">
        <f>$E$2 *N167 - $E$3 *N157 + $E$4 *K126 + $E$5 * K116</f>
        <v/>
      </c>
      <c r="O177">
        <f>$F$2 * O157 - $F$3 * O137 + $F$4 * K117 + $F$5 * K97</f>
        <v/>
      </c>
      <c r="Q177">
        <f>L177-M177</f>
        <v/>
      </c>
      <c r="R177">
        <f>L177-N177</f>
        <v/>
      </c>
      <c r="S177">
        <f>L177-O177</f>
        <v/>
      </c>
    </row>
    <row r="178">
      <c r="J178" t="n">
        <v>176</v>
      </c>
      <c r="K178" t="n">
        <v>1</v>
      </c>
      <c r="L178">
        <f>$B$2*K178*(1-EXP(-(J178-$J$42-$B$3)/$B$4)*$B$4/($B$4-$B$5)+EXP(-(J178-$J$42-$B$3)/$B$5)*$B$5/($B$4-$B$5))</f>
        <v/>
      </c>
      <c r="M178">
        <f>$D$2*M177-$D$3*M176 + $D$4*K138+$D$5*K139</f>
        <v/>
      </c>
      <c r="N178">
        <f>$E$2 *N168 - $E$3 *N158 + $E$4 *K127 + $E$5 * K117</f>
        <v/>
      </c>
      <c r="O178">
        <f>$F$2 * O158 - $F$3 * O138 + $F$4 * K118 + $F$5 * K98</f>
        <v/>
      </c>
      <c r="Q178">
        <f>L178-M178</f>
        <v/>
      </c>
      <c r="R178">
        <f>L178-N178</f>
        <v/>
      </c>
      <c r="S178">
        <f>L178-O178</f>
        <v/>
      </c>
    </row>
    <row r="179">
      <c r="J179" t="n">
        <v>177</v>
      </c>
      <c r="K179" t="n">
        <v>1</v>
      </c>
      <c r="L179">
        <f>$B$2*K179*(1-EXP(-(J179-$J$42-$B$3)/$B$4)*$B$4/($B$4-$B$5)+EXP(-(J179-$J$42-$B$3)/$B$5)*$B$5/($B$4-$B$5))</f>
        <v/>
      </c>
      <c r="M179">
        <f>$D$2*M178-$D$3*M177 + $D$4*K139+$D$5*K140</f>
        <v/>
      </c>
      <c r="N179">
        <f>$E$2 *N169 - $E$3 *N159 + $E$4 *K128 + $E$5 * K118</f>
        <v/>
      </c>
      <c r="O179">
        <f>$F$2 * O159 - $F$3 * O139 + $F$4 * K119 + $F$5 * K99</f>
        <v/>
      </c>
      <c r="Q179">
        <f>L179-M179</f>
        <v/>
      </c>
      <c r="R179">
        <f>L179-N179</f>
        <v/>
      </c>
      <c r="S179">
        <f>L179-O179</f>
        <v/>
      </c>
    </row>
    <row r="180">
      <c r="J180" t="n">
        <v>178</v>
      </c>
      <c r="K180" t="n">
        <v>1</v>
      </c>
      <c r="L180">
        <f>$B$2*K180*(1-EXP(-(J180-$J$42-$B$3)/$B$4)*$B$4/($B$4-$B$5)+EXP(-(J180-$J$42-$B$3)/$B$5)*$B$5/($B$4-$B$5))</f>
        <v/>
      </c>
      <c r="M180">
        <f>$D$2*M179-$D$3*M178 + $D$4*K140+$D$5*K141</f>
        <v/>
      </c>
      <c r="N180">
        <f>$E$2 *N170 - $E$3 *N160 + $E$4 *K129 + $E$5 * K119</f>
        <v/>
      </c>
      <c r="O180">
        <f>$F$2 * O160 - $F$3 * O140 + $F$4 * K120 + $F$5 * K100</f>
        <v/>
      </c>
      <c r="Q180">
        <f>L180-M180</f>
        <v/>
      </c>
      <c r="R180">
        <f>L180-N180</f>
        <v/>
      </c>
      <c r="S180">
        <f>L180-O180</f>
        <v/>
      </c>
    </row>
    <row r="181">
      <c r="J181" t="n">
        <v>179</v>
      </c>
      <c r="K181" t="n">
        <v>1</v>
      </c>
      <c r="L181">
        <f>$B$2*K181*(1-EXP(-(J181-$J$42-$B$3)/$B$4)*$B$4/($B$4-$B$5)+EXP(-(J181-$J$42-$B$3)/$B$5)*$B$5/($B$4-$B$5))</f>
        <v/>
      </c>
      <c r="M181">
        <f>$D$2*M180-$D$3*M179 + $D$4*K141+$D$5*K142</f>
        <v/>
      </c>
      <c r="N181">
        <f>$E$2 *N171 - $E$3 *N161 + $E$4 *K130 + $E$5 * K120</f>
        <v/>
      </c>
      <c r="O181">
        <f>$F$2 * O161 - $F$3 * O141 + $F$4 * K121 + $F$5 * K101</f>
        <v/>
      </c>
      <c r="Q181">
        <f>L181-M181</f>
        <v/>
      </c>
      <c r="R181">
        <f>L181-N181</f>
        <v/>
      </c>
      <c r="S181">
        <f>L181-O181</f>
        <v/>
      </c>
    </row>
    <row r="182">
      <c r="J182" t="n">
        <v>180</v>
      </c>
      <c r="K182" t="n">
        <v>1</v>
      </c>
      <c r="L182">
        <f>$B$2*K182*(1-EXP(-(J182-$J$42-$B$3)/$B$4)*$B$4/($B$4-$B$5)+EXP(-(J182-$J$42-$B$3)/$B$5)*$B$5/($B$4-$B$5))</f>
        <v/>
      </c>
      <c r="M182">
        <f>$D$2*M181-$D$3*M180 + $D$4*K142+$D$5*K143</f>
        <v/>
      </c>
      <c r="N182">
        <f>$E$2 *N172 - $E$3 *N162 + $E$4 *K131 + $E$5 * K121</f>
        <v/>
      </c>
      <c r="O182">
        <f>$F$2 * O162 - $F$3 * O142 + $F$4 * K122 + $F$5 * K102</f>
        <v/>
      </c>
      <c r="Q182">
        <f>L182-M182</f>
        <v/>
      </c>
      <c r="R182">
        <f>L182-N182</f>
        <v/>
      </c>
      <c r="S182">
        <f>L182-O182</f>
        <v/>
      </c>
    </row>
    <row r="183">
      <c r="J183" t="n">
        <v>181</v>
      </c>
      <c r="K183" t="n">
        <v>1</v>
      </c>
      <c r="L183">
        <f>$B$2*K183*(1-EXP(-(J183-$J$42-$B$3)/$B$4)*$B$4/($B$4-$B$5)+EXP(-(J183-$J$42-$B$3)/$B$5)*$B$5/($B$4-$B$5))</f>
        <v/>
      </c>
      <c r="M183">
        <f>$D$2*M182-$D$3*M181 + $D$4*K143+$D$5*K144</f>
        <v/>
      </c>
      <c r="N183">
        <f>$E$2 *N173 - $E$3 *N163 + $E$4 *K132 + $E$5 * K122</f>
        <v/>
      </c>
      <c r="O183">
        <f>$F$2 * O163 - $F$3 * O143 + $F$4 * K123 + $F$5 * K103</f>
        <v/>
      </c>
      <c r="Q183">
        <f>L183-M183</f>
        <v/>
      </c>
      <c r="R183">
        <f>L183-N183</f>
        <v/>
      </c>
      <c r="S183">
        <f>L183-O183</f>
        <v/>
      </c>
    </row>
    <row r="184">
      <c r="J184" t="n">
        <v>182</v>
      </c>
      <c r="K184" t="n">
        <v>1</v>
      </c>
      <c r="L184">
        <f>$B$2*K184*(1-EXP(-(J184-$J$42-$B$3)/$B$4)*$B$4/($B$4-$B$5)+EXP(-(J184-$J$42-$B$3)/$B$5)*$B$5/($B$4-$B$5))</f>
        <v/>
      </c>
      <c r="M184">
        <f>$D$2*M183-$D$3*M182 + $D$4*K144+$D$5*K145</f>
        <v/>
      </c>
      <c r="N184">
        <f>$E$2 *N174 - $E$3 *N164 + $E$4 *K133 + $E$5 * K123</f>
        <v/>
      </c>
      <c r="O184">
        <f>$F$2 * O164 - $F$3 * O144 + $F$4 * K124 + $F$5 * K104</f>
        <v/>
      </c>
      <c r="Q184">
        <f>L184-M184</f>
        <v/>
      </c>
      <c r="R184">
        <f>L184-N184</f>
        <v/>
      </c>
      <c r="S184">
        <f>L184-O184</f>
        <v/>
      </c>
    </row>
    <row r="185">
      <c r="J185" t="n">
        <v>183</v>
      </c>
      <c r="K185" t="n">
        <v>1</v>
      </c>
      <c r="L185">
        <f>$B$2*K185*(1-EXP(-(J185-$J$42-$B$3)/$B$4)*$B$4/($B$4-$B$5)+EXP(-(J185-$J$42-$B$3)/$B$5)*$B$5/($B$4-$B$5))</f>
        <v/>
      </c>
      <c r="M185">
        <f>$D$2*M184-$D$3*M183 + $D$4*K145+$D$5*K146</f>
        <v/>
      </c>
      <c r="N185">
        <f>$E$2 *N175 - $E$3 *N165 + $E$4 *K134 + $E$5 * K124</f>
        <v/>
      </c>
      <c r="O185">
        <f>$F$2 * O165 - $F$3 * O145 + $F$4 * K125 + $F$5 * K105</f>
        <v/>
      </c>
      <c r="Q185">
        <f>L185-M185</f>
        <v/>
      </c>
      <c r="R185">
        <f>L185-N185</f>
        <v/>
      </c>
      <c r="S185">
        <f>L185-O185</f>
        <v/>
      </c>
    </row>
    <row r="186">
      <c r="J186" t="n">
        <v>184</v>
      </c>
      <c r="K186" t="n">
        <v>1</v>
      </c>
      <c r="L186">
        <f>$B$2*K186*(1-EXP(-(J186-$J$42-$B$3)/$B$4)*$B$4/($B$4-$B$5)+EXP(-(J186-$J$42-$B$3)/$B$5)*$B$5/($B$4-$B$5))</f>
        <v/>
      </c>
      <c r="M186">
        <f>$D$2*M185-$D$3*M184 + $D$4*K146+$D$5*K147</f>
        <v/>
      </c>
      <c r="N186">
        <f>$E$2 *N176 - $E$3 *N166 + $E$4 *K135 + $E$5 * K125</f>
        <v/>
      </c>
      <c r="O186">
        <f>$F$2 * O166 - $F$3 * O146 + $F$4 * K126 + $F$5 * K106</f>
        <v/>
      </c>
      <c r="Q186">
        <f>L186-M186</f>
        <v/>
      </c>
      <c r="R186">
        <f>L186-N186</f>
        <v/>
      </c>
      <c r="S186">
        <f>L186-O186</f>
        <v/>
      </c>
    </row>
    <row r="187">
      <c r="J187" t="n">
        <v>185</v>
      </c>
      <c r="K187" t="n">
        <v>1</v>
      </c>
      <c r="L187">
        <f>$B$2*K187*(1-EXP(-(J187-$J$42-$B$3)/$B$4)*$B$4/($B$4-$B$5)+EXP(-(J187-$J$42-$B$3)/$B$5)*$B$5/($B$4-$B$5))</f>
        <v/>
      </c>
      <c r="M187">
        <f>$D$2*M186-$D$3*M185 + $D$4*K147+$D$5*K148</f>
        <v/>
      </c>
      <c r="N187">
        <f>$E$2 *N177 - $E$3 *N167 + $E$4 *K136 + $E$5 * K126</f>
        <v/>
      </c>
      <c r="O187">
        <f>$F$2 * O167 - $F$3 * O147 + $F$4 * K127 + $F$5 * K107</f>
        <v/>
      </c>
      <c r="Q187">
        <f>L187-M187</f>
        <v/>
      </c>
      <c r="R187">
        <f>L187-N187</f>
        <v/>
      </c>
      <c r="S187">
        <f>L187-O187</f>
        <v/>
      </c>
    </row>
    <row r="188">
      <c r="J188" t="n">
        <v>186</v>
      </c>
      <c r="K188" t="n">
        <v>1</v>
      </c>
      <c r="L188">
        <f>$B$2*K188*(1-EXP(-(J188-$J$42-$B$3)/$B$4)*$B$4/($B$4-$B$5)+EXP(-(J188-$J$42-$B$3)/$B$5)*$B$5/($B$4-$B$5))</f>
        <v/>
      </c>
      <c r="M188">
        <f>$D$2*M187-$D$3*M186 + $D$4*K148+$D$5*K149</f>
        <v/>
      </c>
      <c r="N188">
        <f>$E$2 *N178 - $E$3 *N168 + $E$4 *K137 + $E$5 * K127</f>
        <v/>
      </c>
      <c r="O188">
        <f>$F$2 * O168 - $F$3 * O148 + $F$4 * K128 + $F$5 * K108</f>
        <v/>
      </c>
      <c r="Q188">
        <f>L188-M188</f>
        <v/>
      </c>
      <c r="R188">
        <f>L188-N188</f>
        <v/>
      </c>
      <c r="S188">
        <f>L188-O188</f>
        <v/>
      </c>
    </row>
    <row r="189">
      <c r="J189" t="n">
        <v>187</v>
      </c>
      <c r="K189" t="n">
        <v>1</v>
      </c>
      <c r="L189">
        <f>$B$2*K189*(1-EXP(-(J189-$J$42-$B$3)/$B$4)*$B$4/($B$4-$B$5)+EXP(-(J189-$J$42-$B$3)/$B$5)*$B$5/($B$4-$B$5))</f>
        <v/>
      </c>
      <c r="M189">
        <f>$D$2*M188-$D$3*M187 + $D$4*K149+$D$5*K150</f>
        <v/>
      </c>
      <c r="N189">
        <f>$E$2 *N179 - $E$3 *N169 + $E$4 *K138 + $E$5 * K128</f>
        <v/>
      </c>
      <c r="O189">
        <f>$F$2 * O169 - $F$3 * O149 + $F$4 * K129 + $F$5 * K109</f>
        <v/>
      </c>
      <c r="Q189">
        <f>L189-M189</f>
        <v/>
      </c>
      <c r="R189">
        <f>L189-N189</f>
        <v/>
      </c>
      <c r="S189">
        <f>L189-O189</f>
        <v/>
      </c>
    </row>
    <row r="190">
      <c r="J190" t="n">
        <v>188</v>
      </c>
      <c r="K190" t="n">
        <v>1</v>
      </c>
      <c r="L190">
        <f>$B$2*K190*(1-EXP(-(J190-$J$42-$B$3)/$B$4)*$B$4/($B$4-$B$5)+EXP(-(J190-$J$42-$B$3)/$B$5)*$B$5/($B$4-$B$5))</f>
        <v/>
      </c>
      <c r="M190">
        <f>$D$2*M189-$D$3*M188 + $D$4*K150+$D$5*K151</f>
        <v/>
      </c>
      <c r="N190">
        <f>$E$2 *N180 - $E$3 *N170 + $E$4 *K139 + $E$5 * K129</f>
        <v/>
      </c>
      <c r="O190">
        <f>$F$2 * O170 - $F$3 * O150 + $F$4 * K130 + $F$5 * K110</f>
        <v/>
      </c>
      <c r="Q190">
        <f>L190-M190</f>
        <v/>
      </c>
      <c r="R190">
        <f>L190-N190</f>
        <v/>
      </c>
      <c r="S190">
        <f>L190-O190</f>
        <v/>
      </c>
    </row>
    <row r="191">
      <c r="J191" t="n">
        <v>189</v>
      </c>
      <c r="K191" t="n">
        <v>1</v>
      </c>
      <c r="L191">
        <f>$B$2*K191*(1-EXP(-(J191-$J$42-$B$3)/$B$4)*$B$4/($B$4-$B$5)+EXP(-(J191-$J$42-$B$3)/$B$5)*$B$5/($B$4-$B$5))</f>
        <v/>
      </c>
      <c r="M191">
        <f>$D$2*M190-$D$3*M189 + $D$4*K151+$D$5*K152</f>
        <v/>
      </c>
      <c r="N191">
        <f>$E$2 *N181 - $E$3 *N171 + $E$4 *K140 + $E$5 * K130</f>
        <v/>
      </c>
      <c r="O191">
        <f>$F$2 * O171 - $F$3 * O151 + $F$4 * K131 + $F$5 * K111</f>
        <v/>
      </c>
      <c r="Q191">
        <f>L191-M191</f>
        <v/>
      </c>
      <c r="R191">
        <f>L191-N191</f>
        <v/>
      </c>
      <c r="S191">
        <f>L191-O191</f>
        <v/>
      </c>
    </row>
    <row r="192">
      <c r="J192" t="n">
        <v>190</v>
      </c>
      <c r="K192" t="n">
        <v>1</v>
      </c>
      <c r="L192">
        <f>$B$2*K192*(1-EXP(-(J192-$J$42-$B$3)/$B$4)*$B$4/($B$4-$B$5)+EXP(-(J192-$J$42-$B$3)/$B$5)*$B$5/($B$4-$B$5))</f>
        <v/>
      </c>
      <c r="M192">
        <f>$D$2*M191-$D$3*M190 + $D$4*K152+$D$5*K153</f>
        <v/>
      </c>
      <c r="N192">
        <f>$E$2 *N182 - $E$3 *N172 + $E$4 *K141 + $E$5 * K131</f>
        <v/>
      </c>
      <c r="O192">
        <f>$F$2 * O172 - $F$3 * O152 + $F$4 * K132 + $F$5 * K112</f>
        <v/>
      </c>
      <c r="Q192">
        <f>L192-M192</f>
        <v/>
      </c>
      <c r="R192">
        <f>L192-N192</f>
        <v/>
      </c>
      <c r="S192">
        <f>L192-O192</f>
        <v/>
      </c>
    </row>
    <row r="193">
      <c r="J193" t="n">
        <v>191</v>
      </c>
      <c r="K193" t="n">
        <v>1</v>
      </c>
      <c r="L193">
        <f>$B$2*K193*(1-EXP(-(J193-$J$42-$B$3)/$B$4)*$B$4/($B$4-$B$5)+EXP(-(J193-$J$42-$B$3)/$B$5)*$B$5/($B$4-$B$5))</f>
        <v/>
      </c>
      <c r="M193">
        <f>$D$2*M192-$D$3*M191 + $D$4*K153+$D$5*K154</f>
        <v/>
      </c>
      <c r="N193">
        <f>$E$2 *N183 - $E$3 *N173 + $E$4 *K142 + $E$5 * K132</f>
        <v/>
      </c>
      <c r="O193">
        <f>$F$2 * O173 - $F$3 * O153 + $F$4 * K133 + $F$5 * K113</f>
        <v/>
      </c>
      <c r="Q193">
        <f>L193-M193</f>
        <v/>
      </c>
      <c r="R193">
        <f>L193-N193</f>
        <v/>
      </c>
      <c r="S193">
        <f>L193-O193</f>
        <v/>
      </c>
    </row>
    <row r="194">
      <c r="J194" t="n">
        <v>192</v>
      </c>
      <c r="K194" t="n">
        <v>1</v>
      </c>
      <c r="L194">
        <f>$B$2*K194*(1-EXP(-(J194-$J$42-$B$3)/$B$4)*$B$4/($B$4-$B$5)+EXP(-(J194-$J$42-$B$3)/$B$5)*$B$5/($B$4-$B$5))</f>
        <v/>
      </c>
      <c r="M194">
        <f>$D$2*M193-$D$3*M192 + $D$4*K154+$D$5*K155</f>
        <v/>
      </c>
      <c r="N194">
        <f>$E$2 *N184 - $E$3 *N174 + $E$4 *K143 + $E$5 * K133</f>
        <v/>
      </c>
      <c r="O194">
        <f>$F$2 * O174 - $F$3 * O154 + $F$4 * K134 + $F$5 * K114</f>
        <v/>
      </c>
      <c r="Q194">
        <f>L194-M194</f>
        <v/>
      </c>
      <c r="R194">
        <f>L194-N194</f>
        <v/>
      </c>
      <c r="S194">
        <f>L194-O194</f>
        <v/>
      </c>
    </row>
    <row r="195">
      <c r="J195" t="n">
        <v>193</v>
      </c>
      <c r="K195" t="n">
        <v>1</v>
      </c>
      <c r="L195">
        <f>$B$2*K195*(1-EXP(-(J195-$J$42-$B$3)/$B$4)*$B$4/($B$4-$B$5)+EXP(-(J195-$J$42-$B$3)/$B$5)*$B$5/($B$4-$B$5))</f>
        <v/>
      </c>
      <c r="M195">
        <f>$D$2*M194-$D$3*M193 + $D$4*K155+$D$5*K156</f>
        <v/>
      </c>
      <c r="N195">
        <f>$E$2 *N185 - $E$3 *N175 + $E$4 *K144 + $E$5 * K134</f>
        <v/>
      </c>
      <c r="O195">
        <f>$F$2 * O175 - $F$3 * O155 + $F$4 * K135 + $F$5 * K115</f>
        <v/>
      </c>
      <c r="Q195">
        <f>L195-M195</f>
        <v/>
      </c>
      <c r="R195">
        <f>L195-N195</f>
        <v/>
      </c>
      <c r="S195">
        <f>L195-O195</f>
        <v/>
      </c>
    </row>
    <row r="196">
      <c r="J196" t="n">
        <v>194</v>
      </c>
      <c r="K196" t="n">
        <v>1</v>
      </c>
      <c r="L196">
        <f>$B$2*K196*(1-EXP(-(J196-$J$42-$B$3)/$B$4)*$B$4/($B$4-$B$5)+EXP(-(J196-$J$42-$B$3)/$B$5)*$B$5/($B$4-$B$5))</f>
        <v/>
      </c>
      <c r="M196">
        <f>$D$2*M195-$D$3*M194 + $D$4*K156+$D$5*K157</f>
        <v/>
      </c>
      <c r="N196">
        <f>$E$2 *N186 - $E$3 *N176 + $E$4 *K145 + $E$5 * K135</f>
        <v/>
      </c>
      <c r="O196">
        <f>$F$2 * O176 - $F$3 * O156 + $F$4 * K136 + $F$5 * K116</f>
        <v/>
      </c>
      <c r="Q196">
        <f>L196-M196</f>
        <v/>
      </c>
      <c r="R196">
        <f>L196-N196</f>
        <v/>
      </c>
      <c r="S196">
        <f>L196-O196</f>
        <v/>
      </c>
    </row>
    <row r="197">
      <c r="J197" t="n">
        <v>195</v>
      </c>
      <c r="K197" t="n">
        <v>1</v>
      </c>
      <c r="L197">
        <f>$B$2*K197*(1-EXP(-(J197-$J$42-$B$3)/$B$4)*$B$4/($B$4-$B$5)+EXP(-(J197-$J$42-$B$3)/$B$5)*$B$5/($B$4-$B$5))</f>
        <v/>
      </c>
      <c r="M197">
        <f>$D$2*M196-$D$3*M195 + $D$4*K157+$D$5*K158</f>
        <v/>
      </c>
      <c r="N197">
        <f>$E$2 *N187 - $E$3 *N177 + $E$4 *K146 + $E$5 * K136</f>
        <v/>
      </c>
      <c r="O197">
        <f>$F$2 * O177 - $F$3 * O157 + $F$4 * K137 + $F$5 * K117</f>
        <v/>
      </c>
      <c r="Q197">
        <f>L197-M197</f>
        <v/>
      </c>
      <c r="R197">
        <f>L197-N197</f>
        <v/>
      </c>
      <c r="S197">
        <f>L197-O197</f>
        <v/>
      </c>
    </row>
    <row r="198">
      <c r="J198" t="n">
        <v>196</v>
      </c>
      <c r="K198" t="n">
        <v>1</v>
      </c>
      <c r="L198">
        <f>$B$2*K198*(1-EXP(-(J198-$J$42-$B$3)/$B$4)*$B$4/($B$4-$B$5)+EXP(-(J198-$J$42-$B$3)/$B$5)*$B$5/($B$4-$B$5))</f>
        <v/>
      </c>
      <c r="M198">
        <f>$D$2*M197-$D$3*M196 + $D$4*K158+$D$5*K159</f>
        <v/>
      </c>
      <c r="N198">
        <f>$E$2 *N188 - $E$3 *N178 + $E$4 *K147 + $E$5 * K137</f>
        <v/>
      </c>
      <c r="O198">
        <f>$F$2 * O178 - $F$3 * O158 + $F$4 * K138 + $F$5 * K118</f>
        <v/>
      </c>
      <c r="Q198">
        <f>L198-M198</f>
        <v/>
      </c>
      <c r="R198">
        <f>L198-N198</f>
        <v/>
      </c>
      <c r="S198">
        <f>L198-O198</f>
        <v/>
      </c>
    </row>
    <row r="199">
      <c r="J199" t="n">
        <v>197</v>
      </c>
      <c r="K199" t="n">
        <v>1</v>
      </c>
      <c r="L199">
        <f>$B$2*K199*(1-EXP(-(J199-$J$42-$B$3)/$B$4)*$B$4/($B$4-$B$5)+EXP(-(J199-$J$42-$B$3)/$B$5)*$B$5/($B$4-$B$5))</f>
        <v/>
      </c>
      <c r="M199">
        <f>$D$2*M198-$D$3*M197 + $D$4*K159+$D$5*K160</f>
        <v/>
      </c>
      <c r="N199">
        <f>$E$2 *N189 - $E$3 *N179 + $E$4 *K148 + $E$5 * K138</f>
        <v/>
      </c>
      <c r="O199">
        <f>$F$2 * O179 - $F$3 * O159 + $F$4 * K139 + $F$5 * K119</f>
        <v/>
      </c>
      <c r="Q199">
        <f>L199-M199</f>
        <v/>
      </c>
      <c r="R199">
        <f>L199-N199</f>
        <v/>
      </c>
      <c r="S199">
        <f>L199-O199</f>
        <v/>
      </c>
    </row>
    <row r="200">
      <c r="J200" t="n">
        <v>198</v>
      </c>
      <c r="K200" t="n">
        <v>1</v>
      </c>
      <c r="L200">
        <f>$B$2*K200*(1-EXP(-(J200-$J$42-$B$3)/$B$4)*$B$4/($B$4-$B$5)+EXP(-(J200-$J$42-$B$3)/$B$5)*$B$5/($B$4-$B$5))</f>
        <v/>
      </c>
      <c r="M200">
        <f>$D$2*M199-$D$3*M198 + $D$4*K160+$D$5*K161</f>
        <v/>
      </c>
      <c r="N200">
        <f>$E$2 *N190 - $E$3 *N180 + $E$4 *K149 + $E$5 * K139</f>
        <v/>
      </c>
      <c r="O200">
        <f>$F$2 * O180 - $F$3 * O160 + $F$4 * K140 + $F$5 * K120</f>
        <v/>
      </c>
      <c r="Q200">
        <f>L200-M200</f>
        <v/>
      </c>
      <c r="R200">
        <f>L200-N200</f>
        <v/>
      </c>
      <c r="S200">
        <f>L200-O200</f>
        <v/>
      </c>
    </row>
    <row r="201">
      <c r="J201" t="n">
        <v>199</v>
      </c>
      <c r="K201" t="n">
        <v>1</v>
      </c>
      <c r="L201">
        <f>$B$2*K201*(1-EXP(-(J201-$J$42-$B$3)/$B$4)*$B$4/($B$4-$B$5)+EXP(-(J201-$J$42-$B$3)/$B$5)*$B$5/($B$4-$B$5))</f>
        <v/>
      </c>
      <c r="M201">
        <f>$D$2*M200-$D$3*M199 + $D$4*K161+$D$5*K162</f>
        <v/>
      </c>
      <c r="N201">
        <f>$E$2 *N191 - $E$3 *N181 + $E$4 *K150 + $E$5 * K140</f>
        <v/>
      </c>
      <c r="O201">
        <f>$F$2 * O181 - $F$3 * O161 + $F$4 * K141 + $F$5 * K121</f>
        <v/>
      </c>
      <c r="Q201">
        <f>L201-M201</f>
        <v/>
      </c>
      <c r="R201">
        <f>L201-N201</f>
        <v/>
      </c>
      <c r="S201">
        <f>L201-O201</f>
        <v/>
      </c>
    </row>
    <row r="202">
      <c r="J202" t="n">
        <v>200</v>
      </c>
      <c r="K202" t="n">
        <v>1</v>
      </c>
      <c r="L202">
        <f>$B$2*K202*(1-EXP(-(J202-$J$42-$B$3)/$B$4)*$B$4/($B$4-$B$5)+EXP(-(J202-$J$42-$B$3)/$B$5)*$B$5/($B$4-$B$5))</f>
        <v/>
      </c>
      <c r="M202">
        <f>$D$2*M201-$D$3*M200 + $D$4*K162+$D$5*K163</f>
        <v/>
      </c>
      <c r="N202">
        <f>$E$2 *N192 - $E$3 *N182 + $E$4 *K151 + $E$5 * K141</f>
        <v/>
      </c>
      <c r="O202">
        <f>$F$2 * O182 - $F$3 * O162 + $F$4 * K142 + $F$5 * K122</f>
        <v/>
      </c>
      <c r="Q202">
        <f>L202-M202</f>
        <v/>
      </c>
      <c r="R202">
        <f>L202-N202</f>
        <v/>
      </c>
      <c r="S202">
        <f>L202-O202</f>
        <v/>
      </c>
    </row>
    <row r="203">
      <c r="J203" t="n">
        <v>201</v>
      </c>
      <c r="K203" t="n">
        <v>1</v>
      </c>
      <c r="L203">
        <f>$B$2*K203*(1-EXP(-(J203-$J$42-$B$3)/$B$4)*$B$4/($B$4-$B$5)+EXP(-(J203-$J$42-$B$3)/$B$5)*$B$5/($B$4-$B$5))</f>
        <v/>
      </c>
      <c r="M203">
        <f>$D$2*M202-$D$3*M201 + $D$4*K163+$D$5*K164</f>
        <v/>
      </c>
      <c r="N203">
        <f>$E$2 *N193 - $E$3 *N183 + $E$4 *K152 + $E$5 * K142</f>
        <v/>
      </c>
      <c r="O203">
        <f>$F$2 * O183 - $F$3 * O163 + $F$4 * K143 + $F$5 * K123</f>
        <v/>
      </c>
      <c r="Q203">
        <f>L203-M203</f>
        <v/>
      </c>
      <c r="R203">
        <f>L203-N203</f>
        <v/>
      </c>
      <c r="S203">
        <f>L203-O203</f>
        <v/>
      </c>
    </row>
    <row r="204">
      <c r="J204" t="n">
        <v>202</v>
      </c>
      <c r="K204" t="n">
        <v>1</v>
      </c>
      <c r="L204">
        <f>$B$2*K204*(1-EXP(-(J204-$J$42-$B$3)/$B$4)*$B$4/($B$4-$B$5)+EXP(-(J204-$J$42-$B$3)/$B$5)*$B$5/($B$4-$B$5))</f>
        <v/>
      </c>
      <c r="M204">
        <f>$D$2*M203-$D$3*M202 + $D$4*K164+$D$5*K165</f>
        <v/>
      </c>
      <c r="N204">
        <f>$E$2 *N194 - $E$3 *N184 + $E$4 *K153 + $E$5 * K143</f>
        <v/>
      </c>
      <c r="O204">
        <f>$F$2 * O184 - $F$3 * O164 + $F$4 * K144 + $F$5 * K124</f>
        <v/>
      </c>
      <c r="Q204">
        <f>L204-M204</f>
        <v/>
      </c>
      <c r="R204">
        <f>L204-N204</f>
        <v/>
      </c>
      <c r="S204">
        <f>L204-O204</f>
        <v/>
      </c>
    </row>
    <row r="205">
      <c r="J205" t="n">
        <v>203</v>
      </c>
      <c r="K205" t="n">
        <v>1</v>
      </c>
      <c r="L205">
        <f>$B$2*K205*(1-EXP(-(J205-$J$42-$B$3)/$B$4)*$B$4/($B$4-$B$5)+EXP(-(J205-$J$42-$B$3)/$B$5)*$B$5/($B$4-$B$5))</f>
        <v/>
      </c>
      <c r="M205">
        <f>$D$2*M204-$D$3*M203 + $D$4*K165+$D$5*K166</f>
        <v/>
      </c>
      <c r="N205">
        <f>$E$2 *N195 - $E$3 *N185 + $E$4 *K154 + $E$5 * K144</f>
        <v/>
      </c>
      <c r="O205">
        <f>$F$2 * O185 - $F$3 * O165 + $F$4 * K145 + $F$5 * K125</f>
        <v/>
      </c>
      <c r="Q205">
        <f>L205-M205</f>
        <v/>
      </c>
      <c r="R205">
        <f>L205-N205</f>
        <v/>
      </c>
      <c r="S205">
        <f>L205-O205</f>
        <v/>
      </c>
    </row>
    <row r="206">
      <c r="J206" t="n">
        <v>204</v>
      </c>
      <c r="K206" t="n">
        <v>1</v>
      </c>
      <c r="L206">
        <f>$B$2*K206*(1-EXP(-(J206-$J$42-$B$3)/$B$4)*$B$4/($B$4-$B$5)+EXP(-(J206-$J$42-$B$3)/$B$5)*$B$5/($B$4-$B$5))</f>
        <v/>
      </c>
      <c r="M206">
        <f>$D$2*M205-$D$3*M204 + $D$4*K166+$D$5*K167</f>
        <v/>
      </c>
      <c r="N206">
        <f>$E$2 *N196 - $E$3 *N186 + $E$4 *K155 + $E$5 * K145</f>
        <v/>
      </c>
      <c r="O206">
        <f>$F$2 * O186 - $F$3 * O166 + $F$4 * K146 + $F$5 * K126</f>
        <v/>
      </c>
      <c r="Q206">
        <f>L206-M206</f>
        <v/>
      </c>
      <c r="R206">
        <f>L206-N206</f>
        <v/>
      </c>
      <c r="S206">
        <f>L206-O206</f>
        <v/>
      </c>
    </row>
    <row r="207">
      <c r="J207" t="n">
        <v>205</v>
      </c>
      <c r="K207" t="n">
        <v>1</v>
      </c>
      <c r="L207">
        <f>$B$2*K207*(1-EXP(-(J207-$J$42-$B$3)/$B$4)*$B$4/($B$4-$B$5)+EXP(-(J207-$J$42-$B$3)/$B$5)*$B$5/($B$4-$B$5))</f>
        <v/>
      </c>
      <c r="M207">
        <f>$D$2*M206-$D$3*M205 + $D$4*K167+$D$5*K168</f>
        <v/>
      </c>
      <c r="N207">
        <f>$E$2 *N197 - $E$3 *N187 + $E$4 *K156 + $E$5 * K146</f>
        <v/>
      </c>
      <c r="O207">
        <f>$F$2 * O187 - $F$3 * O167 + $F$4 * K147 + $F$5 * K127</f>
        <v/>
      </c>
      <c r="Q207">
        <f>L207-M207</f>
        <v/>
      </c>
      <c r="R207">
        <f>L207-N207</f>
        <v/>
      </c>
      <c r="S207">
        <f>L207-O207</f>
        <v/>
      </c>
    </row>
    <row r="208">
      <c r="J208" t="n">
        <v>206</v>
      </c>
      <c r="K208" t="n">
        <v>1</v>
      </c>
      <c r="L208">
        <f>$B$2*K208*(1-EXP(-(J208-$J$42-$B$3)/$B$4)*$B$4/($B$4-$B$5)+EXP(-(J208-$J$42-$B$3)/$B$5)*$B$5/($B$4-$B$5))</f>
        <v/>
      </c>
      <c r="M208">
        <f>$D$2*M207-$D$3*M206 + $D$4*K168+$D$5*K169</f>
        <v/>
      </c>
      <c r="N208">
        <f>$E$2 *N198 - $E$3 *N188 + $E$4 *K157 + $E$5 * K147</f>
        <v/>
      </c>
      <c r="O208">
        <f>$F$2 * O188 - $F$3 * O168 + $F$4 * K148 + $F$5 * K128</f>
        <v/>
      </c>
      <c r="Q208">
        <f>L208-M208</f>
        <v/>
      </c>
      <c r="R208">
        <f>L208-N208</f>
        <v/>
      </c>
      <c r="S208">
        <f>L208-O208</f>
        <v/>
      </c>
    </row>
    <row r="209">
      <c r="J209" t="n">
        <v>207</v>
      </c>
      <c r="K209" t="n">
        <v>1</v>
      </c>
      <c r="L209">
        <f>$B$2*K209*(1-EXP(-(J209-$J$42-$B$3)/$B$4)*$B$4/($B$4-$B$5)+EXP(-(J209-$J$42-$B$3)/$B$5)*$B$5/($B$4-$B$5))</f>
        <v/>
      </c>
      <c r="M209">
        <f>$D$2*M208-$D$3*M207 + $D$4*K169+$D$5*K170</f>
        <v/>
      </c>
      <c r="N209">
        <f>$E$2 *N199 - $E$3 *N189 + $E$4 *K158 + $E$5 * K148</f>
        <v/>
      </c>
      <c r="O209">
        <f>$F$2 * O189 - $F$3 * O169 + $F$4 * K149 + $F$5 * K129</f>
        <v/>
      </c>
      <c r="Q209">
        <f>L209-M209</f>
        <v/>
      </c>
      <c r="R209">
        <f>L209-N209</f>
        <v/>
      </c>
      <c r="S209">
        <f>L209-O209</f>
        <v/>
      </c>
    </row>
    <row r="210">
      <c r="J210" t="n">
        <v>208</v>
      </c>
      <c r="K210" t="n">
        <v>1</v>
      </c>
      <c r="L210">
        <f>$B$2*K210*(1-EXP(-(J210-$J$42-$B$3)/$B$4)*$B$4/($B$4-$B$5)+EXP(-(J210-$J$42-$B$3)/$B$5)*$B$5/($B$4-$B$5))</f>
        <v/>
      </c>
      <c r="M210">
        <f>$D$2*M209-$D$3*M208 + $D$4*K170+$D$5*K171</f>
        <v/>
      </c>
      <c r="N210">
        <f>$E$2 *N200 - $E$3 *N190 + $E$4 *K159 + $E$5 * K149</f>
        <v/>
      </c>
      <c r="O210">
        <f>$F$2 * O190 - $F$3 * O170 + $F$4 * K150 + $F$5 * K130</f>
        <v/>
      </c>
      <c r="Q210">
        <f>L210-M210</f>
        <v/>
      </c>
      <c r="R210">
        <f>L210-N210</f>
        <v/>
      </c>
      <c r="S210">
        <f>L210-O210</f>
        <v/>
      </c>
    </row>
    <row r="211">
      <c r="J211" t="n">
        <v>209</v>
      </c>
      <c r="K211" t="n">
        <v>1</v>
      </c>
      <c r="L211">
        <f>$B$2*K211*(1-EXP(-(J211-$J$42-$B$3)/$B$4)*$B$4/($B$4-$B$5)+EXP(-(J211-$J$42-$B$3)/$B$5)*$B$5/($B$4-$B$5))</f>
        <v/>
      </c>
      <c r="M211">
        <f>$D$2*M210-$D$3*M209 + $D$4*K171+$D$5*K172</f>
        <v/>
      </c>
      <c r="N211">
        <f>$E$2 *N201 - $E$3 *N191 + $E$4 *K160 + $E$5 * K150</f>
        <v/>
      </c>
      <c r="O211">
        <f>$F$2 * O191 - $F$3 * O171 + $F$4 * K151 + $F$5 * K131</f>
        <v/>
      </c>
      <c r="Q211">
        <f>L211-M211</f>
        <v/>
      </c>
      <c r="R211">
        <f>L211-N211</f>
        <v/>
      </c>
      <c r="S211">
        <f>L211-O211</f>
        <v/>
      </c>
    </row>
    <row r="212">
      <c r="J212" t="n">
        <v>210</v>
      </c>
      <c r="K212" t="n">
        <v>1</v>
      </c>
      <c r="L212">
        <f>$B$2*K212*(1-EXP(-(J212-$J$42-$B$3)/$B$4)*$B$4/($B$4-$B$5)+EXP(-(J212-$J$42-$B$3)/$B$5)*$B$5/($B$4-$B$5))</f>
        <v/>
      </c>
      <c r="M212">
        <f>$D$2*M211-$D$3*M210 + $D$4*K172+$D$5*K173</f>
        <v/>
      </c>
      <c r="N212">
        <f>$E$2 *N202 - $E$3 *N192 + $E$4 *K161 + $E$5 * K151</f>
        <v/>
      </c>
      <c r="O212">
        <f>$F$2 * O192 - $F$3 * O172 + $F$4 * K152 + $F$5 * K132</f>
        <v/>
      </c>
      <c r="Q212">
        <f>L212-M212</f>
        <v/>
      </c>
      <c r="R212">
        <f>L212-N212</f>
        <v/>
      </c>
      <c r="S212">
        <f>L212-O212</f>
        <v/>
      </c>
    </row>
    <row r="213">
      <c r="J213" t="n">
        <v>211</v>
      </c>
      <c r="K213" t="n">
        <v>1</v>
      </c>
      <c r="L213">
        <f>$B$2*K213*(1-EXP(-(J213-$J$42-$B$3)/$B$4)*$B$4/($B$4-$B$5)+EXP(-(J213-$J$42-$B$3)/$B$5)*$B$5/($B$4-$B$5))</f>
        <v/>
      </c>
      <c r="M213">
        <f>$D$2*M212-$D$3*M211 + $D$4*K173+$D$5*K174</f>
        <v/>
      </c>
      <c r="N213">
        <f>$E$2 *N203 - $E$3 *N193 + $E$4 *K162 + $E$5 * K152</f>
        <v/>
      </c>
      <c r="O213">
        <f>$F$2 * O193 - $F$3 * O173 + $F$4 * K153 + $F$5 * K133</f>
        <v/>
      </c>
      <c r="Q213">
        <f>L213-M213</f>
        <v/>
      </c>
      <c r="R213">
        <f>L213-N213</f>
        <v/>
      </c>
      <c r="S213">
        <f>L213-O213</f>
        <v/>
      </c>
    </row>
    <row r="214">
      <c r="J214" t="n">
        <v>212</v>
      </c>
      <c r="K214" t="n">
        <v>1</v>
      </c>
      <c r="L214">
        <f>$B$2*K214*(1-EXP(-(J214-$J$42-$B$3)/$B$4)*$B$4/($B$4-$B$5)+EXP(-(J214-$J$42-$B$3)/$B$5)*$B$5/($B$4-$B$5))</f>
        <v/>
      </c>
      <c r="M214">
        <f>$D$2*M213-$D$3*M212 + $D$4*K174+$D$5*K175</f>
        <v/>
      </c>
      <c r="N214">
        <f>$E$2 *N204 - $E$3 *N194 + $E$4 *K163 + $E$5 * K153</f>
        <v/>
      </c>
      <c r="O214">
        <f>$F$2 * O194 - $F$3 * O174 + $F$4 * K154 + $F$5 * K134</f>
        <v/>
      </c>
      <c r="Q214">
        <f>L214-M214</f>
        <v/>
      </c>
      <c r="R214">
        <f>L214-N214</f>
        <v/>
      </c>
      <c r="S214">
        <f>L214-O214</f>
        <v/>
      </c>
    </row>
    <row r="215">
      <c r="J215" t="n">
        <v>213</v>
      </c>
      <c r="K215" t="n">
        <v>1</v>
      </c>
      <c r="L215">
        <f>$B$2*K215*(1-EXP(-(J215-$J$42-$B$3)/$B$4)*$B$4/($B$4-$B$5)+EXP(-(J215-$J$42-$B$3)/$B$5)*$B$5/($B$4-$B$5))</f>
        <v/>
      </c>
      <c r="M215">
        <f>$D$2*M214-$D$3*M213 + $D$4*K175+$D$5*K176</f>
        <v/>
      </c>
      <c r="N215">
        <f>$E$2 *N205 - $E$3 *N195 + $E$4 *K164 + $E$5 * K154</f>
        <v/>
      </c>
      <c r="O215">
        <f>$F$2 * O195 - $F$3 * O175 + $F$4 * K155 + $F$5 * K135</f>
        <v/>
      </c>
      <c r="Q215">
        <f>L215-M215</f>
        <v/>
      </c>
      <c r="R215">
        <f>L215-N215</f>
        <v/>
      </c>
      <c r="S215">
        <f>L215-O215</f>
        <v/>
      </c>
    </row>
    <row r="216">
      <c r="J216" t="n">
        <v>214</v>
      </c>
      <c r="K216" t="n">
        <v>1</v>
      </c>
      <c r="L216">
        <f>$B$2*K216*(1-EXP(-(J216-$J$42-$B$3)/$B$4)*$B$4/($B$4-$B$5)+EXP(-(J216-$J$42-$B$3)/$B$5)*$B$5/($B$4-$B$5))</f>
        <v/>
      </c>
      <c r="M216">
        <f>$D$2*M215-$D$3*M214 + $D$4*K176+$D$5*K177</f>
        <v/>
      </c>
      <c r="N216">
        <f>$E$2 *N206 - $E$3 *N196 + $E$4 *K165 + $E$5 * K155</f>
        <v/>
      </c>
      <c r="O216">
        <f>$F$2 * O196 - $F$3 * O176 + $F$4 * K156 + $F$5 * K136</f>
        <v/>
      </c>
      <c r="Q216">
        <f>L216-M216</f>
        <v/>
      </c>
      <c r="R216">
        <f>L216-N216</f>
        <v/>
      </c>
      <c r="S216">
        <f>L216-O216</f>
        <v/>
      </c>
    </row>
    <row r="217">
      <c r="J217" t="n">
        <v>215</v>
      </c>
      <c r="K217" t="n">
        <v>1</v>
      </c>
      <c r="L217">
        <f>$B$2*K217*(1-EXP(-(J217-$J$42-$B$3)/$B$4)*$B$4/($B$4-$B$5)+EXP(-(J217-$J$42-$B$3)/$B$5)*$B$5/($B$4-$B$5))</f>
        <v/>
      </c>
      <c r="M217">
        <f>$D$2*M216-$D$3*M215 + $D$4*K177+$D$5*K178</f>
        <v/>
      </c>
      <c r="N217">
        <f>$E$2 *N207 - $E$3 *N197 + $E$4 *K166 + $E$5 * K156</f>
        <v/>
      </c>
      <c r="O217">
        <f>$F$2 * O197 - $F$3 * O177 + $F$4 * K157 + $F$5 * K137</f>
        <v/>
      </c>
      <c r="Q217">
        <f>L217-M217</f>
        <v/>
      </c>
      <c r="R217">
        <f>L217-N217</f>
        <v/>
      </c>
      <c r="S217">
        <f>L217-O217</f>
        <v/>
      </c>
    </row>
    <row r="218">
      <c r="J218" t="n">
        <v>216</v>
      </c>
      <c r="K218" t="n">
        <v>1</v>
      </c>
      <c r="L218">
        <f>$B$2*K218*(1-EXP(-(J218-$J$42-$B$3)/$B$4)*$B$4/($B$4-$B$5)+EXP(-(J218-$J$42-$B$3)/$B$5)*$B$5/($B$4-$B$5))</f>
        <v/>
      </c>
      <c r="M218">
        <f>$D$2*M217-$D$3*M216 + $D$4*K178+$D$5*K179</f>
        <v/>
      </c>
      <c r="N218">
        <f>$E$2 *N208 - $E$3 *N198 + $E$4 *K167 + $E$5 * K157</f>
        <v/>
      </c>
      <c r="O218">
        <f>$F$2 * O198 - $F$3 * O178 + $F$4 * K158 + $F$5 * K138</f>
        <v/>
      </c>
      <c r="Q218">
        <f>L218-M218</f>
        <v/>
      </c>
      <c r="R218">
        <f>L218-N218</f>
        <v/>
      </c>
      <c r="S218">
        <f>L218-O218</f>
        <v/>
      </c>
    </row>
    <row r="219">
      <c r="J219" t="n">
        <v>217</v>
      </c>
      <c r="K219" t="n">
        <v>1</v>
      </c>
      <c r="L219">
        <f>$B$2*K219*(1-EXP(-(J219-$J$42-$B$3)/$B$4)*$B$4/($B$4-$B$5)+EXP(-(J219-$J$42-$B$3)/$B$5)*$B$5/($B$4-$B$5))</f>
        <v/>
      </c>
      <c r="M219">
        <f>$D$2*M218-$D$3*M217 + $D$4*K179+$D$5*K180</f>
        <v/>
      </c>
      <c r="N219">
        <f>$E$2 *N209 - $E$3 *N199 + $E$4 *K168 + $E$5 * K158</f>
        <v/>
      </c>
      <c r="O219">
        <f>$F$2 * O199 - $F$3 * O179 + $F$4 * K159 + $F$5 * K139</f>
        <v/>
      </c>
      <c r="Q219">
        <f>L219-M219</f>
        <v/>
      </c>
      <c r="R219">
        <f>L219-N219</f>
        <v/>
      </c>
      <c r="S219">
        <f>L219-O219</f>
        <v/>
      </c>
    </row>
    <row r="220">
      <c r="J220" t="n">
        <v>218</v>
      </c>
      <c r="K220" t="n">
        <v>1</v>
      </c>
      <c r="L220">
        <f>$B$2*K220*(1-EXP(-(J220-$J$42-$B$3)/$B$4)*$B$4/($B$4-$B$5)+EXP(-(J220-$J$42-$B$3)/$B$5)*$B$5/($B$4-$B$5))</f>
        <v/>
      </c>
      <c r="M220">
        <f>$D$2*M219-$D$3*M218 + $D$4*K180+$D$5*K181</f>
        <v/>
      </c>
      <c r="N220">
        <f>$E$2 *N210 - $E$3 *N200 + $E$4 *K169 + $E$5 * K159</f>
        <v/>
      </c>
      <c r="O220">
        <f>$F$2 * O200 - $F$3 * O180 + $F$4 * K160 + $F$5 * K140</f>
        <v/>
      </c>
      <c r="Q220">
        <f>L220-M220</f>
        <v/>
      </c>
      <c r="R220">
        <f>L220-N220</f>
        <v/>
      </c>
      <c r="S220">
        <f>L220-O220</f>
        <v/>
      </c>
    </row>
    <row r="221">
      <c r="J221" t="n">
        <v>219</v>
      </c>
      <c r="K221" t="n">
        <v>1</v>
      </c>
      <c r="L221">
        <f>$B$2*K221*(1-EXP(-(J221-$J$42-$B$3)/$B$4)*$B$4/($B$4-$B$5)+EXP(-(J221-$J$42-$B$3)/$B$5)*$B$5/($B$4-$B$5))</f>
        <v/>
      </c>
      <c r="M221">
        <f>$D$2*M220-$D$3*M219 + $D$4*K181+$D$5*K182</f>
        <v/>
      </c>
      <c r="N221">
        <f>$E$2 *N211 - $E$3 *N201 + $E$4 *K170 + $E$5 * K160</f>
        <v/>
      </c>
      <c r="O221">
        <f>$F$2 * O201 - $F$3 * O181 + $F$4 * K161 + $F$5 * K141</f>
        <v/>
      </c>
      <c r="Q221">
        <f>L221-M221</f>
        <v/>
      </c>
      <c r="R221">
        <f>L221-N221</f>
        <v/>
      </c>
      <c r="S221">
        <f>L221-O221</f>
        <v/>
      </c>
    </row>
    <row r="222">
      <c r="J222" t="n">
        <v>220</v>
      </c>
      <c r="K222" t="n">
        <v>1</v>
      </c>
      <c r="L222">
        <f>$B$2*K222*(1-EXP(-(J222-$J$42-$B$3)/$B$4)*$B$4/($B$4-$B$5)+EXP(-(J222-$J$42-$B$3)/$B$5)*$B$5/($B$4-$B$5))</f>
        <v/>
      </c>
      <c r="M222">
        <f>$D$2*M221-$D$3*M220 + $D$4*K182+$D$5*K183</f>
        <v/>
      </c>
      <c r="N222">
        <f>$E$2 *N212 - $E$3 *N202 + $E$4 *K171 + $E$5 * K161</f>
        <v/>
      </c>
      <c r="O222">
        <f>$F$2 * O202 - $F$3 * O182 + $F$4 * K162 + $F$5 * K142</f>
        <v/>
      </c>
      <c r="Q222">
        <f>L222-M222</f>
        <v/>
      </c>
      <c r="R222">
        <f>L222-N222</f>
        <v/>
      </c>
      <c r="S222">
        <f>L222-O222</f>
        <v/>
      </c>
    </row>
    <row r="223">
      <c r="J223" t="n">
        <v>221</v>
      </c>
      <c r="K223" t="n">
        <v>1</v>
      </c>
      <c r="L223">
        <f>$B$2*K223*(1-EXP(-(J223-$J$42-$B$3)/$B$4)*$B$4/($B$4-$B$5)+EXP(-(J223-$J$42-$B$3)/$B$5)*$B$5/($B$4-$B$5))</f>
        <v/>
      </c>
      <c r="M223">
        <f>$D$2*M222-$D$3*M221 + $D$4*K183+$D$5*K184</f>
        <v/>
      </c>
      <c r="N223">
        <f>$E$2 *N213 - $E$3 *N203 + $E$4 *K172 + $E$5 * K162</f>
        <v/>
      </c>
      <c r="O223">
        <f>$F$2 * O203 - $F$3 * O183 + $F$4 * K163 + $F$5 * K143</f>
        <v/>
      </c>
      <c r="Q223">
        <f>L223-M223</f>
        <v/>
      </c>
      <c r="R223">
        <f>L223-N223</f>
        <v/>
      </c>
      <c r="S223">
        <f>L223-O223</f>
        <v/>
      </c>
    </row>
    <row r="224">
      <c r="J224" t="n">
        <v>222</v>
      </c>
      <c r="K224" t="n">
        <v>1</v>
      </c>
      <c r="L224">
        <f>$B$2*K224*(1-EXP(-(J224-$J$42-$B$3)/$B$4)*$B$4/($B$4-$B$5)+EXP(-(J224-$J$42-$B$3)/$B$5)*$B$5/($B$4-$B$5))</f>
        <v/>
      </c>
      <c r="M224">
        <f>$D$2*M223-$D$3*M222 + $D$4*K184+$D$5*K185</f>
        <v/>
      </c>
      <c r="N224">
        <f>$E$2 *N214 - $E$3 *N204 + $E$4 *K173 + $E$5 * K163</f>
        <v/>
      </c>
      <c r="O224">
        <f>$F$2 * O204 - $F$3 * O184 + $F$4 * K164 + $F$5 * K144</f>
        <v/>
      </c>
      <c r="Q224">
        <f>L224-M224</f>
        <v/>
      </c>
      <c r="R224">
        <f>L224-N224</f>
        <v/>
      </c>
      <c r="S224">
        <f>L224-O224</f>
        <v/>
      </c>
    </row>
    <row r="225">
      <c r="J225" t="n">
        <v>223</v>
      </c>
      <c r="K225" t="n">
        <v>1</v>
      </c>
      <c r="L225">
        <f>$B$2*K225*(1-EXP(-(J225-$J$42-$B$3)/$B$4)*$B$4/($B$4-$B$5)+EXP(-(J225-$J$42-$B$3)/$B$5)*$B$5/($B$4-$B$5))</f>
        <v/>
      </c>
      <c r="M225">
        <f>$D$2*M224-$D$3*M223 + $D$4*K185+$D$5*K186</f>
        <v/>
      </c>
      <c r="N225">
        <f>$E$2 *N215 - $E$3 *N205 + $E$4 *K174 + $E$5 * K164</f>
        <v/>
      </c>
      <c r="O225">
        <f>$F$2 * O205 - $F$3 * O185 + $F$4 * K165 + $F$5 * K145</f>
        <v/>
      </c>
      <c r="Q225">
        <f>L225-M225</f>
        <v/>
      </c>
      <c r="R225">
        <f>L225-N225</f>
        <v/>
      </c>
      <c r="S225">
        <f>L225-O225</f>
        <v/>
      </c>
    </row>
    <row r="226">
      <c r="J226" t="n">
        <v>224</v>
      </c>
      <c r="K226" t="n">
        <v>1</v>
      </c>
      <c r="L226">
        <f>$B$2*K226*(1-EXP(-(J226-$J$42-$B$3)/$B$4)*$B$4/($B$4-$B$5)+EXP(-(J226-$J$42-$B$3)/$B$5)*$B$5/($B$4-$B$5))</f>
        <v/>
      </c>
      <c r="M226">
        <f>$D$2*M225-$D$3*M224 + $D$4*K186+$D$5*K187</f>
        <v/>
      </c>
      <c r="N226">
        <f>$E$2 *N216 - $E$3 *N206 + $E$4 *K175 + $E$5 * K165</f>
        <v/>
      </c>
      <c r="O226">
        <f>$F$2 * O206 - $F$3 * O186 + $F$4 * K166 + $F$5 * K146</f>
        <v/>
      </c>
      <c r="Q226">
        <f>L226-M226</f>
        <v/>
      </c>
      <c r="R226">
        <f>L226-N226</f>
        <v/>
      </c>
      <c r="S226">
        <f>L226-O226</f>
        <v/>
      </c>
    </row>
    <row r="227">
      <c r="J227" t="n">
        <v>225</v>
      </c>
      <c r="K227" t="n">
        <v>1</v>
      </c>
      <c r="L227">
        <f>$B$2*K227*(1-EXP(-(J227-$J$42-$B$3)/$B$4)*$B$4/($B$4-$B$5)+EXP(-(J227-$J$42-$B$3)/$B$5)*$B$5/($B$4-$B$5))</f>
        <v/>
      </c>
      <c r="M227">
        <f>$D$2*M226-$D$3*M225 + $D$4*K187+$D$5*K188</f>
        <v/>
      </c>
      <c r="N227">
        <f>$E$2 *N217 - $E$3 *N207 + $E$4 *K176 + $E$5 * K166</f>
        <v/>
      </c>
      <c r="O227">
        <f>$F$2 * O207 - $F$3 * O187 + $F$4 * K167 + $F$5 * K147</f>
        <v/>
      </c>
      <c r="Q227">
        <f>L227-M227</f>
        <v/>
      </c>
      <c r="R227">
        <f>L227-N227</f>
        <v/>
      </c>
      <c r="S227">
        <f>L227-O227</f>
        <v/>
      </c>
    </row>
    <row r="228">
      <c r="J228" t="n">
        <v>226</v>
      </c>
      <c r="K228" t="n">
        <v>1</v>
      </c>
      <c r="L228">
        <f>$B$2*K228*(1-EXP(-(J228-$J$42-$B$3)/$B$4)*$B$4/($B$4-$B$5)+EXP(-(J228-$J$42-$B$3)/$B$5)*$B$5/($B$4-$B$5))</f>
        <v/>
      </c>
      <c r="M228">
        <f>$D$2*M227-$D$3*M226 + $D$4*K188+$D$5*K189</f>
        <v/>
      </c>
      <c r="N228">
        <f>$E$2 *N218 - $E$3 *N208 + $E$4 *K177 + $E$5 * K167</f>
        <v/>
      </c>
      <c r="O228">
        <f>$F$2 * O208 - $F$3 * O188 + $F$4 * K168 + $F$5 * K148</f>
        <v/>
      </c>
      <c r="Q228">
        <f>L228-M228</f>
        <v/>
      </c>
      <c r="R228">
        <f>L228-N228</f>
        <v/>
      </c>
      <c r="S228">
        <f>L228-O228</f>
        <v/>
      </c>
    </row>
    <row r="229">
      <c r="J229" t="n">
        <v>227</v>
      </c>
      <c r="K229" t="n">
        <v>1</v>
      </c>
      <c r="L229">
        <f>$B$2*K229*(1-EXP(-(J229-$J$42-$B$3)/$B$4)*$B$4/($B$4-$B$5)+EXP(-(J229-$J$42-$B$3)/$B$5)*$B$5/($B$4-$B$5))</f>
        <v/>
      </c>
      <c r="M229">
        <f>$D$2*M228-$D$3*M227 + $D$4*K189+$D$5*K190</f>
        <v/>
      </c>
      <c r="N229">
        <f>$E$2 *N219 - $E$3 *N209 + $E$4 *K178 + $E$5 * K168</f>
        <v/>
      </c>
      <c r="O229">
        <f>$F$2 * O209 - $F$3 * O189 + $F$4 * K169 + $F$5 * K149</f>
        <v/>
      </c>
      <c r="Q229">
        <f>L229-M229</f>
        <v/>
      </c>
      <c r="R229">
        <f>L229-N229</f>
        <v/>
      </c>
      <c r="S229">
        <f>L229-O229</f>
        <v/>
      </c>
    </row>
    <row r="230">
      <c r="J230" t="n">
        <v>228</v>
      </c>
      <c r="K230" t="n">
        <v>1</v>
      </c>
      <c r="L230">
        <f>$B$2*K230*(1-EXP(-(J230-$J$42-$B$3)/$B$4)*$B$4/($B$4-$B$5)+EXP(-(J230-$J$42-$B$3)/$B$5)*$B$5/($B$4-$B$5))</f>
        <v/>
      </c>
      <c r="M230">
        <f>$D$2*M229-$D$3*M228 + $D$4*K190+$D$5*K191</f>
        <v/>
      </c>
      <c r="N230">
        <f>$E$2 *N220 - $E$3 *N210 + $E$4 *K179 + $E$5 * K169</f>
        <v/>
      </c>
      <c r="O230">
        <f>$F$2 * O210 - $F$3 * O190 + $F$4 * K170 + $F$5 * K150</f>
        <v/>
      </c>
      <c r="Q230">
        <f>L230-M230</f>
        <v/>
      </c>
      <c r="R230">
        <f>L230-N230</f>
        <v/>
      </c>
      <c r="S230">
        <f>L230-O230</f>
        <v/>
      </c>
    </row>
    <row r="231">
      <c r="J231" t="n">
        <v>229</v>
      </c>
      <c r="K231" t="n">
        <v>1</v>
      </c>
      <c r="L231">
        <f>$B$2*K231*(1-EXP(-(J231-$J$42-$B$3)/$B$4)*$B$4/($B$4-$B$5)+EXP(-(J231-$J$42-$B$3)/$B$5)*$B$5/($B$4-$B$5))</f>
        <v/>
      </c>
      <c r="M231">
        <f>$D$2*M230-$D$3*M229 + $D$4*K191+$D$5*K192</f>
        <v/>
      </c>
      <c r="N231">
        <f>$E$2 *N221 - $E$3 *N211 + $E$4 *K180 + $E$5 * K170</f>
        <v/>
      </c>
      <c r="O231">
        <f>$F$2 * O211 - $F$3 * O191 + $F$4 * K171 + $F$5 * K151</f>
        <v/>
      </c>
      <c r="Q231">
        <f>L231-M231</f>
        <v/>
      </c>
      <c r="R231">
        <f>L231-N231</f>
        <v/>
      </c>
      <c r="S231">
        <f>L231-O231</f>
        <v/>
      </c>
    </row>
    <row r="232">
      <c r="J232" t="n">
        <v>230</v>
      </c>
      <c r="K232" t="n">
        <v>1</v>
      </c>
      <c r="L232">
        <f>$B$2*K232*(1-EXP(-(J232-$J$42-$B$3)/$B$4)*$B$4/($B$4-$B$5)+EXP(-(J232-$J$42-$B$3)/$B$5)*$B$5/($B$4-$B$5))</f>
        <v/>
      </c>
      <c r="M232">
        <f>$D$2*M231-$D$3*M230 + $D$4*K192+$D$5*K193</f>
        <v/>
      </c>
      <c r="N232">
        <f>$E$2 *N222 - $E$3 *N212 + $E$4 *K181 + $E$5 * K171</f>
        <v/>
      </c>
      <c r="O232">
        <f>$F$2 * O212 - $F$3 * O192 + $F$4 * K172 + $F$5 * K152</f>
        <v/>
      </c>
      <c r="Q232">
        <f>L232-M232</f>
        <v/>
      </c>
      <c r="R232">
        <f>L232-N232</f>
        <v/>
      </c>
      <c r="S232">
        <f>L232-O232</f>
        <v/>
      </c>
    </row>
    <row r="233">
      <c r="J233" t="n">
        <v>231</v>
      </c>
      <c r="K233" t="n">
        <v>1</v>
      </c>
      <c r="L233">
        <f>$B$2*K233*(1-EXP(-(J233-$J$42-$B$3)/$B$4)*$B$4/($B$4-$B$5)+EXP(-(J233-$J$42-$B$3)/$B$5)*$B$5/($B$4-$B$5))</f>
        <v/>
      </c>
      <c r="M233">
        <f>$D$2*M232-$D$3*M231 + $D$4*K193+$D$5*K194</f>
        <v/>
      </c>
      <c r="N233">
        <f>$E$2 *N223 - $E$3 *N213 + $E$4 *K182 + $E$5 * K172</f>
        <v/>
      </c>
      <c r="O233">
        <f>$F$2 * O213 - $F$3 * O193 + $F$4 * K173 + $F$5 * K153</f>
        <v/>
      </c>
      <c r="Q233">
        <f>L233-M233</f>
        <v/>
      </c>
      <c r="R233">
        <f>L233-N233</f>
        <v/>
      </c>
      <c r="S233">
        <f>L233-O233</f>
        <v/>
      </c>
    </row>
    <row r="234">
      <c r="J234" t="n">
        <v>232</v>
      </c>
      <c r="K234" t="n">
        <v>1</v>
      </c>
      <c r="L234">
        <f>$B$2*K234*(1-EXP(-(J234-$J$42-$B$3)/$B$4)*$B$4/($B$4-$B$5)+EXP(-(J234-$J$42-$B$3)/$B$5)*$B$5/($B$4-$B$5))</f>
        <v/>
      </c>
      <c r="M234">
        <f>$D$2*M233-$D$3*M232 + $D$4*K194+$D$5*K195</f>
        <v/>
      </c>
      <c r="N234">
        <f>$E$2 *N224 - $E$3 *N214 + $E$4 *K183 + $E$5 * K173</f>
        <v/>
      </c>
      <c r="O234">
        <f>$F$2 * O214 - $F$3 * O194 + $F$4 * K174 + $F$5 * K154</f>
        <v/>
      </c>
      <c r="Q234">
        <f>L234-M234</f>
        <v/>
      </c>
      <c r="R234">
        <f>L234-N234</f>
        <v/>
      </c>
      <c r="S234">
        <f>L234-O234</f>
        <v/>
      </c>
    </row>
    <row r="235">
      <c r="J235" t="n">
        <v>233</v>
      </c>
      <c r="K235" t="n">
        <v>1</v>
      </c>
      <c r="L235">
        <f>$B$2*K235*(1-EXP(-(J235-$J$42-$B$3)/$B$4)*$B$4/($B$4-$B$5)+EXP(-(J235-$J$42-$B$3)/$B$5)*$B$5/($B$4-$B$5))</f>
        <v/>
      </c>
      <c r="M235">
        <f>$D$2*M234-$D$3*M233 + $D$4*K195+$D$5*K196</f>
        <v/>
      </c>
      <c r="N235">
        <f>$E$2 *N225 - $E$3 *N215 + $E$4 *K184 + $E$5 * K174</f>
        <v/>
      </c>
      <c r="O235">
        <f>$F$2 * O215 - $F$3 * O195 + $F$4 * K175 + $F$5 * K155</f>
        <v/>
      </c>
      <c r="Q235">
        <f>L235-M235</f>
        <v/>
      </c>
      <c r="R235">
        <f>L235-N235</f>
        <v/>
      </c>
      <c r="S235">
        <f>L235-O235</f>
        <v/>
      </c>
    </row>
    <row r="236">
      <c r="J236" t="n">
        <v>234</v>
      </c>
      <c r="K236" t="n">
        <v>1</v>
      </c>
      <c r="L236">
        <f>$B$2*K236*(1-EXP(-(J236-$J$42-$B$3)/$B$4)*$B$4/($B$4-$B$5)+EXP(-(J236-$J$42-$B$3)/$B$5)*$B$5/($B$4-$B$5))</f>
        <v/>
      </c>
      <c r="M236">
        <f>$D$2*M235-$D$3*M234 + $D$4*K196+$D$5*K197</f>
        <v/>
      </c>
      <c r="N236">
        <f>$E$2 *N226 - $E$3 *N216 + $E$4 *K185 + $E$5 * K175</f>
        <v/>
      </c>
      <c r="O236">
        <f>$F$2 * O216 - $F$3 * O196 + $F$4 * K176 + $F$5 * K156</f>
        <v/>
      </c>
      <c r="Q236">
        <f>L236-M236</f>
        <v/>
      </c>
      <c r="R236">
        <f>L236-N236</f>
        <v/>
      </c>
      <c r="S236">
        <f>L236-O236</f>
        <v/>
      </c>
    </row>
    <row r="237">
      <c r="J237" t="n">
        <v>235</v>
      </c>
      <c r="K237" t="n">
        <v>1</v>
      </c>
      <c r="L237">
        <f>$B$2*K237*(1-EXP(-(J237-$J$42-$B$3)/$B$4)*$B$4/($B$4-$B$5)+EXP(-(J237-$J$42-$B$3)/$B$5)*$B$5/($B$4-$B$5))</f>
        <v/>
      </c>
      <c r="M237">
        <f>$D$2*M236-$D$3*M235 + $D$4*K197+$D$5*K198</f>
        <v/>
      </c>
      <c r="N237">
        <f>$E$2 *N227 - $E$3 *N217 + $E$4 *K186 + $E$5 * K176</f>
        <v/>
      </c>
      <c r="O237">
        <f>$F$2 * O217 - $F$3 * O197 + $F$4 * K177 + $F$5 * K157</f>
        <v/>
      </c>
      <c r="Q237">
        <f>L237-M237</f>
        <v/>
      </c>
      <c r="R237">
        <f>L237-N237</f>
        <v/>
      </c>
      <c r="S237">
        <f>L237-O237</f>
        <v/>
      </c>
    </row>
    <row r="238">
      <c r="J238" t="n">
        <v>236</v>
      </c>
      <c r="K238" t="n">
        <v>1</v>
      </c>
      <c r="L238">
        <f>$B$2*K238*(1-EXP(-(J238-$J$42-$B$3)/$B$4)*$B$4/($B$4-$B$5)+EXP(-(J238-$J$42-$B$3)/$B$5)*$B$5/($B$4-$B$5))</f>
        <v/>
      </c>
      <c r="M238">
        <f>$D$2*M237-$D$3*M236 + $D$4*K198+$D$5*K199</f>
        <v/>
      </c>
      <c r="N238">
        <f>$E$2 *N228 - $E$3 *N218 + $E$4 *K187 + $E$5 * K177</f>
        <v/>
      </c>
      <c r="O238">
        <f>$F$2 * O218 - $F$3 * O198 + $F$4 * K178 + $F$5 * K158</f>
        <v/>
      </c>
      <c r="Q238">
        <f>L238-M238</f>
        <v/>
      </c>
      <c r="R238">
        <f>L238-N238</f>
        <v/>
      </c>
      <c r="S238">
        <f>L238-O238</f>
        <v/>
      </c>
    </row>
    <row r="239">
      <c r="J239" t="n">
        <v>237</v>
      </c>
      <c r="K239" t="n">
        <v>1</v>
      </c>
      <c r="L239">
        <f>$B$2*K239*(1-EXP(-(J239-$J$42-$B$3)/$B$4)*$B$4/($B$4-$B$5)+EXP(-(J239-$J$42-$B$3)/$B$5)*$B$5/($B$4-$B$5))</f>
        <v/>
      </c>
      <c r="M239">
        <f>$D$2*M238-$D$3*M237 + $D$4*K199+$D$5*K200</f>
        <v/>
      </c>
      <c r="N239">
        <f>$E$2 *N229 - $E$3 *N219 + $E$4 *K188 + $E$5 * K178</f>
        <v/>
      </c>
      <c r="O239">
        <f>$F$2 * O219 - $F$3 * O199 + $F$4 * K179 + $F$5 * K159</f>
        <v/>
      </c>
      <c r="Q239">
        <f>L239-M239</f>
        <v/>
      </c>
      <c r="R239">
        <f>L239-N239</f>
        <v/>
      </c>
      <c r="S239">
        <f>L239-O239</f>
        <v/>
      </c>
    </row>
    <row r="240">
      <c r="J240" t="n">
        <v>238</v>
      </c>
      <c r="K240" t="n">
        <v>1</v>
      </c>
      <c r="L240">
        <f>$B$2*K240*(1-EXP(-(J240-$J$42-$B$3)/$B$4)*$B$4/($B$4-$B$5)+EXP(-(J240-$J$42-$B$3)/$B$5)*$B$5/($B$4-$B$5))</f>
        <v/>
      </c>
      <c r="M240">
        <f>$D$2*M239-$D$3*M238 + $D$4*K200+$D$5*K201</f>
        <v/>
      </c>
      <c r="N240">
        <f>$E$2 *N230 - $E$3 *N220 + $E$4 *K189 + $E$5 * K179</f>
        <v/>
      </c>
      <c r="O240">
        <f>$F$2 * O220 - $F$3 * O200 + $F$4 * K180 + $F$5 * K160</f>
        <v/>
      </c>
      <c r="Q240">
        <f>L240-M240</f>
        <v/>
      </c>
      <c r="R240">
        <f>L240-N240</f>
        <v/>
      </c>
      <c r="S240">
        <f>L240-O240</f>
        <v/>
      </c>
    </row>
    <row r="241">
      <c r="J241" t="n">
        <v>239</v>
      </c>
      <c r="K241" t="n">
        <v>1</v>
      </c>
      <c r="L241">
        <f>$B$2*K241*(1-EXP(-(J241-$J$42-$B$3)/$B$4)*$B$4/($B$4-$B$5)+EXP(-(J241-$J$42-$B$3)/$B$5)*$B$5/($B$4-$B$5))</f>
        <v/>
      </c>
      <c r="M241">
        <f>$D$2*M240-$D$3*M239 + $D$4*K201+$D$5*K202</f>
        <v/>
      </c>
      <c r="N241">
        <f>$E$2 *N231 - $E$3 *N221 + $E$4 *K190 + $E$5 * K180</f>
        <v/>
      </c>
      <c r="O241">
        <f>$F$2 * O221 - $F$3 * O201 + $F$4 * K181 + $F$5 * K161</f>
        <v/>
      </c>
      <c r="Q241">
        <f>L241-M241</f>
        <v/>
      </c>
      <c r="R241">
        <f>L241-N241</f>
        <v/>
      </c>
      <c r="S241">
        <f>L241-O241</f>
        <v/>
      </c>
    </row>
    <row r="242">
      <c r="J242" t="n">
        <v>240</v>
      </c>
      <c r="K242" t="n">
        <v>1</v>
      </c>
      <c r="L242">
        <f>$B$2*K242*(1-EXP(-(J242-$J$42-$B$3)/$B$4)*$B$4/($B$4-$B$5)+EXP(-(J242-$J$42-$B$3)/$B$5)*$B$5/($B$4-$B$5))</f>
        <v/>
      </c>
      <c r="M242">
        <f>$D$2*M241-$D$3*M240 + $D$4*K202+$D$5*K203</f>
        <v/>
      </c>
      <c r="N242">
        <f>$E$2 *N232 - $E$3 *N222 + $E$4 *K191 + $E$5 * K181</f>
        <v/>
      </c>
      <c r="O242">
        <f>$F$2 * O222 - $F$3 * O202 + $F$4 * K182 + $F$5 * K162</f>
        <v/>
      </c>
      <c r="Q242">
        <f>L242-M242</f>
        <v/>
      </c>
      <c r="R242">
        <f>L242-N242</f>
        <v/>
      </c>
      <c r="S242">
        <f>L242-O242</f>
        <v/>
      </c>
    </row>
    <row r="243">
      <c r="J243" t="n">
        <v>241</v>
      </c>
      <c r="K243" t="n">
        <v>1</v>
      </c>
      <c r="L243">
        <f>$B$2*K243*(1-EXP(-(J243-$J$42-$B$3)/$B$4)*$B$4/($B$4-$B$5)+EXP(-(J243-$J$42-$B$3)/$B$5)*$B$5/($B$4-$B$5))</f>
        <v/>
      </c>
      <c r="M243">
        <f>$D$2*M242-$D$3*M241 + $D$4*K203+$D$5*K204</f>
        <v/>
      </c>
      <c r="N243">
        <f>$E$2 *N233 - $E$3 *N223 + $E$4 *K192 + $E$5 * K182</f>
        <v/>
      </c>
      <c r="O243">
        <f>$F$2 * O223 - $F$3 * O203 + $F$4 * K183 + $F$5 * K163</f>
        <v/>
      </c>
      <c r="Q243">
        <f>L243-M243</f>
        <v/>
      </c>
      <c r="R243">
        <f>L243-N243</f>
        <v/>
      </c>
      <c r="S243">
        <f>L243-O243</f>
        <v/>
      </c>
    </row>
    <row r="244">
      <c r="J244" t="n">
        <v>242</v>
      </c>
      <c r="K244" t="n">
        <v>1</v>
      </c>
      <c r="L244">
        <f>$B$2*K244*(1-EXP(-(J244-$J$42-$B$3)/$B$4)*$B$4/($B$4-$B$5)+EXP(-(J244-$J$42-$B$3)/$B$5)*$B$5/($B$4-$B$5))</f>
        <v/>
      </c>
      <c r="M244">
        <f>$D$2*M243-$D$3*M242 + $D$4*K204+$D$5*K205</f>
        <v/>
      </c>
      <c r="N244">
        <f>$E$2 *N234 - $E$3 *N224 + $E$4 *K193 + $E$5 * K183</f>
        <v/>
      </c>
      <c r="O244">
        <f>$F$2 * O224 - $F$3 * O204 + $F$4 * K184 + $F$5 * K164</f>
        <v/>
      </c>
      <c r="Q244">
        <f>L244-M244</f>
        <v/>
      </c>
      <c r="R244">
        <f>L244-N244</f>
        <v/>
      </c>
      <c r="S244">
        <f>L244-O244</f>
        <v/>
      </c>
    </row>
    <row r="245">
      <c r="J245" t="n">
        <v>243</v>
      </c>
      <c r="K245" t="n">
        <v>1</v>
      </c>
      <c r="L245">
        <f>$B$2*K245*(1-EXP(-(J245-$J$42-$B$3)/$B$4)*$B$4/($B$4-$B$5)+EXP(-(J245-$J$42-$B$3)/$B$5)*$B$5/($B$4-$B$5))</f>
        <v/>
      </c>
      <c r="M245">
        <f>$D$2*M244-$D$3*M243 + $D$4*K205+$D$5*K206</f>
        <v/>
      </c>
      <c r="N245">
        <f>$E$2 *N235 - $E$3 *N225 + $E$4 *K194 + $E$5 * K184</f>
        <v/>
      </c>
      <c r="O245">
        <f>$F$2 * O225 - $F$3 * O205 + $F$4 * K185 + $F$5 * K165</f>
        <v/>
      </c>
      <c r="Q245">
        <f>L245-M245</f>
        <v/>
      </c>
      <c r="R245">
        <f>L245-N245</f>
        <v/>
      </c>
      <c r="S245">
        <f>L245-O245</f>
        <v/>
      </c>
    </row>
    <row r="246">
      <c r="J246" t="n">
        <v>244</v>
      </c>
      <c r="K246" t="n">
        <v>1</v>
      </c>
      <c r="L246">
        <f>$B$2*K246*(1-EXP(-(J246-$J$42-$B$3)/$B$4)*$B$4/($B$4-$B$5)+EXP(-(J246-$J$42-$B$3)/$B$5)*$B$5/($B$4-$B$5))</f>
        <v/>
      </c>
      <c r="M246">
        <f>$D$2*M245-$D$3*M244 + $D$4*K206+$D$5*K207</f>
        <v/>
      </c>
      <c r="N246">
        <f>$E$2 *N236 - $E$3 *N226 + $E$4 *K195 + $E$5 * K185</f>
        <v/>
      </c>
      <c r="O246">
        <f>$F$2 * O226 - $F$3 * O206 + $F$4 * K186 + $F$5 * K166</f>
        <v/>
      </c>
      <c r="Q246">
        <f>L246-M246</f>
        <v/>
      </c>
      <c r="R246">
        <f>L246-N246</f>
        <v/>
      </c>
      <c r="S246">
        <f>L246-O246</f>
        <v/>
      </c>
    </row>
    <row r="247">
      <c r="J247" t="n">
        <v>245</v>
      </c>
      <c r="K247" t="n">
        <v>1</v>
      </c>
      <c r="L247">
        <f>$B$2*K247*(1-EXP(-(J247-$J$42-$B$3)/$B$4)*$B$4/($B$4-$B$5)+EXP(-(J247-$J$42-$B$3)/$B$5)*$B$5/($B$4-$B$5))</f>
        <v/>
      </c>
      <c r="M247">
        <f>$D$2*M246-$D$3*M245 + $D$4*K207+$D$5*K208</f>
        <v/>
      </c>
      <c r="N247">
        <f>$E$2 *N237 - $E$3 *N227 + $E$4 *K196 + $E$5 * K186</f>
        <v/>
      </c>
      <c r="O247">
        <f>$F$2 * O227 - $F$3 * O207 + $F$4 * K187 + $F$5 * K167</f>
        <v/>
      </c>
      <c r="Q247">
        <f>L247-M247</f>
        <v/>
      </c>
      <c r="R247">
        <f>L247-N247</f>
        <v/>
      </c>
      <c r="S247">
        <f>L247-O247</f>
        <v/>
      </c>
    </row>
    <row r="248">
      <c r="J248" t="n">
        <v>246</v>
      </c>
      <c r="K248" t="n">
        <v>1</v>
      </c>
      <c r="L248">
        <f>$B$2*K248*(1-EXP(-(J248-$J$42-$B$3)/$B$4)*$B$4/($B$4-$B$5)+EXP(-(J248-$J$42-$B$3)/$B$5)*$B$5/($B$4-$B$5))</f>
        <v/>
      </c>
      <c r="M248">
        <f>$D$2*M247-$D$3*M246 + $D$4*K208+$D$5*K209</f>
        <v/>
      </c>
      <c r="N248">
        <f>$E$2 *N238 - $E$3 *N228 + $E$4 *K197 + $E$5 * K187</f>
        <v/>
      </c>
      <c r="O248">
        <f>$F$2 * O228 - $F$3 * O208 + $F$4 * K188 + $F$5 * K168</f>
        <v/>
      </c>
      <c r="Q248">
        <f>L248-M248</f>
        <v/>
      </c>
      <c r="R248">
        <f>L248-N248</f>
        <v/>
      </c>
      <c r="S248">
        <f>L248-O248</f>
        <v/>
      </c>
    </row>
    <row r="249">
      <c r="J249" t="n">
        <v>247</v>
      </c>
      <c r="K249" t="n">
        <v>1</v>
      </c>
      <c r="L249">
        <f>$B$2*K249*(1-EXP(-(J249-$J$42-$B$3)/$B$4)*$B$4/($B$4-$B$5)+EXP(-(J249-$J$42-$B$3)/$B$5)*$B$5/($B$4-$B$5))</f>
        <v/>
      </c>
      <c r="M249">
        <f>$D$2*M248-$D$3*M247 + $D$4*K209+$D$5*K210</f>
        <v/>
      </c>
      <c r="N249">
        <f>$E$2 *N239 - $E$3 *N229 + $E$4 *K198 + $E$5 * K188</f>
        <v/>
      </c>
      <c r="O249">
        <f>$F$2 * O229 - $F$3 * O209 + $F$4 * K189 + $F$5 * K169</f>
        <v/>
      </c>
      <c r="Q249">
        <f>L249-M249</f>
        <v/>
      </c>
      <c r="R249">
        <f>L249-N249</f>
        <v/>
      </c>
      <c r="S249">
        <f>L249-O249</f>
        <v/>
      </c>
    </row>
    <row r="250">
      <c r="J250" t="n">
        <v>248</v>
      </c>
      <c r="K250" t="n">
        <v>1</v>
      </c>
      <c r="L250">
        <f>$B$2*K250*(1-EXP(-(J250-$J$42-$B$3)/$B$4)*$B$4/($B$4-$B$5)+EXP(-(J250-$J$42-$B$3)/$B$5)*$B$5/($B$4-$B$5))</f>
        <v/>
      </c>
      <c r="M250">
        <f>$D$2*M249-$D$3*M248 + $D$4*K210+$D$5*K211</f>
        <v/>
      </c>
      <c r="N250">
        <f>$E$2 *N240 - $E$3 *N230 + $E$4 *K199 + $E$5 * K189</f>
        <v/>
      </c>
      <c r="O250">
        <f>$F$2 * O230 - $F$3 * O210 + $F$4 * K190 + $F$5 * K170</f>
        <v/>
      </c>
      <c r="Q250">
        <f>L250-M250</f>
        <v/>
      </c>
      <c r="R250">
        <f>L250-N250</f>
        <v/>
      </c>
      <c r="S250">
        <f>L250-O250</f>
        <v/>
      </c>
    </row>
    <row r="251">
      <c r="J251" t="n">
        <v>249</v>
      </c>
      <c r="K251" t="n">
        <v>1</v>
      </c>
      <c r="L251">
        <f>$B$2*K251*(1-EXP(-(J251-$J$42-$B$3)/$B$4)*$B$4/($B$4-$B$5)+EXP(-(J251-$J$42-$B$3)/$B$5)*$B$5/($B$4-$B$5))</f>
        <v/>
      </c>
      <c r="M251">
        <f>$D$2*M250-$D$3*M249 + $D$4*K211+$D$5*K212</f>
        <v/>
      </c>
      <c r="N251">
        <f>$E$2 *N241 - $E$3 *N231 + $E$4 *K200 + $E$5 * K190</f>
        <v/>
      </c>
      <c r="O251">
        <f>$F$2 * O231 - $F$3 * O211 + $F$4 * K191 + $F$5 * K171</f>
        <v/>
      </c>
      <c r="Q251">
        <f>L251-M251</f>
        <v/>
      </c>
      <c r="R251">
        <f>L251-N251</f>
        <v/>
      </c>
      <c r="S251">
        <f>L251-O251</f>
        <v/>
      </c>
    </row>
    <row r="252">
      <c r="J252" t="n">
        <v>250</v>
      </c>
      <c r="K252" t="n">
        <v>1</v>
      </c>
      <c r="L252">
        <f>$B$2*K252*(1-EXP(-(J252-$J$42-$B$3)/$B$4)*$B$4/($B$4-$B$5)+EXP(-(J252-$J$42-$B$3)/$B$5)*$B$5/($B$4-$B$5))</f>
        <v/>
      </c>
      <c r="M252">
        <f>$D$2*M251-$D$3*M250 + $D$4*K212+$D$5*K213</f>
        <v/>
      </c>
      <c r="N252">
        <f>$E$2 *N242 - $E$3 *N232 + $E$4 *K201 + $E$5 * K191</f>
        <v/>
      </c>
      <c r="O252">
        <f>$F$2 * O232 - $F$3 * O212 + $F$4 * K192 + $F$5 * K172</f>
        <v/>
      </c>
      <c r="Q252">
        <f>L252-M252</f>
        <v/>
      </c>
      <c r="R252">
        <f>L252-N252</f>
        <v/>
      </c>
      <c r="S252">
        <f>L252-O252</f>
        <v/>
      </c>
    </row>
    <row r="253">
      <c r="J253" t="n">
        <v>251</v>
      </c>
      <c r="K253" t="n">
        <v>1</v>
      </c>
      <c r="L253">
        <f>$B$2*K253*(1-EXP(-(J253-$J$42-$B$3)/$B$4)*$B$4/($B$4-$B$5)+EXP(-(J253-$J$42-$B$3)/$B$5)*$B$5/($B$4-$B$5))</f>
        <v/>
      </c>
      <c r="M253">
        <f>$D$2*M252-$D$3*M251 + $D$4*K213+$D$5*K214</f>
        <v/>
      </c>
      <c r="N253">
        <f>$E$2 *N243 - $E$3 *N233 + $E$4 *K202 + $E$5 * K192</f>
        <v/>
      </c>
      <c r="O253">
        <f>$F$2 * O233 - $F$3 * O213 + $F$4 * K193 + $F$5 * K173</f>
        <v/>
      </c>
      <c r="Q253">
        <f>L253-M253</f>
        <v/>
      </c>
      <c r="R253">
        <f>L253-N253</f>
        <v/>
      </c>
      <c r="S253">
        <f>L253-O253</f>
        <v/>
      </c>
    </row>
    <row r="254">
      <c r="J254" t="n">
        <v>252</v>
      </c>
      <c r="K254" t="n">
        <v>1</v>
      </c>
      <c r="L254">
        <f>$B$2*K254*(1-EXP(-(J254-$J$42-$B$3)/$B$4)*$B$4/($B$4-$B$5)+EXP(-(J254-$J$42-$B$3)/$B$5)*$B$5/($B$4-$B$5))</f>
        <v/>
      </c>
      <c r="M254">
        <f>$D$2*M253-$D$3*M252 + $D$4*K214+$D$5*K215</f>
        <v/>
      </c>
      <c r="N254">
        <f>$E$2 *N244 - $E$3 *N234 + $E$4 *K203 + $E$5 * K193</f>
        <v/>
      </c>
      <c r="O254">
        <f>$F$2 * O234 - $F$3 * O214 + $F$4 * K194 + $F$5 * K174</f>
        <v/>
      </c>
      <c r="Q254">
        <f>L254-M254</f>
        <v/>
      </c>
      <c r="R254">
        <f>L254-N254</f>
        <v/>
      </c>
      <c r="S254">
        <f>L254-O254</f>
        <v/>
      </c>
    </row>
    <row r="255">
      <c r="J255" t="n">
        <v>253</v>
      </c>
      <c r="K255" t="n">
        <v>1</v>
      </c>
      <c r="L255">
        <f>$B$2*K255*(1-EXP(-(J255-$J$42-$B$3)/$B$4)*$B$4/($B$4-$B$5)+EXP(-(J255-$J$42-$B$3)/$B$5)*$B$5/($B$4-$B$5))</f>
        <v/>
      </c>
      <c r="M255">
        <f>$D$2*M254-$D$3*M253 + $D$4*K215+$D$5*K216</f>
        <v/>
      </c>
      <c r="N255">
        <f>$E$2 *N245 - $E$3 *N235 + $E$4 *K204 + $E$5 * K194</f>
        <v/>
      </c>
      <c r="O255">
        <f>$F$2 * O235 - $F$3 * O215 + $F$4 * K195 + $F$5 * K175</f>
        <v/>
      </c>
      <c r="Q255">
        <f>L255-M255</f>
        <v/>
      </c>
      <c r="R255">
        <f>L255-N255</f>
        <v/>
      </c>
      <c r="S255">
        <f>L255-O255</f>
        <v/>
      </c>
    </row>
    <row r="256">
      <c r="J256" t="n">
        <v>254</v>
      </c>
      <c r="K256" t="n">
        <v>1</v>
      </c>
      <c r="L256">
        <f>$B$2*K256*(1-EXP(-(J256-$J$42-$B$3)/$B$4)*$B$4/($B$4-$B$5)+EXP(-(J256-$J$42-$B$3)/$B$5)*$B$5/($B$4-$B$5))</f>
        <v/>
      </c>
      <c r="M256">
        <f>$D$2*M255-$D$3*M254 + $D$4*K216+$D$5*K217</f>
        <v/>
      </c>
      <c r="N256">
        <f>$E$2 *N246 - $E$3 *N236 + $E$4 *K205 + $E$5 * K195</f>
        <v/>
      </c>
      <c r="O256">
        <f>$F$2 * O236 - $F$3 * O216 + $F$4 * K196 + $F$5 * K176</f>
        <v/>
      </c>
      <c r="Q256">
        <f>L256-M256</f>
        <v/>
      </c>
      <c r="R256">
        <f>L256-N256</f>
        <v/>
      </c>
      <c r="S256">
        <f>L256-O256</f>
        <v/>
      </c>
    </row>
    <row r="257">
      <c r="J257" t="n">
        <v>255</v>
      </c>
      <c r="K257" t="n">
        <v>1</v>
      </c>
      <c r="L257">
        <f>$B$2*K257*(1-EXP(-(J257-$J$42-$B$3)/$B$4)*$B$4/($B$4-$B$5)+EXP(-(J257-$J$42-$B$3)/$B$5)*$B$5/($B$4-$B$5))</f>
        <v/>
      </c>
      <c r="M257">
        <f>$D$2*M256-$D$3*M255 + $D$4*K217+$D$5*K218</f>
        <v/>
      </c>
      <c r="N257">
        <f>$E$2 *N247 - $E$3 *N237 + $E$4 *K206 + $E$5 * K196</f>
        <v/>
      </c>
      <c r="O257">
        <f>$F$2 * O237 - $F$3 * O217 + $F$4 * K197 + $F$5 * K177</f>
        <v/>
      </c>
      <c r="Q257">
        <f>L257-M257</f>
        <v/>
      </c>
      <c r="R257">
        <f>L257-N257</f>
        <v/>
      </c>
      <c r="S257">
        <f>L257-O257</f>
        <v/>
      </c>
    </row>
    <row r="258">
      <c r="J258" t="n">
        <v>256</v>
      </c>
      <c r="K258" t="n">
        <v>1</v>
      </c>
      <c r="L258">
        <f>$B$2*K258*(1-EXP(-(J258-$J$42-$B$3)/$B$4)*$B$4/($B$4-$B$5)+EXP(-(J258-$J$42-$B$3)/$B$5)*$B$5/($B$4-$B$5))</f>
        <v/>
      </c>
      <c r="M258">
        <f>$D$2*M257-$D$3*M256 + $D$4*K218+$D$5*K219</f>
        <v/>
      </c>
      <c r="N258">
        <f>$E$2 *N248 - $E$3 *N238 + $E$4 *K207 + $E$5 * K197</f>
        <v/>
      </c>
      <c r="O258">
        <f>$F$2 * O238 - $F$3 * O218 + $F$4 * K198 + $F$5 * K178</f>
        <v/>
      </c>
      <c r="Q258">
        <f>L258-M258</f>
        <v/>
      </c>
      <c r="R258">
        <f>L258-N258</f>
        <v/>
      </c>
      <c r="S258">
        <f>L258-O258</f>
        <v/>
      </c>
    </row>
    <row r="259">
      <c r="J259" t="n">
        <v>257</v>
      </c>
      <c r="K259" t="n">
        <v>1</v>
      </c>
      <c r="L259">
        <f>$B$2*K259*(1-EXP(-(J259-$J$42-$B$3)/$B$4)*$B$4/($B$4-$B$5)+EXP(-(J259-$J$42-$B$3)/$B$5)*$B$5/($B$4-$B$5))</f>
        <v/>
      </c>
      <c r="M259">
        <f>$D$2*M258-$D$3*M257 + $D$4*K219+$D$5*K220</f>
        <v/>
      </c>
      <c r="N259">
        <f>$E$2 *N249 - $E$3 *N239 + $E$4 *K208 + $E$5 * K198</f>
        <v/>
      </c>
      <c r="O259">
        <f>$F$2 * O239 - $F$3 * O219 + $F$4 * K199 + $F$5 * K179</f>
        <v/>
      </c>
      <c r="Q259">
        <f>L259-M259</f>
        <v/>
      </c>
      <c r="R259">
        <f>L259-N259</f>
        <v/>
      </c>
      <c r="S259">
        <f>L259-O259</f>
        <v/>
      </c>
    </row>
    <row r="260">
      <c r="J260" t="n">
        <v>258</v>
      </c>
      <c r="K260" t="n">
        <v>1</v>
      </c>
      <c r="L260">
        <f>$B$2*K260*(1-EXP(-(J260-$J$42-$B$3)/$B$4)*$B$4/($B$4-$B$5)+EXP(-(J260-$J$42-$B$3)/$B$5)*$B$5/($B$4-$B$5))</f>
        <v/>
      </c>
      <c r="M260">
        <f>$D$2*M259-$D$3*M258 + $D$4*K220+$D$5*K221</f>
        <v/>
      </c>
      <c r="N260">
        <f>$E$2 *N250 - $E$3 *N240 + $E$4 *K209 + $E$5 * K199</f>
        <v/>
      </c>
      <c r="O260">
        <f>$F$2 * O240 - $F$3 * O220 + $F$4 * K200 + $F$5 * K180</f>
        <v/>
      </c>
      <c r="Q260">
        <f>L260-M260</f>
        <v/>
      </c>
      <c r="R260">
        <f>L260-N260</f>
        <v/>
      </c>
      <c r="S260">
        <f>L260-O260</f>
        <v/>
      </c>
    </row>
    <row r="261">
      <c r="J261" t="n">
        <v>259</v>
      </c>
      <c r="K261" t="n">
        <v>1</v>
      </c>
      <c r="L261">
        <f>$B$2*K261*(1-EXP(-(J261-$J$42-$B$3)/$B$4)*$B$4/($B$4-$B$5)+EXP(-(J261-$J$42-$B$3)/$B$5)*$B$5/($B$4-$B$5))</f>
        <v/>
      </c>
      <c r="M261">
        <f>$D$2*M260-$D$3*M259 + $D$4*K221+$D$5*K222</f>
        <v/>
      </c>
      <c r="N261">
        <f>$E$2 *N251 - $E$3 *N241 + $E$4 *K210 + $E$5 * K200</f>
        <v/>
      </c>
      <c r="O261">
        <f>$F$2 * O241 - $F$3 * O221 + $F$4 * K201 + $F$5 * K181</f>
        <v/>
      </c>
      <c r="Q261">
        <f>L261-M261</f>
        <v/>
      </c>
      <c r="R261">
        <f>L261-N261</f>
        <v/>
      </c>
      <c r="S261">
        <f>L261-O261</f>
        <v/>
      </c>
    </row>
    <row r="262">
      <c r="J262" t="n">
        <v>260</v>
      </c>
      <c r="K262" t="n">
        <v>1</v>
      </c>
      <c r="L262">
        <f>$B$2*K262*(1-EXP(-(J262-$J$42-$B$3)/$B$4)*$B$4/($B$4-$B$5)+EXP(-(J262-$J$42-$B$3)/$B$5)*$B$5/($B$4-$B$5))</f>
        <v/>
      </c>
      <c r="M262">
        <f>$D$2*M261-$D$3*M260 + $D$4*K222+$D$5*K223</f>
        <v/>
      </c>
      <c r="N262">
        <f>$E$2 *N252 - $E$3 *N242 + $E$4 *K211 + $E$5 * K201</f>
        <v/>
      </c>
      <c r="O262">
        <f>$F$2 * O242 - $F$3 * O222 + $F$4 * K202 + $F$5 * K182</f>
        <v/>
      </c>
      <c r="Q262">
        <f>L262-M262</f>
        <v/>
      </c>
      <c r="R262">
        <f>L262-N262</f>
        <v/>
      </c>
      <c r="S262">
        <f>L262-O262</f>
        <v/>
      </c>
    </row>
    <row r="263">
      <c r="J263" t="n">
        <v>261</v>
      </c>
      <c r="K263" t="n">
        <v>1</v>
      </c>
      <c r="L263">
        <f>$B$2*K263*(1-EXP(-(J263-$J$42-$B$3)/$B$4)*$B$4/($B$4-$B$5)+EXP(-(J263-$J$42-$B$3)/$B$5)*$B$5/($B$4-$B$5))</f>
        <v/>
      </c>
      <c r="M263">
        <f>$D$2*M262-$D$3*M261 + $D$4*K223+$D$5*K224</f>
        <v/>
      </c>
      <c r="N263">
        <f>$E$2 *N253 - $E$3 *N243 + $E$4 *K212 + $E$5 * K202</f>
        <v/>
      </c>
      <c r="O263">
        <f>$F$2 * O243 - $F$3 * O223 + $F$4 * K203 + $F$5 * K183</f>
        <v/>
      </c>
      <c r="Q263">
        <f>L263-M263</f>
        <v/>
      </c>
      <c r="R263">
        <f>L263-N263</f>
        <v/>
      </c>
      <c r="S263">
        <f>L263-O263</f>
        <v/>
      </c>
    </row>
    <row r="264">
      <c r="J264" t="n">
        <v>262</v>
      </c>
      <c r="K264" t="n">
        <v>1</v>
      </c>
      <c r="L264">
        <f>$B$2*K264*(1-EXP(-(J264-$J$42-$B$3)/$B$4)*$B$4/($B$4-$B$5)+EXP(-(J264-$J$42-$B$3)/$B$5)*$B$5/($B$4-$B$5))</f>
        <v/>
      </c>
      <c r="M264">
        <f>$D$2*M263-$D$3*M262 + $D$4*K224+$D$5*K225</f>
        <v/>
      </c>
      <c r="N264">
        <f>$E$2 *N254 - $E$3 *N244 + $E$4 *K213 + $E$5 * K203</f>
        <v/>
      </c>
      <c r="O264">
        <f>$F$2 * O244 - $F$3 * O224 + $F$4 * K204 + $F$5 * K184</f>
        <v/>
      </c>
      <c r="Q264">
        <f>L264-M264</f>
        <v/>
      </c>
      <c r="R264">
        <f>L264-N264</f>
        <v/>
      </c>
      <c r="S264">
        <f>L264-O264</f>
        <v/>
      </c>
    </row>
    <row r="265">
      <c r="J265" t="n">
        <v>263</v>
      </c>
      <c r="K265" t="n">
        <v>1</v>
      </c>
      <c r="L265">
        <f>$B$2*K265*(1-EXP(-(J265-$J$42-$B$3)/$B$4)*$B$4/($B$4-$B$5)+EXP(-(J265-$J$42-$B$3)/$B$5)*$B$5/($B$4-$B$5))</f>
        <v/>
      </c>
      <c r="M265">
        <f>$D$2*M264-$D$3*M263 + $D$4*K225+$D$5*K226</f>
        <v/>
      </c>
      <c r="N265">
        <f>$E$2 *N255 - $E$3 *N245 + $E$4 *K214 + $E$5 * K204</f>
        <v/>
      </c>
      <c r="O265">
        <f>$F$2 * O245 - $F$3 * O225 + $F$4 * K205 + $F$5 * K185</f>
        <v/>
      </c>
      <c r="Q265">
        <f>L265-M265</f>
        <v/>
      </c>
      <c r="R265">
        <f>L265-N265</f>
        <v/>
      </c>
      <c r="S265">
        <f>L265-O265</f>
        <v/>
      </c>
    </row>
    <row r="266">
      <c r="J266" t="n">
        <v>264</v>
      </c>
      <c r="K266" t="n">
        <v>1</v>
      </c>
      <c r="L266">
        <f>$B$2*K266*(1-EXP(-(J266-$J$42-$B$3)/$B$4)*$B$4/($B$4-$B$5)+EXP(-(J266-$J$42-$B$3)/$B$5)*$B$5/($B$4-$B$5))</f>
        <v/>
      </c>
      <c r="M266">
        <f>$D$2*M265-$D$3*M264 + $D$4*K226+$D$5*K227</f>
        <v/>
      </c>
      <c r="N266">
        <f>$E$2 *N256 - $E$3 *N246 + $E$4 *K215 + $E$5 * K205</f>
        <v/>
      </c>
      <c r="O266">
        <f>$F$2 * O246 - $F$3 * O226 + $F$4 * K206 + $F$5 * K186</f>
        <v/>
      </c>
      <c r="Q266">
        <f>L266-M266</f>
        <v/>
      </c>
      <c r="R266">
        <f>L266-N266</f>
        <v/>
      </c>
      <c r="S266">
        <f>L266-O266</f>
        <v/>
      </c>
    </row>
    <row r="267">
      <c r="J267" t="n">
        <v>265</v>
      </c>
      <c r="K267" t="n">
        <v>1</v>
      </c>
      <c r="L267">
        <f>$B$2*K267*(1-EXP(-(J267-$J$42-$B$3)/$B$4)*$B$4/($B$4-$B$5)+EXP(-(J267-$J$42-$B$3)/$B$5)*$B$5/($B$4-$B$5))</f>
        <v/>
      </c>
      <c r="M267">
        <f>$D$2*M266-$D$3*M265 + $D$4*K227+$D$5*K228</f>
        <v/>
      </c>
      <c r="N267">
        <f>$E$2 *N257 - $E$3 *N247 + $E$4 *K216 + $E$5 * K206</f>
        <v/>
      </c>
      <c r="O267">
        <f>$F$2 * O247 - $F$3 * O227 + $F$4 * K207 + $F$5 * K187</f>
        <v/>
      </c>
      <c r="Q267">
        <f>L267-M267</f>
        <v/>
      </c>
      <c r="R267">
        <f>L267-N267</f>
        <v/>
      </c>
      <c r="S267">
        <f>L267-O267</f>
        <v/>
      </c>
    </row>
    <row r="268">
      <c r="J268" t="n">
        <v>266</v>
      </c>
      <c r="K268" t="n">
        <v>1</v>
      </c>
      <c r="L268">
        <f>$B$2*K268*(1-EXP(-(J268-$J$42-$B$3)/$B$4)*$B$4/($B$4-$B$5)+EXP(-(J268-$J$42-$B$3)/$B$5)*$B$5/($B$4-$B$5))</f>
        <v/>
      </c>
      <c r="M268">
        <f>$D$2*M267-$D$3*M266 + $D$4*K228+$D$5*K229</f>
        <v/>
      </c>
      <c r="N268">
        <f>$E$2 *N258 - $E$3 *N248 + $E$4 *K217 + $E$5 * K207</f>
        <v/>
      </c>
      <c r="O268">
        <f>$F$2 * O248 - $F$3 * O228 + $F$4 * K208 + $F$5 * K188</f>
        <v/>
      </c>
      <c r="Q268">
        <f>L268-M268</f>
        <v/>
      </c>
      <c r="R268">
        <f>L268-N268</f>
        <v/>
      </c>
      <c r="S268">
        <f>L268-O268</f>
        <v/>
      </c>
    </row>
    <row r="269">
      <c r="J269" t="n">
        <v>267</v>
      </c>
      <c r="K269" t="n">
        <v>1</v>
      </c>
      <c r="L269">
        <f>$B$2*K269*(1-EXP(-(J269-$J$42-$B$3)/$B$4)*$B$4/($B$4-$B$5)+EXP(-(J269-$J$42-$B$3)/$B$5)*$B$5/($B$4-$B$5))</f>
        <v/>
      </c>
      <c r="M269">
        <f>$D$2*M268-$D$3*M267 + $D$4*K229+$D$5*K230</f>
        <v/>
      </c>
      <c r="N269">
        <f>$E$2 *N259 - $E$3 *N249 + $E$4 *K218 + $E$5 * K208</f>
        <v/>
      </c>
      <c r="O269">
        <f>$F$2 * O249 - $F$3 * O229 + $F$4 * K209 + $F$5 * K189</f>
        <v/>
      </c>
      <c r="Q269">
        <f>L269-M269</f>
        <v/>
      </c>
      <c r="R269">
        <f>L269-N269</f>
        <v/>
      </c>
      <c r="S269">
        <f>L269-O269</f>
        <v/>
      </c>
    </row>
    <row r="270">
      <c r="J270" t="n">
        <v>268</v>
      </c>
      <c r="K270" t="n">
        <v>1</v>
      </c>
      <c r="L270">
        <f>$B$2*K270*(1-EXP(-(J270-$J$42-$B$3)/$B$4)*$B$4/($B$4-$B$5)+EXP(-(J270-$J$42-$B$3)/$B$5)*$B$5/($B$4-$B$5))</f>
        <v/>
      </c>
      <c r="M270">
        <f>$D$2*M269-$D$3*M268 + $D$4*K230+$D$5*K231</f>
        <v/>
      </c>
      <c r="N270">
        <f>$E$2 *N260 - $E$3 *N250 + $E$4 *K219 + $E$5 * K209</f>
        <v/>
      </c>
      <c r="O270">
        <f>$F$2 * O250 - $F$3 * O230 + $F$4 * K210 + $F$5 * K190</f>
        <v/>
      </c>
      <c r="Q270">
        <f>L270-M270</f>
        <v/>
      </c>
      <c r="R270">
        <f>L270-N270</f>
        <v/>
      </c>
      <c r="S270">
        <f>L270-O270</f>
        <v/>
      </c>
    </row>
    <row r="271">
      <c r="J271" t="n">
        <v>269</v>
      </c>
      <c r="K271" t="n">
        <v>1</v>
      </c>
      <c r="L271">
        <f>$B$2*K271*(1-EXP(-(J271-$J$42-$B$3)/$B$4)*$B$4/($B$4-$B$5)+EXP(-(J271-$J$42-$B$3)/$B$5)*$B$5/($B$4-$B$5))</f>
        <v/>
      </c>
      <c r="M271">
        <f>$D$2*M270-$D$3*M269 + $D$4*K231+$D$5*K232</f>
        <v/>
      </c>
      <c r="N271">
        <f>$E$2 *N261 - $E$3 *N251 + $E$4 *K220 + $E$5 * K210</f>
        <v/>
      </c>
      <c r="O271">
        <f>$F$2 * O251 - $F$3 * O231 + $F$4 * K211 + $F$5 * K191</f>
        <v/>
      </c>
      <c r="Q271">
        <f>L271-M271</f>
        <v/>
      </c>
      <c r="R271">
        <f>L271-N271</f>
        <v/>
      </c>
      <c r="S271">
        <f>L271-O271</f>
        <v/>
      </c>
    </row>
    <row r="272">
      <c r="J272" t="n">
        <v>270</v>
      </c>
      <c r="K272" t="n">
        <v>1</v>
      </c>
      <c r="L272">
        <f>$B$2*K272*(1-EXP(-(J272-$J$42-$B$3)/$B$4)*$B$4/($B$4-$B$5)+EXP(-(J272-$J$42-$B$3)/$B$5)*$B$5/($B$4-$B$5))</f>
        <v/>
      </c>
      <c r="M272">
        <f>$D$2*M271-$D$3*M270 + $D$4*K232+$D$5*K233</f>
        <v/>
      </c>
      <c r="N272">
        <f>$E$2 *N262 - $E$3 *N252 + $E$4 *K221 + $E$5 * K211</f>
        <v/>
      </c>
      <c r="O272">
        <f>$F$2 * O252 - $F$3 * O232 + $F$4 * K212 + $F$5 * K192</f>
        <v/>
      </c>
      <c r="Q272">
        <f>L272-M272</f>
        <v/>
      </c>
      <c r="R272">
        <f>L272-N272</f>
        <v/>
      </c>
      <c r="S272">
        <f>L272-O272</f>
        <v/>
      </c>
    </row>
    <row r="273">
      <c r="J273" t="n">
        <v>271</v>
      </c>
      <c r="K273" t="n">
        <v>1</v>
      </c>
      <c r="L273">
        <f>$B$2*K273*(1-EXP(-(J273-$J$42-$B$3)/$B$4)*$B$4/($B$4-$B$5)+EXP(-(J273-$J$42-$B$3)/$B$5)*$B$5/($B$4-$B$5))</f>
        <v/>
      </c>
      <c r="M273">
        <f>$D$2*M272-$D$3*M271 + $D$4*K233+$D$5*K234</f>
        <v/>
      </c>
      <c r="N273">
        <f>$E$2 *N263 - $E$3 *N253 + $E$4 *K222 + $E$5 * K212</f>
        <v/>
      </c>
      <c r="O273">
        <f>$F$2 * O253 - $F$3 * O233 + $F$4 * K213 + $F$5 * K193</f>
        <v/>
      </c>
      <c r="Q273">
        <f>L273-M273</f>
        <v/>
      </c>
      <c r="R273">
        <f>L273-N273</f>
        <v/>
      </c>
      <c r="S273">
        <f>L273-O273</f>
        <v/>
      </c>
    </row>
    <row r="274">
      <c r="J274" t="n">
        <v>272</v>
      </c>
      <c r="K274" t="n">
        <v>1</v>
      </c>
      <c r="L274">
        <f>$B$2*K274*(1-EXP(-(J274-$J$42-$B$3)/$B$4)*$B$4/($B$4-$B$5)+EXP(-(J274-$J$42-$B$3)/$B$5)*$B$5/($B$4-$B$5))</f>
        <v/>
      </c>
      <c r="M274">
        <f>$D$2*M273-$D$3*M272 + $D$4*K234+$D$5*K235</f>
        <v/>
      </c>
      <c r="N274">
        <f>$E$2 *N264 - $E$3 *N254 + $E$4 *K223 + $E$5 * K213</f>
        <v/>
      </c>
      <c r="O274">
        <f>$F$2 * O254 - $F$3 * O234 + $F$4 * K214 + $F$5 * K194</f>
        <v/>
      </c>
      <c r="Q274">
        <f>L274-M274</f>
        <v/>
      </c>
      <c r="R274">
        <f>L274-N274</f>
        <v/>
      </c>
      <c r="S274">
        <f>L274-O274</f>
        <v/>
      </c>
    </row>
    <row r="275">
      <c r="J275" t="n">
        <v>273</v>
      </c>
      <c r="K275" t="n">
        <v>1</v>
      </c>
      <c r="L275">
        <f>$B$2*K275*(1-EXP(-(J275-$J$42-$B$3)/$B$4)*$B$4/($B$4-$B$5)+EXP(-(J275-$J$42-$B$3)/$B$5)*$B$5/($B$4-$B$5))</f>
        <v/>
      </c>
      <c r="M275">
        <f>$D$2*M274-$D$3*M273 + $D$4*K235+$D$5*K236</f>
        <v/>
      </c>
      <c r="N275">
        <f>$E$2 *N265 - $E$3 *N255 + $E$4 *K224 + $E$5 * K214</f>
        <v/>
      </c>
      <c r="O275">
        <f>$F$2 * O255 - $F$3 * O235 + $F$4 * K215 + $F$5 * K195</f>
        <v/>
      </c>
      <c r="Q275">
        <f>L275-M275</f>
        <v/>
      </c>
      <c r="R275">
        <f>L275-N275</f>
        <v/>
      </c>
      <c r="S275">
        <f>L275-O275</f>
        <v/>
      </c>
    </row>
    <row r="276">
      <c r="J276" t="n">
        <v>274</v>
      </c>
      <c r="K276" t="n">
        <v>1</v>
      </c>
      <c r="L276">
        <f>$B$2*K276*(1-EXP(-(J276-$J$42-$B$3)/$B$4)*$B$4/($B$4-$B$5)+EXP(-(J276-$J$42-$B$3)/$B$5)*$B$5/($B$4-$B$5))</f>
        <v/>
      </c>
      <c r="M276">
        <f>$D$2*M275-$D$3*M274 + $D$4*K236+$D$5*K237</f>
        <v/>
      </c>
      <c r="N276">
        <f>$E$2 *N266 - $E$3 *N256 + $E$4 *K225 + $E$5 * K215</f>
        <v/>
      </c>
      <c r="O276">
        <f>$F$2 * O256 - $F$3 * O236 + $F$4 * K216 + $F$5 * K196</f>
        <v/>
      </c>
      <c r="Q276">
        <f>L276-M276</f>
        <v/>
      </c>
      <c r="R276">
        <f>L276-N276</f>
        <v/>
      </c>
      <c r="S276">
        <f>L276-O276</f>
        <v/>
      </c>
    </row>
    <row r="277">
      <c r="J277" t="n">
        <v>275</v>
      </c>
      <c r="K277" t="n">
        <v>1</v>
      </c>
      <c r="L277">
        <f>$B$2*K277*(1-EXP(-(J277-$J$42-$B$3)/$B$4)*$B$4/($B$4-$B$5)+EXP(-(J277-$J$42-$B$3)/$B$5)*$B$5/($B$4-$B$5))</f>
        <v/>
      </c>
      <c r="M277">
        <f>$D$2*M276-$D$3*M275 + $D$4*K237+$D$5*K238</f>
        <v/>
      </c>
      <c r="N277">
        <f>$E$2 *N267 - $E$3 *N257 + $E$4 *K226 + $E$5 * K216</f>
        <v/>
      </c>
      <c r="O277">
        <f>$F$2 * O257 - $F$3 * O237 + $F$4 * K217 + $F$5 * K197</f>
        <v/>
      </c>
      <c r="Q277">
        <f>L277-M277</f>
        <v/>
      </c>
      <c r="R277">
        <f>L277-N277</f>
        <v/>
      </c>
      <c r="S277">
        <f>L277-O277</f>
        <v/>
      </c>
    </row>
    <row r="278">
      <c r="J278" t="n">
        <v>276</v>
      </c>
      <c r="K278" t="n">
        <v>1</v>
      </c>
      <c r="L278">
        <f>$B$2*K278*(1-EXP(-(J278-$J$42-$B$3)/$B$4)*$B$4/($B$4-$B$5)+EXP(-(J278-$J$42-$B$3)/$B$5)*$B$5/($B$4-$B$5))</f>
        <v/>
      </c>
      <c r="M278">
        <f>$D$2*M277-$D$3*M276 + $D$4*K238+$D$5*K239</f>
        <v/>
      </c>
      <c r="N278">
        <f>$E$2 *N268 - $E$3 *N258 + $E$4 *K227 + $E$5 * K217</f>
        <v/>
      </c>
      <c r="O278">
        <f>$F$2 * O258 - $F$3 * O238 + $F$4 * K218 + $F$5 * K198</f>
        <v/>
      </c>
      <c r="Q278">
        <f>L278-M278</f>
        <v/>
      </c>
      <c r="R278">
        <f>L278-N278</f>
        <v/>
      </c>
      <c r="S278">
        <f>L278-O278</f>
        <v/>
      </c>
    </row>
    <row r="279">
      <c r="J279" t="n">
        <v>277</v>
      </c>
      <c r="K279" t="n">
        <v>1</v>
      </c>
      <c r="L279">
        <f>$B$2*K279*(1-EXP(-(J279-$J$42-$B$3)/$B$4)*$B$4/($B$4-$B$5)+EXP(-(J279-$J$42-$B$3)/$B$5)*$B$5/($B$4-$B$5))</f>
        <v/>
      </c>
      <c r="M279">
        <f>$D$2*M278-$D$3*M277 + $D$4*K239+$D$5*K240</f>
        <v/>
      </c>
      <c r="N279">
        <f>$E$2 *N269 - $E$3 *N259 + $E$4 *K228 + $E$5 * K218</f>
        <v/>
      </c>
      <c r="O279">
        <f>$F$2 * O259 - $F$3 * O239 + $F$4 * K219 + $F$5 * K199</f>
        <v/>
      </c>
      <c r="Q279">
        <f>L279-M279</f>
        <v/>
      </c>
      <c r="R279">
        <f>L279-N279</f>
        <v/>
      </c>
      <c r="S279">
        <f>L279-O279</f>
        <v/>
      </c>
    </row>
    <row r="280">
      <c r="J280" t="n">
        <v>278</v>
      </c>
      <c r="K280" t="n">
        <v>1</v>
      </c>
      <c r="L280">
        <f>$B$2*K280*(1-EXP(-(J280-$J$42-$B$3)/$B$4)*$B$4/($B$4-$B$5)+EXP(-(J280-$J$42-$B$3)/$B$5)*$B$5/($B$4-$B$5))</f>
        <v/>
      </c>
      <c r="M280">
        <f>$D$2*M279-$D$3*M278 + $D$4*K240+$D$5*K241</f>
        <v/>
      </c>
      <c r="N280">
        <f>$E$2 *N270 - $E$3 *N260 + $E$4 *K229 + $E$5 * K219</f>
        <v/>
      </c>
      <c r="O280">
        <f>$F$2 * O260 - $F$3 * O240 + $F$4 * K220 + $F$5 * K200</f>
        <v/>
      </c>
      <c r="Q280">
        <f>L280-M280</f>
        <v/>
      </c>
      <c r="R280">
        <f>L280-N280</f>
        <v/>
      </c>
      <c r="S280">
        <f>L280-O280</f>
        <v/>
      </c>
    </row>
    <row r="281">
      <c r="J281" t="n">
        <v>279</v>
      </c>
      <c r="K281" t="n">
        <v>1</v>
      </c>
      <c r="L281">
        <f>$B$2*K281*(1-EXP(-(J281-$J$42-$B$3)/$B$4)*$B$4/($B$4-$B$5)+EXP(-(J281-$J$42-$B$3)/$B$5)*$B$5/($B$4-$B$5))</f>
        <v/>
      </c>
      <c r="M281">
        <f>$D$2*M280-$D$3*M279 + $D$4*K241+$D$5*K242</f>
        <v/>
      </c>
      <c r="N281">
        <f>$E$2 *N271 - $E$3 *N261 + $E$4 *K230 + $E$5 * K220</f>
        <v/>
      </c>
      <c r="O281">
        <f>$F$2 * O261 - $F$3 * O241 + $F$4 * K221 + $F$5 * K201</f>
        <v/>
      </c>
      <c r="Q281">
        <f>L281-M281</f>
        <v/>
      </c>
      <c r="R281">
        <f>L281-N281</f>
        <v/>
      </c>
      <c r="S281">
        <f>L281-O281</f>
        <v/>
      </c>
    </row>
    <row r="282">
      <c r="J282" t="n">
        <v>280</v>
      </c>
      <c r="K282" t="n">
        <v>1</v>
      </c>
      <c r="L282">
        <f>$B$2*K282*(1-EXP(-(J282-$J$42-$B$3)/$B$4)*$B$4/($B$4-$B$5)+EXP(-(J282-$J$42-$B$3)/$B$5)*$B$5/($B$4-$B$5))</f>
        <v/>
      </c>
      <c r="M282">
        <f>$D$2*M281-$D$3*M280 + $D$4*K242+$D$5*K243</f>
        <v/>
      </c>
      <c r="N282">
        <f>$E$2 *N272 - $E$3 *N262 + $E$4 *K231 + $E$5 * K221</f>
        <v/>
      </c>
      <c r="O282">
        <f>$F$2 * O262 - $F$3 * O242 + $F$4 * K222 + $F$5 * K202</f>
        <v/>
      </c>
      <c r="Q282">
        <f>L282-M282</f>
        <v/>
      </c>
      <c r="R282">
        <f>L282-N282</f>
        <v/>
      </c>
      <c r="S282">
        <f>L282-O282</f>
        <v/>
      </c>
    </row>
    <row r="283">
      <c r="J283" t="n">
        <v>281</v>
      </c>
      <c r="K283" t="n">
        <v>1</v>
      </c>
      <c r="L283">
        <f>$B$2*K283*(1-EXP(-(J283-$J$42-$B$3)/$B$4)*$B$4/($B$4-$B$5)+EXP(-(J283-$J$42-$B$3)/$B$5)*$B$5/($B$4-$B$5))</f>
        <v/>
      </c>
      <c r="M283">
        <f>$D$2*M282-$D$3*M281 + $D$4*K243+$D$5*K244</f>
        <v/>
      </c>
      <c r="N283">
        <f>$E$2 *N273 - $E$3 *N263 + $E$4 *K232 + $E$5 * K222</f>
        <v/>
      </c>
      <c r="O283">
        <f>$F$2 * O263 - $F$3 * O243 + $F$4 * K223 + $F$5 * K203</f>
        <v/>
      </c>
      <c r="Q283">
        <f>L283-M283</f>
        <v/>
      </c>
      <c r="R283">
        <f>L283-N283</f>
        <v/>
      </c>
      <c r="S283">
        <f>L283-O283</f>
        <v/>
      </c>
    </row>
    <row r="284">
      <c r="J284" t="n">
        <v>282</v>
      </c>
      <c r="K284" t="n">
        <v>1</v>
      </c>
      <c r="L284">
        <f>$B$2*K284*(1-EXP(-(J284-$J$42-$B$3)/$B$4)*$B$4/($B$4-$B$5)+EXP(-(J284-$J$42-$B$3)/$B$5)*$B$5/($B$4-$B$5))</f>
        <v/>
      </c>
      <c r="M284">
        <f>$D$2*M283-$D$3*M282 + $D$4*K244+$D$5*K245</f>
        <v/>
      </c>
      <c r="N284">
        <f>$E$2 *N274 - $E$3 *N264 + $E$4 *K233 + $E$5 * K223</f>
        <v/>
      </c>
      <c r="O284">
        <f>$F$2 * O264 - $F$3 * O244 + $F$4 * K224 + $F$5 * K204</f>
        <v/>
      </c>
      <c r="Q284">
        <f>L284-M284</f>
        <v/>
      </c>
      <c r="R284">
        <f>L284-N284</f>
        <v/>
      </c>
      <c r="S284">
        <f>L284-O284</f>
        <v/>
      </c>
    </row>
    <row r="285">
      <c r="J285" t="n">
        <v>283</v>
      </c>
      <c r="K285" t="n">
        <v>1</v>
      </c>
      <c r="L285">
        <f>$B$2*K285*(1-EXP(-(J285-$J$42-$B$3)/$B$4)*$B$4/($B$4-$B$5)+EXP(-(J285-$J$42-$B$3)/$B$5)*$B$5/($B$4-$B$5))</f>
        <v/>
      </c>
      <c r="M285">
        <f>$D$2*M284-$D$3*M283 + $D$4*K245+$D$5*K246</f>
        <v/>
      </c>
      <c r="N285">
        <f>$E$2 *N275 - $E$3 *N265 + $E$4 *K234 + $E$5 * K224</f>
        <v/>
      </c>
      <c r="O285">
        <f>$F$2 * O265 - $F$3 * O245 + $F$4 * K225 + $F$5 * K205</f>
        <v/>
      </c>
      <c r="Q285">
        <f>L285-M285</f>
        <v/>
      </c>
      <c r="R285">
        <f>L285-N285</f>
        <v/>
      </c>
      <c r="S285">
        <f>L285-O285</f>
        <v/>
      </c>
    </row>
    <row r="286">
      <c r="J286" t="n">
        <v>284</v>
      </c>
      <c r="K286" t="n">
        <v>1</v>
      </c>
      <c r="L286">
        <f>$B$2*K286*(1-EXP(-(J286-$J$42-$B$3)/$B$4)*$B$4/($B$4-$B$5)+EXP(-(J286-$J$42-$B$3)/$B$5)*$B$5/($B$4-$B$5))</f>
        <v/>
      </c>
      <c r="M286">
        <f>$D$2*M285-$D$3*M284 + $D$4*K246+$D$5*K247</f>
        <v/>
      </c>
      <c r="N286">
        <f>$E$2 *N276 - $E$3 *N266 + $E$4 *K235 + $E$5 * K225</f>
        <v/>
      </c>
      <c r="O286">
        <f>$F$2 * O266 - $F$3 * O246 + $F$4 * K226 + $F$5 * K206</f>
        <v/>
      </c>
      <c r="Q286">
        <f>L286-M286</f>
        <v/>
      </c>
      <c r="R286">
        <f>L286-N286</f>
        <v/>
      </c>
      <c r="S286">
        <f>L286-O286</f>
        <v/>
      </c>
    </row>
    <row r="287">
      <c r="J287" t="n">
        <v>285</v>
      </c>
      <c r="K287" t="n">
        <v>1</v>
      </c>
      <c r="L287">
        <f>$B$2*K287*(1-EXP(-(J287-$J$42-$B$3)/$B$4)*$B$4/($B$4-$B$5)+EXP(-(J287-$J$42-$B$3)/$B$5)*$B$5/($B$4-$B$5))</f>
        <v/>
      </c>
      <c r="M287">
        <f>$D$2*M286-$D$3*M285 + $D$4*K247+$D$5*K248</f>
        <v/>
      </c>
      <c r="N287">
        <f>$E$2 *N277 - $E$3 *N267 + $E$4 *K236 + $E$5 * K226</f>
        <v/>
      </c>
      <c r="O287">
        <f>$F$2 * O267 - $F$3 * O247 + $F$4 * K227 + $F$5 * K207</f>
        <v/>
      </c>
      <c r="Q287">
        <f>L287-M287</f>
        <v/>
      </c>
      <c r="R287">
        <f>L287-N287</f>
        <v/>
      </c>
      <c r="S287">
        <f>L287-O287</f>
        <v/>
      </c>
    </row>
    <row r="288">
      <c r="J288" t="n">
        <v>286</v>
      </c>
      <c r="K288" t="n">
        <v>1</v>
      </c>
      <c r="L288">
        <f>$B$2*K288*(1-EXP(-(J288-$J$42-$B$3)/$B$4)*$B$4/($B$4-$B$5)+EXP(-(J288-$J$42-$B$3)/$B$5)*$B$5/($B$4-$B$5))</f>
        <v/>
      </c>
      <c r="M288">
        <f>$D$2*M287-$D$3*M286 + $D$4*K248+$D$5*K249</f>
        <v/>
      </c>
      <c r="N288">
        <f>$E$2 *N278 - $E$3 *N268 + $E$4 *K237 + $E$5 * K227</f>
        <v/>
      </c>
      <c r="O288">
        <f>$F$2 * O268 - $F$3 * O248 + $F$4 * K228 + $F$5 * K208</f>
        <v/>
      </c>
      <c r="Q288">
        <f>L288-M288</f>
        <v/>
      </c>
      <c r="R288">
        <f>L288-N288</f>
        <v/>
      </c>
      <c r="S288">
        <f>L288-O288</f>
        <v/>
      </c>
    </row>
    <row r="289">
      <c r="J289" t="n">
        <v>287</v>
      </c>
      <c r="K289" t="n">
        <v>1</v>
      </c>
      <c r="L289">
        <f>$B$2*K289*(1-EXP(-(J289-$J$42-$B$3)/$B$4)*$B$4/($B$4-$B$5)+EXP(-(J289-$J$42-$B$3)/$B$5)*$B$5/($B$4-$B$5))</f>
        <v/>
      </c>
      <c r="M289">
        <f>$D$2*M288-$D$3*M287 + $D$4*K249+$D$5*K250</f>
        <v/>
      </c>
      <c r="N289">
        <f>$E$2 *N279 - $E$3 *N269 + $E$4 *K238 + $E$5 * K228</f>
        <v/>
      </c>
      <c r="O289">
        <f>$F$2 * O269 - $F$3 * O249 + $F$4 * K229 + $F$5 * K209</f>
        <v/>
      </c>
      <c r="Q289">
        <f>L289-M289</f>
        <v/>
      </c>
      <c r="R289">
        <f>L289-N289</f>
        <v/>
      </c>
      <c r="S289">
        <f>L289-O289</f>
        <v/>
      </c>
    </row>
    <row r="290">
      <c r="J290" t="n">
        <v>288</v>
      </c>
      <c r="K290" t="n">
        <v>1</v>
      </c>
      <c r="L290">
        <f>$B$2*K290*(1-EXP(-(J290-$J$42-$B$3)/$B$4)*$B$4/($B$4-$B$5)+EXP(-(J290-$J$42-$B$3)/$B$5)*$B$5/($B$4-$B$5))</f>
        <v/>
      </c>
      <c r="M290">
        <f>$D$2*M289-$D$3*M288 + $D$4*K250+$D$5*K251</f>
        <v/>
      </c>
      <c r="N290">
        <f>$E$2 *N280 - $E$3 *N270 + $E$4 *K239 + $E$5 * K229</f>
        <v/>
      </c>
      <c r="O290">
        <f>$F$2 * O270 - $F$3 * O250 + $F$4 * K230 + $F$5 * K210</f>
        <v/>
      </c>
      <c r="Q290">
        <f>L290-M290</f>
        <v/>
      </c>
      <c r="R290">
        <f>L290-N290</f>
        <v/>
      </c>
      <c r="S290">
        <f>L290-O290</f>
        <v/>
      </c>
    </row>
    <row r="291">
      <c r="J291" t="n">
        <v>289</v>
      </c>
      <c r="K291" t="n">
        <v>1</v>
      </c>
      <c r="L291">
        <f>$B$2*K291*(1-EXP(-(J291-$J$42-$B$3)/$B$4)*$B$4/($B$4-$B$5)+EXP(-(J291-$J$42-$B$3)/$B$5)*$B$5/($B$4-$B$5))</f>
        <v/>
      </c>
      <c r="M291">
        <f>$D$2*M290-$D$3*M289 + $D$4*K251+$D$5*K252</f>
        <v/>
      </c>
      <c r="N291">
        <f>$E$2 *N281 - $E$3 *N271 + $E$4 *K240 + $E$5 * K230</f>
        <v/>
      </c>
      <c r="O291">
        <f>$F$2 * O271 - $F$3 * O251 + $F$4 * K231 + $F$5 * K211</f>
        <v/>
      </c>
      <c r="Q291">
        <f>L291-M291</f>
        <v/>
      </c>
      <c r="R291">
        <f>L291-N291</f>
        <v/>
      </c>
      <c r="S291">
        <f>L291-O291</f>
        <v/>
      </c>
    </row>
    <row r="292">
      <c r="J292" t="n">
        <v>290</v>
      </c>
      <c r="K292" t="n">
        <v>1</v>
      </c>
      <c r="L292">
        <f>$B$2*K292*(1-EXP(-(J292-$J$42-$B$3)/$B$4)*$B$4/($B$4-$B$5)+EXP(-(J292-$J$42-$B$3)/$B$5)*$B$5/($B$4-$B$5))</f>
        <v/>
      </c>
      <c r="M292">
        <f>$D$2*M291-$D$3*M290 + $D$4*K252+$D$5*K253</f>
        <v/>
      </c>
      <c r="N292">
        <f>$E$2 *N282 - $E$3 *N272 + $E$4 *K241 + $E$5 * K231</f>
        <v/>
      </c>
      <c r="O292">
        <f>$F$2 * O272 - $F$3 * O252 + $F$4 * K232 + $F$5 * K212</f>
        <v/>
      </c>
      <c r="Q292">
        <f>L292-M292</f>
        <v/>
      </c>
      <c r="R292">
        <f>L292-N292</f>
        <v/>
      </c>
      <c r="S292">
        <f>L292-O292</f>
        <v/>
      </c>
    </row>
    <row r="293">
      <c r="J293" t="n">
        <v>291</v>
      </c>
      <c r="K293" t="n">
        <v>1</v>
      </c>
      <c r="L293">
        <f>$B$2*K293*(1-EXP(-(J293-$J$42-$B$3)/$B$4)*$B$4/($B$4-$B$5)+EXP(-(J293-$J$42-$B$3)/$B$5)*$B$5/($B$4-$B$5))</f>
        <v/>
      </c>
      <c r="M293">
        <f>$D$2*M292-$D$3*M291 + $D$4*K253+$D$5*K254</f>
        <v/>
      </c>
      <c r="N293">
        <f>$E$2 *N283 - $E$3 *N273 + $E$4 *K242 + $E$5 * K232</f>
        <v/>
      </c>
      <c r="O293">
        <f>$F$2 * O273 - $F$3 * O253 + $F$4 * K233 + $F$5 * K213</f>
        <v/>
      </c>
      <c r="Q293">
        <f>L293-M293</f>
        <v/>
      </c>
      <c r="R293">
        <f>L293-N293</f>
        <v/>
      </c>
      <c r="S293">
        <f>L293-O293</f>
        <v/>
      </c>
    </row>
    <row r="294">
      <c r="J294" t="n">
        <v>292</v>
      </c>
      <c r="K294" t="n">
        <v>1</v>
      </c>
      <c r="L294">
        <f>$B$2*K294*(1-EXP(-(J294-$J$42-$B$3)/$B$4)*$B$4/($B$4-$B$5)+EXP(-(J294-$J$42-$B$3)/$B$5)*$B$5/($B$4-$B$5))</f>
        <v/>
      </c>
      <c r="M294">
        <f>$D$2*M293-$D$3*M292 + $D$4*K254+$D$5*K255</f>
        <v/>
      </c>
      <c r="N294">
        <f>$E$2 *N284 - $E$3 *N274 + $E$4 *K243 + $E$5 * K233</f>
        <v/>
      </c>
      <c r="O294">
        <f>$F$2 * O274 - $F$3 * O254 + $F$4 * K234 + $F$5 * K214</f>
        <v/>
      </c>
      <c r="Q294">
        <f>L294-M294</f>
        <v/>
      </c>
      <c r="R294">
        <f>L294-N294</f>
        <v/>
      </c>
      <c r="S294">
        <f>L294-O294</f>
        <v/>
      </c>
    </row>
    <row r="295">
      <c r="J295" t="n">
        <v>293</v>
      </c>
      <c r="K295" t="n">
        <v>1</v>
      </c>
      <c r="L295">
        <f>$B$2*K295*(1-EXP(-(J295-$J$42-$B$3)/$B$4)*$B$4/($B$4-$B$5)+EXP(-(J295-$J$42-$B$3)/$B$5)*$B$5/($B$4-$B$5))</f>
        <v/>
      </c>
      <c r="M295">
        <f>$D$2*M294-$D$3*M293 + $D$4*K255+$D$5*K256</f>
        <v/>
      </c>
      <c r="N295">
        <f>$E$2 *N285 - $E$3 *N275 + $E$4 *K244 + $E$5 * K234</f>
        <v/>
      </c>
      <c r="O295">
        <f>$F$2 * O275 - $F$3 * O255 + $F$4 * K235 + $F$5 * K215</f>
        <v/>
      </c>
      <c r="Q295">
        <f>L295-M295</f>
        <v/>
      </c>
      <c r="R295">
        <f>L295-N295</f>
        <v/>
      </c>
      <c r="S295">
        <f>L295-O295</f>
        <v/>
      </c>
    </row>
    <row r="296">
      <c r="J296" t="n">
        <v>294</v>
      </c>
      <c r="K296" t="n">
        <v>1</v>
      </c>
      <c r="L296">
        <f>$B$2*K296*(1-EXP(-(J296-$J$42-$B$3)/$B$4)*$B$4/($B$4-$B$5)+EXP(-(J296-$J$42-$B$3)/$B$5)*$B$5/($B$4-$B$5))</f>
        <v/>
      </c>
      <c r="M296">
        <f>$D$2*M295-$D$3*M294 + $D$4*K256+$D$5*K257</f>
        <v/>
      </c>
      <c r="N296">
        <f>$E$2 *N286 - $E$3 *N276 + $E$4 *K245 + $E$5 * K235</f>
        <v/>
      </c>
      <c r="O296">
        <f>$F$2 * O276 - $F$3 * O256 + $F$4 * K236 + $F$5 * K216</f>
        <v/>
      </c>
      <c r="Q296">
        <f>L296-M296</f>
        <v/>
      </c>
      <c r="R296">
        <f>L296-N296</f>
        <v/>
      </c>
      <c r="S296">
        <f>L296-O296</f>
        <v/>
      </c>
    </row>
    <row r="297">
      <c r="J297" t="n">
        <v>295</v>
      </c>
      <c r="K297" t="n">
        <v>1</v>
      </c>
      <c r="L297">
        <f>$B$2*K297*(1-EXP(-(J297-$J$42-$B$3)/$B$4)*$B$4/($B$4-$B$5)+EXP(-(J297-$J$42-$B$3)/$B$5)*$B$5/($B$4-$B$5))</f>
        <v/>
      </c>
      <c r="M297">
        <f>$D$2*M296-$D$3*M295 + $D$4*K257+$D$5*K258</f>
        <v/>
      </c>
      <c r="N297">
        <f>$E$2 *N287 - $E$3 *N277 + $E$4 *K246 + $E$5 * K236</f>
        <v/>
      </c>
      <c r="O297">
        <f>$F$2 * O277 - $F$3 * O257 + $F$4 * K237 + $F$5 * K217</f>
        <v/>
      </c>
      <c r="Q297">
        <f>L297-M297</f>
        <v/>
      </c>
      <c r="R297">
        <f>L297-N297</f>
        <v/>
      </c>
      <c r="S297">
        <f>L297-O297</f>
        <v/>
      </c>
    </row>
    <row r="298">
      <c r="J298" t="n">
        <v>296</v>
      </c>
      <c r="K298" t="n">
        <v>1</v>
      </c>
      <c r="L298">
        <f>$B$2*K298*(1-EXP(-(J298-$J$42-$B$3)/$B$4)*$B$4/($B$4-$B$5)+EXP(-(J298-$J$42-$B$3)/$B$5)*$B$5/($B$4-$B$5))</f>
        <v/>
      </c>
      <c r="M298">
        <f>$D$2*M297-$D$3*M296 + $D$4*K258+$D$5*K259</f>
        <v/>
      </c>
      <c r="N298">
        <f>$E$2 *N288 - $E$3 *N278 + $E$4 *K247 + $E$5 * K237</f>
        <v/>
      </c>
      <c r="O298">
        <f>$F$2 * O278 - $F$3 * O258 + $F$4 * K238 + $F$5 * K218</f>
        <v/>
      </c>
      <c r="Q298">
        <f>L298-M298</f>
        <v/>
      </c>
      <c r="R298">
        <f>L298-N298</f>
        <v/>
      </c>
      <c r="S298">
        <f>L298-O298</f>
        <v/>
      </c>
    </row>
    <row r="299">
      <c r="J299" t="n">
        <v>297</v>
      </c>
      <c r="K299" t="n">
        <v>1</v>
      </c>
      <c r="L299">
        <f>$B$2*K299*(1-EXP(-(J299-$J$42-$B$3)/$B$4)*$B$4/($B$4-$B$5)+EXP(-(J299-$J$42-$B$3)/$B$5)*$B$5/($B$4-$B$5))</f>
        <v/>
      </c>
      <c r="M299">
        <f>$D$2*M298-$D$3*M297 + $D$4*K259+$D$5*K260</f>
        <v/>
      </c>
      <c r="N299">
        <f>$E$2 *N289 - $E$3 *N279 + $E$4 *K248 + $E$5 * K238</f>
        <v/>
      </c>
      <c r="O299">
        <f>$F$2 * O279 - $F$3 * O259 + $F$4 * K239 + $F$5 * K219</f>
        <v/>
      </c>
      <c r="Q299">
        <f>L299-M299</f>
        <v/>
      </c>
      <c r="R299">
        <f>L299-N299</f>
        <v/>
      </c>
      <c r="S299">
        <f>L299-O299</f>
        <v/>
      </c>
    </row>
    <row r="300">
      <c r="J300" t="n">
        <v>298</v>
      </c>
      <c r="K300" t="n">
        <v>1</v>
      </c>
      <c r="L300">
        <f>$B$2*K300*(1-EXP(-(J300-$J$42-$B$3)/$B$4)*$B$4/($B$4-$B$5)+EXP(-(J300-$J$42-$B$3)/$B$5)*$B$5/($B$4-$B$5))</f>
        <v/>
      </c>
      <c r="M300">
        <f>$D$2*M299-$D$3*M298 + $D$4*K260+$D$5*K261</f>
        <v/>
      </c>
      <c r="N300">
        <f>$E$2 *N290 - $E$3 *N280 + $E$4 *K249 + $E$5 * K239</f>
        <v/>
      </c>
      <c r="O300">
        <f>$F$2 * O280 - $F$3 * O260 + $F$4 * K240 + $F$5 * K220</f>
        <v/>
      </c>
      <c r="Q300">
        <f>L300-M300</f>
        <v/>
      </c>
      <c r="R300">
        <f>L300-N300</f>
        <v/>
      </c>
      <c r="S300">
        <f>L300-O300</f>
        <v/>
      </c>
    </row>
    <row r="301">
      <c r="J301" t="n">
        <v>299</v>
      </c>
      <c r="K301" t="n">
        <v>1</v>
      </c>
      <c r="L301">
        <f>$B$2*K301*(1-EXP(-(J301-$J$42-$B$3)/$B$4)*$B$4/($B$4-$B$5)+EXP(-(J301-$J$42-$B$3)/$B$5)*$B$5/($B$4-$B$5))</f>
        <v/>
      </c>
      <c r="M301">
        <f>$D$2*M300-$D$3*M299 + $D$4*K261+$D$5*K262</f>
        <v/>
      </c>
      <c r="N301">
        <f>$E$2 *N291 - $E$3 *N281 + $E$4 *K250 + $E$5 * K240</f>
        <v/>
      </c>
      <c r="O301">
        <f>$F$2 * O281 - $F$3 * O261 + $F$4 * K241 + $F$5 * K221</f>
        <v/>
      </c>
      <c r="Q301">
        <f>L301-M301</f>
        <v/>
      </c>
      <c r="R301">
        <f>L301-N301</f>
        <v/>
      </c>
      <c r="S301">
        <f>L301-O301</f>
        <v/>
      </c>
    </row>
    <row r="302">
      <c r="J302" t="n">
        <v>300</v>
      </c>
      <c r="K302" t="n">
        <v>1</v>
      </c>
      <c r="L302">
        <f>$B$2*K302*(1-EXP(-(J302-$J$42-$B$3)/$B$4)*$B$4/($B$4-$B$5)+EXP(-(J302-$J$42-$B$3)/$B$5)*$B$5/($B$4-$B$5))</f>
        <v/>
      </c>
      <c r="M302">
        <f>$D$2*M301-$D$3*M300 + $D$4*K262+$D$5*K263</f>
        <v/>
      </c>
      <c r="N302">
        <f>$E$2 *N292 - $E$3 *N282 + $E$4 *K251 + $E$5 * K241</f>
        <v/>
      </c>
      <c r="O302">
        <f>$F$2 * O282 - $F$3 * O262 + $F$4 * K242 + $F$5 * K222</f>
        <v/>
      </c>
      <c r="Q302">
        <f>L302-M302</f>
        <v/>
      </c>
      <c r="R302">
        <f>L302-N302</f>
        <v/>
      </c>
      <c r="S302">
        <f>L302-O302</f>
        <v/>
      </c>
    </row>
    <row r="303">
      <c r="J303" t="n">
        <v>301</v>
      </c>
      <c r="K303" t="n">
        <v>1</v>
      </c>
      <c r="L303">
        <f>$B$2*K303*(1-EXP(-(J303-$J$42-$B$3)/$B$4)*$B$4/($B$4-$B$5)+EXP(-(J303-$J$42-$B$3)/$B$5)*$B$5/($B$4-$B$5))</f>
        <v/>
      </c>
      <c r="M303">
        <f>$D$2*M302-$D$3*M301 + $D$4*K263+$D$5*K264</f>
        <v/>
      </c>
      <c r="N303">
        <f>$E$2 *N293 - $E$3 *N283 + $E$4 *K252 + $E$5 * K242</f>
        <v/>
      </c>
      <c r="O303">
        <f>$F$2 * O283 - $F$3 * O263 + $F$4 * K243 + $F$5 * K223</f>
        <v/>
      </c>
      <c r="Q303">
        <f>L303-M303</f>
        <v/>
      </c>
      <c r="R303">
        <f>L303-N303</f>
        <v/>
      </c>
      <c r="S303">
        <f>L303-O303</f>
        <v/>
      </c>
    </row>
    <row r="304">
      <c r="J304" t="n">
        <v>302</v>
      </c>
      <c r="K304" t="n">
        <v>1</v>
      </c>
      <c r="L304">
        <f>$B$2*K304*(1-EXP(-(J304-$J$42-$B$3)/$B$4)*$B$4/($B$4-$B$5)+EXP(-(J304-$J$42-$B$3)/$B$5)*$B$5/($B$4-$B$5))</f>
        <v/>
      </c>
      <c r="M304">
        <f>$D$2*M303-$D$3*M302 + $D$4*K264+$D$5*K265</f>
        <v/>
      </c>
      <c r="N304">
        <f>$E$2 *N294 - $E$3 *N284 + $E$4 *K253 + $E$5 * K243</f>
        <v/>
      </c>
      <c r="O304">
        <f>$F$2 * O284 - $F$3 * O264 + $F$4 * K244 + $F$5 * K224</f>
        <v/>
      </c>
      <c r="Q304">
        <f>L304-M304</f>
        <v/>
      </c>
      <c r="R304">
        <f>L304-N304</f>
        <v/>
      </c>
      <c r="S304">
        <f>L304-O304</f>
        <v/>
      </c>
    </row>
    <row r="305">
      <c r="J305" t="n">
        <v>303</v>
      </c>
      <c r="K305" t="n">
        <v>1</v>
      </c>
      <c r="L305">
        <f>$B$2*K305*(1-EXP(-(J305-$J$42-$B$3)/$B$4)*$B$4/($B$4-$B$5)+EXP(-(J305-$J$42-$B$3)/$B$5)*$B$5/($B$4-$B$5))</f>
        <v/>
      </c>
      <c r="M305">
        <f>$D$2*M304-$D$3*M303 + $D$4*K265+$D$5*K266</f>
        <v/>
      </c>
      <c r="N305">
        <f>$E$2 *N295 - $E$3 *N285 + $E$4 *K254 + $E$5 * K244</f>
        <v/>
      </c>
      <c r="O305">
        <f>$F$2 * O285 - $F$3 * O265 + $F$4 * K245 + $F$5 * K225</f>
        <v/>
      </c>
      <c r="Q305">
        <f>L305-M305</f>
        <v/>
      </c>
      <c r="R305">
        <f>L305-N305</f>
        <v/>
      </c>
      <c r="S305">
        <f>L305-O305</f>
        <v/>
      </c>
    </row>
    <row r="306">
      <c r="J306" t="n">
        <v>304</v>
      </c>
      <c r="K306" t="n">
        <v>1</v>
      </c>
      <c r="L306">
        <f>$B$2*K306*(1-EXP(-(J306-$J$42-$B$3)/$B$4)*$B$4/($B$4-$B$5)+EXP(-(J306-$J$42-$B$3)/$B$5)*$B$5/($B$4-$B$5))</f>
        <v/>
      </c>
      <c r="M306">
        <f>$D$2*M305-$D$3*M304 + $D$4*K266+$D$5*K267</f>
        <v/>
      </c>
      <c r="N306">
        <f>$E$2 *N296 - $E$3 *N286 + $E$4 *K255 + $E$5 * K245</f>
        <v/>
      </c>
      <c r="O306">
        <f>$F$2 * O286 - $F$3 * O266 + $F$4 * K246 + $F$5 * K226</f>
        <v/>
      </c>
      <c r="Q306">
        <f>L306-M306</f>
        <v/>
      </c>
      <c r="R306">
        <f>L306-N306</f>
        <v/>
      </c>
      <c r="S306">
        <f>L306-O306</f>
        <v/>
      </c>
    </row>
    <row r="307">
      <c r="J307" t="n">
        <v>305</v>
      </c>
      <c r="K307" t="n">
        <v>1</v>
      </c>
      <c r="L307">
        <f>$B$2*K307*(1-EXP(-(J307-$J$42-$B$3)/$B$4)*$B$4/($B$4-$B$5)+EXP(-(J307-$J$42-$B$3)/$B$5)*$B$5/($B$4-$B$5))</f>
        <v/>
      </c>
      <c r="M307">
        <f>$D$2*M306-$D$3*M305 + $D$4*K267+$D$5*K268</f>
        <v/>
      </c>
      <c r="N307">
        <f>$E$2 *N297 - $E$3 *N287 + $E$4 *K256 + $E$5 * K246</f>
        <v/>
      </c>
      <c r="O307">
        <f>$F$2 * O287 - $F$3 * O267 + $F$4 * K247 + $F$5 * K227</f>
        <v/>
      </c>
      <c r="Q307">
        <f>L307-M307</f>
        <v/>
      </c>
      <c r="R307">
        <f>L307-N307</f>
        <v/>
      </c>
      <c r="S307">
        <f>L307-O307</f>
        <v/>
      </c>
    </row>
    <row r="308">
      <c r="J308" t="n">
        <v>306</v>
      </c>
      <c r="K308" t="n">
        <v>1</v>
      </c>
      <c r="L308">
        <f>$B$2*K308*(1-EXP(-(J308-$J$42-$B$3)/$B$4)*$B$4/($B$4-$B$5)+EXP(-(J308-$J$42-$B$3)/$B$5)*$B$5/($B$4-$B$5))</f>
        <v/>
      </c>
      <c r="M308">
        <f>$D$2*M307-$D$3*M306 + $D$4*K268+$D$5*K269</f>
        <v/>
      </c>
      <c r="N308">
        <f>$E$2 *N298 - $E$3 *N288 + $E$4 *K257 + $E$5 * K247</f>
        <v/>
      </c>
      <c r="O308">
        <f>$F$2 * O288 - $F$3 * O268 + $F$4 * K248 + $F$5 * K228</f>
        <v/>
      </c>
      <c r="Q308">
        <f>L308-M308</f>
        <v/>
      </c>
      <c r="R308">
        <f>L308-N308</f>
        <v/>
      </c>
      <c r="S308">
        <f>L308-O308</f>
        <v/>
      </c>
    </row>
    <row r="309">
      <c r="J309" t="n">
        <v>307</v>
      </c>
      <c r="K309" t="n">
        <v>1</v>
      </c>
      <c r="L309">
        <f>$B$2*K309*(1-EXP(-(J309-$J$42-$B$3)/$B$4)*$B$4/($B$4-$B$5)+EXP(-(J309-$J$42-$B$3)/$B$5)*$B$5/($B$4-$B$5))</f>
        <v/>
      </c>
      <c r="M309">
        <f>$D$2*M308-$D$3*M307 + $D$4*K269+$D$5*K270</f>
        <v/>
      </c>
      <c r="N309">
        <f>$E$2 *N299 - $E$3 *N289 + $E$4 *K258 + $E$5 * K248</f>
        <v/>
      </c>
      <c r="O309">
        <f>$F$2 * O289 - $F$3 * O269 + $F$4 * K249 + $F$5 * K229</f>
        <v/>
      </c>
      <c r="Q309">
        <f>L309-M309</f>
        <v/>
      </c>
      <c r="R309">
        <f>L309-N309</f>
        <v/>
      </c>
      <c r="S309">
        <f>L309-O309</f>
        <v/>
      </c>
    </row>
    <row r="310">
      <c r="J310" t="n">
        <v>308</v>
      </c>
      <c r="K310" t="n">
        <v>1</v>
      </c>
      <c r="L310">
        <f>$B$2*K310*(1-EXP(-(J310-$J$42-$B$3)/$B$4)*$B$4/($B$4-$B$5)+EXP(-(J310-$J$42-$B$3)/$B$5)*$B$5/($B$4-$B$5))</f>
        <v/>
      </c>
      <c r="M310">
        <f>$D$2*M309-$D$3*M308 + $D$4*K270+$D$5*K271</f>
        <v/>
      </c>
      <c r="N310">
        <f>$E$2 *N300 - $E$3 *N290 + $E$4 *K259 + $E$5 * K249</f>
        <v/>
      </c>
      <c r="O310">
        <f>$F$2 * O290 - $F$3 * O270 + $F$4 * K250 + $F$5 * K230</f>
        <v/>
      </c>
      <c r="Q310">
        <f>L310-M310</f>
        <v/>
      </c>
      <c r="R310">
        <f>L310-N310</f>
        <v/>
      </c>
      <c r="S310">
        <f>L310-O310</f>
        <v/>
      </c>
    </row>
    <row r="311">
      <c r="J311" t="n">
        <v>309</v>
      </c>
      <c r="K311" t="n">
        <v>1</v>
      </c>
      <c r="L311">
        <f>$B$2*K311*(1-EXP(-(J311-$J$42-$B$3)/$B$4)*$B$4/($B$4-$B$5)+EXP(-(J311-$J$42-$B$3)/$B$5)*$B$5/($B$4-$B$5))</f>
        <v/>
      </c>
      <c r="M311">
        <f>$D$2*M310-$D$3*M309 + $D$4*K271+$D$5*K272</f>
        <v/>
      </c>
      <c r="N311">
        <f>$E$2 *N301 - $E$3 *N291 + $E$4 *K260 + $E$5 * K250</f>
        <v/>
      </c>
      <c r="O311">
        <f>$F$2 * O291 - $F$3 * O271 + $F$4 * K251 + $F$5 * K231</f>
        <v/>
      </c>
      <c r="Q311">
        <f>L311-M311</f>
        <v/>
      </c>
      <c r="R311">
        <f>L311-N311</f>
        <v/>
      </c>
      <c r="S311">
        <f>L311-O311</f>
        <v/>
      </c>
    </row>
    <row r="312">
      <c r="J312" t="n">
        <v>310</v>
      </c>
      <c r="K312" t="n">
        <v>1</v>
      </c>
      <c r="L312">
        <f>$B$2*K312*(1-EXP(-(J312-$J$42-$B$3)/$B$4)*$B$4/($B$4-$B$5)+EXP(-(J312-$J$42-$B$3)/$B$5)*$B$5/($B$4-$B$5))</f>
        <v/>
      </c>
      <c r="M312">
        <f>$D$2*M311-$D$3*M310 + $D$4*K272+$D$5*K273</f>
        <v/>
      </c>
      <c r="N312">
        <f>$E$2 *N302 - $E$3 *N292 + $E$4 *K261 + $E$5 * K251</f>
        <v/>
      </c>
      <c r="O312">
        <f>$F$2 * O292 - $F$3 * O272 + $F$4 * K252 + $F$5 * K232</f>
        <v/>
      </c>
      <c r="Q312">
        <f>L312-M312</f>
        <v/>
      </c>
      <c r="R312">
        <f>L312-N312</f>
        <v/>
      </c>
      <c r="S312">
        <f>L312-O312</f>
        <v/>
      </c>
    </row>
    <row r="313">
      <c r="J313" t="n">
        <v>311</v>
      </c>
      <c r="K313" t="n">
        <v>1</v>
      </c>
      <c r="L313">
        <f>$B$2*K313*(1-EXP(-(J313-$J$42-$B$3)/$B$4)*$B$4/($B$4-$B$5)+EXP(-(J313-$J$42-$B$3)/$B$5)*$B$5/($B$4-$B$5))</f>
        <v/>
      </c>
      <c r="M313">
        <f>$D$2*M312-$D$3*M311 + $D$4*K273+$D$5*K274</f>
        <v/>
      </c>
      <c r="N313">
        <f>$E$2 *N303 - $E$3 *N293 + $E$4 *K262 + $E$5 * K252</f>
        <v/>
      </c>
      <c r="O313">
        <f>$F$2 * O293 - $F$3 * O273 + $F$4 * K253 + $F$5 * K233</f>
        <v/>
      </c>
      <c r="Q313">
        <f>L313-M313</f>
        <v/>
      </c>
      <c r="R313">
        <f>L313-N313</f>
        <v/>
      </c>
      <c r="S313">
        <f>L313-O313</f>
        <v/>
      </c>
    </row>
    <row r="314">
      <c r="J314" t="n">
        <v>312</v>
      </c>
      <c r="K314" t="n">
        <v>1</v>
      </c>
      <c r="L314">
        <f>$B$2*K314*(1-EXP(-(J314-$J$42-$B$3)/$B$4)*$B$4/($B$4-$B$5)+EXP(-(J314-$J$42-$B$3)/$B$5)*$B$5/($B$4-$B$5))</f>
        <v/>
      </c>
      <c r="M314">
        <f>$D$2*M313-$D$3*M312 + $D$4*K274+$D$5*K275</f>
        <v/>
      </c>
      <c r="N314">
        <f>$E$2 *N304 - $E$3 *N294 + $E$4 *K263 + $E$5 * K253</f>
        <v/>
      </c>
      <c r="O314">
        <f>$F$2 * O294 - $F$3 * O274 + $F$4 * K254 + $F$5 * K234</f>
        <v/>
      </c>
      <c r="Q314">
        <f>L314-M314</f>
        <v/>
      </c>
      <c r="R314">
        <f>L314-N314</f>
        <v/>
      </c>
      <c r="S314">
        <f>L314-O314</f>
        <v/>
      </c>
    </row>
    <row r="315">
      <c r="J315" t="n">
        <v>313</v>
      </c>
      <c r="K315" t="n">
        <v>1</v>
      </c>
      <c r="L315">
        <f>$B$2*K315*(1-EXP(-(J315-$J$42-$B$3)/$B$4)*$B$4/($B$4-$B$5)+EXP(-(J315-$J$42-$B$3)/$B$5)*$B$5/($B$4-$B$5))</f>
        <v/>
      </c>
      <c r="M315">
        <f>$D$2*M314-$D$3*M313 + $D$4*K275+$D$5*K276</f>
        <v/>
      </c>
      <c r="N315">
        <f>$E$2 *N305 - $E$3 *N295 + $E$4 *K264 + $E$5 * K254</f>
        <v/>
      </c>
      <c r="O315">
        <f>$F$2 * O295 - $F$3 * O275 + $F$4 * K255 + $F$5 * K235</f>
        <v/>
      </c>
      <c r="Q315">
        <f>L315-M315</f>
        <v/>
      </c>
      <c r="R315">
        <f>L315-N315</f>
        <v/>
      </c>
      <c r="S315">
        <f>L315-O315</f>
        <v/>
      </c>
    </row>
    <row r="316">
      <c r="J316" t="n">
        <v>314</v>
      </c>
      <c r="K316" t="n">
        <v>1</v>
      </c>
      <c r="L316">
        <f>$B$2*K316*(1-EXP(-(J316-$J$42-$B$3)/$B$4)*$B$4/($B$4-$B$5)+EXP(-(J316-$J$42-$B$3)/$B$5)*$B$5/($B$4-$B$5))</f>
        <v/>
      </c>
      <c r="M316">
        <f>$D$2*M315-$D$3*M314 + $D$4*K276+$D$5*K277</f>
        <v/>
      </c>
      <c r="N316">
        <f>$E$2 *N306 - $E$3 *N296 + $E$4 *K265 + $E$5 * K255</f>
        <v/>
      </c>
      <c r="O316">
        <f>$F$2 * O296 - $F$3 * O276 + $F$4 * K256 + $F$5 * K236</f>
        <v/>
      </c>
      <c r="Q316">
        <f>L316-M316</f>
        <v/>
      </c>
      <c r="R316">
        <f>L316-N316</f>
        <v/>
      </c>
      <c r="S316">
        <f>L316-O316</f>
        <v/>
      </c>
    </row>
    <row r="317">
      <c r="J317" t="n">
        <v>315</v>
      </c>
      <c r="K317" t="n">
        <v>1</v>
      </c>
      <c r="L317">
        <f>$B$2*K317*(1-EXP(-(J317-$J$42-$B$3)/$B$4)*$B$4/($B$4-$B$5)+EXP(-(J317-$J$42-$B$3)/$B$5)*$B$5/($B$4-$B$5))</f>
        <v/>
      </c>
      <c r="M317">
        <f>$D$2*M316-$D$3*M315 + $D$4*K277+$D$5*K278</f>
        <v/>
      </c>
      <c r="N317">
        <f>$E$2 *N307 - $E$3 *N297 + $E$4 *K266 + $E$5 * K256</f>
        <v/>
      </c>
      <c r="O317">
        <f>$F$2 * O297 - $F$3 * O277 + $F$4 * K257 + $F$5 * K237</f>
        <v/>
      </c>
      <c r="Q317">
        <f>L317-M317</f>
        <v/>
      </c>
      <c r="R317">
        <f>L317-N317</f>
        <v/>
      </c>
      <c r="S317">
        <f>L317-O317</f>
        <v/>
      </c>
    </row>
    <row r="318">
      <c r="J318" t="n">
        <v>316</v>
      </c>
      <c r="K318" t="n">
        <v>1</v>
      </c>
      <c r="L318">
        <f>$B$2*K318*(1-EXP(-(J318-$J$42-$B$3)/$B$4)*$B$4/($B$4-$B$5)+EXP(-(J318-$J$42-$B$3)/$B$5)*$B$5/($B$4-$B$5))</f>
        <v/>
      </c>
      <c r="M318">
        <f>$D$2*M317-$D$3*M316 + $D$4*K278+$D$5*K279</f>
        <v/>
      </c>
      <c r="N318">
        <f>$E$2 *N308 - $E$3 *N298 + $E$4 *K267 + $E$5 * K257</f>
        <v/>
      </c>
      <c r="O318">
        <f>$F$2 * O298 - $F$3 * O278 + $F$4 * K258 + $F$5 * K238</f>
        <v/>
      </c>
      <c r="Q318">
        <f>L318-M318</f>
        <v/>
      </c>
      <c r="R318">
        <f>L318-N318</f>
        <v/>
      </c>
      <c r="S318">
        <f>L318-O318</f>
        <v/>
      </c>
    </row>
    <row r="319">
      <c r="J319" t="n">
        <v>317</v>
      </c>
      <c r="K319" t="n">
        <v>1</v>
      </c>
      <c r="L319">
        <f>$B$2*K319*(1-EXP(-(J319-$J$42-$B$3)/$B$4)*$B$4/($B$4-$B$5)+EXP(-(J319-$J$42-$B$3)/$B$5)*$B$5/($B$4-$B$5))</f>
        <v/>
      </c>
      <c r="M319">
        <f>$D$2*M318-$D$3*M317 + $D$4*K279+$D$5*K280</f>
        <v/>
      </c>
      <c r="N319">
        <f>$E$2 *N309 - $E$3 *N299 + $E$4 *K268 + $E$5 * K258</f>
        <v/>
      </c>
      <c r="O319">
        <f>$F$2 * O299 - $F$3 * O279 + $F$4 * K259 + $F$5 * K239</f>
        <v/>
      </c>
      <c r="Q319">
        <f>L319-M319</f>
        <v/>
      </c>
      <c r="R319">
        <f>L319-N319</f>
        <v/>
      </c>
      <c r="S319">
        <f>L319-O319</f>
        <v/>
      </c>
    </row>
    <row r="320">
      <c r="J320" t="n">
        <v>318</v>
      </c>
      <c r="K320" t="n">
        <v>1</v>
      </c>
      <c r="L320">
        <f>$B$2*K320*(1-EXP(-(J320-$J$42-$B$3)/$B$4)*$B$4/($B$4-$B$5)+EXP(-(J320-$J$42-$B$3)/$B$5)*$B$5/($B$4-$B$5))</f>
        <v/>
      </c>
      <c r="M320">
        <f>$D$2*M319-$D$3*M318 + $D$4*K280+$D$5*K281</f>
        <v/>
      </c>
      <c r="N320">
        <f>$E$2 *N310 - $E$3 *N300 + $E$4 *K269 + $E$5 * K259</f>
        <v/>
      </c>
      <c r="O320">
        <f>$F$2 * O300 - $F$3 * O280 + $F$4 * K260 + $F$5 * K240</f>
        <v/>
      </c>
      <c r="Q320">
        <f>L320-M320</f>
        <v/>
      </c>
      <c r="R320">
        <f>L320-N320</f>
        <v/>
      </c>
      <c r="S320">
        <f>L320-O320</f>
        <v/>
      </c>
    </row>
    <row r="321">
      <c r="J321" t="n">
        <v>319</v>
      </c>
      <c r="K321" t="n">
        <v>1</v>
      </c>
      <c r="L321">
        <f>$B$2*K321*(1-EXP(-(J321-$J$42-$B$3)/$B$4)*$B$4/($B$4-$B$5)+EXP(-(J321-$J$42-$B$3)/$B$5)*$B$5/($B$4-$B$5))</f>
        <v/>
      </c>
      <c r="M321">
        <f>$D$2*M320-$D$3*M319 + $D$4*K281+$D$5*K282</f>
        <v/>
      </c>
      <c r="N321">
        <f>$E$2 *N311 - $E$3 *N301 + $E$4 *K270 + $E$5 * K260</f>
        <v/>
      </c>
      <c r="O321">
        <f>$F$2 * O301 - $F$3 * O281 + $F$4 * K261 + $F$5 * K241</f>
        <v/>
      </c>
      <c r="Q321">
        <f>L321-M321</f>
        <v/>
      </c>
      <c r="R321">
        <f>L321-N321</f>
        <v/>
      </c>
      <c r="S321">
        <f>L321-O321</f>
        <v/>
      </c>
    </row>
    <row r="322">
      <c r="J322" t="n">
        <v>320</v>
      </c>
      <c r="K322" t="n">
        <v>1</v>
      </c>
      <c r="L322">
        <f>$B$2*K322*(1-EXP(-(J322-$J$42-$B$3)/$B$4)*$B$4/($B$4-$B$5)+EXP(-(J322-$J$42-$B$3)/$B$5)*$B$5/($B$4-$B$5))</f>
        <v/>
      </c>
      <c r="M322">
        <f>$D$2*M321-$D$3*M320 + $D$4*K282+$D$5*K283</f>
        <v/>
      </c>
      <c r="N322">
        <f>$E$2 *N312 - $E$3 *N302 + $E$4 *K271 + $E$5 * K261</f>
        <v/>
      </c>
      <c r="O322">
        <f>$F$2 * O302 - $F$3 * O282 + $F$4 * K262 + $F$5 * K242</f>
        <v/>
      </c>
      <c r="Q322">
        <f>L322-M322</f>
        <v/>
      </c>
      <c r="R322">
        <f>L322-N322</f>
        <v/>
      </c>
      <c r="S322">
        <f>L322-O322</f>
        <v/>
      </c>
    </row>
    <row r="323">
      <c r="J323" t="n">
        <v>321</v>
      </c>
      <c r="K323" t="n">
        <v>1</v>
      </c>
      <c r="L323">
        <f>$B$2*K323*(1-EXP(-(J323-$J$42-$B$3)/$B$4)*$B$4/($B$4-$B$5)+EXP(-(J323-$J$42-$B$3)/$B$5)*$B$5/($B$4-$B$5))</f>
        <v/>
      </c>
      <c r="M323">
        <f>$D$2*M322-$D$3*M321 + $D$4*K283+$D$5*K284</f>
        <v/>
      </c>
      <c r="N323">
        <f>$E$2 *N313 - $E$3 *N303 + $E$4 *K272 + $E$5 * K262</f>
        <v/>
      </c>
      <c r="O323">
        <f>$F$2 * O303 - $F$3 * O283 + $F$4 * K263 + $F$5 * K243</f>
        <v/>
      </c>
      <c r="Q323">
        <f>L323-M323</f>
        <v/>
      </c>
      <c r="R323">
        <f>L323-N323</f>
        <v/>
      </c>
      <c r="S323">
        <f>L323-O323</f>
        <v/>
      </c>
    </row>
    <row r="324">
      <c r="J324" t="n">
        <v>322</v>
      </c>
      <c r="K324" t="n">
        <v>1</v>
      </c>
      <c r="L324">
        <f>$B$2*K324*(1-EXP(-(J324-$J$42-$B$3)/$B$4)*$B$4/($B$4-$B$5)+EXP(-(J324-$J$42-$B$3)/$B$5)*$B$5/($B$4-$B$5))</f>
        <v/>
      </c>
      <c r="M324">
        <f>$D$2*M323-$D$3*M322 + $D$4*K284+$D$5*K285</f>
        <v/>
      </c>
      <c r="N324">
        <f>$E$2 *N314 - $E$3 *N304 + $E$4 *K273 + $E$5 * K263</f>
        <v/>
      </c>
      <c r="O324">
        <f>$F$2 * O304 - $F$3 * O284 + $F$4 * K264 + $F$5 * K244</f>
        <v/>
      </c>
      <c r="Q324">
        <f>L324-M324</f>
        <v/>
      </c>
      <c r="R324">
        <f>L324-N324</f>
        <v/>
      </c>
      <c r="S324">
        <f>L324-O324</f>
        <v/>
      </c>
    </row>
    <row r="325">
      <c r="J325" t="n">
        <v>323</v>
      </c>
      <c r="K325" t="n">
        <v>1</v>
      </c>
      <c r="L325">
        <f>$B$2*K325*(1-EXP(-(J325-$J$42-$B$3)/$B$4)*$B$4/($B$4-$B$5)+EXP(-(J325-$J$42-$B$3)/$B$5)*$B$5/($B$4-$B$5))</f>
        <v/>
      </c>
      <c r="M325">
        <f>$D$2*M324-$D$3*M323 + $D$4*K285+$D$5*K286</f>
        <v/>
      </c>
      <c r="N325">
        <f>$E$2 *N315 - $E$3 *N305 + $E$4 *K274 + $E$5 * K264</f>
        <v/>
      </c>
      <c r="O325">
        <f>$F$2 * O305 - $F$3 * O285 + $F$4 * K265 + $F$5 * K245</f>
        <v/>
      </c>
      <c r="Q325">
        <f>L325-M325</f>
        <v/>
      </c>
      <c r="R325">
        <f>L325-N325</f>
        <v/>
      </c>
      <c r="S325">
        <f>L325-O325</f>
        <v/>
      </c>
    </row>
    <row r="326">
      <c r="J326" t="n">
        <v>324</v>
      </c>
      <c r="K326" t="n">
        <v>1</v>
      </c>
      <c r="L326">
        <f>$B$2*K326*(1-EXP(-(J326-$J$42-$B$3)/$B$4)*$B$4/($B$4-$B$5)+EXP(-(J326-$J$42-$B$3)/$B$5)*$B$5/($B$4-$B$5))</f>
        <v/>
      </c>
      <c r="M326">
        <f>$D$2*M325-$D$3*M324 + $D$4*K286+$D$5*K287</f>
        <v/>
      </c>
      <c r="N326">
        <f>$E$2 *N316 - $E$3 *N306 + $E$4 *K275 + $E$5 * K265</f>
        <v/>
      </c>
      <c r="O326">
        <f>$F$2 * O306 - $F$3 * O286 + $F$4 * K266 + $F$5 * K246</f>
        <v/>
      </c>
      <c r="Q326">
        <f>L326-M326</f>
        <v/>
      </c>
      <c r="R326">
        <f>L326-N326</f>
        <v/>
      </c>
      <c r="S326">
        <f>L326-O326</f>
        <v/>
      </c>
    </row>
    <row r="327">
      <c r="J327" t="n">
        <v>325</v>
      </c>
      <c r="K327" t="n">
        <v>1</v>
      </c>
      <c r="L327">
        <f>$B$2*K327*(1-EXP(-(J327-$J$42-$B$3)/$B$4)*$B$4/($B$4-$B$5)+EXP(-(J327-$J$42-$B$3)/$B$5)*$B$5/($B$4-$B$5))</f>
        <v/>
      </c>
      <c r="M327">
        <f>$D$2*M326-$D$3*M325 + $D$4*K287+$D$5*K288</f>
        <v/>
      </c>
      <c r="N327">
        <f>$E$2 *N317 - $E$3 *N307 + $E$4 *K276 + $E$5 * K266</f>
        <v/>
      </c>
      <c r="O327">
        <f>$F$2 * O307 - $F$3 * O287 + $F$4 * K267 + $F$5 * K247</f>
        <v/>
      </c>
      <c r="Q327">
        <f>L327-M327</f>
        <v/>
      </c>
      <c r="R327">
        <f>L327-N327</f>
        <v/>
      </c>
      <c r="S327">
        <f>L327-O327</f>
        <v/>
      </c>
    </row>
    <row r="328">
      <c r="J328" t="n">
        <v>326</v>
      </c>
      <c r="K328" t="n">
        <v>1</v>
      </c>
      <c r="L328">
        <f>$B$2*K328*(1-EXP(-(J328-$J$42-$B$3)/$B$4)*$B$4/($B$4-$B$5)+EXP(-(J328-$J$42-$B$3)/$B$5)*$B$5/($B$4-$B$5))</f>
        <v/>
      </c>
      <c r="M328">
        <f>$D$2*M327-$D$3*M326 + $D$4*K288+$D$5*K289</f>
        <v/>
      </c>
      <c r="N328">
        <f>$E$2 *N318 - $E$3 *N308 + $E$4 *K277 + $E$5 * K267</f>
        <v/>
      </c>
      <c r="O328">
        <f>$F$2 * O308 - $F$3 * O288 + $F$4 * K268 + $F$5 * K248</f>
        <v/>
      </c>
      <c r="Q328">
        <f>L328-M328</f>
        <v/>
      </c>
      <c r="R328">
        <f>L328-N328</f>
        <v/>
      </c>
      <c r="S328">
        <f>L328-O328</f>
        <v/>
      </c>
    </row>
    <row r="329">
      <c r="J329" t="n">
        <v>327</v>
      </c>
      <c r="K329" t="n">
        <v>1</v>
      </c>
      <c r="L329">
        <f>$B$2*K329*(1-EXP(-(J329-$J$42-$B$3)/$B$4)*$B$4/($B$4-$B$5)+EXP(-(J329-$J$42-$B$3)/$B$5)*$B$5/($B$4-$B$5))</f>
        <v/>
      </c>
      <c r="M329">
        <f>$D$2*M328-$D$3*M327 + $D$4*K289+$D$5*K290</f>
        <v/>
      </c>
      <c r="N329">
        <f>$E$2 *N319 - $E$3 *N309 + $E$4 *K278 + $E$5 * K268</f>
        <v/>
      </c>
      <c r="O329">
        <f>$F$2 * O309 - $F$3 * O289 + $F$4 * K269 + $F$5 * K249</f>
        <v/>
      </c>
      <c r="Q329">
        <f>L329-M329</f>
        <v/>
      </c>
      <c r="R329">
        <f>L329-N329</f>
        <v/>
      </c>
      <c r="S329">
        <f>L329-O329</f>
        <v/>
      </c>
    </row>
    <row r="330">
      <c r="J330" t="n">
        <v>328</v>
      </c>
      <c r="K330" t="n">
        <v>1</v>
      </c>
      <c r="L330">
        <f>$B$2*K330*(1-EXP(-(J330-$J$42-$B$3)/$B$4)*$B$4/($B$4-$B$5)+EXP(-(J330-$J$42-$B$3)/$B$5)*$B$5/($B$4-$B$5))</f>
        <v/>
      </c>
      <c r="M330">
        <f>$D$2*M329-$D$3*M328 + $D$4*K290+$D$5*K291</f>
        <v/>
      </c>
      <c r="N330">
        <f>$E$2 *N320 - $E$3 *N310 + $E$4 *K279 + $E$5 * K269</f>
        <v/>
      </c>
      <c r="O330">
        <f>$F$2 * O310 - $F$3 * O290 + $F$4 * K270 + $F$5 * K250</f>
        <v/>
      </c>
      <c r="Q330">
        <f>L330-M330</f>
        <v/>
      </c>
      <c r="R330">
        <f>L330-N330</f>
        <v/>
      </c>
      <c r="S330">
        <f>L330-O330</f>
        <v/>
      </c>
    </row>
    <row r="331">
      <c r="J331" t="n">
        <v>329</v>
      </c>
      <c r="K331" t="n">
        <v>1</v>
      </c>
      <c r="L331">
        <f>$B$2*K331*(1-EXP(-(J331-$J$42-$B$3)/$B$4)*$B$4/($B$4-$B$5)+EXP(-(J331-$J$42-$B$3)/$B$5)*$B$5/($B$4-$B$5))</f>
        <v/>
      </c>
      <c r="M331">
        <f>$D$2*M330-$D$3*M329 + $D$4*K291+$D$5*K292</f>
        <v/>
      </c>
      <c r="N331">
        <f>$E$2 *N321 - $E$3 *N311 + $E$4 *K280 + $E$5 * K270</f>
        <v/>
      </c>
      <c r="O331">
        <f>$F$2 * O311 - $F$3 * O291 + $F$4 * K271 + $F$5 * K251</f>
        <v/>
      </c>
      <c r="Q331">
        <f>L331-M331</f>
        <v/>
      </c>
      <c r="R331">
        <f>L331-N331</f>
        <v/>
      </c>
      <c r="S331">
        <f>L331-O331</f>
        <v/>
      </c>
    </row>
    <row r="332">
      <c r="J332" t="n">
        <v>330</v>
      </c>
      <c r="K332" t="n">
        <v>1</v>
      </c>
      <c r="L332">
        <f>$B$2*K332*(1-EXP(-(J332-$J$42-$B$3)/$B$4)*$B$4/($B$4-$B$5)+EXP(-(J332-$J$42-$B$3)/$B$5)*$B$5/($B$4-$B$5))</f>
        <v/>
      </c>
      <c r="M332">
        <f>$D$2*M331-$D$3*M330 + $D$4*K292+$D$5*K293</f>
        <v/>
      </c>
      <c r="N332">
        <f>$E$2 *N322 - $E$3 *N312 + $E$4 *K281 + $E$5 * K271</f>
        <v/>
      </c>
      <c r="O332">
        <f>$F$2 * O312 - $F$3 * O292 + $F$4 * K272 + $F$5 * K252</f>
        <v/>
      </c>
      <c r="Q332">
        <f>L332-M332</f>
        <v/>
      </c>
      <c r="R332">
        <f>L332-N332</f>
        <v/>
      </c>
      <c r="S332">
        <f>L332-O332</f>
        <v/>
      </c>
    </row>
    <row r="333">
      <c r="J333" t="n">
        <v>331</v>
      </c>
      <c r="K333" t="n">
        <v>1</v>
      </c>
      <c r="L333">
        <f>$B$2*K333*(1-EXP(-(J333-$J$42-$B$3)/$B$4)*$B$4/($B$4-$B$5)+EXP(-(J333-$J$42-$B$3)/$B$5)*$B$5/($B$4-$B$5))</f>
        <v/>
      </c>
      <c r="M333">
        <f>$D$2*M332-$D$3*M331 + $D$4*K293+$D$5*K294</f>
        <v/>
      </c>
      <c r="N333">
        <f>$E$2 *N323 - $E$3 *N313 + $E$4 *K282 + $E$5 * K272</f>
        <v/>
      </c>
      <c r="O333">
        <f>$F$2 * O313 - $F$3 * O293 + $F$4 * K273 + $F$5 * K253</f>
        <v/>
      </c>
      <c r="Q333">
        <f>L333-M333</f>
        <v/>
      </c>
      <c r="R333">
        <f>L333-N333</f>
        <v/>
      </c>
      <c r="S333">
        <f>L333-O333</f>
        <v/>
      </c>
    </row>
    <row r="334">
      <c r="J334" t="n">
        <v>332</v>
      </c>
      <c r="K334" t="n">
        <v>1</v>
      </c>
      <c r="L334">
        <f>$B$2*K334*(1-EXP(-(J334-$J$42-$B$3)/$B$4)*$B$4/($B$4-$B$5)+EXP(-(J334-$J$42-$B$3)/$B$5)*$B$5/($B$4-$B$5))</f>
        <v/>
      </c>
      <c r="M334">
        <f>$D$2*M333-$D$3*M332 + $D$4*K294+$D$5*K295</f>
        <v/>
      </c>
      <c r="N334">
        <f>$E$2 *N324 - $E$3 *N314 + $E$4 *K283 + $E$5 * K273</f>
        <v/>
      </c>
      <c r="O334">
        <f>$F$2 * O314 - $F$3 * O294 + $F$4 * K274 + $F$5 * K254</f>
        <v/>
      </c>
      <c r="Q334">
        <f>L334-M334</f>
        <v/>
      </c>
      <c r="R334">
        <f>L334-N334</f>
        <v/>
      </c>
      <c r="S334">
        <f>L334-O334</f>
        <v/>
      </c>
    </row>
    <row r="335">
      <c r="J335" t="n">
        <v>333</v>
      </c>
      <c r="K335" t="n">
        <v>1</v>
      </c>
      <c r="L335">
        <f>$B$2*K335*(1-EXP(-(J335-$J$42-$B$3)/$B$4)*$B$4/($B$4-$B$5)+EXP(-(J335-$J$42-$B$3)/$B$5)*$B$5/($B$4-$B$5))</f>
        <v/>
      </c>
      <c r="M335">
        <f>$D$2*M334-$D$3*M333 + $D$4*K295+$D$5*K296</f>
        <v/>
      </c>
      <c r="N335">
        <f>$E$2 *N325 - $E$3 *N315 + $E$4 *K284 + $E$5 * K274</f>
        <v/>
      </c>
      <c r="O335">
        <f>$F$2 * O315 - $F$3 * O295 + $F$4 * K275 + $F$5 * K255</f>
        <v/>
      </c>
      <c r="Q335">
        <f>L335-M335</f>
        <v/>
      </c>
      <c r="R335">
        <f>L335-N335</f>
        <v/>
      </c>
      <c r="S335">
        <f>L335-O335</f>
        <v/>
      </c>
    </row>
    <row r="336">
      <c r="J336" t="n">
        <v>334</v>
      </c>
      <c r="K336" t="n">
        <v>1</v>
      </c>
      <c r="L336">
        <f>$B$2*K336*(1-EXP(-(J336-$J$42-$B$3)/$B$4)*$B$4/($B$4-$B$5)+EXP(-(J336-$J$42-$B$3)/$B$5)*$B$5/($B$4-$B$5))</f>
        <v/>
      </c>
      <c r="M336">
        <f>$D$2*M335-$D$3*M334 + $D$4*K296+$D$5*K297</f>
        <v/>
      </c>
      <c r="N336">
        <f>$E$2 *N326 - $E$3 *N316 + $E$4 *K285 + $E$5 * K275</f>
        <v/>
      </c>
      <c r="O336">
        <f>$F$2 * O316 - $F$3 * O296 + $F$4 * K276 + $F$5 * K256</f>
        <v/>
      </c>
      <c r="Q336">
        <f>L336-M336</f>
        <v/>
      </c>
      <c r="R336">
        <f>L336-N336</f>
        <v/>
      </c>
      <c r="S336">
        <f>L336-O336</f>
        <v/>
      </c>
    </row>
    <row r="337">
      <c r="J337" t="n">
        <v>335</v>
      </c>
      <c r="K337" t="n">
        <v>1</v>
      </c>
      <c r="L337">
        <f>$B$2*K337*(1-EXP(-(J337-$J$42-$B$3)/$B$4)*$B$4/($B$4-$B$5)+EXP(-(J337-$J$42-$B$3)/$B$5)*$B$5/($B$4-$B$5))</f>
        <v/>
      </c>
      <c r="M337">
        <f>$D$2*M336-$D$3*M335 + $D$4*K297+$D$5*K298</f>
        <v/>
      </c>
      <c r="N337">
        <f>$E$2 *N327 - $E$3 *N317 + $E$4 *K286 + $E$5 * K276</f>
        <v/>
      </c>
      <c r="O337">
        <f>$F$2 * O317 - $F$3 * O297 + $F$4 * K277 + $F$5 * K257</f>
        <v/>
      </c>
      <c r="Q337">
        <f>L337-M337</f>
        <v/>
      </c>
      <c r="R337">
        <f>L337-N337</f>
        <v/>
      </c>
      <c r="S337">
        <f>L337-O337</f>
        <v/>
      </c>
    </row>
    <row r="338">
      <c r="J338" t="n">
        <v>336</v>
      </c>
      <c r="K338" t="n">
        <v>1</v>
      </c>
      <c r="L338">
        <f>$B$2*K338*(1-EXP(-(J338-$J$42-$B$3)/$B$4)*$B$4/($B$4-$B$5)+EXP(-(J338-$J$42-$B$3)/$B$5)*$B$5/($B$4-$B$5))</f>
        <v/>
      </c>
      <c r="M338">
        <f>$D$2*M337-$D$3*M336 + $D$4*K298+$D$5*K299</f>
        <v/>
      </c>
      <c r="N338">
        <f>$E$2 *N328 - $E$3 *N318 + $E$4 *K287 + $E$5 * K277</f>
        <v/>
      </c>
      <c r="O338">
        <f>$F$2 * O318 - $F$3 * O298 + $F$4 * K278 + $F$5 * K258</f>
        <v/>
      </c>
      <c r="Q338">
        <f>L338-M338</f>
        <v/>
      </c>
      <c r="R338">
        <f>L338-N338</f>
        <v/>
      </c>
      <c r="S338">
        <f>L338-O338</f>
        <v/>
      </c>
    </row>
    <row r="339">
      <c r="J339" t="n">
        <v>337</v>
      </c>
      <c r="K339" t="n">
        <v>1</v>
      </c>
      <c r="L339">
        <f>$B$2*K339*(1-EXP(-(J339-$J$42-$B$3)/$B$4)*$B$4/($B$4-$B$5)+EXP(-(J339-$J$42-$B$3)/$B$5)*$B$5/($B$4-$B$5))</f>
        <v/>
      </c>
      <c r="M339">
        <f>$D$2*M338-$D$3*M337 + $D$4*K299+$D$5*K300</f>
        <v/>
      </c>
      <c r="N339">
        <f>$E$2 *N329 - $E$3 *N319 + $E$4 *K288 + $E$5 * K278</f>
        <v/>
      </c>
      <c r="O339">
        <f>$F$2 * O319 - $F$3 * O299 + $F$4 * K279 + $F$5 * K259</f>
        <v/>
      </c>
      <c r="Q339">
        <f>L339-M339</f>
        <v/>
      </c>
      <c r="R339">
        <f>L339-N339</f>
        <v/>
      </c>
      <c r="S339">
        <f>L339-O339</f>
        <v/>
      </c>
    </row>
    <row r="340">
      <c r="J340" t="n">
        <v>338</v>
      </c>
      <c r="K340" t="n">
        <v>1</v>
      </c>
      <c r="L340">
        <f>$B$2*K340*(1-EXP(-(J340-$J$42-$B$3)/$B$4)*$B$4/($B$4-$B$5)+EXP(-(J340-$J$42-$B$3)/$B$5)*$B$5/($B$4-$B$5))</f>
        <v/>
      </c>
      <c r="M340">
        <f>$D$2*M339-$D$3*M338 + $D$4*K300+$D$5*K301</f>
        <v/>
      </c>
      <c r="N340">
        <f>$E$2 *N330 - $E$3 *N320 + $E$4 *K289 + $E$5 * K279</f>
        <v/>
      </c>
      <c r="O340">
        <f>$F$2 * O320 - $F$3 * O300 + $F$4 * K280 + $F$5 * K260</f>
        <v/>
      </c>
      <c r="Q340">
        <f>L340-M340</f>
        <v/>
      </c>
      <c r="R340">
        <f>L340-N340</f>
        <v/>
      </c>
      <c r="S340">
        <f>L340-O340</f>
        <v/>
      </c>
    </row>
    <row r="341">
      <c r="J341" t="n">
        <v>339</v>
      </c>
      <c r="K341" t="n">
        <v>1</v>
      </c>
      <c r="L341">
        <f>$B$2*K341*(1-EXP(-(J341-$J$42-$B$3)/$B$4)*$B$4/($B$4-$B$5)+EXP(-(J341-$J$42-$B$3)/$B$5)*$B$5/($B$4-$B$5))</f>
        <v/>
      </c>
      <c r="M341">
        <f>$D$2*M340-$D$3*M339 + $D$4*K301+$D$5*K302</f>
        <v/>
      </c>
      <c r="N341">
        <f>$E$2 *N331 - $E$3 *N321 + $E$4 *K290 + $E$5 * K280</f>
        <v/>
      </c>
      <c r="O341">
        <f>$F$2 * O321 - $F$3 * O301 + $F$4 * K281 + $F$5 * K261</f>
        <v/>
      </c>
      <c r="Q341">
        <f>L341-M341</f>
        <v/>
      </c>
      <c r="R341">
        <f>L341-N341</f>
        <v/>
      </c>
      <c r="S341">
        <f>L341-O341</f>
        <v/>
      </c>
    </row>
    <row r="342">
      <c r="J342" t="n">
        <v>340</v>
      </c>
      <c r="K342" t="n">
        <v>1</v>
      </c>
      <c r="L342">
        <f>$B$2*K342*(1-EXP(-(J342-$J$42-$B$3)/$B$4)*$B$4/($B$4-$B$5)+EXP(-(J342-$J$42-$B$3)/$B$5)*$B$5/($B$4-$B$5))</f>
        <v/>
      </c>
      <c r="M342">
        <f>$D$2*M341-$D$3*M340 + $D$4*K302+$D$5*K303</f>
        <v/>
      </c>
      <c r="N342">
        <f>$E$2 *N332 - $E$3 *N322 + $E$4 *K291 + $E$5 * K281</f>
        <v/>
      </c>
      <c r="O342">
        <f>$F$2 * O322 - $F$3 * O302 + $F$4 * K282 + $F$5 * K262</f>
        <v/>
      </c>
      <c r="Q342">
        <f>L342-M342</f>
        <v/>
      </c>
      <c r="R342">
        <f>L342-N342</f>
        <v/>
      </c>
      <c r="S342">
        <f>L342-O342</f>
        <v/>
      </c>
    </row>
    <row r="343">
      <c r="J343" t="n">
        <v>341</v>
      </c>
      <c r="K343" t="n">
        <v>1</v>
      </c>
      <c r="L343">
        <f>$B$2*K343*(1-EXP(-(J343-$J$42-$B$3)/$B$4)*$B$4/($B$4-$B$5)+EXP(-(J343-$J$42-$B$3)/$B$5)*$B$5/($B$4-$B$5))</f>
        <v/>
      </c>
      <c r="M343">
        <f>$D$2*M342-$D$3*M341 + $D$4*K303+$D$5*K304</f>
        <v/>
      </c>
      <c r="N343">
        <f>$E$2 *N333 - $E$3 *N323 + $E$4 *K292 + $E$5 * K282</f>
        <v/>
      </c>
      <c r="O343">
        <f>$F$2 * O323 - $F$3 * O303 + $F$4 * K283 + $F$5 * K263</f>
        <v/>
      </c>
      <c r="Q343">
        <f>L343-M343</f>
        <v/>
      </c>
      <c r="R343">
        <f>L343-N343</f>
        <v/>
      </c>
      <c r="S343">
        <f>L343-O343</f>
        <v/>
      </c>
    </row>
    <row r="344">
      <c r="J344" t="n">
        <v>342</v>
      </c>
      <c r="K344" t="n">
        <v>1</v>
      </c>
      <c r="L344">
        <f>$B$2*K344*(1-EXP(-(J344-$J$42-$B$3)/$B$4)*$B$4/($B$4-$B$5)+EXP(-(J344-$J$42-$B$3)/$B$5)*$B$5/($B$4-$B$5))</f>
        <v/>
      </c>
      <c r="M344">
        <f>$D$2*M343-$D$3*M342 + $D$4*K304+$D$5*K305</f>
        <v/>
      </c>
      <c r="N344">
        <f>$E$2 *N334 - $E$3 *N324 + $E$4 *K293 + $E$5 * K283</f>
        <v/>
      </c>
      <c r="O344">
        <f>$F$2 * O324 - $F$3 * O304 + $F$4 * K284 + $F$5 * K264</f>
        <v/>
      </c>
      <c r="Q344">
        <f>L344-M344</f>
        <v/>
      </c>
      <c r="R344">
        <f>L344-N344</f>
        <v/>
      </c>
      <c r="S344">
        <f>L344-O344</f>
        <v/>
      </c>
    </row>
    <row r="345">
      <c r="J345" t="n">
        <v>343</v>
      </c>
      <c r="K345" t="n">
        <v>1</v>
      </c>
      <c r="L345">
        <f>$B$2*K345*(1-EXP(-(J345-$J$42-$B$3)/$B$4)*$B$4/($B$4-$B$5)+EXP(-(J345-$J$42-$B$3)/$B$5)*$B$5/($B$4-$B$5))</f>
        <v/>
      </c>
      <c r="M345">
        <f>$D$2*M344-$D$3*M343 + $D$4*K305+$D$5*K306</f>
        <v/>
      </c>
      <c r="N345">
        <f>$E$2 *N335 - $E$3 *N325 + $E$4 *K294 + $E$5 * K284</f>
        <v/>
      </c>
      <c r="O345">
        <f>$F$2 * O325 - $F$3 * O305 + $F$4 * K285 + $F$5 * K265</f>
        <v/>
      </c>
      <c r="Q345">
        <f>L345-M345</f>
        <v/>
      </c>
      <c r="R345">
        <f>L345-N345</f>
        <v/>
      </c>
      <c r="S345">
        <f>L345-O345</f>
        <v/>
      </c>
    </row>
    <row r="346">
      <c r="J346" t="n">
        <v>344</v>
      </c>
      <c r="K346" t="n">
        <v>1</v>
      </c>
      <c r="L346">
        <f>$B$2*K346*(1-EXP(-(J346-$J$42-$B$3)/$B$4)*$B$4/($B$4-$B$5)+EXP(-(J346-$J$42-$B$3)/$B$5)*$B$5/($B$4-$B$5))</f>
        <v/>
      </c>
      <c r="M346">
        <f>$D$2*M345-$D$3*M344 + $D$4*K306+$D$5*K307</f>
        <v/>
      </c>
      <c r="N346">
        <f>$E$2 *N336 - $E$3 *N326 + $E$4 *K295 + $E$5 * K285</f>
        <v/>
      </c>
      <c r="O346">
        <f>$F$2 * O326 - $F$3 * O306 + $F$4 * K286 + $F$5 * K266</f>
        <v/>
      </c>
      <c r="Q346">
        <f>L346-M346</f>
        <v/>
      </c>
      <c r="R346">
        <f>L346-N346</f>
        <v/>
      </c>
      <c r="S346">
        <f>L346-O346</f>
        <v/>
      </c>
    </row>
    <row r="347">
      <c r="J347" t="n">
        <v>345</v>
      </c>
      <c r="K347" t="n">
        <v>1</v>
      </c>
      <c r="L347">
        <f>$B$2*K347*(1-EXP(-(J347-$J$42-$B$3)/$B$4)*$B$4/($B$4-$B$5)+EXP(-(J347-$J$42-$B$3)/$B$5)*$B$5/($B$4-$B$5))</f>
        <v/>
      </c>
      <c r="M347">
        <f>$D$2*M346-$D$3*M345 + $D$4*K307+$D$5*K308</f>
        <v/>
      </c>
      <c r="N347">
        <f>$E$2 *N337 - $E$3 *N327 + $E$4 *K296 + $E$5 * K286</f>
        <v/>
      </c>
      <c r="O347">
        <f>$F$2 * O327 - $F$3 * O307 + $F$4 * K287 + $F$5 * K267</f>
        <v/>
      </c>
      <c r="Q347">
        <f>L347-M347</f>
        <v/>
      </c>
      <c r="R347">
        <f>L347-N347</f>
        <v/>
      </c>
      <c r="S347">
        <f>L347-O347</f>
        <v/>
      </c>
    </row>
    <row r="348">
      <c r="J348" t="n">
        <v>346</v>
      </c>
      <c r="K348" t="n">
        <v>1</v>
      </c>
      <c r="L348">
        <f>$B$2*K348*(1-EXP(-(J348-$J$42-$B$3)/$B$4)*$B$4/($B$4-$B$5)+EXP(-(J348-$J$42-$B$3)/$B$5)*$B$5/($B$4-$B$5))</f>
        <v/>
      </c>
      <c r="M348">
        <f>$D$2*M347-$D$3*M346 + $D$4*K308+$D$5*K309</f>
        <v/>
      </c>
      <c r="N348">
        <f>$E$2 *N338 - $E$3 *N328 + $E$4 *K297 + $E$5 * K287</f>
        <v/>
      </c>
      <c r="O348">
        <f>$F$2 * O328 - $F$3 * O308 + $F$4 * K288 + $F$5 * K268</f>
        <v/>
      </c>
      <c r="Q348">
        <f>L348-M348</f>
        <v/>
      </c>
      <c r="R348">
        <f>L348-N348</f>
        <v/>
      </c>
      <c r="S348">
        <f>L348-O348</f>
        <v/>
      </c>
    </row>
    <row r="349">
      <c r="J349" t="n">
        <v>347</v>
      </c>
      <c r="K349" t="n">
        <v>1</v>
      </c>
      <c r="L349">
        <f>$B$2*K349*(1-EXP(-(J349-$J$42-$B$3)/$B$4)*$B$4/($B$4-$B$5)+EXP(-(J349-$J$42-$B$3)/$B$5)*$B$5/($B$4-$B$5))</f>
        <v/>
      </c>
      <c r="M349">
        <f>$D$2*M348-$D$3*M347 + $D$4*K309+$D$5*K310</f>
        <v/>
      </c>
      <c r="N349">
        <f>$E$2 *N339 - $E$3 *N329 + $E$4 *K298 + $E$5 * K288</f>
        <v/>
      </c>
      <c r="O349">
        <f>$F$2 * O329 - $F$3 * O309 + $F$4 * K289 + $F$5 * K269</f>
        <v/>
      </c>
      <c r="Q349">
        <f>L349-M349</f>
        <v/>
      </c>
      <c r="R349">
        <f>L349-N349</f>
        <v/>
      </c>
      <c r="S349">
        <f>L349-O349</f>
        <v/>
      </c>
    </row>
    <row r="350">
      <c r="J350" t="n">
        <v>348</v>
      </c>
      <c r="K350" t="n">
        <v>1</v>
      </c>
      <c r="L350">
        <f>$B$2*K350*(1-EXP(-(J350-$J$42-$B$3)/$B$4)*$B$4/($B$4-$B$5)+EXP(-(J350-$J$42-$B$3)/$B$5)*$B$5/($B$4-$B$5))</f>
        <v/>
      </c>
      <c r="M350">
        <f>$D$2*M349-$D$3*M348 + $D$4*K310+$D$5*K311</f>
        <v/>
      </c>
      <c r="N350">
        <f>$E$2 *N340 - $E$3 *N330 + $E$4 *K299 + $E$5 * K289</f>
        <v/>
      </c>
      <c r="O350">
        <f>$F$2 * O330 - $F$3 * O310 + $F$4 * K290 + $F$5 * K270</f>
        <v/>
      </c>
      <c r="Q350">
        <f>L350-M350</f>
        <v/>
      </c>
      <c r="R350">
        <f>L350-N350</f>
        <v/>
      </c>
      <c r="S350">
        <f>L350-O350</f>
        <v/>
      </c>
    </row>
    <row r="351">
      <c r="J351" t="n">
        <v>349</v>
      </c>
      <c r="K351" t="n">
        <v>1</v>
      </c>
      <c r="L351">
        <f>$B$2*K351*(1-EXP(-(J351-$J$42-$B$3)/$B$4)*$B$4/($B$4-$B$5)+EXP(-(J351-$J$42-$B$3)/$B$5)*$B$5/($B$4-$B$5))</f>
        <v/>
      </c>
      <c r="M351">
        <f>$D$2*M350-$D$3*M349 + $D$4*K311+$D$5*K312</f>
        <v/>
      </c>
      <c r="N351">
        <f>$E$2 *N341 - $E$3 *N331 + $E$4 *K300 + $E$5 * K290</f>
        <v/>
      </c>
      <c r="O351">
        <f>$F$2 * O331 - $F$3 * O311 + $F$4 * K291 + $F$5 * K271</f>
        <v/>
      </c>
      <c r="Q351">
        <f>L351-M351</f>
        <v/>
      </c>
      <c r="R351">
        <f>L351-N351</f>
        <v/>
      </c>
      <c r="S351">
        <f>L351-O351</f>
        <v/>
      </c>
    </row>
    <row r="352">
      <c r="J352" t="n">
        <v>350</v>
      </c>
      <c r="K352" t="n">
        <v>1</v>
      </c>
      <c r="L352">
        <f>$B$2*K352*(1-EXP(-(J352-$J$42-$B$3)/$B$4)*$B$4/($B$4-$B$5)+EXP(-(J352-$J$42-$B$3)/$B$5)*$B$5/($B$4-$B$5))</f>
        <v/>
      </c>
      <c r="M352">
        <f>$D$2*M351-$D$3*M350 + $D$4*K312+$D$5*K313</f>
        <v/>
      </c>
      <c r="N352">
        <f>$E$2 *N342 - $E$3 *N332 + $E$4 *K301 + $E$5 * K291</f>
        <v/>
      </c>
      <c r="O352">
        <f>$F$2 * O332 - $F$3 * O312 + $F$4 * K292 + $F$5 * K272</f>
        <v/>
      </c>
      <c r="Q352">
        <f>L352-M352</f>
        <v/>
      </c>
      <c r="R352">
        <f>L352-N352</f>
        <v/>
      </c>
      <c r="S352">
        <f>L352-O352</f>
        <v/>
      </c>
    </row>
    <row r="353">
      <c r="J353" t="n">
        <v>351</v>
      </c>
      <c r="K353" t="n">
        <v>1</v>
      </c>
      <c r="L353">
        <f>$B$2*K353*(1-EXP(-(J353-$J$42-$B$3)/$B$4)*$B$4/($B$4-$B$5)+EXP(-(J353-$J$42-$B$3)/$B$5)*$B$5/($B$4-$B$5))</f>
        <v/>
      </c>
      <c r="M353">
        <f>$D$2*M352-$D$3*M351 + $D$4*K313+$D$5*K314</f>
        <v/>
      </c>
      <c r="N353">
        <f>$E$2 *N343 - $E$3 *N333 + $E$4 *K302 + $E$5 * K292</f>
        <v/>
      </c>
      <c r="O353">
        <f>$F$2 * O333 - $F$3 * O313 + $F$4 * K293 + $F$5 * K273</f>
        <v/>
      </c>
      <c r="Q353">
        <f>L353-M353</f>
        <v/>
      </c>
      <c r="R353">
        <f>L353-N353</f>
        <v/>
      </c>
      <c r="S353">
        <f>L353-O353</f>
        <v/>
      </c>
    </row>
    <row r="354">
      <c r="J354" t="n">
        <v>352</v>
      </c>
      <c r="K354" t="n">
        <v>1</v>
      </c>
      <c r="L354">
        <f>$B$2*K354*(1-EXP(-(J354-$J$42-$B$3)/$B$4)*$B$4/($B$4-$B$5)+EXP(-(J354-$J$42-$B$3)/$B$5)*$B$5/($B$4-$B$5))</f>
        <v/>
      </c>
      <c r="M354">
        <f>$D$2*M353-$D$3*M352 + $D$4*K314+$D$5*K315</f>
        <v/>
      </c>
      <c r="N354">
        <f>$E$2 *N344 - $E$3 *N334 + $E$4 *K303 + $E$5 * K293</f>
        <v/>
      </c>
      <c r="O354">
        <f>$F$2 * O334 - $F$3 * O314 + $F$4 * K294 + $F$5 * K274</f>
        <v/>
      </c>
      <c r="Q354">
        <f>L354-M354</f>
        <v/>
      </c>
      <c r="R354">
        <f>L354-N354</f>
        <v/>
      </c>
      <c r="S354">
        <f>L354-O354</f>
        <v/>
      </c>
    </row>
    <row r="355">
      <c r="J355" t="n">
        <v>353</v>
      </c>
      <c r="K355" t="n">
        <v>1</v>
      </c>
      <c r="L355">
        <f>$B$2*K355*(1-EXP(-(J355-$J$42-$B$3)/$B$4)*$B$4/($B$4-$B$5)+EXP(-(J355-$J$42-$B$3)/$B$5)*$B$5/($B$4-$B$5))</f>
        <v/>
      </c>
      <c r="M355">
        <f>$D$2*M354-$D$3*M353 + $D$4*K315+$D$5*K316</f>
        <v/>
      </c>
      <c r="N355">
        <f>$E$2 *N345 - $E$3 *N335 + $E$4 *K304 + $E$5 * K294</f>
        <v/>
      </c>
      <c r="O355">
        <f>$F$2 * O335 - $F$3 * O315 + $F$4 * K295 + $F$5 * K275</f>
        <v/>
      </c>
      <c r="Q355">
        <f>L355-M355</f>
        <v/>
      </c>
      <c r="R355">
        <f>L355-N355</f>
        <v/>
      </c>
      <c r="S355">
        <f>L355-O355</f>
        <v/>
      </c>
    </row>
    <row r="356">
      <c r="J356" t="n">
        <v>354</v>
      </c>
      <c r="K356" t="n">
        <v>1</v>
      </c>
      <c r="L356">
        <f>$B$2*K356*(1-EXP(-(J356-$J$42-$B$3)/$B$4)*$B$4/($B$4-$B$5)+EXP(-(J356-$J$42-$B$3)/$B$5)*$B$5/($B$4-$B$5))</f>
        <v/>
      </c>
      <c r="M356">
        <f>$D$2*M355-$D$3*M354 + $D$4*K316+$D$5*K317</f>
        <v/>
      </c>
      <c r="N356">
        <f>$E$2 *N346 - $E$3 *N336 + $E$4 *K305 + $E$5 * K295</f>
        <v/>
      </c>
      <c r="O356">
        <f>$F$2 * O336 - $F$3 * O316 + $F$4 * K296 + $F$5 * K276</f>
        <v/>
      </c>
      <c r="Q356">
        <f>L356-M356</f>
        <v/>
      </c>
      <c r="R356">
        <f>L356-N356</f>
        <v/>
      </c>
      <c r="S356">
        <f>L356-O356</f>
        <v/>
      </c>
    </row>
    <row r="357">
      <c r="J357" t="n">
        <v>355</v>
      </c>
      <c r="K357" t="n">
        <v>1</v>
      </c>
      <c r="L357">
        <f>$B$2*K357*(1-EXP(-(J357-$J$42-$B$3)/$B$4)*$B$4/($B$4-$B$5)+EXP(-(J357-$J$42-$B$3)/$B$5)*$B$5/($B$4-$B$5))</f>
        <v/>
      </c>
      <c r="M357">
        <f>$D$2*M356-$D$3*M355 + $D$4*K317+$D$5*K318</f>
        <v/>
      </c>
      <c r="N357">
        <f>$E$2 *N347 - $E$3 *N337 + $E$4 *K306 + $E$5 * K296</f>
        <v/>
      </c>
      <c r="O357">
        <f>$F$2 * O337 - $F$3 * O317 + $F$4 * K297 + $F$5 * K277</f>
        <v/>
      </c>
      <c r="Q357">
        <f>L357-M357</f>
        <v/>
      </c>
      <c r="R357">
        <f>L357-N357</f>
        <v/>
      </c>
      <c r="S357">
        <f>L357-O357</f>
        <v/>
      </c>
    </row>
    <row r="358">
      <c r="J358" t="n">
        <v>356</v>
      </c>
      <c r="K358" t="n">
        <v>1</v>
      </c>
      <c r="L358">
        <f>$B$2*K358*(1-EXP(-(J358-$J$42-$B$3)/$B$4)*$B$4/($B$4-$B$5)+EXP(-(J358-$J$42-$B$3)/$B$5)*$B$5/($B$4-$B$5))</f>
        <v/>
      </c>
      <c r="M358">
        <f>$D$2*M357-$D$3*M356 + $D$4*K318+$D$5*K319</f>
        <v/>
      </c>
      <c r="N358">
        <f>$E$2 *N348 - $E$3 *N338 + $E$4 *K307 + $E$5 * K297</f>
        <v/>
      </c>
      <c r="O358">
        <f>$F$2 * O338 - $F$3 * O318 + $F$4 * K298 + $F$5 * K278</f>
        <v/>
      </c>
      <c r="Q358">
        <f>L358-M358</f>
        <v/>
      </c>
      <c r="R358">
        <f>L358-N358</f>
        <v/>
      </c>
      <c r="S358">
        <f>L358-O358</f>
        <v/>
      </c>
    </row>
    <row r="359">
      <c r="J359" t="n">
        <v>357</v>
      </c>
      <c r="K359" t="n">
        <v>1</v>
      </c>
      <c r="L359">
        <f>$B$2*K359*(1-EXP(-(J359-$J$42-$B$3)/$B$4)*$B$4/($B$4-$B$5)+EXP(-(J359-$J$42-$B$3)/$B$5)*$B$5/($B$4-$B$5))</f>
        <v/>
      </c>
      <c r="M359">
        <f>$D$2*M358-$D$3*M357 + $D$4*K319+$D$5*K320</f>
        <v/>
      </c>
      <c r="N359">
        <f>$E$2 *N349 - $E$3 *N339 + $E$4 *K308 + $E$5 * K298</f>
        <v/>
      </c>
      <c r="O359">
        <f>$F$2 * O339 - $F$3 * O319 + $F$4 * K299 + $F$5 * K279</f>
        <v/>
      </c>
      <c r="Q359">
        <f>L359-M359</f>
        <v/>
      </c>
      <c r="R359">
        <f>L359-N359</f>
        <v/>
      </c>
      <c r="S359">
        <f>L359-O359</f>
        <v/>
      </c>
    </row>
    <row r="360">
      <c r="J360" t="n">
        <v>358</v>
      </c>
      <c r="K360" t="n">
        <v>1</v>
      </c>
      <c r="L360">
        <f>$B$2*K360*(1-EXP(-(J360-$J$42-$B$3)/$B$4)*$B$4/($B$4-$B$5)+EXP(-(J360-$J$42-$B$3)/$B$5)*$B$5/($B$4-$B$5))</f>
        <v/>
      </c>
      <c r="M360">
        <f>$D$2*M359-$D$3*M358 + $D$4*K320+$D$5*K321</f>
        <v/>
      </c>
      <c r="N360">
        <f>$E$2 *N350 - $E$3 *N340 + $E$4 *K309 + $E$5 * K299</f>
        <v/>
      </c>
      <c r="O360">
        <f>$F$2 * O340 - $F$3 * O320 + $F$4 * K300 + $F$5 * K280</f>
        <v/>
      </c>
      <c r="Q360">
        <f>L360-M360</f>
        <v/>
      </c>
      <c r="R360">
        <f>L360-N360</f>
        <v/>
      </c>
      <c r="S360">
        <f>L360-O360</f>
        <v/>
      </c>
    </row>
    <row r="361">
      <c r="J361" t="n">
        <v>359</v>
      </c>
      <c r="K361" t="n">
        <v>1</v>
      </c>
      <c r="L361">
        <f>$B$2*K361*(1-EXP(-(J361-$J$42-$B$3)/$B$4)*$B$4/($B$4-$B$5)+EXP(-(J361-$J$42-$B$3)/$B$5)*$B$5/($B$4-$B$5))</f>
        <v/>
      </c>
      <c r="M361">
        <f>$D$2*M360-$D$3*M359 + $D$4*K321+$D$5*K322</f>
        <v/>
      </c>
      <c r="N361">
        <f>$E$2 *N351 - $E$3 *N341 + $E$4 *K310 + $E$5 * K300</f>
        <v/>
      </c>
      <c r="O361">
        <f>$F$2 * O341 - $F$3 * O321 + $F$4 * K301 + $F$5 * K281</f>
        <v/>
      </c>
      <c r="Q361">
        <f>L361-M361</f>
        <v/>
      </c>
      <c r="R361">
        <f>L361-N361</f>
        <v/>
      </c>
      <c r="S361">
        <f>L361-O361</f>
        <v/>
      </c>
    </row>
    <row r="362">
      <c r="J362" t="n">
        <v>360</v>
      </c>
      <c r="K362" t="n">
        <v>1</v>
      </c>
      <c r="L362">
        <f>$B$2*K362*(1-EXP(-(J362-$J$42-$B$3)/$B$4)*$B$4/($B$4-$B$5)+EXP(-(J362-$J$42-$B$3)/$B$5)*$B$5/($B$4-$B$5))</f>
        <v/>
      </c>
      <c r="M362">
        <f>$D$2*M361-$D$3*M360 + $D$4*K322+$D$5*K323</f>
        <v/>
      </c>
      <c r="N362">
        <f>$E$2 *N352 - $E$3 *N342 + $E$4 *K311 + $E$5 * K301</f>
        <v/>
      </c>
      <c r="O362">
        <f>$F$2 * O342 - $F$3 * O322 + $F$4 * K302 + $F$5 * K282</f>
        <v/>
      </c>
      <c r="Q362">
        <f>L362-M362</f>
        <v/>
      </c>
      <c r="R362">
        <f>L362-N362</f>
        <v/>
      </c>
      <c r="S362">
        <f>L362-O362</f>
        <v/>
      </c>
    </row>
    <row r="363">
      <c r="J363" t="n">
        <v>361</v>
      </c>
      <c r="K363" t="n">
        <v>1</v>
      </c>
      <c r="L363">
        <f>$B$2*K363*(1-EXP(-(J363-$J$42-$B$3)/$B$4)*$B$4/($B$4-$B$5)+EXP(-(J363-$J$42-$B$3)/$B$5)*$B$5/($B$4-$B$5))</f>
        <v/>
      </c>
      <c r="M363">
        <f>$D$2*M362-$D$3*M361 + $D$4*K323+$D$5*K324</f>
        <v/>
      </c>
      <c r="N363">
        <f>$E$2 *N353 - $E$3 *N343 + $E$4 *K312 + $E$5 * K302</f>
        <v/>
      </c>
      <c r="O363">
        <f>$F$2 * O343 - $F$3 * O323 + $F$4 * K303 + $F$5 * K283</f>
        <v/>
      </c>
      <c r="Q363">
        <f>L363-M363</f>
        <v/>
      </c>
      <c r="R363">
        <f>L363-N363</f>
        <v/>
      </c>
      <c r="S363">
        <f>L363-O363</f>
        <v/>
      </c>
    </row>
    <row r="364">
      <c r="J364" t="n">
        <v>362</v>
      </c>
      <c r="K364" t="n">
        <v>1</v>
      </c>
      <c r="L364">
        <f>$B$2*K364*(1-EXP(-(J364-$J$42-$B$3)/$B$4)*$B$4/($B$4-$B$5)+EXP(-(J364-$J$42-$B$3)/$B$5)*$B$5/($B$4-$B$5))</f>
        <v/>
      </c>
      <c r="M364">
        <f>$D$2*M363-$D$3*M362 + $D$4*K324+$D$5*K325</f>
        <v/>
      </c>
      <c r="N364">
        <f>$E$2 *N354 - $E$3 *N344 + $E$4 *K313 + $E$5 * K303</f>
        <v/>
      </c>
      <c r="O364">
        <f>$F$2 * O344 - $F$3 * O324 + $F$4 * K304 + $F$5 * K284</f>
        <v/>
      </c>
      <c r="Q364">
        <f>L364-M364</f>
        <v/>
      </c>
      <c r="R364">
        <f>L364-N364</f>
        <v/>
      </c>
      <c r="S364">
        <f>L364-O364</f>
        <v/>
      </c>
    </row>
    <row r="365">
      <c r="J365" t="n">
        <v>363</v>
      </c>
      <c r="K365" t="n">
        <v>1</v>
      </c>
      <c r="L365">
        <f>$B$2*K365*(1-EXP(-(J365-$J$42-$B$3)/$B$4)*$B$4/($B$4-$B$5)+EXP(-(J365-$J$42-$B$3)/$B$5)*$B$5/($B$4-$B$5))</f>
        <v/>
      </c>
      <c r="M365">
        <f>$D$2*M364-$D$3*M363 + $D$4*K325+$D$5*K326</f>
        <v/>
      </c>
      <c r="N365">
        <f>$E$2 *N355 - $E$3 *N345 + $E$4 *K314 + $E$5 * K304</f>
        <v/>
      </c>
      <c r="O365">
        <f>$F$2 * O345 - $F$3 * O325 + $F$4 * K305 + $F$5 * K285</f>
        <v/>
      </c>
      <c r="Q365">
        <f>L365-M365</f>
        <v/>
      </c>
      <c r="R365">
        <f>L365-N365</f>
        <v/>
      </c>
      <c r="S365">
        <f>L365-O365</f>
        <v/>
      </c>
    </row>
    <row r="366">
      <c r="J366" t="n">
        <v>364</v>
      </c>
      <c r="K366" t="n">
        <v>1</v>
      </c>
      <c r="L366">
        <f>$B$2*K366*(1-EXP(-(J366-$J$42-$B$3)/$B$4)*$B$4/($B$4-$B$5)+EXP(-(J366-$J$42-$B$3)/$B$5)*$B$5/($B$4-$B$5))</f>
        <v/>
      </c>
      <c r="M366">
        <f>$D$2*M365-$D$3*M364 + $D$4*K326+$D$5*K327</f>
        <v/>
      </c>
      <c r="N366">
        <f>$E$2 *N356 - $E$3 *N346 + $E$4 *K315 + $E$5 * K305</f>
        <v/>
      </c>
      <c r="O366">
        <f>$F$2 * O346 - $F$3 * O326 + $F$4 * K306 + $F$5 * K286</f>
        <v/>
      </c>
      <c r="Q366">
        <f>L366-M366</f>
        <v/>
      </c>
      <c r="R366">
        <f>L366-N366</f>
        <v/>
      </c>
      <c r="S366">
        <f>L366-O366</f>
        <v/>
      </c>
    </row>
    <row r="367">
      <c r="J367" t="n">
        <v>365</v>
      </c>
      <c r="K367" t="n">
        <v>1</v>
      </c>
      <c r="L367">
        <f>$B$2*K367*(1-EXP(-(J367-$J$42-$B$3)/$B$4)*$B$4/($B$4-$B$5)+EXP(-(J367-$J$42-$B$3)/$B$5)*$B$5/($B$4-$B$5))</f>
        <v/>
      </c>
      <c r="M367">
        <f>$D$2*M366-$D$3*M365 + $D$4*K327+$D$5*K328</f>
        <v/>
      </c>
      <c r="N367">
        <f>$E$2 *N357 - $E$3 *N347 + $E$4 *K316 + $E$5 * K306</f>
        <v/>
      </c>
      <c r="O367">
        <f>$F$2 * O347 - $F$3 * O327 + $F$4 * K307 + $F$5 * K287</f>
        <v/>
      </c>
      <c r="Q367">
        <f>L367-M367</f>
        <v/>
      </c>
      <c r="R367">
        <f>L367-N367</f>
        <v/>
      </c>
      <c r="S367">
        <f>L367-O367</f>
        <v/>
      </c>
    </row>
    <row r="368">
      <c r="J368" t="n">
        <v>366</v>
      </c>
      <c r="K368" t="n">
        <v>1</v>
      </c>
      <c r="L368">
        <f>$B$2*K368*(1-EXP(-(J368-$J$42-$B$3)/$B$4)*$B$4/($B$4-$B$5)+EXP(-(J368-$J$42-$B$3)/$B$5)*$B$5/($B$4-$B$5))</f>
        <v/>
      </c>
      <c r="M368">
        <f>$D$2*M367-$D$3*M366 + $D$4*K328+$D$5*K329</f>
        <v/>
      </c>
      <c r="N368">
        <f>$E$2 *N358 - $E$3 *N348 + $E$4 *K317 + $E$5 * K307</f>
        <v/>
      </c>
      <c r="O368">
        <f>$F$2 * O348 - $F$3 * O328 + $F$4 * K308 + $F$5 * K288</f>
        <v/>
      </c>
      <c r="Q368">
        <f>L368-M368</f>
        <v/>
      </c>
      <c r="R368">
        <f>L368-N368</f>
        <v/>
      </c>
      <c r="S368">
        <f>L368-O368</f>
        <v/>
      </c>
    </row>
    <row r="369">
      <c r="J369" t="n">
        <v>367</v>
      </c>
      <c r="K369" t="n">
        <v>1</v>
      </c>
      <c r="L369">
        <f>$B$2*K369*(1-EXP(-(J369-$J$42-$B$3)/$B$4)*$B$4/($B$4-$B$5)+EXP(-(J369-$J$42-$B$3)/$B$5)*$B$5/($B$4-$B$5))</f>
        <v/>
      </c>
      <c r="M369">
        <f>$D$2*M368-$D$3*M367 + $D$4*K329+$D$5*K330</f>
        <v/>
      </c>
      <c r="N369">
        <f>$E$2 *N359 - $E$3 *N349 + $E$4 *K318 + $E$5 * K308</f>
        <v/>
      </c>
      <c r="O369">
        <f>$F$2 * O349 - $F$3 * O329 + $F$4 * K309 + $F$5 * K289</f>
        <v/>
      </c>
      <c r="Q369">
        <f>L369-M369</f>
        <v/>
      </c>
      <c r="R369">
        <f>L369-N369</f>
        <v/>
      </c>
      <c r="S369">
        <f>L369-O369</f>
        <v/>
      </c>
    </row>
    <row r="370">
      <c r="J370" t="n">
        <v>368</v>
      </c>
      <c r="K370" t="n">
        <v>1</v>
      </c>
      <c r="L370">
        <f>$B$2*K370*(1-EXP(-(J370-$J$42-$B$3)/$B$4)*$B$4/($B$4-$B$5)+EXP(-(J370-$J$42-$B$3)/$B$5)*$B$5/($B$4-$B$5))</f>
        <v/>
      </c>
      <c r="M370">
        <f>$D$2*M369-$D$3*M368 + $D$4*K330+$D$5*K331</f>
        <v/>
      </c>
      <c r="N370">
        <f>$E$2 *N360 - $E$3 *N350 + $E$4 *K319 + $E$5 * K309</f>
        <v/>
      </c>
      <c r="O370">
        <f>$F$2 * O350 - $F$3 * O330 + $F$4 * K310 + $F$5 * K290</f>
        <v/>
      </c>
      <c r="Q370">
        <f>L370-M370</f>
        <v/>
      </c>
      <c r="R370">
        <f>L370-N370</f>
        <v/>
      </c>
      <c r="S370">
        <f>L370-O370</f>
        <v/>
      </c>
    </row>
    <row r="371">
      <c r="J371" t="n">
        <v>369</v>
      </c>
      <c r="K371" t="n">
        <v>1</v>
      </c>
      <c r="L371">
        <f>$B$2*K371*(1-EXP(-(J371-$J$42-$B$3)/$B$4)*$B$4/($B$4-$B$5)+EXP(-(J371-$J$42-$B$3)/$B$5)*$B$5/($B$4-$B$5))</f>
        <v/>
      </c>
      <c r="M371">
        <f>$D$2*M370-$D$3*M369 + $D$4*K331+$D$5*K332</f>
        <v/>
      </c>
      <c r="N371">
        <f>$E$2 *N361 - $E$3 *N351 + $E$4 *K320 + $E$5 * K310</f>
        <v/>
      </c>
      <c r="O371">
        <f>$F$2 * O351 - $F$3 * O331 + $F$4 * K311 + $F$5 * K291</f>
        <v/>
      </c>
      <c r="Q371">
        <f>L371-M371</f>
        <v/>
      </c>
      <c r="R371">
        <f>L371-N371</f>
        <v/>
      </c>
      <c r="S371">
        <f>L371-O371</f>
        <v/>
      </c>
    </row>
    <row r="372">
      <c r="J372" t="n">
        <v>370</v>
      </c>
      <c r="K372" t="n">
        <v>1</v>
      </c>
      <c r="L372">
        <f>$B$2*K372*(1-EXP(-(J372-$J$42-$B$3)/$B$4)*$B$4/($B$4-$B$5)+EXP(-(J372-$J$42-$B$3)/$B$5)*$B$5/($B$4-$B$5))</f>
        <v/>
      </c>
      <c r="M372">
        <f>$D$2*M371-$D$3*M370 + $D$4*K332+$D$5*K333</f>
        <v/>
      </c>
      <c r="N372">
        <f>$E$2 *N362 - $E$3 *N352 + $E$4 *K321 + $E$5 * K311</f>
        <v/>
      </c>
      <c r="O372">
        <f>$F$2 * O352 - $F$3 * O332 + $F$4 * K312 + $F$5 * K292</f>
        <v/>
      </c>
      <c r="Q372">
        <f>L372-M372</f>
        <v/>
      </c>
      <c r="R372">
        <f>L372-N372</f>
        <v/>
      </c>
      <c r="S372">
        <f>L372-O372</f>
        <v/>
      </c>
    </row>
    <row r="373">
      <c r="J373" t="n">
        <v>371</v>
      </c>
      <c r="K373" t="n">
        <v>1</v>
      </c>
      <c r="L373">
        <f>$B$2*K373*(1-EXP(-(J373-$J$42-$B$3)/$B$4)*$B$4/($B$4-$B$5)+EXP(-(J373-$J$42-$B$3)/$B$5)*$B$5/($B$4-$B$5))</f>
        <v/>
      </c>
      <c r="M373">
        <f>$D$2*M372-$D$3*M371 + $D$4*K333+$D$5*K334</f>
        <v/>
      </c>
      <c r="N373">
        <f>$E$2 *N363 - $E$3 *N353 + $E$4 *K322 + $E$5 * K312</f>
        <v/>
      </c>
      <c r="O373">
        <f>$F$2 * O353 - $F$3 * O333 + $F$4 * K313 + $F$5 * K293</f>
        <v/>
      </c>
      <c r="Q373">
        <f>L373-M373</f>
        <v/>
      </c>
      <c r="R373">
        <f>L373-N373</f>
        <v/>
      </c>
      <c r="S373">
        <f>L373-O373</f>
        <v/>
      </c>
    </row>
    <row r="374">
      <c r="J374" t="n">
        <v>372</v>
      </c>
      <c r="K374" t="n">
        <v>1</v>
      </c>
      <c r="L374">
        <f>$B$2*K374*(1-EXP(-(J374-$J$42-$B$3)/$B$4)*$B$4/($B$4-$B$5)+EXP(-(J374-$J$42-$B$3)/$B$5)*$B$5/($B$4-$B$5))</f>
        <v/>
      </c>
      <c r="M374">
        <f>$D$2*M373-$D$3*M372 + $D$4*K334+$D$5*K335</f>
        <v/>
      </c>
      <c r="N374">
        <f>$E$2 *N364 - $E$3 *N354 + $E$4 *K323 + $E$5 * K313</f>
        <v/>
      </c>
      <c r="O374">
        <f>$F$2 * O354 - $F$3 * O334 + $F$4 * K314 + $F$5 * K294</f>
        <v/>
      </c>
      <c r="Q374">
        <f>L374-M374</f>
        <v/>
      </c>
      <c r="R374">
        <f>L374-N374</f>
        <v/>
      </c>
      <c r="S374">
        <f>L374-O374</f>
        <v/>
      </c>
    </row>
    <row r="375">
      <c r="J375" t="n">
        <v>373</v>
      </c>
      <c r="K375" t="n">
        <v>1</v>
      </c>
      <c r="L375">
        <f>$B$2*K375*(1-EXP(-(J375-$J$42-$B$3)/$B$4)*$B$4/($B$4-$B$5)+EXP(-(J375-$J$42-$B$3)/$B$5)*$B$5/($B$4-$B$5))</f>
        <v/>
      </c>
      <c r="M375">
        <f>$D$2*M374-$D$3*M373 + $D$4*K335+$D$5*K336</f>
        <v/>
      </c>
      <c r="N375">
        <f>$E$2 *N365 - $E$3 *N355 + $E$4 *K324 + $E$5 * K314</f>
        <v/>
      </c>
      <c r="O375">
        <f>$F$2 * O355 - $F$3 * O335 + $F$4 * K315 + $F$5 * K295</f>
        <v/>
      </c>
      <c r="Q375">
        <f>L375-M375</f>
        <v/>
      </c>
      <c r="R375">
        <f>L375-N375</f>
        <v/>
      </c>
      <c r="S375">
        <f>L375-O375</f>
        <v/>
      </c>
    </row>
    <row r="376">
      <c r="J376" t="n">
        <v>374</v>
      </c>
      <c r="K376" t="n">
        <v>1</v>
      </c>
      <c r="L376">
        <f>$B$2*K376*(1-EXP(-(J376-$J$42-$B$3)/$B$4)*$B$4/($B$4-$B$5)+EXP(-(J376-$J$42-$B$3)/$B$5)*$B$5/($B$4-$B$5))</f>
        <v/>
      </c>
      <c r="M376">
        <f>$D$2*M375-$D$3*M374 + $D$4*K336+$D$5*K337</f>
        <v/>
      </c>
      <c r="N376">
        <f>$E$2 *N366 - $E$3 *N356 + $E$4 *K325 + $E$5 * K315</f>
        <v/>
      </c>
      <c r="O376">
        <f>$F$2 * O356 - $F$3 * O336 + $F$4 * K316 + $F$5 * K296</f>
        <v/>
      </c>
      <c r="Q376">
        <f>L376-M376</f>
        <v/>
      </c>
      <c r="R376">
        <f>L376-N376</f>
        <v/>
      </c>
      <c r="S376">
        <f>L376-O376</f>
        <v/>
      </c>
    </row>
    <row r="377">
      <c r="J377" t="n">
        <v>375</v>
      </c>
      <c r="K377" t="n">
        <v>1</v>
      </c>
      <c r="L377">
        <f>$B$2*K377*(1-EXP(-(J377-$J$42-$B$3)/$B$4)*$B$4/($B$4-$B$5)+EXP(-(J377-$J$42-$B$3)/$B$5)*$B$5/($B$4-$B$5))</f>
        <v/>
      </c>
      <c r="M377">
        <f>$D$2*M376-$D$3*M375 + $D$4*K337+$D$5*K338</f>
        <v/>
      </c>
      <c r="N377">
        <f>$E$2 *N367 - $E$3 *N357 + $E$4 *K326 + $E$5 * K316</f>
        <v/>
      </c>
      <c r="O377">
        <f>$F$2 * O357 - $F$3 * O337 + $F$4 * K317 + $F$5 * K297</f>
        <v/>
      </c>
      <c r="Q377">
        <f>L377-M377</f>
        <v/>
      </c>
      <c r="R377">
        <f>L377-N377</f>
        <v/>
      </c>
      <c r="S377">
        <f>L377-O377</f>
        <v/>
      </c>
    </row>
    <row r="378">
      <c r="J378" t="n">
        <v>376</v>
      </c>
      <c r="K378" t="n">
        <v>1</v>
      </c>
      <c r="L378">
        <f>$B$2*K378*(1-EXP(-(J378-$J$42-$B$3)/$B$4)*$B$4/($B$4-$B$5)+EXP(-(J378-$J$42-$B$3)/$B$5)*$B$5/($B$4-$B$5))</f>
        <v/>
      </c>
      <c r="M378">
        <f>$D$2*M377-$D$3*M376 + $D$4*K338+$D$5*K339</f>
        <v/>
      </c>
      <c r="N378">
        <f>$E$2 *N368 - $E$3 *N358 + $E$4 *K327 + $E$5 * K317</f>
        <v/>
      </c>
      <c r="O378">
        <f>$F$2 * O358 - $F$3 * O338 + $F$4 * K318 + $F$5 * K298</f>
        <v/>
      </c>
      <c r="Q378">
        <f>L378-M378</f>
        <v/>
      </c>
      <c r="R378">
        <f>L378-N378</f>
        <v/>
      </c>
      <c r="S378">
        <f>L378-O378</f>
        <v/>
      </c>
    </row>
    <row r="379">
      <c r="J379" t="n">
        <v>377</v>
      </c>
      <c r="K379" t="n">
        <v>1</v>
      </c>
      <c r="L379">
        <f>$B$2*K379*(1-EXP(-(J379-$J$42-$B$3)/$B$4)*$B$4/($B$4-$B$5)+EXP(-(J379-$J$42-$B$3)/$B$5)*$B$5/($B$4-$B$5))</f>
        <v/>
      </c>
      <c r="M379">
        <f>$D$2*M378-$D$3*M377 + $D$4*K339+$D$5*K340</f>
        <v/>
      </c>
      <c r="N379">
        <f>$E$2 *N369 - $E$3 *N359 + $E$4 *K328 + $E$5 * K318</f>
        <v/>
      </c>
      <c r="O379">
        <f>$F$2 * O359 - $F$3 * O339 + $F$4 * K319 + $F$5 * K299</f>
        <v/>
      </c>
      <c r="Q379">
        <f>L379-M379</f>
        <v/>
      </c>
      <c r="R379">
        <f>L379-N379</f>
        <v/>
      </c>
      <c r="S379">
        <f>L379-O379</f>
        <v/>
      </c>
    </row>
    <row r="380">
      <c r="J380" t="n">
        <v>378</v>
      </c>
      <c r="K380" t="n">
        <v>1</v>
      </c>
      <c r="L380">
        <f>$B$2*K380*(1-EXP(-(J380-$J$42-$B$3)/$B$4)*$B$4/($B$4-$B$5)+EXP(-(J380-$J$42-$B$3)/$B$5)*$B$5/($B$4-$B$5))</f>
        <v/>
      </c>
      <c r="M380">
        <f>$D$2*M379-$D$3*M378 + $D$4*K340+$D$5*K341</f>
        <v/>
      </c>
      <c r="N380">
        <f>$E$2 *N370 - $E$3 *N360 + $E$4 *K329 + $E$5 * K319</f>
        <v/>
      </c>
      <c r="O380">
        <f>$F$2 * O360 - $F$3 * O340 + $F$4 * K320 + $F$5 * K300</f>
        <v/>
      </c>
      <c r="Q380">
        <f>L380-M380</f>
        <v/>
      </c>
      <c r="R380">
        <f>L380-N380</f>
        <v/>
      </c>
      <c r="S380">
        <f>L380-O380</f>
        <v/>
      </c>
    </row>
    <row r="381">
      <c r="J381" t="n">
        <v>379</v>
      </c>
      <c r="K381" t="n">
        <v>1</v>
      </c>
      <c r="L381">
        <f>$B$2*K381*(1-EXP(-(J381-$J$42-$B$3)/$B$4)*$B$4/($B$4-$B$5)+EXP(-(J381-$J$42-$B$3)/$B$5)*$B$5/($B$4-$B$5))</f>
        <v/>
      </c>
      <c r="M381">
        <f>$D$2*M380-$D$3*M379 + $D$4*K341+$D$5*K342</f>
        <v/>
      </c>
      <c r="N381">
        <f>$E$2 *N371 - $E$3 *N361 + $E$4 *K330 + $E$5 * K320</f>
        <v/>
      </c>
      <c r="O381">
        <f>$F$2 * O361 - $F$3 * O341 + $F$4 * K321 + $F$5 * K301</f>
        <v/>
      </c>
      <c r="Q381">
        <f>L381-M381</f>
        <v/>
      </c>
      <c r="R381">
        <f>L381-N381</f>
        <v/>
      </c>
      <c r="S381">
        <f>L381-O381</f>
        <v/>
      </c>
    </row>
    <row r="382">
      <c r="J382" t="n">
        <v>380</v>
      </c>
      <c r="K382" t="n">
        <v>1</v>
      </c>
      <c r="L382">
        <f>$B$2*K382*(1-EXP(-(J382-$J$42-$B$3)/$B$4)*$B$4/($B$4-$B$5)+EXP(-(J382-$J$42-$B$3)/$B$5)*$B$5/($B$4-$B$5))</f>
        <v/>
      </c>
      <c r="M382">
        <f>$D$2*M381-$D$3*M380 + $D$4*K342+$D$5*K343</f>
        <v/>
      </c>
      <c r="N382">
        <f>$E$2 *N372 - $E$3 *N362 + $E$4 *K331 + $E$5 * K321</f>
        <v/>
      </c>
      <c r="O382">
        <f>$F$2 * O362 - $F$3 * O342 + $F$4 * K322 + $F$5 * K302</f>
        <v/>
      </c>
      <c r="Q382">
        <f>L382-M382</f>
        <v/>
      </c>
      <c r="R382">
        <f>L382-N382</f>
        <v/>
      </c>
      <c r="S382">
        <f>L382-O382</f>
        <v/>
      </c>
    </row>
    <row r="383">
      <c r="J383" t="n">
        <v>381</v>
      </c>
      <c r="K383" t="n">
        <v>1</v>
      </c>
      <c r="L383">
        <f>$B$2*K383*(1-EXP(-(J383-$J$42-$B$3)/$B$4)*$B$4/($B$4-$B$5)+EXP(-(J383-$J$42-$B$3)/$B$5)*$B$5/($B$4-$B$5))</f>
        <v/>
      </c>
      <c r="M383">
        <f>$D$2*M382-$D$3*M381 + $D$4*K343+$D$5*K344</f>
        <v/>
      </c>
      <c r="N383">
        <f>$E$2 *N373 - $E$3 *N363 + $E$4 *K332 + $E$5 * K322</f>
        <v/>
      </c>
      <c r="O383">
        <f>$F$2 * O363 - $F$3 * O343 + $F$4 * K323 + $F$5 * K303</f>
        <v/>
      </c>
      <c r="Q383">
        <f>L383-M383</f>
        <v/>
      </c>
      <c r="R383">
        <f>L383-N383</f>
        <v/>
      </c>
      <c r="S383">
        <f>L383-O383</f>
        <v/>
      </c>
    </row>
    <row r="384">
      <c r="J384" t="n">
        <v>382</v>
      </c>
      <c r="K384" t="n">
        <v>1</v>
      </c>
      <c r="L384">
        <f>$B$2*K384*(1-EXP(-(J384-$J$42-$B$3)/$B$4)*$B$4/($B$4-$B$5)+EXP(-(J384-$J$42-$B$3)/$B$5)*$B$5/($B$4-$B$5))</f>
        <v/>
      </c>
      <c r="M384">
        <f>$D$2*M383-$D$3*M382 + $D$4*K344+$D$5*K345</f>
        <v/>
      </c>
      <c r="N384">
        <f>$E$2 *N374 - $E$3 *N364 + $E$4 *K333 + $E$5 * K323</f>
        <v/>
      </c>
      <c r="O384">
        <f>$F$2 * O364 - $F$3 * O344 + $F$4 * K324 + $F$5 * K304</f>
        <v/>
      </c>
      <c r="Q384">
        <f>L384-M384</f>
        <v/>
      </c>
      <c r="R384">
        <f>L384-N384</f>
        <v/>
      </c>
      <c r="S384">
        <f>L384-O384</f>
        <v/>
      </c>
    </row>
    <row r="385">
      <c r="J385" t="n">
        <v>383</v>
      </c>
      <c r="K385" t="n">
        <v>1</v>
      </c>
      <c r="L385">
        <f>$B$2*K385*(1-EXP(-(J385-$J$42-$B$3)/$B$4)*$B$4/($B$4-$B$5)+EXP(-(J385-$J$42-$B$3)/$B$5)*$B$5/($B$4-$B$5))</f>
        <v/>
      </c>
      <c r="M385">
        <f>$D$2*M384-$D$3*M383 + $D$4*K345+$D$5*K346</f>
        <v/>
      </c>
      <c r="N385">
        <f>$E$2 *N375 - $E$3 *N365 + $E$4 *K334 + $E$5 * K324</f>
        <v/>
      </c>
      <c r="O385">
        <f>$F$2 * O365 - $F$3 * O345 + $F$4 * K325 + $F$5 * K305</f>
        <v/>
      </c>
      <c r="Q385">
        <f>L385-M385</f>
        <v/>
      </c>
      <c r="R385">
        <f>L385-N385</f>
        <v/>
      </c>
      <c r="S385">
        <f>L385-O385</f>
        <v/>
      </c>
    </row>
    <row r="386">
      <c r="J386" t="n">
        <v>384</v>
      </c>
      <c r="K386" t="n">
        <v>1</v>
      </c>
      <c r="L386">
        <f>$B$2*K386*(1-EXP(-(J386-$J$42-$B$3)/$B$4)*$B$4/($B$4-$B$5)+EXP(-(J386-$J$42-$B$3)/$B$5)*$B$5/($B$4-$B$5))</f>
        <v/>
      </c>
      <c r="M386">
        <f>$D$2*M385-$D$3*M384 + $D$4*K346+$D$5*K347</f>
        <v/>
      </c>
      <c r="N386">
        <f>$E$2 *N376 - $E$3 *N366 + $E$4 *K335 + $E$5 * K325</f>
        <v/>
      </c>
      <c r="O386">
        <f>$F$2 * O366 - $F$3 * O346 + $F$4 * K326 + $F$5 * K306</f>
        <v/>
      </c>
      <c r="Q386">
        <f>L386-M386</f>
        <v/>
      </c>
      <c r="R386">
        <f>L386-N386</f>
        <v/>
      </c>
      <c r="S386">
        <f>L386-O386</f>
        <v/>
      </c>
    </row>
    <row r="387">
      <c r="J387" t="n">
        <v>385</v>
      </c>
      <c r="K387" t="n">
        <v>1</v>
      </c>
      <c r="L387">
        <f>$B$2*K387*(1-EXP(-(J387-$J$42-$B$3)/$B$4)*$B$4/($B$4-$B$5)+EXP(-(J387-$J$42-$B$3)/$B$5)*$B$5/($B$4-$B$5))</f>
        <v/>
      </c>
      <c r="M387">
        <f>$D$2*M386-$D$3*M385 + $D$4*K347+$D$5*K348</f>
        <v/>
      </c>
      <c r="N387">
        <f>$E$2 *N377 - $E$3 *N367 + $E$4 *K336 + $E$5 * K326</f>
        <v/>
      </c>
      <c r="O387">
        <f>$F$2 * O367 - $F$3 * O347 + $F$4 * K327 + $F$5 * K307</f>
        <v/>
      </c>
      <c r="Q387">
        <f>L387-M387</f>
        <v/>
      </c>
      <c r="R387">
        <f>L387-N387</f>
        <v/>
      </c>
      <c r="S387">
        <f>L387-O387</f>
        <v/>
      </c>
    </row>
    <row r="388">
      <c r="J388" t="n">
        <v>386</v>
      </c>
      <c r="K388" t="n">
        <v>1</v>
      </c>
      <c r="L388">
        <f>$B$2*K388*(1-EXP(-(J388-$J$42-$B$3)/$B$4)*$B$4/($B$4-$B$5)+EXP(-(J388-$J$42-$B$3)/$B$5)*$B$5/($B$4-$B$5))</f>
        <v/>
      </c>
      <c r="M388">
        <f>$D$2*M387-$D$3*M386 + $D$4*K348+$D$5*K349</f>
        <v/>
      </c>
      <c r="N388">
        <f>$E$2 *N378 - $E$3 *N368 + $E$4 *K337 + $E$5 * K327</f>
        <v/>
      </c>
      <c r="O388">
        <f>$F$2 * O368 - $F$3 * O348 + $F$4 * K328 + $F$5 * K308</f>
        <v/>
      </c>
      <c r="Q388">
        <f>L388-M388</f>
        <v/>
      </c>
      <c r="R388">
        <f>L388-N388</f>
        <v/>
      </c>
      <c r="S388">
        <f>L388-O388</f>
        <v/>
      </c>
    </row>
    <row r="389">
      <c r="J389" t="n">
        <v>387</v>
      </c>
      <c r="K389" t="n">
        <v>1</v>
      </c>
      <c r="L389">
        <f>$B$2*K389*(1-EXP(-(J389-$J$42-$B$3)/$B$4)*$B$4/($B$4-$B$5)+EXP(-(J389-$J$42-$B$3)/$B$5)*$B$5/($B$4-$B$5))</f>
        <v/>
      </c>
      <c r="M389">
        <f>$D$2*M388-$D$3*M387 + $D$4*K349+$D$5*K350</f>
        <v/>
      </c>
      <c r="N389">
        <f>$E$2 *N379 - $E$3 *N369 + $E$4 *K338 + $E$5 * K328</f>
        <v/>
      </c>
      <c r="O389">
        <f>$F$2 * O369 - $F$3 * O349 + $F$4 * K329 + $F$5 * K309</f>
        <v/>
      </c>
      <c r="Q389">
        <f>L389-M389</f>
        <v/>
      </c>
      <c r="R389">
        <f>L389-N389</f>
        <v/>
      </c>
      <c r="S389">
        <f>L389-O389</f>
        <v/>
      </c>
    </row>
    <row r="390">
      <c r="J390" t="n">
        <v>388</v>
      </c>
      <c r="K390" t="n">
        <v>1</v>
      </c>
      <c r="L390">
        <f>$B$2*K390*(1-EXP(-(J390-$J$42-$B$3)/$B$4)*$B$4/($B$4-$B$5)+EXP(-(J390-$J$42-$B$3)/$B$5)*$B$5/($B$4-$B$5))</f>
        <v/>
      </c>
      <c r="M390">
        <f>$D$2*M389-$D$3*M388 + $D$4*K350+$D$5*K351</f>
        <v/>
      </c>
      <c r="N390">
        <f>$E$2 *N380 - $E$3 *N370 + $E$4 *K339 + $E$5 * K329</f>
        <v/>
      </c>
      <c r="O390">
        <f>$F$2 * O370 - $F$3 * O350 + $F$4 * K330 + $F$5 * K310</f>
        <v/>
      </c>
      <c r="Q390">
        <f>L390-M390</f>
        <v/>
      </c>
      <c r="R390">
        <f>L390-N390</f>
        <v/>
      </c>
      <c r="S390">
        <f>L390-O390</f>
        <v/>
      </c>
    </row>
    <row r="391">
      <c r="J391" t="n">
        <v>389</v>
      </c>
      <c r="K391" t="n">
        <v>1</v>
      </c>
      <c r="L391">
        <f>$B$2*K391*(1-EXP(-(J391-$J$42-$B$3)/$B$4)*$B$4/($B$4-$B$5)+EXP(-(J391-$J$42-$B$3)/$B$5)*$B$5/($B$4-$B$5))</f>
        <v/>
      </c>
      <c r="M391">
        <f>$D$2*M390-$D$3*M389 + $D$4*K351+$D$5*K352</f>
        <v/>
      </c>
      <c r="N391">
        <f>$E$2 *N381 - $E$3 *N371 + $E$4 *K340 + $E$5 * K330</f>
        <v/>
      </c>
      <c r="O391">
        <f>$F$2 * O371 - $F$3 * O351 + $F$4 * K331 + $F$5 * K311</f>
        <v/>
      </c>
      <c r="Q391">
        <f>L391-M391</f>
        <v/>
      </c>
      <c r="R391">
        <f>L391-N391</f>
        <v/>
      </c>
      <c r="S391">
        <f>L391-O391</f>
        <v/>
      </c>
    </row>
    <row r="392">
      <c r="J392" t="n">
        <v>390</v>
      </c>
      <c r="K392" t="n">
        <v>1</v>
      </c>
      <c r="L392">
        <f>$B$2*K392*(1-EXP(-(J392-$J$42-$B$3)/$B$4)*$B$4/($B$4-$B$5)+EXP(-(J392-$J$42-$B$3)/$B$5)*$B$5/($B$4-$B$5))</f>
        <v/>
      </c>
      <c r="M392">
        <f>$D$2*M391-$D$3*M390 + $D$4*K352+$D$5*K353</f>
        <v/>
      </c>
      <c r="N392">
        <f>$E$2 *N382 - $E$3 *N372 + $E$4 *K341 + $E$5 * K331</f>
        <v/>
      </c>
      <c r="O392">
        <f>$F$2 * O372 - $F$3 * O352 + $F$4 * K332 + $F$5 * K312</f>
        <v/>
      </c>
      <c r="Q392">
        <f>L392-M392</f>
        <v/>
      </c>
      <c r="R392">
        <f>L392-N392</f>
        <v/>
      </c>
      <c r="S392">
        <f>L392-O392</f>
        <v/>
      </c>
    </row>
    <row r="393">
      <c r="J393" t="n">
        <v>391</v>
      </c>
      <c r="K393" t="n">
        <v>1</v>
      </c>
      <c r="L393">
        <f>$B$2*K393*(1-EXP(-(J393-$J$42-$B$3)/$B$4)*$B$4/($B$4-$B$5)+EXP(-(J393-$J$42-$B$3)/$B$5)*$B$5/($B$4-$B$5))</f>
        <v/>
      </c>
      <c r="M393">
        <f>$D$2*M392-$D$3*M391 + $D$4*K353+$D$5*K354</f>
        <v/>
      </c>
      <c r="N393">
        <f>$E$2 *N383 - $E$3 *N373 + $E$4 *K342 + $E$5 * K332</f>
        <v/>
      </c>
      <c r="O393">
        <f>$F$2 * O373 - $F$3 * O353 + $F$4 * K333 + $F$5 * K313</f>
        <v/>
      </c>
      <c r="Q393">
        <f>L393-M393</f>
        <v/>
      </c>
      <c r="R393">
        <f>L393-N393</f>
        <v/>
      </c>
      <c r="S393">
        <f>L393-O393</f>
        <v/>
      </c>
    </row>
    <row r="394">
      <c r="J394" t="n">
        <v>392</v>
      </c>
      <c r="K394" t="n">
        <v>1</v>
      </c>
      <c r="L394">
        <f>$B$2*K394*(1-EXP(-(J394-$J$42-$B$3)/$B$4)*$B$4/($B$4-$B$5)+EXP(-(J394-$J$42-$B$3)/$B$5)*$B$5/($B$4-$B$5))</f>
        <v/>
      </c>
      <c r="M394">
        <f>$D$2*M393-$D$3*M392 + $D$4*K354+$D$5*K355</f>
        <v/>
      </c>
      <c r="N394">
        <f>$E$2 *N384 - $E$3 *N374 + $E$4 *K343 + $E$5 * K333</f>
        <v/>
      </c>
      <c r="O394">
        <f>$F$2 * O374 - $F$3 * O354 + $F$4 * K334 + $F$5 * K314</f>
        <v/>
      </c>
      <c r="Q394">
        <f>L394-M394</f>
        <v/>
      </c>
      <c r="R394">
        <f>L394-N394</f>
        <v/>
      </c>
      <c r="S394">
        <f>L394-O394</f>
        <v/>
      </c>
    </row>
    <row r="395">
      <c r="J395" t="n">
        <v>393</v>
      </c>
      <c r="K395" t="n">
        <v>1</v>
      </c>
      <c r="L395">
        <f>$B$2*K395*(1-EXP(-(J395-$J$42-$B$3)/$B$4)*$B$4/($B$4-$B$5)+EXP(-(J395-$J$42-$B$3)/$B$5)*$B$5/($B$4-$B$5))</f>
        <v/>
      </c>
      <c r="M395">
        <f>$D$2*M394-$D$3*M393 + $D$4*K355+$D$5*K356</f>
        <v/>
      </c>
      <c r="N395">
        <f>$E$2 *N385 - $E$3 *N375 + $E$4 *K344 + $E$5 * K334</f>
        <v/>
      </c>
      <c r="O395">
        <f>$F$2 * O375 - $F$3 * O355 + $F$4 * K335 + $F$5 * K315</f>
        <v/>
      </c>
      <c r="Q395">
        <f>L395-M395</f>
        <v/>
      </c>
      <c r="R395">
        <f>L395-N395</f>
        <v/>
      </c>
      <c r="S395">
        <f>L395-O395</f>
        <v/>
      </c>
    </row>
    <row r="396">
      <c r="J396" t="n">
        <v>394</v>
      </c>
      <c r="K396" t="n">
        <v>1</v>
      </c>
      <c r="L396">
        <f>$B$2*K396*(1-EXP(-(J396-$J$42-$B$3)/$B$4)*$B$4/($B$4-$B$5)+EXP(-(J396-$J$42-$B$3)/$B$5)*$B$5/($B$4-$B$5))</f>
        <v/>
      </c>
      <c r="M396">
        <f>$D$2*M395-$D$3*M394 + $D$4*K356+$D$5*K357</f>
        <v/>
      </c>
      <c r="N396">
        <f>$E$2 *N386 - $E$3 *N376 + $E$4 *K345 + $E$5 * K335</f>
        <v/>
      </c>
      <c r="O396">
        <f>$F$2 * O376 - $F$3 * O356 + $F$4 * K336 + $F$5 * K316</f>
        <v/>
      </c>
      <c r="Q396">
        <f>L396-M396</f>
        <v/>
      </c>
      <c r="R396">
        <f>L396-N396</f>
        <v/>
      </c>
      <c r="S396">
        <f>L396-O396</f>
        <v/>
      </c>
    </row>
    <row r="397">
      <c r="J397" t="n">
        <v>395</v>
      </c>
      <c r="K397" t="n">
        <v>1</v>
      </c>
      <c r="L397">
        <f>$B$2*K397*(1-EXP(-(J397-$J$42-$B$3)/$B$4)*$B$4/($B$4-$B$5)+EXP(-(J397-$J$42-$B$3)/$B$5)*$B$5/($B$4-$B$5))</f>
        <v/>
      </c>
      <c r="M397">
        <f>$D$2*M396-$D$3*M395 + $D$4*K357+$D$5*K358</f>
        <v/>
      </c>
      <c r="N397">
        <f>$E$2 *N387 - $E$3 *N377 + $E$4 *K346 + $E$5 * K336</f>
        <v/>
      </c>
      <c r="O397">
        <f>$F$2 * O377 - $F$3 * O357 + $F$4 * K337 + $F$5 * K317</f>
        <v/>
      </c>
      <c r="Q397">
        <f>L397-M397</f>
        <v/>
      </c>
      <c r="R397">
        <f>L397-N397</f>
        <v/>
      </c>
      <c r="S397">
        <f>L397-O397</f>
        <v/>
      </c>
    </row>
    <row r="398">
      <c r="J398" t="n">
        <v>396</v>
      </c>
      <c r="K398" t="n">
        <v>1</v>
      </c>
      <c r="L398">
        <f>$B$2*K398*(1-EXP(-(J398-$J$42-$B$3)/$B$4)*$B$4/($B$4-$B$5)+EXP(-(J398-$J$42-$B$3)/$B$5)*$B$5/($B$4-$B$5))</f>
        <v/>
      </c>
      <c r="M398">
        <f>$D$2*M397-$D$3*M396 + $D$4*K358+$D$5*K359</f>
        <v/>
      </c>
      <c r="N398">
        <f>$E$2 *N388 - $E$3 *N378 + $E$4 *K347 + $E$5 * K337</f>
        <v/>
      </c>
      <c r="O398">
        <f>$F$2 * O378 - $F$3 * O358 + $F$4 * K338 + $F$5 * K318</f>
        <v/>
      </c>
      <c r="Q398">
        <f>L398-M398</f>
        <v/>
      </c>
      <c r="R398">
        <f>L398-N398</f>
        <v/>
      </c>
      <c r="S398">
        <f>L398-O398</f>
        <v/>
      </c>
    </row>
    <row r="399">
      <c r="J399" t="n">
        <v>397</v>
      </c>
      <c r="K399" t="n">
        <v>1</v>
      </c>
      <c r="L399">
        <f>$B$2*K399*(1-EXP(-(J399-$J$42-$B$3)/$B$4)*$B$4/($B$4-$B$5)+EXP(-(J399-$J$42-$B$3)/$B$5)*$B$5/($B$4-$B$5))</f>
        <v/>
      </c>
      <c r="M399">
        <f>$D$2*M398-$D$3*M397 + $D$4*K359+$D$5*K360</f>
        <v/>
      </c>
      <c r="N399">
        <f>$E$2 *N389 - $E$3 *N379 + $E$4 *K348 + $E$5 * K338</f>
        <v/>
      </c>
      <c r="O399">
        <f>$F$2 * O379 - $F$3 * O359 + $F$4 * K339 + $F$5 * K319</f>
        <v/>
      </c>
      <c r="Q399">
        <f>L399-M399</f>
        <v/>
      </c>
      <c r="R399">
        <f>L399-N399</f>
        <v/>
      </c>
      <c r="S399">
        <f>L399-O399</f>
        <v/>
      </c>
    </row>
    <row r="400">
      <c r="J400" t="n">
        <v>398</v>
      </c>
      <c r="K400" t="n">
        <v>1</v>
      </c>
      <c r="L400">
        <f>$B$2*K400*(1-EXP(-(J400-$J$42-$B$3)/$B$4)*$B$4/($B$4-$B$5)+EXP(-(J400-$J$42-$B$3)/$B$5)*$B$5/($B$4-$B$5))</f>
        <v/>
      </c>
      <c r="M400">
        <f>$D$2*M399-$D$3*M398 + $D$4*K360+$D$5*K361</f>
        <v/>
      </c>
      <c r="N400">
        <f>$E$2 *N390 - $E$3 *N380 + $E$4 *K349 + $E$5 * K339</f>
        <v/>
      </c>
      <c r="O400">
        <f>$F$2 * O380 - $F$3 * O360 + $F$4 * K340 + $F$5 * K320</f>
        <v/>
      </c>
      <c r="Q400">
        <f>L400-M400</f>
        <v/>
      </c>
      <c r="R400">
        <f>L400-N400</f>
        <v/>
      </c>
      <c r="S400">
        <f>L400-O400</f>
        <v/>
      </c>
    </row>
    <row r="401">
      <c r="J401" t="n">
        <v>399</v>
      </c>
      <c r="K401" t="n">
        <v>1</v>
      </c>
      <c r="L401">
        <f>$B$2*K401*(1-EXP(-(J401-$J$42-$B$3)/$B$4)*$B$4/($B$4-$B$5)+EXP(-(J401-$J$42-$B$3)/$B$5)*$B$5/($B$4-$B$5))</f>
        <v/>
      </c>
      <c r="M401">
        <f>$D$2*M400-$D$3*M399 + $D$4*K361+$D$5*K362</f>
        <v/>
      </c>
      <c r="N401">
        <f>$E$2 *N391 - $E$3 *N381 + $E$4 *K350 + $E$5 * K340</f>
        <v/>
      </c>
      <c r="O401">
        <f>$F$2 * O381 - $F$3 * O361 + $F$4 * K341 + $F$5 * K321</f>
        <v/>
      </c>
      <c r="Q401">
        <f>L401-M401</f>
        <v/>
      </c>
      <c r="R401">
        <f>L401-N401</f>
        <v/>
      </c>
      <c r="S401">
        <f>L401-O401</f>
        <v/>
      </c>
    </row>
    <row r="402">
      <c r="J402" t="n">
        <v>400</v>
      </c>
      <c r="K402" t="n">
        <v>1</v>
      </c>
      <c r="L402">
        <f>$B$2*K402*(1-EXP(-(J402-$J$42-$B$3)/$B$4)*$B$4/($B$4-$B$5)+EXP(-(J402-$J$42-$B$3)/$B$5)*$B$5/($B$4-$B$5))</f>
        <v/>
      </c>
      <c r="M402">
        <f>$D$2*M401-$D$3*M400 + $D$4*K362+$D$5*K363</f>
        <v/>
      </c>
      <c r="N402">
        <f>$E$2 *N392 - $E$3 *N382 + $E$4 *K351 + $E$5 * K341</f>
        <v/>
      </c>
      <c r="O402">
        <f>$F$2 * O382 - $F$3 * O362 + $F$4 * K342 + $F$5 * K322</f>
        <v/>
      </c>
      <c r="Q402">
        <f>L402-M402</f>
        <v/>
      </c>
      <c r="R402">
        <f>L402-N402</f>
        <v/>
      </c>
      <c r="S402">
        <f>L402-O402</f>
        <v/>
      </c>
    </row>
  </sheetData>
  <mergeCells count="1">
    <mergeCell ref="A1:B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selection activeCell="J11" sqref="J11"/>
    </sheetView>
  </sheetViews>
  <sheetFormatPr baseColWidth="8" defaultRowHeight="14.4"/>
  <sheetData>
    <row r="1">
      <c r="A1" s="43" t="inlineStr">
        <is>
          <t>регулятор</t>
        </is>
      </c>
      <c r="D1" s="43" t="inlineStr">
        <is>
          <t>ЭНП</t>
        </is>
      </c>
      <c r="G1" s="43" t="inlineStr">
        <is>
          <t>ЭТТ</t>
        </is>
      </c>
    </row>
    <row r="2">
      <c r="A2" t="inlineStr">
        <is>
          <t>Kr</t>
        </is>
      </c>
      <c r="B2" t="n">
        <v>6</v>
      </c>
      <c r="C2" s="11" t="inlineStr">
        <is>
          <t>Тц</t>
        </is>
      </c>
      <c r="D2" s="10" t="n">
        <v>1</v>
      </c>
      <c r="E2" t="n">
        <v>5</v>
      </c>
      <c r="F2" s="9" t="n">
        <v>10</v>
      </c>
      <c r="G2" t="n">
        <v>1</v>
      </c>
      <c r="H2" t="n">
        <v>5</v>
      </c>
      <c r="I2" s="9" t="n">
        <v>10</v>
      </c>
    </row>
    <row r="3">
      <c r="A3" t="inlineStr">
        <is>
          <t>Ti</t>
        </is>
      </c>
      <c r="B3" t="n">
        <v>20</v>
      </c>
      <c r="C3" s="11" t="inlineStr">
        <is>
          <t>q0</t>
        </is>
      </c>
      <c r="D3" s="10">
        <f>$B$2*(1+$B$4)</f>
        <v/>
      </c>
      <c r="E3">
        <f>$B$2*(1+$B$4)</f>
        <v/>
      </c>
      <c r="F3" s="9">
        <f>$B$2*(1+$B$4)</f>
        <v/>
      </c>
      <c r="G3">
        <f>$B$2*(1+G$2/(2*$B$3)+$B$4/G$2)</f>
        <v/>
      </c>
      <c r="H3">
        <f>$B$2*(1+H$2/(2*$B$3)+$B$4/H$2)</f>
        <v/>
      </c>
      <c r="I3" s="9">
        <f>$B$2*(1+I$2/(2*$B$3)+$B$4/I$2)</f>
        <v/>
      </c>
    </row>
    <row r="4">
      <c r="A4" t="inlineStr">
        <is>
          <t>Td</t>
        </is>
      </c>
      <c r="B4" t="n">
        <v>5</v>
      </c>
      <c r="C4" s="11" t="inlineStr">
        <is>
          <t>q1</t>
        </is>
      </c>
      <c r="D4" s="10">
        <f>$B$2*(D$2/$B$3-1-2*$B$4)</f>
        <v/>
      </c>
      <c r="E4">
        <f>$B$2*(E$2/$B$3-1-2*$B$4)</f>
        <v/>
      </c>
      <c r="F4" s="9">
        <f>$B$2*(F$2/$B$3-1-2*$B$4)</f>
        <v/>
      </c>
      <c r="G4">
        <f>$B$2*(G$2/(2*$B$3)-1-2*$B$4/G$2)</f>
        <v/>
      </c>
      <c r="H4">
        <f>$B$2*(H$2/(2*$B$3)-1-2*$B$4/H$2)</f>
        <v/>
      </c>
      <c r="I4" s="9">
        <f>$B$2*(I$2/(2*$B$3)-1-2*$B$4/I$2)</f>
        <v/>
      </c>
    </row>
    <row r="5">
      <c r="C5" s="11" t="inlineStr">
        <is>
          <t>q2</t>
        </is>
      </c>
      <c r="D5" s="12">
        <f>$B$2*$B$4</f>
        <v/>
      </c>
      <c r="E5" s="13">
        <f>$B$2*$B$4</f>
        <v/>
      </c>
      <c r="F5" s="14">
        <f>$B$2*$B$4</f>
        <v/>
      </c>
      <c r="G5" s="13">
        <f>($B$2 * $B$4)/G2</f>
        <v/>
      </c>
      <c r="H5" s="13">
        <f>($B$2 * $B$4)/H2</f>
        <v/>
      </c>
      <c r="I5" s="14">
        <f>($B$2 * $B$4)/I2</f>
        <v/>
      </c>
    </row>
    <row r="7">
      <c r="C7" s="42" t="inlineStr">
        <is>
          <t>ЭНП</t>
        </is>
      </c>
      <c r="F7" s="42" t="inlineStr">
        <is>
          <t>ЭТТ</t>
        </is>
      </c>
      <c r="M7" s="42" t="inlineStr">
        <is>
          <t>ЭНП</t>
        </is>
      </c>
      <c r="P7" s="42" t="inlineStr">
        <is>
          <t>ЭТТ</t>
        </is>
      </c>
    </row>
    <row r="8">
      <c r="A8" t="inlineStr">
        <is>
          <t>t,с</t>
        </is>
      </c>
      <c r="B8" t="inlineStr">
        <is>
          <t>e</t>
        </is>
      </c>
      <c r="C8" t="inlineStr">
        <is>
          <t>T=1</t>
        </is>
      </c>
      <c r="D8" t="inlineStr">
        <is>
          <t>T=5</t>
        </is>
      </c>
      <c r="E8" t="inlineStr">
        <is>
          <t>T=10</t>
        </is>
      </c>
      <c r="F8" t="inlineStr">
        <is>
          <t>T=1</t>
        </is>
      </c>
      <c r="G8" t="inlineStr">
        <is>
          <t>T=5</t>
        </is>
      </c>
      <c r="H8" t="inlineStr">
        <is>
          <t>T=10</t>
        </is>
      </c>
      <c r="L8" t="inlineStr">
        <is>
          <t>e</t>
        </is>
      </c>
      <c r="M8" t="inlineStr">
        <is>
          <t>T=1</t>
        </is>
      </c>
      <c r="N8" t="inlineStr">
        <is>
          <t>T=5</t>
        </is>
      </c>
      <c r="O8" t="inlineStr">
        <is>
          <t>T=10</t>
        </is>
      </c>
      <c r="P8" t="inlineStr">
        <is>
          <t>T=1</t>
        </is>
      </c>
      <c r="Q8" t="inlineStr">
        <is>
          <t>T=5</t>
        </is>
      </c>
      <c r="R8" t="inlineStr">
        <is>
          <t>T=10</t>
        </is>
      </c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n">
        <v>1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n">
        <v>2</v>
      </c>
      <c r="B11" t="n">
        <v>0</v>
      </c>
      <c r="C11">
        <f>C10+D$3*$B11+D$4*$B10+D$5*$B9</f>
        <v/>
      </c>
      <c r="D11" t="n">
        <v>0</v>
      </c>
      <c r="E11" t="n">
        <v>0</v>
      </c>
      <c r="F11">
        <f>F10+G$3*$B11+G$4*$B10+G$5*$B9</f>
        <v/>
      </c>
      <c r="G11" t="n">
        <v>0</v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3</v>
      </c>
      <c r="B12" t="n">
        <v>0</v>
      </c>
      <c r="C12">
        <f>C11+D$3*$B12+D$4*$B11+D$5*$B10</f>
        <v/>
      </c>
      <c r="D12" t="n">
        <v>0</v>
      </c>
      <c r="E12" t="n">
        <v>0</v>
      </c>
      <c r="F12">
        <f>F11+G$3*$B12+G$4*$B11+G$5*$B10</f>
        <v/>
      </c>
      <c r="G12" t="n">
        <v>0</v>
      </c>
      <c r="H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n">
        <v>4</v>
      </c>
      <c r="B13" t="n">
        <v>0</v>
      </c>
      <c r="C13">
        <f>C12+D$3*$B13+D$4*$B12+D$5*$B11</f>
        <v/>
      </c>
      <c r="D13" t="n">
        <v>0</v>
      </c>
      <c r="E13" t="n">
        <v>0</v>
      </c>
      <c r="F13">
        <f>F12+G$3*$B13+G$4*$B12+G$5*$B11</f>
        <v/>
      </c>
      <c r="G13" t="n">
        <v>0</v>
      </c>
      <c r="H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5</v>
      </c>
      <c r="B14" t="n">
        <v>0</v>
      </c>
      <c r="C14">
        <f>C13+D$3*$B14+D$4*$B13+D$5*$B12</f>
        <v/>
      </c>
      <c r="D14" t="n">
        <v>0</v>
      </c>
      <c r="E14" t="n">
        <v>0</v>
      </c>
      <c r="F14">
        <f>F13+G$3*$B14+G$4*$B13+G$5*$B12</f>
        <v/>
      </c>
      <c r="G14" t="n">
        <v>0</v>
      </c>
      <c r="H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6</v>
      </c>
      <c r="B15" t="n">
        <v>0</v>
      </c>
      <c r="C15">
        <f>C14+D$3*$B15+D$4*$B14+D$5*$B13</f>
        <v/>
      </c>
      <c r="D15" t="n">
        <v>0</v>
      </c>
      <c r="E15" t="n">
        <v>0</v>
      </c>
      <c r="F15">
        <f>F14+G$3*$B15+G$4*$B14+G$5*$B13</f>
        <v/>
      </c>
      <c r="G15" t="n">
        <v>0</v>
      </c>
      <c r="H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n">
        <v>7</v>
      </c>
      <c r="B16" t="n">
        <v>0</v>
      </c>
      <c r="C16">
        <f>C15+D$3*$B16+D$4*$B15+D$5*$B14</f>
        <v/>
      </c>
      <c r="D16" t="n">
        <v>0</v>
      </c>
      <c r="E16" t="n">
        <v>0</v>
      </c>
      <c r="F16">
        <f>F15+G$3*$B16+G$4*$B15+G$5*$B14</f>
        <v/>
      </c>
      <c r="G16" t="n">
        <v>0</v>
      </c>
      <c r="H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8</v>
      </c>
      <c r="B17" t="n">
        <v>0</v>
      </c>
      <c r="C17">
        <f>C16+D$3*$B17+D$4*$B16+D$5*$B15</f>
        <v/>
      </c>
      <c r="D17" t="n">
        <v>0</v>
      </c>
      <c r="E17" t="n">
        <v>0</v>
      </c>
      <c r="F17">
        <f>F16+G$3*$B17+G$4*$B16+G$5*$B15</f>
        <v/>
      </c>
      <c r="G17" t="n">
        <v>0</v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n">
        <v>9</v>
      </c>
      <c r="B18" t="n">
        <v>0</v>
      </c>
      <c r="C18">
        <f>C17+D$3*$B18+D$4*$B17+D$5*$B16</f>
        <v/>
      </c>
      <c r="D18" t="n">
        <v>0</v>
      </c>
      <c r="E18" t="n">
        <v>0</v>
      </c>
      <c r="F18">
        <f>F17+G$3*$B18+G$4*$B17+G$5*$B16</f>
        <v/>
      </c>
      <c r="G18" t="n">
        <v>0</v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</v>
      </c>
      <c r="B19" t="n">
        <v>0</v>
      </c>
      <c r="C19">
        <f>C18+D$3*$B19+D$4*$B18+D$5*$B17</f>
        <v/>
      </c>
      <c r="D19">
        <f>D14+E$3*$B19+E$4*$B14+E$5*$B9</f>
        <v/>
      </c>
      <c r="E19" t="n">
        <v>0</v>
      </c>
      <c r="F19">
        <f>F18+G$3*$B19+G$4*$B18+G$5*$B17</f>
        <v/>
      </c>
      <c r="G19">
        <f>G14+H$3*$B19+H$4*$B14+H$5*$B9</f>
        <v/>
      </c>
      <c r="H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11</v>
      </c>
      <c r="B20" t="n">
        <v>0</v>
      </c>
      <c r="C20">
        <f>C19+D$3*$B20+D$4*$B19+D$5*$B18</f>
        <v/>
      </c>
      <c r="D20">
        <f>D15+E$3*$B20+E$4*$B15+E$5*$B10</f>
        <v/>
      </c>
      <c r="E20" t="n">
        <v>0</v>
      </c>
      <c r="F20">
        <f>F19+G$3*$B20+G$4*$B19+G$5*$B18</f>
        <v/>
      </c>
      <c r="G20">
        <f>G15+H$3*$B20+H$4*$B15+H$5*$B10</f>
        <v/>
      </c>
      <c r="H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n">
        <v>12</v>
      </c>
      <c r="B21" t="n">
        <v>0</v>
      </c>
      <c r="C21">
        <f>C20+D$3*$B21+D$4*$B20+D$5*$B19</f>
        <v/>
      </c>
      <c r="D21">
        <f>D16+E$3*$B21+E$4*$B16+E$5*$B11</f>
        <v/>
      </c>
      <c r="E21" t="n">
        <v>0</v>
      </c>
      <c r="F21">
        <f>F20+G$3*$B21+G$4*$B20+G$5*$B19</f>
        <v/>
      </c>
      <c r="G21">
        <f>G16+H$3*$B21+H$4*$B16+H$5*$B11</f>
        <v/>
      </c>
      <c r="H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n">
        <v>13</v>
      </c>
      <c r="B22" t="n">
        <v>0</v>
      </c>
      <c r="C22">
        <f>C21+D$3*$B22+D$4*$B21+D$5*$B20</f>
        <v/>
      </c>
      <c r="D22">
        <f>D17+E$3*$B22+E$4*$B17+E$5*$B12</f>
        <v/>
      </c>
      <c r="E22" t="n">
        <v>0</v>
      </c>
      <c r="F22">
        <f>F21+G$3*$B22+G$4*$B21+G$5*$B20</f>
        <v/>
      </c>
      <c r="G22">
        <f>G17+H$3*$B22+H$4*$B17+H$5*$B12</f>
        <v/>
      </c>
      <c r="H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14</v>
      </c>
      <c r="B23" t="n">
        <v>0</v>
      </c>
      <c r="C23">
        <f>C22+D$3*$B23+D$4*$B22+D$5*$B21</f>
        <v/>
      </c>
      <c r="D23">
        <f>D18+E$3*$B23+E$4*$B18+E$5*$B13</f>
        <v/>
      </c>
      <c r="E23" t="n">
        <v>0</v>
      </c>
      <c r="F23">
        <f>F22+G$3*$B23+G$4*$B22+G$5*$B21</f>
        <v/>
      </c>
      <c r="G23">
        <f>G18+H$3*$B23+H$4*$B18+H$5*$B13</f>
        <v/>
      </c>
      <c r="H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15</v>
      </c>
      <c r="B24" t="n">
        <v>0</v>
      </c>
      <c r="C24">
        <f>C23+D$3*$B24+D$4*$B23+D$5*$B22</f>
        <v/>
      </c>
      <c r="D24">
        <f>D19+E$3*$B24+E$4*$B19+E$5*$B14</f>
        <v/>
      </c>
      <c r="E24" t="n">
        <v>0</v>
      </c>
      <c r="F24">
        <f>F23+G$3*$B24+G$4*$B23+G$5*$B22</f>
        <v/>
      </c>
      <c r="G24">
        <f>G19+H$3*$B24+H$4*$B19+H$5*$B14</f>
        <v/>
      </c>
      <c r="H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n">
        <v>16</v>
      </c>
      <c r="B25" t="n">
        <v>0</v>
      </c>
      <c r="C25">
        <f>C24+D$3*$B25+D$4*$B24+D$5*$B23</f>
        <v/>
      </c>
      <c r="D25">
        <f>D20+E$3*$B25+E$4*$B20+E$5*$B15</f>
        <v/>
      </c>
      <c r="E25" t="n">
        <v>0</v>
      </c>
      <c r="F25">
        <f>F24+G$3*$B25+G$4*$B24+G$5*$B23</f>
        <v/>
      </c>
      <c r="G25">
        <f>G20+H$3*$B25+H$4*$B20+H$5*$B15</f>
        <v/>
      </c>
      <c r="H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n">
        <v>17</v>
      </c>
      <c r="B26" t="n">
        <v>0</v>
      </c>
      <c r="C26">
        <f>C25+D$3*$B26+D$4*$B25+D$5*$B24</f>
        <v/>
      </c>
      <c r="D26">
        <f>D21+E$3*$B26+E$4*$B21+E$5*$B16</f>
        <v/>
      </c>
      <c r="E26" t="n">
        <v>0</v>
      </c>
      <c r="F26">
        <f>F25+G$3*$B26+G$4*$B25+G$5*$B24</f>
        <v/>
      </c>
      <c r="G26">
        <f>G21+H$3*$B26+H$4*$B21+H$5*$B16</f>
        <v/>
      </c>
      <c r="H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18</v>
      </c>
      <c r="B27" t="n">
        <v>0</v>
      </c>
      <c r="C27">
        <f>C26+D$3*$B27+D$4*$B26+D$5*$B25</f>
        <v/>
      </c>
      <c r="D27">
        <f>D22+E$3*$B27+E$4*$B22+E$5*$B17</f>
        <v/>
      </c>
      <c r="E27" t="n">
        <v>0</v>
      </c>
      <c r="F27">
        <f>F26+G$3*$B27+G$4*$B26+G$5*$B25</f>
        <v/>
      </c>
      <c r="G27">
        <f>G22+H$3*$B27+H$4*$B22+H$5*$B17</f>
        <v/>
      </c>
      <c r="H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n">
        <v>19</v>
      </c>
      <c r="B28" t="n">
        <v>0</v>
      </c>
      <c r="C28">
        <f>C27+D$3*$B28+D$4*$B27+D$5*$B26</f>
        <v/>
      </c>
      <c r="D28">
        <f>D23+E$3*$B28+E$4*$B23+E$5*$B18</f>
        <v/>
      </c>
      <c r="E28" t="n">
        <v>0</v>
      </c>
      <c r="F28">
        <f>F27+G$3*$B28+G$4*$B27+G$5*$B26</f>
        <v/>
      </c>
      <c r="G28">
        <f>G23+H$3*$B28+H$4*$B23+H$5*$B18</f>
        <v/>
      </c>
      <c r="H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n">
        <v>20</v>
      </c>
      <c r="B29" t="n">
        <v>0</v>
      </c>
      <c r="C29">
        <f>C28+D$3*$B29+D$4*$B28+D$5*$B27</f>
        <v/>
      </c>
      <c r="D29">
        <f>D24+E$3*$B29+E$4*$B24+E$5*$B19</f>
        <v/>
      </c>
      <c r="E29">
        <f>E19+F$3*$B29+F$4*$B19+F$5*$B9</f>
        <v/>
      </c>
      <c r="F29">
        <f>F28+G$3*$B29+G$4*$B28+G$5*$B27</f>
        <v/>
      </c>
      <c r="G29">
        <f>G24+H$3*$B29+H$4*$B24+H$5*$B19</f>
        <v/>
      </c>
      <c r="H29">
        <f>H19+I$3*$B29+I$4*$B19+I$5*$B9</f>
        <v/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  <row r="30">
      <c r="A30" t="n">
        <v>21</v>
      </c>
      <c r="B30" t="n">
        <v>0</v>
      </c>
      <c r="C30">
        <f>C29+D$3*$B30+D$4*$B29+D$5*$B28</f>
        <v/>
      </c>
      <c r="D30">
        <f>D25+E$3*$B30+E$4*$B25+E$5*$B20</f>
        <v/>
      </c>
      <c r="E30">
        <f>E20+F$3*$B30+F$4*$B20+F$5*$B10</f>
        <v/>
      </c>
      <c r="F30">
        <f>F29+G$3*$B30+G$4*$B29+G$5*$B28</f>
        <v/>
      </c>
      <c r="G30">
        <f>G25+H$3*$B30+H$4*$B25+H$5*$B20</f>
        <v/>
      </c>
      <c r="H30">
        <f>H20+I$3*$B30+I$4*$B20+I$5*$B10</f>
        <v/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</row>
    <row r="31">
      <c r="A31" t="n">
        <v>22</v>
      </c>
      <c r="B31" t="n">
        <v>0</v>
      </c>
      <c r="C31">
        <f>C30+D$3*$B31+D$4*$B30+D$5*$B29</f>
        <v/>
      </c>
      <c r="D31">
        <f>D26+E$3*$B31+E$4*$B26+E$5*$B21</f>
        <v/>
      </c>
      <c r="E31">
        <f>E21+F$3*$B31+F$4*$B21+F$5*$B11</f>
        <v/>
      </c>
      <c r="F31">
        <f>F30+G$3*$B31+G$4*$B30+G$5*$B29</f>
        <v/>
      </c>
      <c r="G31">
        <f>G26+H$3*$B31+H$4*$B26+H$5*$B21</f>
        <v/>
      </c>
      <c r="H31">
        <f>H21+I$3*$B31+I$4*$B21+I$5*$B11</f>
        <v/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</row>
    <row r="32">
      <c r="A32" t="n">
        <v>23</v>
      </c>
      <c r="B32" t="n">
        <v>0</v>
      </c>
      <c r="C32">
        <f>C31+D$3*$B32+D$4*$B31+D$5*$B30</f>
        <v/>
      </c>
      <c r="D32">
        <f>D27+E$3*$B32+E$4*$B27+E$5*$B22</f>
        <v/>
      </c>
      <c r="E32">
        <f>E22+F$3*$B32+F$4*$B22+F$5*$B12</f>
        <v/>
      </c>
      <c r="F32">
        <f>F31+G$3*$B32+G$4*$B31+G$5*$B30</f>
        <v/>
      </c>
      <c r="G32">
        <f>G27+H$3*$B32+H$4*$B27+H$5*$B22</f>
        <v/>
      </c>
      <c r="H32">
        <f>H22+I$3*$B32+I$4*$B22+I$5*$B12</f>
        <v/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</row>
    <row r="33">
      <c r="A33" t="n">
        <v>24</v>
      </c>
      <c r="B33" t="n">
        <v>0</v>
      </c>
      <c r="C33">
        <f>C32+D$3*$B33+D$4*$B32+D$5*$B31</f>
        <v/>
      </c>
      <c r="D33">
        <f>D28+E$3*$B33+E$4*$B28+E$5*$B23</f>
        <v/>
      </c>
      <c r="E33">
        <f>E23+F$3*$B33+F$4*$B23+F$5*$B13</f>
        <v/>
      </c>
      <c r="F33">
        <f>F32+G$3*$B33+G$4*$B32+G$5*$B31</f>
        <v/>
      </c>
      <c r="G33">
        <f>G28+H$3*$B33+H$4*$B28+H$5*$B23</f>
        <v/>
      </c>
      <c r="H33">
        <f>H23+I$3*$B33+I$4*$B23+I$5*$B13</f>
        <v/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25</v>
      </c>
      <c r="B34" t="n">
        <v>0</v>
      </c>
      <c r="C34">
        <f>C33+D$3*$B34+D$4*$B33+D$5*$B32</f>
        <v/>
      </c>
      <c r="D34">
        <f>D29+E$3*$B34+E$4*$B29+E$5*$B24</f>
        <v/>
      </c>
      <c r="E34">
        <f>E24+F$3*$B34+F$4*$B24+F$5*$B14</f>
        <v/>
      </c>
      <c r="F34">
        <f>F33+G$3*$B34+G$4*$B33+G$5*$B32</f>
        <v/>
      </c>
      <c r="G34">
        <f>G29+H$3*$B34+H$4*$B29+H$5*$B24</f>
        <v/>
      </c>
      <c r="H34">
        <f>H24+I$3*$B34+I$4*$B24+I$5*$B14</f>
        <v/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26</v>
      </c>
      <c r="B35" t="n">
        <v>0</v>
      </c>
      <c r="C35">
        <f>C34+D$3*$B35+D$4*$B34+D$5*$B33</f>
        <v/>
      </c>
      <c r="D35">
        <f>D30+E$3*$B35+E$4*$B30+E$5*$B25</f>
        <v/>
      </c>
      <c r="E35">
        <f>E25+F$3*$B35+F$4*$B25+F$5*$B15</f>
        <v/>
      </c>
      <c r="F35">
        <f>F34+G$3*$B35+G$4*$B34+G$5*$B33</f>
        <v/>
      </c>
      <c r="G35">
        <f>G30+H$3*$B35+H$4*$B30+H$5*$B25</f>
        <v/>
      </c>
      <c r="H35">
        <f>H25+I$3*$B35+I$4*$B25+I$5*$B15</f>
        <v/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27</v>
      </c>
      <c r="B36" t="n">
        <v>0</v>
      </c>
      <c r="C36">
        <f>C35+D$3*$B36+D$4*$B35+D$5*$B34</f>
        <v/>
      </c>
      <c r="D36">
        <f>D31+E$3*$B36+E$4*$B31+E$5*$B26</f>
        <v/>
      </c>
      <c r="E36">
        <f>E26+F$3*$B36+F$4*$B26+F$5*$B16</f>
        <v/>
      </c>
      <c r="F36">
        <f>F35+G$3*$B36+G$4*$B35+G$5*$B34</f>
        <v/>
      </c>
      <c r="G36">
        <f>G31+H$3*$B36+H$4*$B31+H$5*$B26</f>
        <v/>
      </c>
      <c r="H36">
        <f>H26+I$3*$B36+I$4*$B26+I$5*$B16</f>
        <v/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28</v>
      </c>
      <c r="B37" t="n">
        <v>0</v>
      </c>
      <c r="C37">
        <f>C36+D$3*$B37+D$4*$B36+D$5*$B35</f>
        <v/>
      </c>
      <c r="D37">
        <f>D32+E$3*$B37+E$4*$B32+E$5*$B27</f>
        <v/>
      </c>
      <c r="E37">
        <f>E27+F$3*$B37+F$4*$B27+F$5*$B17</f>
        <v/>
      </c>
      <c r="F37">
        <f>F36+G$3*$B37+G$4*$B36+G$5*$B35</f>
        <v/>
      </c>
      <c r="G37">
        <f>G32+H$3*$B37+H$4*$B32+H$5*$B27</f>
        <v/>
      </c>
      <c r="H37">
        <f>H27+I$3*$B37+I$4*$B27+I$5*$B17</f>
        <v/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</row>
    <row r="38">
      <c r="A38" t="n">
        <v>29</v>
      </c>
      <c r="B38" t="n">
        <v>0</v>
      </c>
      <c r="C38">
        <f>C37+D$3*$B38+D$4*$B37+D$5*$B36</f>
        <v/>
      </c>
      <c r="D38">
        <f>D33+E$3*$B38+E$4*$B33+E$5*$B28</f>
        <v/>
      </c>
      <c r="E38">
        <f>E28+F$3*$B38+F$4*$B28+F$5*$B18</f>
        <v/>
      </c>
      <c r="F38">
        <f>F37+G$3*$B38+G$4*$B37+G$5*$B36</f>
        <v/>
      </c>
      <c r="G38">
        <f>G33+H$3*$B38+H$4*$B33+H$5*$B28</f>
        <v/>
      </c>
      <c r="H38">
        <f>H28+I$3*$B38+I$4*$B28+I$5*$B18</f>
        <v/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30</v>
      </c>
      <c r="B39" t="n">
        <v>0</v>
      </c>
      <c r="C39">
        <f>C38+D$3*$B39+D$4*$B38+D$5*$B37</f>
        <v/>
      </c>
      <c r="D39">
        <f>D34+E$3*$B39+E$4*$B34+E$5*$B29</f>
        <v/>
      </c>
      <c r="E39">
        <f>E29+F$3*$B39+F$4*$B29+F$5*$B19</f>
        <v/>
      </c>
      <c r="F39">
        <f>F38+G$3*$B39+G$4*$B38+G$5*$B37</f>
        <v/>
      </c>
      <c r="G39">
        <f>G34+H$3*$B39+H$4*$B34+H$5*$B29</f>
        <v/>
      </c>
      <c r="H39">
        <f>H29+I$3*$B39+I$4*$B29+I$5*$B19</f>
        <v/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31</v>
      </c>
      <c r="B40" t="n">
        <v>0</v>
      </c>
      <c r="C40">
        <f>C39+D$3*$B40+D$4*$B39+D$5*$B38</f>
        <v/>
      </c>
      <c r="D40">
        <f>D35+E$3*$B40+E$4*$B35+E$5*$B30</f>
        <v/>
      </c>
      <c r="E40">
        <f>E30+F$3*$B40+F$4*$B30+F$5*$B20</f>
        <v/>
      </c>
      <c r="F40">
        <f>F39+G$3*$B40+G$4*$B39+G$5*$B38</f>
        <v/>
      </c>
      <c r="G40">
        <f>G35+H$3*$B40+H$4*$B35+H$5*$B30</f>
        <v/>
      </c>
      <c r="H40">
        <f>H30+I$3*$B40+I$4*$B30+I$5*$B20</f>
        <v/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32</v>
      </c>
      <c r="B41" t="n">
        <v>0</v>
      </c>
      <c r="C41">
        <f>C40+D$3*$B41+D$4*$B40+D$5*$B39</f>
        <v/>
      </c>
      <c r="D41">
        <f>D36+E$3*$B41+E$4*$B36+E$5*$B31</f>
        <v/>
      </c>
      <c r="E41">
        <f>E31+F$3*$B41+F$4*$B31+F$5*$B21</f>
        <v/>
      </c>
      <c r="F41">
        <f>F40+G$3*$B41+G$4*$B40+G$5*$B39</f>
        <v/>
      </c>
      <c r="G41">
        <f>G36+H$3*$B41+H$4*$B36+H$5*$B31</f>
        <v/>
      </c>
      <c r="H41">
        <f>H31+I$3*$B41+I$4*$B31+I$5*$B21</f>
        <v/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</row>
    <row r="42">
      <c r="A42" t="n">
        <v>33</v>
      </c>
      <c r="B42" t="n">
        <v>0</v>
      </c>
      <c r="C42">
        <f>C41+D$3*$B42+D$4*$B41+D$5*$B40</f>
        <v/>
      </c>
      <c r="D42">
        <f>D37+E$3*$B42+E$4*$B37+E$5*$B32</f>
        <v/>
      </c>
      <c r="E42">
        <f>E32+F$3*$B42+F$4*$B32+F$5*$B22</f>
        <v/>
      </c>
      <c r="F42">
        <f>F41+G$3*$B42+G$4*$B41+G$5*$B40</f>
        <v/>
      </c>
      <c r="G42">
        <f>G37+H$3*$B42+H$4*$B37+H$5*$B32</f>
        <v/>
      </c>
      <c r="H42">
        <f>H32+I$3*$B42+I$4*$B32+I$5*$B22</f>
        <v/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</row>
    <row r="43">
      <c r="A43" t="n">
        <v>34</v>
      </c>
      <c r="B43" t="n">
        <v>0</v>
      </c>
      <c r="C43">
        <f>C42+D$3*$B43+D$4*$B42+D$5*$B41</f>
        <v/>
      </c>
      <c r="D43">
        <f>D38+E$3*$B43+E$4*$B38+E$5*$B33</f>
        <v/>
      </c>
      <c r="E43">
        <f>E33+F$3*$B43+F$4*$B33+F$5*$B23</f>
        <v/>
      </c>
      <c r="F43">
        <f>F42+G$3*$B43+G$4*$B42+G$5*$B41</f>
        <v/>
      </c>
      <c r="G43">
        <f>G38+H$3*$B43+H$4*$B38+H$5*$B33</f>
        <v/>
      </c>
      <c r="H43">
        <f>H33+I$3*$B43+I$4*$B33+I$5*$B23</f>
        <v/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</row>
    <row r="44">
      <c r="A44" t="n">
        <v>35</v>
      </c>
      <c r="B44" t="n">
        <v>0</v>
      </c>
      <c r="C44">
        <f>C43+D$3*$B44+D$4*$B43+D$5*$B42</f>
        <v/>
      </c>
      <c r="D44">
        <f>D39+E$3*$B44+E$4*$B39+E$5*$B34</f>
        <v/>
      </c>
      <c r="E44">
        <f>E34+F$3*$B44+F$4*$B34+F$5*$B24</f>
        <v/>
      </c>
      <c r="F44">
        <f>F43+G$3*$B44+G$4*$B43+G$5*$B42</f>
        <v/>
      </c>
      <c r="G44">
        <f>G39+H$3*$B44+H$4*$B39+H$5*$B34</f>
        <v/>
      </c>
      <c r="H44">
        <f>H34+I$3*$B44+I$4*$B34+I$5*$B24</f>
        <v/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</row>
    <row r="45">
      <c r="A45" t="n">
        <v>36</v>
      </c>
      <c r="B45" t="n">
        <v>0</v>
      </c>
      <c r="C45">
        <f>C44+D$3*$B45+D$4*$B44+D$5*$B43</f>
        <v/>
      </c>
      <c r="D45">
        <f>D40+E$3*$B45+E$4*$B40+E$5*$B35</f>
        <v/>
      </c>
      <c r="E45">
        <f>E35+F$3*$B45+F$4*$B35+F$5*$B25</f>
        <v/>
      </c>
      <c r="F45">
        <f>F44+G$3*$B45+G$4*$B44+G$5*$B43</f>
        <v/>
      </c>
      <c r="G45">
        <f>G40+H$3*$B45+H$4*$B40+H$5*$B35</f>
        <v/>
      </c>
      <c r="H45">
        <f>H35+I$3*$B45+I$4*$B35+I$5*$B25</f>
        <v/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</row>
    <row r="46">
      <c r="A46" t="n">
        <v>37</v>
      </c>
      <c r="B46" t="n">
        <v>0</v>
      </c>
      <c r="C46">
        <f>C45+D$3*$B46+D$4*$B45+D$5*$B44</f>
        <v/>
      </c>
      <c r="D46">
        <f>D41+E$3*$B46+E$4*$B41+E$5*$B36</f>
        <v/>
      </c>
      <c r="E46">
        <f>E36+F$3*$B46+F$4*$B36+F$5*$B26</f>
        <v/>
      </c>
      <c r="F46">
        <f>F45+G$3*$B46+G$4*$B45+G$5*$B44</f>
        <v/>
      </c>
      <c r="G46">
        <f>G41+H$3*$B46+H$4*$B41+H$5*$B36</f>
        <v/>
      </c>
      <c r="H46">
        <f>H36+I$3*$B46+I$4*$B36+I$5*$B26</f>
        <v/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</row>
    <row r="47">
      <c r="A47" t="n">
        <v>38</v>
      </c>
      <c r="B47" t="n">
        <v>0</v>
      </c>
      <c r="C47">
        <f>C46+D$3*$B47+D$4*$B46+D$5*$B45</f>
        <v/>
      </c>
      <c r="D47">
        <f>D42+E$3*$B47+E$4*$B42+E$5*$B37</f>
        <v/>
      </c>
      <c r="E47">
        <f>E37+F$3*$B47+F$4*$B37+F$5*$B27</f>
        <v/>
      </c>
      <c r="F47">
        <f>F46+G$3*$B47+G$4*$B46+G$5*$B45</f>
        <v/>
      </c>
      <c r="G47">
        <f>G42+H$3*$B47+H$4*$B42+H$5*$B37</f>
        <v/>
      </c>
      <c r="H47">
        <f>H37+I$3*$B47+I$4*$B37+I$5*$B27</f>
        <v/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</row>
    <row r="48">
      <c r="A48" t="n">
        <v>39</v>
      </c>
      <c r="B48" t="n">
        <v>0</v>
      </c>
      <c r="C48">
        <f>C47+D$3*$B48+D$4*$B47+D$5*$B46</f>
        <v/>
      </c>
      <c r="D48">
        <f>D43+E$3*$B48+E$4*$B43+E$5*$B38</f>
        <v/>
      </c>
      <c r="E48">
        <f>E38+F$3*$B48+F$4*$B38+F$5*$B28</f>
        <v/>
      </c>
      <c r="F48">
        <f>F47+G$3*$B48+G$4*$B47+G$5*$B46</f>
        <v/>
      </c>
      <c r="G48">
        <f>G43+H$3*$B48+H$4*$B43+H$5*$B38</f>
        <v/>
      </c>
      <c r="H48">
        <f>H38+I$3*$B48+I$4*$B38+I$5*$B28</f>
        <v/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</row>
    <row r="49">
      <c r="A49" t="n">
        <v>40</v>
      </c>
      <c r="B49" t="n">
        <v>1</v>
      </c>
      <c r="C49">
        <f>C48+D$3*$B49+D$4*$B48+D$5*$B47</f>
        <v/>
      </c>
      <c r="D49">
        <f>D44+E$3*$B49+E$4*$B44+E$5*$B39</f>
        <v/>
      </c>
      <c r="E49">
        <f>E39+F$3*$B49+F$4*$B39+F$5*$B29</f>
        <v/>
      </c>
      <c r="F49">
        <f>F48+G$3*$B49+G$4*$B48+G$5*$B47</f>
        <v/>
      </c>
      <c r="G49">
        <f>G44+H$3*$B49+H$4*$B44+H$5*$B39</f>
        <v/>
      </c>
      <c r="H49">
        <f>H39+I$3*$B49+I$4*$B39+I$5*$B29</f>
        <v/>
      </c>
      <c r="L49" t="n">
        <v>1</v>
      </c>
      <c r="M49">
        <f>IF(MOD($A49,D$2)=0,OFFSET(M49,-D$2,0)+ D$3* $B49+D$4*OFFSET($B49,-D$2,0)+ D$5*OFFSET($B49,-2* D$2,0), M48)</f>
        <v/>
      </c>
      <c r="N49">
        <f>IF(MOD($A49,E$2)=0,OFFSET(N49,-E$2,0)+ E$3* $B49+E$4*OFFSET($B49,-E$2,0)+ E$5*OFFSET($B49,-2* E$2,0), N48)</f>
        <v/>
      </c>
      <c r="O49">
        <f>IF(MOD($A49,F$2)=0,OFFSET(O49,-F$2,0)+ F$3* $B49+F$4*OFFSET($B49,-F$2,0)+ F$5*OFFSET($B49,-2* F$2,0), O48)</f>
        <v/>
      </c>
      <c r="P49">
        <f>IF(MOD($A49,G$2)=0,OFFSET(P49,-G$2,0)+ G$3* $B49+G$4*OFFSET($B49,-G$2,0)+ G$5*OFFSET($B49,-2* G$2,0), P48)</f>
        <v/>
      </c>
      <c r="Q49">
        <f>IF(MOD($A49,H$2)=0,OFFSET(Q49,-H$2,0)+ H$3* $B49+H$4*OFFSET($B49,-H$2,0)+ H$5*OFFSET($B49,-2* H$2,0), Q48)</f>
        <v/>
      </c>
      <c r="R49">
        <f>IF(MOD($A49,I$2)=0,OFFSET(R49,-I$2,0)+ I$3* $B49+I$4*OFFSET($B49,-I$2,0)+ I$5*OFFSET($B49,-2* I$2,0), R48)</f>
        <v/>
      </c>
    </row>
    <row r="50">
      <c r="A50" t="n">
        <v>41</v>
      </c>
      <c r="B50" t="n">
        <v>1</v>
      </c>
      <c r="C50">
        <f>C49+D$3*$B50+D$4*$B49+D$5*$B48</f>
        <v/>
      </c>
      <c r="D50">
        <f>D45+E$3*$B50+E$4*$B45+E$5*$B40</f>
        <v/>
      </c>
      <c r="E50">
        <f>E40+F$3*$B50+F$4*$B40+F$5*$B30</f>
        <v/>
      </c>
      <c r="F50">
        <f>F49+G$3*$B50+G$4*$B49+G$5*$B48</f>
        <v/>
      </c>
      <c r="G50">
        <f>G45+H$3*$B50+H$4*$B45+H$5*$B40</f>
        <v/>
      </c>
      <c r="H50">
        <f>H40+I$3*$B50+I$4*$B40+I$5*$B30</f>
        <v/>
      </c>
      <c r="L50" t="n">
        <v>1</v>
      </c>
      <c r="M50">
        <f>IF(MOD($A50,D$2)=0,OFFSET(M50,-D$2,0)+ D$3* $B50+D$4*OFFSET($B50,-D$2,0)+ D$5*OFFSET($B50,-2* D$2,0), M49)</f>
        <v/>
      </c>
      <c r="N50">
        <f>IF(MOD($A50,E$2)=0,OFFSET(N50,-E$2,0)+ E$3* $B50+E$4*OFFSET($B50,-E$2,0)+ E$5*OFFSET($B50,-2* E$2,0), N49)</f>
        <v/>
      </c>
      <c r="O50">
        <f>IF(MOD($A50,F$2)=0,OFFSET(O50,-F$2,0)+ F$3* $B50+F$4*OFFSET($B50,-F$2,0)+ F$5*OFFSET($B50,-2* F$2,0), O49)</f>
        <v/>
      </c>
      <c r="P50">
        <f>IF(MOD($A50,G$2)=0,OFFSET(P50,-G$2,0)+ G$3* $B50+G$4*OFFSET($B50,-G$2,0)+ G$5*OFFSET($B50,-2* G$2,0), P49)</f>
        <v/>
      </c>
      <c r="Q50">
        <f>IF(MOD($A50,H$2)=0,OFFSET(Q50,-H$2,0)+ H$3* $B50+H$4*OFFSET($B50,-H$2,0)+ H$5*OFFSET($B50,-2* H$2,0), Q49)</f>
        <v/>
      </c>
      <c r="R50">
        <f>IF(MOD($A50,I$2)=0,OFFSET(R50,-I$2,0)+ I$3* $B50+I$4*OFFSET($B50,-I$2,0)+ I$5*OFFSET($B50,-2* I$2,0), R49)</f>
        <v/>
      </c>
    </row>
    <row r="51">
      <c r="A51" t="n">
        <v>42</v>
      </c>
      <c r="B51" t="n">
        <v>1</v>
      </c>
      <c r="C51">
        <f>C50+D$3*$B51+D$4*$B50+D$5*$B49</f>
        <v/>
      </c>
      <c r="D51">
        <f>D46+E$3*$B51+E$4*$B46+E$5*$B41</f>
        <v/>
      </c>
      <c r="E51">
        <f>E41+F$3*$B51+F$4*$B41+F$5*$B31</f>
        <v/>
      </c>
      <c r="F51">
        <f>F50+G$3*$B51+G$4*$B50+G$5*$B49</f>
        <v/>
      </c>
      <c r="G51">
        <f>G46+H$3*$B51+H$4*$B46+H$5*$B41</f>
        <v/>
      </c>
      <c r="H51">
        <f>H41+I$3*$B51+I$4*$B41+I$5*$B31</f>
        <v/>
      </c>
      <c r="L51" t="n">
        <v>1</v>
      </c>
      <c r="M51">
        <f>IF(MOD($A51,D$2)=0,OFFSET(M51,-D$2,0)+ D$3* $B51+D$4*OFFSET($B51,-D$2,0)+ D$5*OFFSET($B51,-2* D$2,0), M50)</f>
        <v/>
      </c>
      <c r="N51">
        <f>IF(MOD($A51,E$2)=0,OFFSET(N51,-E$2,0)+ E$3* $B51+E$4*OFFSET($B51,-E$2,0)+ E$5*OFFSET($B51,-2* E$2,0), N50)</f>
        <v/>
      </c>
      <c r="O51">
        <f>IF(MOD($A51,F$2)=0,OFFSET(O51,-F$2,0)+ F$3* $B51+F$4*OFFSET($B51,-F$2,0)+ F$5*OFFSET($B51,-2* F$2,0), O50)</f>
        <v/>
      </c>
      <c r="P51">
        <f>IF(MOD($A51,G$2)=0,OFFSET(P51,-G$2,0)+ G$3* $B51+G$4*OFFSET($B51,-G$2,0)+ G$5*OFFSET($B51,-2* G$2,0), P50)</f>
        <v/>
      </c>
      <c r="Q51">
        <f>IF(MOD($A51,H$2)=0,OFFSET(Q51,-H$2,0)+ H$3* $B51+H$4*OFFSET($B51,-H$2,0)+ H$5*OFFSET($B51,-2* H$2,0), Q50)</f>
        <v/>
      </c>
      <c r="R51">
        <f>IF(MOD($A51,I$2)=0,OFFSET(R51,-I$2,0)+ I$3* $B51+I$4*OFFSET($B51,-I$2,0)+ I$5*OFFSET($B51,-2* I$2,0), R50)</f>
        <v/>
      </c>
    </row>
    <row r="52">
      <c r="A52" t="n">
        <v>43</v>
      </c>
      <c r="B52" t="n">
        <v>1</v>
      </c>
      <c r="C52">
        <f>C51+D$3*$B52+D$4*$B51+D$5*$B50</f>
        <v/>
      </c>
      <c r="D52">
        <f>D47+E$3*$B52+E$4*$B47+E$5*$B42</f>
        <v/>
      </c>
      <c r="E52">
        <f>E42+F$3*$B52+F$4*$B42+F$5*$B32</f>
        <v/>
      </c>
      <c r="F52">
        <f>F51+G$3*$B52+G$4*$B51+G$5*$B50</f>
        <v/>
      </c>
      <c r="G52">
        <f>G47+H$3*$B52+H$4*$B47+H$5*$B42</f>
        <v/>
      </c>
      <c r="H52">
        <f>H42+I$3*$B52+I$4*$B42+I$5*$B32</f>
        <v/>
      </c>
      <c r="L52" t="n">
        <v>1</v>
      </c>
      <c r="M52">
        <f>IF(MOD($A52,D$2)=0,OFFSET(M52,-D$2,0)+ D$3* $B52+D$4*OFFSET($B52,-D$2,0)+ D$5*OFFSET($B52,-2* D$2,0), M51)</f>
        <v/>
      </c>
      <c r="N52">
        <f>IF(MOD($A52,E$2)=0,OFFSET(N52,-E$2,0)+ E$3* $B52+E$4*OFFSET($B52,-E$2,0)+ E$5*OFFSET($B52,-2* E$2,0), N51)</f>
        <v/>
      </c>
      <c r="O52">
        <f>IF(MOD($A52,F$2)=0,OFFSET(O52,-F$2,0)+ F$3* $B52+F$4*OFFSET($B52,-F$2,0)+ F$5*OFFSET($B52,-2* F$2,0), O51)</f>
        <v/>
      </c>
      <c r="P52">
        <f>IF(MOD($A52,G$2)=0,OFFSET(P52,-G$2,0)+ G$3* $B52+G$4*OFFSET($B52,-G$2,0)+ G$5*OFFSET($B52,-2* G$2,0), P51)</f>
        <v/>
      </c>
      <c r="Q52">
        <f>IF(MOD($A52,H$2)=0,OFFSET(Q52,-H$2,0)+ H$3* $B52+H$4*OFFSET($B52,-H$2,0)+ H$5*OFFSET($B52,-2* H$2,0), Q51)</f>
        <v/>
      </c>
      <c r="R52">
        <f>IF(MOD($A52,I$2)=0,OFFSET(R52,-I$2,0)+ I$3* $B52+I$4*OFFSET($B52,-I$2,0)+ I$5*OFFSET($B52,-2* I$2,0), R51)</f>
        <v/>
      </c>
    </row>
    <row r="53">
      <c r="A53" t="n">
        <v>44</v>
      </c>
      <c r="B53" t="n">
        <v>1</v>
      </c>
      <c r="C53">
        <f>C52+D$3*$B53+D$4*$B52+D$5*$B51</f>
        <v/>
      </c>
      <c r="D53">
        <f>D48+E$3*$B53+E$4*$B48+E$5*$B43</f>
        <v/>
      </c>
      <c r="E53">
        <f>E43+F$3*$B53+F$4*$B43+F$5*$B33</f>
        <v/>
      </c>
      <c r="F53">
        <f>F52+G$3*$B53+G$4*$B52+G$5*$B51</f>
        <v/>
      </c>
      <c r="G53">
        <f>G48+H$3*$B53+H$4*$B48+H$5*$B43</f>
        <v/>
      </c>
      <c r="H53">
        <f>H43+I$3*$B53+I$4*$B43+I$5*$B33</f>
        <v/>
      </c>
      <c r="L53" t="n">
        <v>1</v>
      </c>
      <c r="M53">
        <f>IF(MOD($A53,D$2)=0,OFFSET(M53,-D$2,0)+ D$3* $B53+D$4*OFFSET($B53,-D$2,0)+ D$5*OFFSET($B53,-2* D$2,0), M52)</f>
        <v/>
      </c>
      <c r="N53">
        <f>IF(MOD($A53,E$2)=0,OFFSET(N53,-E$2,0)+ E$3* $B53+E$4*OFFSET($B53,-E$2,0)+ E$5*OFFSET($B53,-2* E$2,0), N52)</f>
        <v/>
      </c>
      <c r="O53">
        <f>IF(MOD($A53,F$2)=0,OFFSET(O53,-F$2,0)+ F$3* $B53+F$4*OFFSET($B53,-F$2,0)+ F$5*OFFSET($B53,-2* F$2,0), O52)</f>
        <v/>
      </c>
      <c r="P53">
        <f>IF(MOD($A53,G$2)=0,OFFSET(P53,-G$2,0)+ G$3* $B53+G$4*OFFSET($B53,-G$2,0)+ G$5*OFFSET($B53,-2* G$2,0), P52)</f>
        <v/>
      </c>
      <c r="Q53">
        <f>IF(MOD($A53,H$2)=0,OFFSET(Q53,-H$2,0)+ H$3* $B53+H$4*OFFSET($B53,-H$2,0)+ H$5*OFFSET($B53,-2* H$2,0), Q52)</f>
        <v/>
      </c>
      <c r="R53">
        <f>IF(MOD($A53,I$2)=0,OFFSET(R53,-I$2,0)+ I$3* $B53+I$4*OFFSET($B53,-I$2,0)+ I$5*OFFSET($B53,-2* I$2,0), R52)</f>
        <v/>
      </c>
    </row>
    <row r="54">
      <c r="A54" t="n">
        <v>45</v>
      </c>
      <c r="B54" t="n">
        <v>1</v>
      </c>
      <c r="C54">
        <f>C53+D$3*$B54+D$4*$B53+D$5*$B52</f>
        <v/>
      </c>
      <c r="D54">
        <f>D49+E$3*$B54+E$4*$B49+E$5*$B44</f>
        <v/>
      </c>
      <c r="E54">
        <f>E44+F$3*$B54+F$4*$B44+F$5*$B34</f>
        <v/>
      </c>
      <c r="F54">
        <f>F53+G$3*$B54+G$4*$B53+G$5*$B52</f>
        <v/>
      </c>
      <c r="G54">
        <f>G49+H$3*$B54+H$4*$B49+H$5*$B44</f>
        <v/>
      </c>
      <c r="H54">
        <f>H44+I$3*$B54+I$4*$B44+I$5*$B34</f>
        <v/>
      </c>
      <c r="L54" t="n">
        <v>1</v>
      </c>
      <c r="M54">
        <f>IF(MOD($A54,D$2)=0,OFFSET(M54,-D$2,0)+ D$3* $B54+D$4*OFFSET($B54,-D$2,0)+ D$5*OFFSET($B54,-2* D$2,0), M53)</f>
        <v/>
      </c>
      <c r="N54">
        <f>IF(MOD($A54,E$2)=0,OFFSET(N54,-E$2,0)+ E$3* $B54+E$4*OFFSET($B54,-E$2,0)+ E$5*OFFSET($B54,-2* E$2,0), N53)</f>
        <v/>
      </c>
      <c r="O54">
        <f>IF(MOD($A54,F$2)=0,OFFSET(O54,-F$2,0)+ F$3* $B54+F$4*OFFSET($B54,-F$2,0)+ F$5*OFFSET($B54,-2* F$2,0), O53)</f>
        <v/>
      </c>
      <c r="P54">
        <f>IF(MOD($A54,G$2)=0,OFFSET(P54,-G$2,0)+ G$3* $B54+G$4*OFFSET($B54,-G$2,0)+ G$5*OFFSET($B54,-2* G$2,0), P53)</f>
        <v/>
      </c>
      <c r="Q54">
        <f>IF(MOD($A54,H$2)=0,OFFSET(Q54,-H$2,0)+ H$3* $B54+H$4*OFFSET($B54,-H$2,0)+ H$5*OFFSET($B54,-2* H$2,0), Q53)</f>
        <v/>
      </c>
      <c r="R54">
        <f>IF(MOD($A54,I$2)=0,OFFSET(R54,-I$2,0)+ I$3* $B54+I$4*OFFSET($B54,-I$2,0)+ I$5*OFFSET($B54,-2* I$2,0), R53)</f>
        <v/>
      </c>
    </row>
    <row r="55">
      <c r="A55" t="n">
        <v>46</v>
      </c>
      <c r="B55" t="n">
        <v>1</v>
      </c>
      <c r="C55">
        <f>C54+D$3*$B55+D$4*$B54+D$5*$B53</f>
        <v/>
      </c>
      <c r="D55">
        <f>D50+E$3*$B55+E$4*$B50+E$5*$B45</f>
        <v/>
      </c>
      <c r="E55">
        <f>E45+F$3*$B55+F$4*$B45+F$5*$B35</f>
        <v/>
      </c>
      <c r="F55">
        <f>F54+G$3*$B55+G$4*$B54+G$5*$B53</f>
        <v/>
      </c>
      <c r="G55">
        <f>G50+H$3*$B55+H$4*$B50+H$5*$B45</f>
        <v/>
      </c>
      <c r="H55">
        <f>H45+I$3*$B55+I$4*$B45+I$5*$B35</f>
        <v/>
      </c>
      <c r="L55" t="n">
        <v>1</v>
      </c>
      <c r="M55">
        <f>IF(MOD($A55,D$2)=0,OFFSET(M55,-D$2,0)+ D$3* $B55+D$4*OFFSET($B55,-D$2,0)+ D$5*OFFSET($B55,-2* D$2,0), M54)</f>
        <v/>
      </c>
      <c r="N55">
        <f>IF(MOD($A55,E$2)=0,OFFSET(N55,-E$2,0)+ E$3* $B55+E$4*OFFSET($B55,-E$2,0)+ E$5*OFFSET($B55,-2* E$2,0), N54)</f>
        <v/>
      </c>
      <c r="O55">
        <f>IF(MOD($A55,F$2)=0,OFFSET(O55,-F$2,0)+ F$3* $B55+F$4*OFFSET($B55,-F$2,0)+ F$5*OFFSET($B55,-2* F$2,0), O54)</f>
        <v/>
      </c>
      <c r="P55">
        <f>IF(MOD($A55,G$2)=0,OFFSET(P55,-G$2,0)+ G$3* $B55+G$4*OFFSET($B55,-G$2,0)+ G$5*OFFSET($B55,-2* G$2,0), P54)</f>
        <v/>
      </c>
      <c r="Q55">
        <f>IF(MOD($A55,H$2)=0,OFFSET(Q55,-H$2,0)+ H$3* $B55+H$4*OFFSET($B55,-H$2,0)+ H$5*OFFSET($B55,-2* H$2,0), Q54)</f>
        <v/>
      </c>
      <c r="R55">
        <f>IF(MOD($A55,I$2)=0,OFFSET(R55,-I$2,0)+ I$3* $B55+I$4*OFFSET($B55,-I$2,0)+ I$5*OFFSET($B55,-2* I$2,0), R54)</f>
        <v/>
      </c>
    </row>
    <row r="56">
      <c r="A56" t="n">
        <v>47</v>
      </c>
      <c r="B56" t="n">
        <v>1</v>
      </c>
      <c r="C56">
        <f>C55+D$3*$B56+D$4*$B55+D$5*$B54</f>
        <v/>
      </c>
      <c r="D56">
        <f>D51+E$3*$B56+E$4*$B51+E$5*$B46</f>
        <v/>
      </c>
      <c r="E56">
        <f>E46+F$3*$B56+F$4*$B46+F$5*$B36</f>
        <v/>
      </c>
      <c r="F56">
        <f>F55+G$3*$B56+G$4*$B55+G$5*$B54</f>
        <v/>
      </c>
      <c r="G56">
        <f>G51+H$3*$B56+H$4*$B51+H$5*$B46</f>
        <v/>
      </c>
      <c r="H56">
        <f>H46+I$3*$B56+I$4*$B46+I$5*$B36</f>
        <v/>
      </c>
      <c r="L56" t="n">
        <v>1</v>
      </c>
      <c r="M56">
        <f>IF(MOD($A56,D$2)=0,OFFSET(M56,-D$2,0)+ D$3* $B56+D$4*OFFSET($B56,-D$2,0)+ D$5*OFFSET($B56,-2* D$2,0), M55)</f>
        <v/>
      </c>
      <c r="N56">
        <f>IF(MOD($A56,E$2)=0,OFFSET(N56,-E$2,0)+ E$3* $B56+E$4*OFFSET($B56,-E$2,0)+ E$5*OFFSET($B56,-2* E$2,0), N55)</f>
        <v/>
      </c>
      <c r="O56">
        <f>IF(MOD($A56,F$2)=0,OFFSET(O56,-F$2,0)+ F$3* $B56+F$4*OFFSET($B56,-F$2,0)+ F$5*OFFSET($B56,-2* F$2,0), O55)</f>
        <v/>
      </c>
      <c r="P56">
        <f>IF(MOD($A56,G$2)=0,OFFSET(P56,-G$2,0)+ G$3* $B56+G$4*OFFSET($B56,-G$2,0)+ G$5*OFFSET($B56,-2* G$2,0), P55)</f>
        <v/>
      </c>
      <c r="Q56">
        <f>IF(MOD($A56,H$2)=0,OFFSET(Q56,-H$2,0)+ H$3* $B56+H$4*OFFSET($B56,-H$2,0)+ H$5*OFFSET($B56,-2* H$2,0), Q55)</f>
        <v/>
      </c>
      <c r="R56">
        <f>IF(MOD($A56,I$2)=0,OFFSET(R56,-I$2,0)+ I$3* $B56+I$4*OFFSET($B56,-I$2,0)+ I$5*OFFSET($B56,-2* I$2,0), R55)</f>
        <v/>
      </c>
    </row>
    <row r="57">
      <c r="A57" t="n">
        <v>48</v>
      </c>
      <c r="B57" t="n">
        <v>1</v>
      </c>
      <c r="C57">
        <f>C56+D$3*$B57+D$4*$B56+D$5*$B55</f>
        <v/>
      </c>
      <c r="D57">
        <f>D52+E$3*$B57+E$4*$B52+E$5*$B47</f>
        <v/>
      </c>
      <c r="E57">
        <f>E47+F$3*$B57+F$4*$B47+F$5*$B37</f>
        <v/>
      </c>
      <c r="F57">
        <f>F56+G$3*$B57+G$4*$B56+G$5*$B55</f>
        <v/>
      </c>
      <c r="G57">
        <f>G52+H$3*$B57+H$4*$B52+H$5*$B47</f>
        <v/>
      </c>
      <c r="H57">
        <f>H47+I$3*$B57+I$4*$B47+I$5*$B37</f>
        <v/>
      </c>
      <c r="L57" t="n">
        <v>1</v>
      </c>
      <c r="M57">
        <f>IF(MOD($A57,D$2)=0,OFFSET(M57,-D$2,0)+ D$3* $B57+D$4*OFFSET($B57,-D$2,0)+ D$5*OFFSET($B57,-2* D$2,0), M56)</f>
        <v/>
      </c>
      <c r="N57">
        <f>IF(MOD($A57,E$2)=0,OFFSET(N57,-E$2,0)+ E$3* $B57+E$4*OFFSET($B57,-E$2,0)+ E$5*OFFSET($B57,-2* E$2,0), N56)</f>
        <v/>
      </c>
      <c r="O57">
        <f>IF(MOD($A57,F$2)=0,OFFSET(O57,-F$2,0)+ F$3* $B57+F$4*OFFSET($B57,-F$2,0)+ F$5*OFFSET($B57,-2* F$2,0), O56)</f>
        <v/>
      </c>
      <c r="P57">
        <f>IF(MOD($A57,G$2)=0,OFFSET(P57,-G$2,0)+ G$3* $B57+G$4*OFFSET($B57,-G$2,0)+ G$5*OFFSET($B57,-2* G$2,0), P56)</f>
        <v/>
      </c>
      <c r="Q57">
        <f>IF(MOD($A57,H$2)=0,OFFSET(Q57,-H$2,0)+ H$3* $B57+H$4*OFFSET($B57,-H$2,0)+ H$5*OFFSET($B57,-2* H$2,0), Q56)</f>
        <v/>
      </c>
      <c r="R57">
        <f>IF(MOD($A57,I$2)=0,OFFSET(R57,-I$2,0)+ I$3* $B57+I$4*OFFSET($B57,-I$2,0)+ I$5*OFFSET($B57,-2* I$2,0), R56)</f>
        <v/>
      </c>
    </row>
    <row r="58">
      <c r="A58" t="n">
        <v>49</v>
      </c>
      <c r="B58" t="n">
        <v>1</v>
      </c>
      <c r="C58">
        <f>C57+D$3*$B58+D$4*$B57+D$5*$B56</f>
        <v/>
      </c>
      <c r="D58">
        <f>D53+E$3*$B58+E$4*$B53+E$5*$B48</f>
        <v/>
      </c>
      <c r="E58">
        <f>E48+F$3*$B58+F$4*$B48+F$5*$B38</f>
        <v/>
      </c>
      <c r="F58">
        <f>F57+G$3*$B58+G$4*$B57+G$5*$B56</f>
        <v/>
      </c>
      <c r="G58">
        <f>G53+H$3*$B58+H$4*$B53+H$5*$B48</f>
        <v/>
      </c>
      <c r="H58">
        <f>H48+I$3*$B58+I$4*$B48+I$5*$B38</f>
        <v/>
      </c>
      <c r="L58" t="n">
        <v>1</v>
      </c>
      <c r="M58">
        <f>IF(MOD($A58,D$2)=0,OFFSET(M58,-D$2,0)+ D$3* $B58+D$4*OFFSET($B58,-D$2,0)+ D$5*OFFSET($B58,-2* D$2,0), M57)</f>
        <v/>
      </c>
      <c r="N58">
        <f>IF(MOD($A58,E$2)=0,OFFSET(N58,-E$2,0)+ E$3* $B58+E$4*OFFSET($B58,-E$2,0)+ E$5*OFFSET($B58,-2* E$2,0), N57)</f>
        <v/>
      </c>
      <c r="O58">
        <f>IF(MOD($A58,F$2)=0,OFFSET(O58,-F$2,0)+ F$3* $B58+F$4*OFFSET($B58,-F$2,0)+ F$5*OFFSET($B58,-2* F$2,0), O57)</f>
        <v/>
      </c>
      <c r="P58">
        <f>IF(MOD($A58,G$2)=0,OFFSET(P58,-G$2,0)+ G$3* $B58+G$4*OFFSET($B58,-G$2,0)+ G$5*OFFSET($B58,-2* G$2,0), P57)</f>
        <v/>
      </c>
      <c r="Q58">
        <f>IF(MOD($A58,H$2)=0,OFFSET(Q58,-H$2,0)+ H$3* $B58+H$4*OFFSET($B58,-H$2,0)+ H$5*OFFSET($B58,-2* H$2,0), Q57)</f>
        <v/>
      </c>
      <c r="R58">
        <f>IF(MOD($A58,I$2)=0,OFFSET(R58,-I$2,0)+ I$3* $B58+I$4*OFFSET($B58,-I$2,0)+ I$5*OFFSET($B58,-2* I$2,0), R57)</f>
        <v/>
      </c>
    </row>
    <row r="59">
      <c r="A59" t="n">
        <v>50</v>
      </c>
      <c r="B59" t="n">
        <v>1</v>
      </c>
      <c r="C59">
        <f>C58+D$3*$B59+D$4*$B58+D$5*$B57</f>
        <v/>
      </c>
      <c r="D59">
        <f>D54+E$3*$B59+E$4*$B54+E$5*$B49</f>
        <v/>
      </c>
      <c r="E59">
        <f>E49+F$3*$B59+F$4*$B49+F$5*$B39</f>
        <v/>
      </c>
      <c r="F59">
        <f>F58+G$3*$B59+G$4*$B58+G$5*$B57</f>
        <v/>
      </c>
      <c r="G59">
        <f>G54+H$3*$B59+H$4*$B54+H$5*$B49</f>
        <v/>
      </c>
      <c r="H59">
        <f>H49+I$3*$B59+I$4*$B49+I$5*$B39</f>
        <v/>
      </c>
      <c r="L59" t="n">
        <v>1</v>
      </c>
      <c r="M59">
        <f>IF(MOD($A59,D$2)=0,OFFSET(M59,-D$2,0)+ D$3* $B59+D$4*OFFSET($B59,-D$2,0)+ D$5*OFFSET($B59,-2* D$2,0), M58)</f>
        <v/>
      </c>
      <c r="N59">
        <f>IF(MOD($A59,E$2)=0,OFFSET(N59,-E$2,0)+ E$3* $B59+E$4*OFFSET($B59,-E$2,0)+ E$5*OFFSET($B59,-2* E$2,0), N58)</f>
        <v/>
      </c>
      <c r="O59">
        <f>IF(MOD($A59,F$2)=0,OFFSET(O59,-F$2,0)+ F$3* $B59+F$4*OFFSET($B59,-F$2,0)+ F$5*OFFSET($B59,-2* F$2,0), O58)</f>
        <v/>
      </c>
      <c r="P59">
        <f>IF(MOD($A59,G$2)=0,OFFSET(P59,-G$2,0)+ G$3* $B59+G$4*OFFSET($B59,-G$2,0)+ G$5*OFFSET($B59,-2* G$2,0), P58)</f>
        <v/>
      </c>
      <c r="Q59">
        <f>IF(MOD($A59,H$2)=0,OFFSET(Q59,-H$2,0)+ H$3* $B59+H$4*OFFSET($B59,-H$2,0)+ H$5*OFFSET($B59,-2* H$2,0), Q58)</f>
        <v/>
      </c>
      <c r="R59">
        <f>IF(MOD($A59,I$2)=0,OFFSET(R59,-I$2,0)+ I$3* $B59+I$4*OFFSET($B59,-I$2,0)+ I$5*OFFSET($B59,-2* I$2,0), R58)</f>
        <v/>
      </c>
    </row>
    <row r="60">
      <c r="A60" t="n">
        <v>51</v>
      </c>
      <c r="B60" t="n">
        <v>1</v>
      </c>
      <c r="C60">
        <f>C59+D$3*$B60+D$4*$B59+D$5*$B58</f>
        <v/>
      </c>
      <c r="D60">
        <f>D55+E$3*$B60+E$4*$B55+E$5*$B50</f>
        <v/>
      </c>
      <c r="E60">
        <f>E50+F$3*$B60+F$4*$B50+F$5*$B40</f>
        <v/>
      </c>
      <c r="F60">
        <f>F59+G$3*$B60+G$4*$B59+G$5*$B58</f>
        <v/>
      </c>
      <c r="G60">
        <f>G55+H$3*$B60+H$4*$B55+H$5*$B50</f>
        <v/>
      </c>
      <c r="H60">
        <f>H50+I$3*$B60+I$4*$B50+I$5*$B40</f>
        <v/>
      </c>
      <c r="L60" t="n">
        <v>1</v>
      </c>
      <c r="M60">
        <f>IF(MOD($A60,D$2)=0,OFFSET(M60,-D$2,0)+ D$3* $B60+D$4*OFFSET($B60,-D$2,0)+ D$5*OFFSET($B60,-2* D$2,0), M59)</f>
        <v/>
      </c>
      <c r="N60">
        <f>IF(MOD($A60,E$2)=0,OFFSET(N60,-E$2,0)+ E$3* $B60+E$4*OFFSET($B60,-E$2,0)+ E$5*OFFSET($B60,-2* E$2,0), N59)</f>
        <v/>
      </c>
      <c r="O60">
        <f>IF(MOD($A60,F$2)=0,OFFSET(O60,-F$2,0)+ F$3* $B60+F$4*OFFSET($B60,-F$2,0)+ F$5*OFFSET($B60,-2* F$2,0), O59)</f>
        <v/>
      </c>
      <c r="P60">
        <f>IF(MOD($A60,G$2)=0,OFFSET(P60,-G$2,0)+ G$3* $B60+G$4*OFFSET($B60,-G$2,0)+ G$5*OFFSET($B60,-2* G$2,0), P59)</f>
        <v/>
      </c>
      <c r="Q60">
        <f>IF(MOD($A60,H$2)=0,OFFSET(Q60,-H$2,0)+ H$3* $B60+H$4*OFFSET($B60,-H$2,0)+ H$5*OFFSET($B60,-2* H$2,0), Q59)</f>
        <v/>
      </c>
      <c r="R60">
        <f>IF(MOD($A60,I$2)=0,OFFSET(R60,-I$2,0)+ I$3* $B60+I$4*OFFSET($B60,-I$2,0)+ I$5*OFFSET($B60,-2* I$2,0), R59)</f>
        <v/>
      </c>
    </row>
    <row r="61">
      <c r="A61" t="n">
        <v>52</v>
      </c>
      <c r="B61" t="n">
        <v>1</v>
      </c>
      <c r="C61">
        <f>C60+D$3*$B61+D$4*$B60+D$5*$B59</f>
        <v/>
      </c>
      <c r="D61">
        <f>D56+E$3*$B61+E$4*$B56+E$5*$B51</f>
        <v/>
      </c>
      <c r="E61">
        <f>E51+F$3*$B61+F$4*$B51+F$5*$B41</f>
        <v/>
      </c>
      <c r="F61">
        <f>F60+G$3*$B61+G$4*$B60+G$5*$B59</f>
        <v/>
      </c>
      <c r="G61">
        <f>G56+H$3*$B61+H$4*$B56+H$5*$B51</f>
        <v/>
      </c>
      <c r="H61">
        <f>H51+I$3*$B61+I$4*$B51+I$5*$B41</f>
        <v/>
      </c>
      <c r="L61" t="n">
        <v>1</v>
      </c>
      <c r="M61">
        <f>IF(MOD($A61,D$2)=0,OFFSET(M61,-D$2,0)+ D$3* $B61+D$4*OFFSET($B61,-D$2,0)+ D$5*OFFSET($B61,-2* D$2,0), M60)</f>
        <v/>
      </c>
      <c r="N61">
        <f>IF(MOD($A61,E$2)=0,OFFSET(N61,-E$2,0)+ E$3* $B61+E$4*OFFSET($B61,-E$2,0)+ E$5*OFFSET($B61,-2* E$2,0), N60)</f>
        <v/>
      </c>
      <c r="O61">
        <f>IF(MOD($A61,F$2)=0,OFFSET(O61,-F$2,0)+ F$3* $B61+F$4*OFFSET($B61,-F$2,0)+ F$5*OFFSET($B61,-2* F$2,0), O60)</f>
        <v/>
      </c>
      <c r="P61">
        <f>IF(MOD($A61,G$2)=0,OFFSET(P61,-G$2,0)+ G$3* $B61+G$4*OFFSET($B61,-G$2,0)+ G$5*OFFSET($B61,-2* G$2,0), P60)</f>
        <v/>
      </c>
      <c r="Q61">
        <f>IF(MOD($A61,H$2)=0,OFFSET(Q61,-H$2,0)+ H$3* $B61+H$4*OFFSET($B61,-H$2,0)+ H$5*OFFSET($B61,-2* H$2,0), Q60)</f>
        <v/>
      </c>
      <c r="R61">
        <f>IF(MOD($A61,I$2)=0,OFFSET(R61,-I$2,0)+ I$3* $B61+I$4*OFFSET($B61,-I$2,0)+ I$5*OFFSET($B61,-2* I$2,0), R60)</f>
        <v/>
      </c>
    </row>
    <row r="62">
      <c r="A62" t="n">
        <v>53</v>
      </c>
      <c r="B62" t="n">
        <v>1</v>
      </c>
      <c r="C62">
        <f>C61+D$3*$B62+D$4*$B61+D$5*$B60</f>
        <v/>
      </c>
      <c r="D62">
        <f>D57+E$3*$B62+E$4*$B57+E$5*$B52</f>
        <v/>
      </c>
      <c r="E62">
        <f>E52+F$3*$B62+F$4*$B52+F$5*$B42</f>
        <v/>
      </c>
      <c r="F62">
        <f>F61+G$3*$B62+G$4*$B61+G$5*$B60</f>
        <v/>
      </c>
      <c r="G62">
        <f>G57+H$3*$B62+H$4*$B57+H$5*$B52</f>
        <v/>
      </c>
      <c r="H62">
        <f>H52+I$3*$B62+I$4*$B52+I$5*$B42</f>
        <v/>
      </c>
      <c r="L62" t="n">
        <v>1</v>
      </c>
      <c r="M62">
        <f>IF(MOD($A62,D$2)=0,OFFSET(M62,-D$2,0)+ D$3* $B62+D$4*OFFSET($B62,-D$2,0)+ D$5*OFFSET($B62,-2* D$2,0), M61)</f>
        <v/>
      </c>
      <c r="N62">
        <f>IF(MOD($A62,E$2)=0,OFFSET(N62,-E$2,0)+ E$3* $B62+E$4*OFFSET($B62,-E$2,0)+ E$5*OFFSET($B62,-2* E$2,0), N61)</f>
        <v/>
      </c>
      <c r="O62">
        <f>IF(MOD($A62,F$2)=0,OFFSET(O62,-F$2,0)+ F$3* $B62+F$4*OFFSET($B62,-F$2,0)+ F$5*OFFSET($B62,-2* F$2,0), O61)</f>
        <v/>
      </c>
      <c r="P62">
        <f>IF(MOD($A62,G$2)=0,OFFSET(P62,-G$2,0)+ G$3* $B62+G$4*OFFSET($B62,-G$2,0)+ G$5*OFFSET($B62,-2* G$2,0), P61)</f>
        <v/>
      </c>
      <c r="Q62">
        <f>IF(MOD($A62,H$2)=0,OFFSET(Q62,-H$2,0)+ H$3* $B62+H$4*OFFSET($B62,-H$2,0)+ H$5*OFFSET($B62,-2* H$2,0), Q61)</f>
        <v/>
      </c>
      <c r="R62">
        <f>IF(MOD($A62,I$2)=0,OFFSET(R62,-I$2,0)+ I$3* $B62+I$4*OFFSET($B62,-I$2,0)+ I$5*OFFSET($B62,-2* I$2,0), R61)</f>
        <v/>
      </c>
    </row>
    <row r="63">
      <c r="A63" t="n">
        <v>54</v>
      </c>
      <c r="B63" t="n">
        <v>1</v>
      </c>
      <c r="C63">
        <f>C62+D$3*$B63+D$4*$B62+D$5*$B61</f>
        <v/>
      </c>
      <c r="D63">
        <f>D58+E$3*$B63+E$4*$B58+E$5*$B53</f>
        <v/>
      </c>
      <c r="E63">
        <f>E53+F$3*$B63+F$4*$B53+F$5*$B43</f>
        <v/>
      </c>
      <c r="F63">
        <f>F62+G$3*$B63+G$4*$B62+G$5*$B61</f>
        <v/>
      </c>
      <c r="G63">
        <f>G58+H$3*$B63+H$4*$B58+H$5*$B53</f>
        <v/>
      </c>
      <c r="H63">
        <f>H53+I$3*$B63+I$4*$B53+I$5*$B43</f>
        <v/>
      </c>
      <c r="L63" t="n">
        <v>1</v>
      </c>
      <c r="M63">
        <f>IF(MOD($A63,D$2)=0,OFFSET(M63,-D$2,0)+ D$3* $B63+D$4*OFFSET($B63,-D$2,0)+ D$5*OFFSET($B63,-2* D$2,0), M62)</f>
        <v/>
      </c>
      <c r="N63">
        <f>IF(MOD($A63,E$2)=0,OFFSET(N63,-E$2,0)+ E$3* $B63+E$4*OFFSET($B63,-E$2,0)+ E$5*OFFSET($B63,-2* E$2,0), N62)</f>
        <v/>
      </c>
      <c r="O63">
        <f>IF(MOD($A63,F$2)=0,OFFSET(O63,-F$2,0)+ F$3* $B63+F$4*OFFSET($B63,-F$2,0)+ F$5*OFFSET($B63,-2* F$2,0), O62)</f>
        <v/>
      </c>
      <c r="P63">
        <f>IF(MOD($A63,G$2)=0,OFFSET(P63,-G$2,0)+ G$3* $B63+G$4*OFFSET($B63,-G$2,0)+ G$5*OFFSET($B63,-2* G$2,0), P62)</f>
        <v/>
      </c>
      <c r="Q63">
        <f>IF(MOD($A63,H$2)=0,OFFSET(Q63,-H$2,0)+ H$3* $B63+H$4*OFFSET($B63,-H$2,0)+ H$5*OFFSET($B63,-2* H$2,0), Q62)</f>
        <v/>
      </c>
      <c r="R63">
        <f>IF(MOD($A63,I$2)=0,OFFSET(R63,-I$2,0)+ I$3* $B63+I$4*OFFSET($B63,-I$2,0)+ I$5*OFFSET($B63,-2* I$2,0), R62)</f>
        <v/>
      </c>
    </row>
    <row r="64">
      <c r="A64" t="n">
        <v>55</v>
      </c>
      <c r="B64" t="n">
        <v>1</v>
      </c>
      <c r="C64">
        <f>C63+D$3*$B64+D$4*$B63+D$5*$B62</f>
        <v/>
      </c>
      <c r="D64">
        <f>D59+E$3*$B64+E$4*$B59+E$5*$B54</f>
        <v/>
      </c>
      <c r="E64">
        <f>E54+F$3*$B64+F$4*$B54+F$5*$B44</f>
        <v/>
      </c>
      <c r="F64">
        <f>F63+G$3*$B64+G$4*$B63+G$5*$B62</f>
        <v/>
      </c>
      <c r="G64">
        <f>G59+H$3*$B64+H$4*$B59+H$5*$B54</f>
        <v/>
      </c>
      <c r="H64">
        <f>H54+I$3*$B64+I$4*$B54+I$5*$B44</f>
        <v/>
      </c>
      <c r="L64" t="n">
        <v>1</v>
      </c>
      <c r="M64">
        <f>IF(MOD($A64,D$2)=0,OFFSET(M64,-D$2,0)+ D$3* $B64+D$4*OFFSET($B64,-D$2,0)+ D$5*OFFSET($B64,-2* D$2,0), M63)</f>
        <v/>
      </c>
      <c r="N64">
        <f>IF(MOD($A64,E$2)=0,OFFSET(N64,-E$2,0)+ E$3* $B64+E$4*OFFSET($B64,-E$2,0)+ E$5*OFFSET($B64,-2* E$2,0), N63)</f>
        <v/>
      </c>
      <c r="O64">
        <f>IF(MOD($A64,F$2)=0,OFFSET(O64,-F$2,0)+ F$3* $B64+F$4*OFFSET($B64,-F$2,0)+ F$5*OFFSET($B64,-2* F$2,0), O63)</f>
        <v/>
      </c>
      <c r="P64">
        <f>IF(MOD($A64,G$2)=0,OFFSET(P64,-G$2,0)+ G$3* $B64+G$4*OFFSET($B64,-G$2,0)+ G$5*OFFSET($B64,-2* G$2,0), P63)</f>
        <v/>
      </c>
      <c r="Q64">
        <f>IF(MOD($A64,H$2)=0,OFFSET(Q64,-H$2,0)+ H$3* $B64+H$4*OFFSET($B64,-H$2,0)+ H$5*OFFSET($B64,-2* H$2,0), Q63)</f>
        <v/>
      </c>
      <c r="R64">
        <f>IF(MOD($A64,I$2)=0,OFFSET(R64,-I$2,0)+ I$3* $B64+I$4*OFFSET($B64,-I$2,0)+ I$5*OFFSET($B64,-2* I$2,0), R63)</f>
        <v/>
      </c>
    </row>
    <row r="65">
      <c r="A65" t="n">
        <v>56</v>
      </c>
      <c r="B65" t="n">
        <v>1</v>
      </c>
      <c r="C65">
        <f>C64+D$3*$B65+D$4*$B64+D$5*$B63</f>
        <v/>
      </c>
      <c r="D65">
        <f>D60+E$3*$B65+E$4*$B60+E$5*$B55</f>
        <v/>
      </c>
      <c r="E65">
        <f>E55+F$3*$B65+F$4*$B55+F$5*$B45</f>
        <v/>
      </c>
      <c r="F65">
        <f>F64+G$3*$B65+G$4*$B64+G$5*$B63</f>
        <v/>
      </c>
      <c r="G65">
        <f>G60+H$3*$B65+H$4*$B60+H$5*$B55</f>
        <v/>
      </c>
      <c r="H65">
        <f>H55+I$3*$B65+I$4*$B55+I$5*$B45</f>
        <v/>
      </c>
      <c r="L65" t="n">
        <v>1</v>
      </c>
      <c r="M65">
        <f>IF(MOD($A65,D$2)=0,OFFSET(M65,-D$2,0)+ D$3* $B65+D$4*OFFSET($B65,-D$2,0)+ D$5*OFFSET($B65,-2* D$2,0), M64)</f>
        <v/>
      </c>
      <c r="N65">
        <f>IF(MOD($A65,E$2)=0,OFFSET(N65,-E$2,0)+ E$3* $B65+E$4*OFFSET($B65,-E$2,0)+ E$5*OFFSET($B65,-2* E$2,0), N64)</f>
        <v/>
      </c>
      <c r="O65">
        <f>IF(MOD($A65,F$2)=0,OFFSET(O65,-F$2,0)+ F$3* $B65+F$4*OFFSET($B65,-F$2,0)+ F$5*OFFSET($B65,-2* F$2,0), O64)</f>
        <v/>
      </c>
      <c r="P65">
        <f>IF(MOD($A65,G$2)=0,OFFSET(P65,-G$2,0)+ G$3* $B65+G$4*OFFSET($B65,-G$2,0)+ G$5*OFFSET($B65,-2* G$2,0), P64)</f>
        <v/>
      </c>
      <c r="Q65">
        <f>IF(MOD($A65,H$2)=0,OFFSET(Q65,-H$2,0)+ H$3* $B65+H$4*OFFSET($B65,-H$2,0)+ H$5*OFFSET($B65,-2* H$2,0), Q64)</f>
        <v/>
      </c>
      <c r="R65">
        <f>IF(MOD($A65,I$2)=0,OFFSET(R65,-I$2,0)+ I$3* $B65+I$4*OFFSET($B65,-I$2,0)+ I$5*OFFSET($B65,-2* I$2,0), R64)</f>
        <v/>
      </c>
    </row>
    <row r="66">
      <c r="A66" t="n">
        <v>57</v>
      </c>
      <c r="B66" t="n">
        <v>1</v>
      </c>
      <c r="C66">
        <f>C65+D$3*$B66+D$4*$B65+D$5*$B64</f>
        <v/>
      </c>
      <c r="D66">
        <f>D61+E$3*$B66+E$4*$B61+E$5*$B56</f>
        <v/>
      </c>
      <c r="E66">
        <f>E56+F$3*$B66+F$4*$B56+F$5*$B46</f>
        <v/>
      </c>
      <c r="F66">
        <f>F65+G$3*$B66+G$4*$B65+G$5*$B64</f>
        <v/>
      </c>
      <c r="G66">
        <f>G61+H$3*$B66+H$4*$B61+H$5*$B56</f>
        <v/>
      </c>
      <c r="H66">
        <f>H56+I$3*$B66+I$4*$B56+I$5*$B46</f>
        <v/>
      </c>
      <c r="L66" t="n">
        <v>1</v>
      </c>
      <c r="M66">
        <f>IF(MOD($A66,D$2)=0,OFFSET(M66,-D$2,0)+ D$3* $B66+D$4*OFFSET($B66,-D$2,0)+ D$5*OFFSET($B66,-2* D$2,0), M65)</f>
        <v/>
      </c>
      <c r="N66">
        <f>IF(MOD($A66,E$2)=0,OFFSET(N66,-E$2,0)+ E$3* $B66+E$4*OFFSET($B66,-E$2,0)+ E$5*OFFSET($B66,-2* E$2,0), N65)</f>
        <v/>
      </c>
      <c r="O66">
        <f>IF(MOD($A66,F$2)=0,OFFSET(O66,-F$2,0)+ F$3* $B66+F$4*OFFSET($B66,-F$2,0)+ F$5*OFFSET($B66,-2* F$2,0), O65)</f>
        <v/>
      </c>
      <c r="P66">
        <f>IF(MOD($A66,G$2)=0,OFFSET(P66,-G$2,0)+ G$3* $B66+G$4*OFFSET($B66,-G$2,0)+ G$5*OFFSET($B66,-2* G$2,0), P65)</f>
        <v/>
      </c>
      <c r="Q66">
        <f>IF(MOD($A66,H$2)=0,OFFSET(Q66,-H$2,0)+ H$3* $B66+H$4*OFFSET($B66,-H$2,0)+ H$5*OFFSET($B66,-2* H$2,0), Q65)</f>
        <v/>
      </c>
      <c r="R66">
        <f>IF(MOD($A66,I$2)=0,OFFSET(R66,-I$2,0)+ I$3* $B66+I$4*OFFSET($B66,-I$2,0)+ I$5*OFFSET($B66,-2* I$2,0), R65)</f>
        <v/>
      </c>
    </row>
    <row r="67">
      <c r="A67" t="n">
        <v>58</v>
      </c>
      <c r="B67" t="n">
        <v>1</v>
      </c>
      <c r="C67">
        <f>C66+D$3*$B67+D$4*$B66+D$5*$B65</f>
        <v/>
      </c>
      <c r="D67">
        <f>D62+E$3*$B67+E$4*$B62+E$5*$B57</f>
        <v/>
      </c>
      <c r="E67">
        <f>E57+F$3*$B67+F$4*$B57+F$5*$B47</f>
        <v/>
      </c>
      <c r="F67">
        <f>F66+G$3*$B67+G$4*$B66+G$5*$B65</f>
        <v/>
      </c>
      <c r="G67">
        <f>G62+H$3*$B67+H$4*$B62+H$5*$B57</f>
        <v/>
      </c>
      <c r="H67">
        <f>H57+I$3*$B67+I$4*$B57+I$5*$B47</f>
        <v/>
      </c>
      <c r="L67" t="n">
        <v>1</v>
      </c>
      <c r="M67">
        <f>IF(MOD($A67,D$2)=0,OFFSET(M67,-D$2,0)+ D$3* $B67+D$4*OFFSET($B67,-D$2,0)+ D$5*OFFSET($B67,-2* D$2,0), M66)</f>
        <v/>
      </c>
      <c r="N67">
        <f>IF(MOD($A67,E$2)=0,OFFSET(N67,-E$2,0)+ E$3* $B67+E$4*OFFSET($B67,-E$2,0)+ E$5*OFFSET($B67,-2* E$2,0), N66)</f>
        <v/>
      </c>
      <c r="O67">
        <f>IF(MOD($A67,F$2)=0,OFFSET(O67,-F$2,0)+ F$3* $B67+F$4*OFFSET($B67,-F$2,0)+ F$5*OFFSET($B67,-2* F$2,0), O66)</f>
        <v/>
      </c>
      <c r="P67">
        <f>IF(MOD($A67,G$2)=0,OFFSET(P67,-G$2,0)+ G$3* $B67+G$4*OFFSET($B67,-G$2,0)+ G$5*OFFSET($B67,-2* G$2,0), P66)</f>
        <v/>
      </c>
      <c r="Q67">
        <f>IF(MOD($A67,H$2)=0,OFFSET(Q67,-H$2,0)+ H$3* $B67+H$4*OFFSET($B67,-H$2,0)+ H$5*OFFSET($B67,-2* H$2,0), Q66)</f>
        <v/>
      </c>
      <c r="R67">
        <f>IF(MOD($A67,I$2)=0,OFFSET(R67,-I$2,0)+ I$3* $B67+I$4*OFFSET($B67,-I$2,0)+ I$5*OFFSET($B67,-2* I$2,0), R66)</f>
        <v/>
      </c>
    </row>
    <row r="68">
      <c r="A68" t="n">
        <v>59</v>
      </c>
      <c r="B68" t="n">
        <v>1</v>
      </c>
      <c r="C68">
        <f>C67+D$3*$B68+D$4*$B67+D$5*$B66</f>
        <v/>
      </c>
      <c r="D68">
        <f>D63+E$3*$B68+E$4*$B63+E$5*$B58</f>
        <v/>
      </c>
      <c r="E68">
        <f>E58+F$3*$B68+F$4*$B58+F$5*$B48</f>
        <v/>
      </c>
      <c r="F68">
        <f>F67+G$3*$B68+G$4*$B67+G$5*$B66</f>
        <v/>
      </c>
      <c r="G68">
        <f>G63+H$3*$B68+H$4*$B63+H$5*$B58</f>
        <v/>
      </c>
      <c r="H68">
        <f>H58+I$3*$B68+I$4*$B58+I$5*$B48</f>
        <v/>
      </c>
      <c r="L68" t="n">
        <v>1</v>
      </c>
      <c r="M68">
        <f>IF(MOD($A68,D$2)=0,OFFSET(M68,-D$2,0)+ D$3* $B68+D$4*OFFSET($B68,-D$2,0)+ D$5*OFFSET($B68,-2* D$2,0), M67)</f>
        <v/>
      </c>
      <c r="N68">
        <f>IF(MOD($A68,E$2)=0,OFFSET(N68,-E$2,0)+ E$3* $B68+E$4*OFFSET($B68,-E$2,0)+ E$5*OFFSET($B68,-2* E$2,0), N67)</f>
        <v/>
      </c>
      <c r="O68">
        <f>IF(MOD($A68,F$2)=0,OFFSET(O68,-F$2,0)+ F$3* $B68+F$4*OFFSET($B68,-F$2,0)+ F$5*OFFSET($B68,-2* F$2,0), O67)</f>
        <v/>
      </c>
      <c r="P68">
        <f>IF(MOD($A68,G$2)=0,OFFSET(P68,-G$2,0)+ G$3* $B68+G$4*OFFSET($B68,-G$2,0)+ G$5*OFFSET($B68,-2* G$2,0), P67)</f>
        <v/>
      </c>
      <c r="Q68">
        <f>IF(MOD($A68,H$2)=0,OFFSET(Q68,-H$2,0)+ H$3* $B68+H$4*OFFSET($B68,-H$2,0)+ H$5*OFFSET($B68,-2* H$2,0), Q67)</f>
        <v/>
      </c>
      <c r="R68">
        <f>IF(MOD($A68,I$2)=0,OFFSET(R68,-I$2,0)+ I$3* $B68+I$4*OFFSET($B68,-I$2,0)+ I$5*OFFSET($B68,-2* I$2,0), R67)</f>
        <v/>
      </c>
    </row>
    <row r="69">
      <c r="A69" t="n">
        <v>60</v>
      </c>
      <c r="B69" t="n">
        <v>1</v>
      </c>
      <c r="C69">
        <f>C68+D$3*$B69+D$4*$B68+D$5*$B67</f>
        <v/>
      </c>
      <c r="D69">
        <f>D64+E$3*$B69+E$4*$B64+E$5*$B59</f>
        <v/>
      </c>
      <c r="E69">
        <f>E59+F$3*$B69+F$4*$B59+F$5*$B49</f>
        <v/>
      </c>
      <c r="F69">
        <f>F68+G$3*$B69+G$4*$B68+G$5*$B67</f>
        <v/>
      </c>
      <c r="G69">
        <f>G64+H$3*$B69+H$4*$B64+H$5*$B59</f>
        <v/>
      </c>
      <c r="H69">
        <f>H59+I$3*$B69+I$4*$B59+I$5*$B49</f>
        <v/>
      </c>
      <c r="L69" t="n">
        <v>1</v>
      </c>
      <c r="M69">
        <f>IF(MOD($A69,D$2)=0,OFFSET(M69,-D$2,0)+ D$3* $B69+D$4*OFFSET($B69,-D$2,0)+ D$5*OFFSET($B69,-2* D$2,0), M68)</f>
        <v/>
      </c>
      <c r="N69">
        <f>IF(MOD($A69,E$2)=0,OFFSET(N69,-E$2,0)+ E$3* $B69+E$4*OFFSET($B69,-E$2,0)+ E$5*OFFSET($B69,-2* E$2,0), N68)</f>
        <v/>
      </c>
      <c r="O69">
        <f>IF(MOD($A69,F$2)=0,OFFSET(O69,-F$2,0)+ F$3* $B69+F$4*OFFSET($B69,-F$2,0)+ F$5*OFFSET($B69,-2* F$2,0), O68)</f>
        <v/>
      </c>
      <c r="P69">
        <f>IF(MOD($A69,G$2)=0,OFFSET(P69,-G$2,0)+ G$3* $B69+G$4*OFFSET($B69,-G$2,0)+ G$5*OFFSET($B69,-2* G$2,0), P68)</f>
        <v/>
      </c>
      <c r="Q69">
        <f>IF(MOD($A69,H$2)=0,OFFSET(Q69,-H$2,0)+ H$3* $B69+H$4*OFFSET($B69,-H$2,0)+ H$5*OFFSET($B69,-2* H$2,0), Q68)</f>
        <v/>
      </c>
      <c r="R69">
        <f>IF(MOD($A69,I$2)=0,OFFSET(R69,-I$2,0)+ I$3* $B69+I$4*OFFSET($B69,-I$2,0)+ I$5*OFFSET($B69,-2* I$2,0), R68)</f>
        <v/>
      </c>
    </row>
    <row r="70">
      <c r="A70" t="n">
        <v>61</v>
      </c>
      <c r="B70" t="n">
        <v>1</v>
      </c>
      <c r="C70">
        <f>C69+D$3*$B70+D$4*$B69+D$5*$B68</f>
        <v/>
      </c>
      <c r="D70">
        <f>D65+E$3*$B70+E$4*$B65+E$5*$B60</f>
        <v/>
      </c>
      <c r="E70">
        <f>E60+F$3*$B70+F$4*$B60+F$5*$B50</f>
        <v/>
      </c>
      <c r="F70">
        <f>F69+G$3*$B70+G$4*$B69+G$5*$B68</f>
        <v/>
      </c>
      <c r="G70">
        <f>G65+H$3*$B70+H$4*$B65+H$5*$B60</f>
        <v/>
      </c>
      <c r="H70">
        <f>H60+I$3*$B70+I$4*$B60+I$5*$B50</f>
        <v/>
      </c>
      <c r="L70" t="n">
        <v>1</v>
      </c>
      <c r="M70">
        <f>IF(MOD($A70,D$2)=0,OFFSET(M70,-D$2,0)+ D$3* $B70+D$4*OFFSET($B70,-D$2,0)+ D$5*OFFSET($B70,-2* D$2,0), M69)</f>
        <v/>
      </c>
      <c r="N70">
        <f>IF(MOD($A70,E$2)=0,OFFSET(N70,-E$2,0)+ E$3* $B70+E$4*OFFSET($B70,-E$2,0)+ E$5*OFFSET($B70,-2* E$2,0), N69)</f>
        <v/>
      </c>
      <c r="O70">
        <f>IF(MOD($A70,F$2)=0,OFFSET(O70,-F$2,0)+ F$3* $B70+F$4*OFFSET($B70,-F$2,0)+ F$5*OFFSET($B70,-2* F$2,0), O69)</f>
        <v/>
      </c>
      <c r="P70">
        <f>IF(MOD($A70,G$2)=0,OFFSET(P70,-G$2,0)+ G$3* $B70+G$4*OFFSET($B70,-G$2,0)+ G$5*OFFSET($B70,-2* G$2,0), P69)</f>
        <v/>
      </c>
      <c r="Q70">
        <f>IF(MOD($A70,H$2)=0,OFFSET(Q70,-H$2,0)+ H$3* $B70+H$4*OFFSET($B70,-H$2,0)+ H$5*OFFSET($B70,-2* H$2,0), Q69)</f>
        <v/>
      </c>
      <c r="R70">
        <f>IF(MOD($A70,I$2)=0,OFFSET(R70,-I$2,0)+ I$3* $B70+I$4*OFFSET($B70,-I$2,0)+ I$5*OFFSET($B70,-2* I$2,0), R69)</f>
        <v/>
      </c>
    </row>
    <row r="71">
      <c r="A71" t="n">
        <v>62</v>
      </c>
      <c r="B71" t="n">
        <v>1</v>
      </c>
      <c r="C71">
        <f>C70+D$3*$B71+D$4*$B70+D$5*$B69</f>
        <v/>
      </c>
      <c r="D71">
        <f>D66+E$3*$B71+E$4*$B66+E$5*$B61</f>
        <v/>
      </c>
      <c r="E71">
        <f>E61+F$3*$B71+F$4*$B61+F$5*$B51</f>
        <v/>
      </c>
      <c r="F71">
        <f>F70+G$3*$B71+G$4*$B70+G$5*$B69</f>
        <v/>
      </c>
      <c r="G71">
        <f>G66+H$3*$B71+H$4*$B66+H$5*$B61</f>
        <v/>
      </c>
      <c r="H71">
        <f>H61+I$3*$B71+I$4*$B61+I$5*$B51</f>
        <v/>
      </c>
      <c r="L71" t="n">
        <v>1</v>
      </c>
      <c r="M71">
        <f>IF(MOD($A71,D$2)=0,OFFSET(M71,-D$2,0)+ D$3* $B71+D$4*OFFSET($B71,-D$2,0)+ D$5*OFFSET($B71,-2* D$2,0), M70)</f>
        <v/>
      </c>
      <c r="N71">
        <f>IF(MOD($A71,E$2)=0,OFFSET(N71,-E$2,0)+ E$3* $B71+E$4*OFFSET($B71,-E$2,0)+ E$5*OFFSET($B71,-2* E$2,0), N70)</f>
        <v/>
      </c>
      <c r="O71">
        <f>IF(MOD($A71,F$2)=0,OFFSET(O71,-F$2,0)+ F$3* $B71+F$4*OFFSET($B71,-F$2,0)+ F$5*OFFSET($B71,-2* F$2,0), O70)</f>
        <v/>
      </c>
      <c r="P71">
        <f>IF(MOD($A71,G$2)=0,OFFSET(P71,-G$2,0)+ G$3* $B71+G$4*OFFSET($B71,-G$2,0)+ G$5*OFFSET($B71,-2* G$2,0), P70)</f>
        <v/>
      </c>
      <c r="Q71">
        <f>IF(MOD($A71,H$2)=0,OFFSET(Q71,-H$2,0)+ H$3* $B71+H$4*OFFSET($B71,-H$2,0)+ H$5*OFFSET($B71,-2* H$2,0), Q70)</f>
        <v/>
      </c>
      <c r="R71">
        <f>IF(MOD($A71,I$2)=0,OFFSET(R71,-I$2,0)+ I$3* $B71+I$4*OFFSET($B71,-I$2,0)+ I$5*OFFSET($B71,-2* I$2,0), R70)</f>
        <v/>
      </c>
    </row>
    <row r="72">
      <c r="A72" t="n">
        <v>63</v>
      </c>
      <c r="B72" t="n">
        <v>1</v>
      </c>
      <c r="C72">
        <f>C71+D$3*$B72+D$4*$B71+D$5*$B70</f>
        <v/>
      </c>
      <c r="D72">
        <f>D67+E$3*$B72+E$4*$B67+E$5*$B62</f>
        <v/>
      </c>
      <c r="E72">
        <f>E62+F$3*$B72+F$4*$B62+F$5*$B52</f>
        <v/>
      </c>
      <c r="F72">
        <f>F71+G$3*$B72+G$4*$B71+G$5*$B70</f>
        <v/>
      </c>
      <c r="G72">
        <f>G67+H$3*$B72+H$4*$B67+H$5*$B62</f>
        <v/>
      </c>
      <c r="H72">
        <f>H62+I$3*$B72+I$4*$B62+I$5*$B52</f>
        <v/>
      </c>
      <c r="L72" t="n">
        <v>1</v>
      </c>
      <c r="M72">
        <f>IF(MOD($A72,D$2)=0,OFFSET(M72,-D$2,0)+ D$3* $B72+D$4*OFFSET($B72,-D$2,0)+ D$5*OFFSET($B72,-2* D$2,0), M71)</f>
        <v/>
      </c>
      <c r="N72">
        <f>IF(MOD($A72,E$2)=0,OFFSET(N72,-E$2,0)+ E$3* $B72+E$4*OFFSET($B72,-E$2,0)+ E$5*OFFSET($B72,-2* E$2,0), N71)</f>
        <v/>
      </c>
      <c r="O72">
        <f>IF(MOD($A72,F$2)=0,OFFSET(O72,-F$2,0)+ F$3* $B72+F$4*OFFSET($B72,-F$2,0)+ F$5*OFFSET($B72,-2* F$2,0), O71)</f>
        <v/>
      </c>
      <c r="P72">
        <f>IF(MOD($A72,G$2)=0,OFFSET(P72,-G$2,0)+ G$3* $B72+G$4*OFFSET($B72,-G$2,0)+ G$5*OFFSET($B72,-2* G$2,0), P71)</f>
        <v/>
      </c>
      <c r="Q72">
        <f>IF(MOD($A72,H$2)=0,OFFSET(Q72,-H$2,0)+ H$3* $B72+H$4*OFFSET($B72,-H$2,0)+ H$5*OFFSET($B72,-2* H$2,0), Q71)</f>
        <v/>
      </c>
      <c r="R72">
        <f>IF(MOD($A72,I$2)=0,OFFSET(R72,-I$2,0)+ I$3* $B72+I$4*OFFSET($B72,-I$2,0)+ I$5*OFFSET($B72,-2* I$2,0), R71)</f>
        <v/>
      </c>
    </row>
    <row r="73">
      <c r="A73" t="n">
        <v>64</v>
      </c>
      <c r="B73" t="n">
        <v>1</v>
      </c>
      <c r="C73">
        <f>C72+D$3*$B73+D$4*$B72+D$5*$B71</f>
        <v/>
      </c>
      <c r="D73">
        <f>D68+E$3*$B73+E$4*$B68+E$5*$B63</f>
        <v/>
      </c>
      <c r="E73">
        <f>E63+F$3*$B73+F$4*$B63+F$5*$B53</f>
        <v/>
      </c>
      <c r="F73">
        <f>F72+G$3*$B73+G$4*$B72+G$5*$B71</f>
        <v/>
      </c>
      <c r="G73">
        <f>G68+H$3*$B73+H$4*$B68+H$5*$B63</f>
        <v/>
      </c>
      <c r="H73">
        <f>H63+I$3*$B73+I$4*$B63+I$5*$B53</f>
        <v/>
      </c>
      <c r="L73" t="n">
        <v>1</v>
      </c>
      <c r="M73">
        <f>IF(MOD($A73,D$2)=0,OFFSET(M73,-D$2,0)+ D$3* $B73+D$4*OFFSET($B73,-D$2,0)+ D$5*OFFSET($B73,-2* D$2,0), M72)</f>
        <v/>
      </c>
      <c r="N73">
        <f>IF(MOD($A73,E$2)=0,OFFSET(N73,-E$2,0)+ E$3* $B73+E$4*OFFSET($B73,-E$2,0)+ E$5*OFFSET($B73,-2* E$2,0), N72)</f>
        <v/>
      </c>
      <c r="O73">
        <f>IF(MOD($A73,F$2)=0,OFFSET(O73,-F$2,0)+ F$3* $B73+F$4*OFFSET($B73,-F$2,0)+ F$5*OFFSET($B73,-2* F$2,0), O72)</f>
        <v/>
      </c>
      <c r="P73">
        <f>IF(MOD($A73,G$2)=0,OFFSET(P73,-G$2,0)+ G$3* $B73+G$4*OFFSET($B73,-G$2,0)+ G$5*OFFSET($B73,-2* G$2,0), P72)</f>
        <v/>
      </c>
      <c r="Q73">
        <f>IF(MOD($A73,H$2)=0,OFFSET(Q73,-H$2,0)+ H$3* $B73+H$4*OFFSET($B73,-H$2,0)+ H$5*OFFSET($B73,-2* H$2,0), Q72)</f>
        <v/>
      </c>
      <c r="R73">
        <f>IF(MOD($A73,I$2)=0,OFFSET(R73,-I$2,0)+ I$3* $B73+I$4*OFFSET($B73,-I$2,0)+ I$5*OFFSET($B73,-2* I$2,0), R72)</f>
        <v/>
      </c>
    </row>
    <row r="74">
      <c r="A74" t="n">
        <v>65</v>
      </c>
      <c r="B74" t="n">
        <v>1</v>
      </c>
      <c r="C74">
        <f>C73+D$3*$B74+D$4*$B73+D$5*$B72</f>
        <v/>
      </c>
      <c r="D74">
        <f>D69+E$3*$B74+E$4*$B69+E$5*$B64</f>
        <v/>
      </c>
      <c r="E74">
        <f>E64+F$3*$B74+F$4*$B64+F$5*$B54</f>
        <v/>
      </c>
      <c r="F74">
        <f>F73+G$3*$B74+G$4*$B73+G$5*$B72</f>
        <v/>
      </c>
      <c r="G74">
        <f>G69+H$3*$B74+H$4*$B69+H$5*$B64</f>
        <v/>
      </c>
      <c r="H74">
        <f>H64+I$3*$B74+I$4*$B64+I$5*$B54</f>
        <v/>
      </c>
      <c r="L74" t="n">
        <v>1</v>
      </c>
      <c r="M74">
        <f>IF(MOD($A74,D$2)=0,OFFSET(M74,-D$2,0)+ D$3* $B74+D$4*OFFSET($B74,-D$2,0)+ D$5*OFFSET($B74,-2* D$2,0), M73)</f>
        <v/>
      </c>
      <c r="N74">
        <f>IF(MOD($A74,E$2)=0,OFFSET(N74,-E$2,0)+ E$3* $B74+E$4*OFFSET($B74,-E$2,0)+ E$5*OFFSET($B74,-2* E$2,0), N73)</f>
        <v/>
      </c>
      <c r="O74">
        <f>IF(MOD($A74,F$2)=0,OFFSET(O74,-F$2,0)+ F$3* $B74+F$4*OFFSET($B74,-F$2,0)+ F$5*OFFSET($B74,-2* F$2,0), O73)</f>
        <v/>
      </c>
      <c r="P74">
        <f>IF(MOD($A74,G$2)=0,OFFSET(P74,-G$2,0)+ G$3* $B74+G$4*OFFSET($B74,-G$2,0)+ G$5*OFFSET($B74,-2* G$2,0), P73)</f>
        <v/>
      </c>
      <c r="Q74">
        <f>IF(MOD($A74,H$2)=0,OFFSET(Q74,-H$2,0)+ H$3* $B74+H$4*OFFSET($B74,-H$2,0)+ H$5*OFFSET($B74,-2* H$2,0), Q73)</f>
        <v/>
      </c>
      <c r="R74">
        <f>IF(MOD($A74,I$2)=0,OFFSET(R74,-I$2,0)+ I$3* $B74+I$4*OFFSET($B74,-I$2,0)+ I$5*OFFSET($B74,-2* I$2,0), R73)</f>
        <v/>
      </c>
    </row>
    <row r="75">
      <c r="A75" t="n">
        <v>66</v>
      </c>
      <c r="B75" t="n">
        <v>1</v>
      </c>
      <c r="C75">
        <f>C74+D$3*$B75+D$4*$B74+D$5*$B73</f>
        <v/>
      </c>
      <c r="D75">
        <f>D70+E$3*$B75+E$4*$B70+E$5*$B65</f>
        <v/>
      </c>
      <c r="E75">
        <f>E65+F$3*$B75+F$4*$B65+F$5*$B55</f>
        <v/>
      </c>
      <c r="F75">
        <f>F74+G$3*$B75+G$4*$B74+G$5*$B73</f>
        <v/>
      </c>
      <c r="G75">
        <f>G70+H$3*$B75+H$4*$B70+H$5*$B65</f>
        <v/>
      </c>
      <c r="H75">
        <f>H65+I$3*$B75+I$4*$B65+I$5*$B55</f>
        <v/>
      </c>
      <c r="L75" t="n">
        <v>1</v>
      </c>
      <c r="M75">
        <f>IF(MOD($A75,D$2)=0,OFFSET(M75,-D$2,0)+ D$3* $B75+D$4*OFFSET($B75,-D$2,0)+ D$5*OFFSET($B75,-2* D$2,0), M74)</f>
        <v/>
      </c>
      <c r="N75">
        <f>IF(MOD($A75,E$2)=0,OFFSET(N75,-E$2,0)+ E$3* $B75+E$4*OFFSET($B75,-E$2,0)+ E$5*OFFSET($B75,-2* E$2,0), N74)</f>
        <v/>
      </c>
      <c r="O75">
        <f>IF(MOD($A75,F$2)=0,OFFSET(O75,-F$2,0)+ F$3* $B75+F$4*OFFSET($B75,-F$2,0)+ F$5*OFFSET($B75,-2* F$2,0), O74)</f>
        <v/>
      </c>
      <c r="P75">
        <f>IF(MOD($A75,G$2)=0,OFFSET(P75,-G$2,0)+ G$3* $B75+G$4*OFFSET($B75,-G$2,0)+ G$5*OFFSET($B75,-2* G$2,0), P74)</f>
        <v/>
      </c>
      <c r="Q75">
        <f>IF(MOD($A75,H$2)=0,OFFSET(Q75,-H$2,0)+ H$3* $B75+H$4*OFFSET($B75,-H$2,0)+ H$5*OFFSET($B75,-2* H$2,0), Q74)</f>
        <v/>
      </c>
      <c r="R75">
        <f>IF(MOD($A75,I$2)=0,OFFSET(R75,-I$2,0)+ I$3* $B75+I$4*OFFSET($B75,-I$2,0)+ I$5*OFFSET($B75,-2* I$2,0), R74)</f>
        <v/>
      </c>
    </row>
    <row r="76">
      <c r="A76" t="n">
        <v>67</v>
      </c>
      <c r="B76" t="n">
        <v>1</v>
      </c>
      <c r="C76">
        <f>C75+D$3*$B76+D$4*$B75+D$5*$B74</f>
        <v/>
      </c>
      <c r="D76">
        <f>D71+E$3*$B76+E$4*$B71+E$5*$B66</f>
        <v/>
      </c>
      <c r="E76">
        <f>E66+F$3*$B76+F$4*$B66+F$5*$B56</f>
        <v/>
      </c>
      <c r="F76">
        <f>F75+G$3*$B76+G$4*$B75+G$5*$B74</f>
        <v/>
      </c>
      <c r="G76">
        <f>G71+H$3*$B76+H$4*$B71+H$5*$B66</f>
        <v/>
      </c>
      <c r="H76">
        <f>H66+I$3*$B76+I$4*$B66+I$5*$B56</f>
        <v/>
      </c>
      <c r="L76" t="n">
        <v>1</v>
      </c>
      <c r="M76">
        <f>IF(MOD($A76,D$2)=0,OFFSET(M76,-D$2,0)+ D$3* $B76+D$4*OFFSET($B76,-D$2,0)+ D$5*OFFSET($B76,-2* D$2,0), M75)</f>
        <v/>
      </c>
      <c r="N76">
        <f>IF(MOD($A76,E$2)=0,OFFSET(N76,-E$2,0)+ E$3* $B76+E$4*OFFSET($B76,-E$2,0)+ E$5*OFFSET($B76,-2* E$2,0), N75)</f>
        <v/>
      </c>
      <c r="O76">
        <f>IF(MOD($A76,F$2)=0,OFFSET(O76,-F$2,0)+ F$3* $B76+F$4*OFFSET($B76,-F$2,0)+ F$5*OFFSET($B76,-2* F$2,0), O75)</f>
        <v/>
      </c>
      <c r="P76">
        <f>IF(MOD($A76,G$2)=0,OFFSET(P76,-G$2,0)+ G$3* $B76+G$4*OFFSET($B76,-G$2,0)+ G$5*OFFSET($B76,-2* G$2,0), P75)</f>
        <v/>
      </c>
      <c r="Q76">
        <f>IF(MOD($A76,H$2)=0,OFFSET(Q76,-H$2,0)+ H$3* $B76+H$4*OFFSET($B76,-H$2,0)+ H$5*OFFSET($B76,-2* H$2,0), Q75)</f>
        <v/>
      </c>
      <c r="R76">
        <f>IF(MOD($A76,I$2)=0,OFFSET(R76,-I$2,0)+ I$3* $B76+I$4*OFFSET($B76,-I$2,0)+ I$5*OFFSET($B76,-2* I$2,0), R75)</f>
        <v/>
      </c>
    </row>
    <row r="77">
      <c r="A77" t="n">
        <v>68</v>
      </c>
      <c r="B77" t="n">
        <v>1</v>
      </c>
      <c r="C77">
        <f>C76+D$3*$B77+D$4*$B76+D$5*$B75</f>
        <v/>
      </c>
      <c r="D77">
        <f>D72+E$3*$B77+E$4*$B72+E$5*$B67</f>
        <v/>
      </c>
      <c r="E77">
        <f>E67+F$3*$B77+F$4*$B67+F$5*$B57</f>
        <v/>
      </c>
      <c r="F77">
        <f>F76+G$3*$B77+G$4*$B76+G$5*$B75</f>
        <v/>
      </c>
      <c r="G77">
        <f>G72+H$3*$B77+H$4*$B72+H$5*$B67</f>
        <v/>
      </c>
      <c r="H77">
        <f>H67+I$3*$B77+I$4*$B67+I$5*$B57</f>
        <v/>
      </c>
      <c r="L77" t="n">
        <v>1</v>
      </c>
      <c r="M77">
        <f>IF(MOD($A77,D$2)=0,OFFSET(M77,-D$2,0)+ D$3* $B77+D$4*OFFSET($B77,-D$2,0)+ D$5*OFFSET($B77,-2* D$2,0), M76)</f>
        <v/>
      </c>
      <c r="N77">
        <f>IF(MOD($A77,E$2)=0,OFFSET(N77,-E$2,0)+ E$3* $B77+E$4*OFFSET($B77,-E$2,0)+ E$5*OFFSET($B77,-2* E$2,0), N76)</f>
        <v/>
      </c>
      <c r="O77">
        <f>IF(MOD($A77,F$2)=0,OFFSET(O77,-F$2,0)+ F$3* $B77+F$4*OFFSET($B77,-F$2,0)+ F$5*OFFSET($B77,-2* F$2,0), O76)</f>
        <v/>
      </c>
      <c r="P77">
        <f>IF(MOD($A77,G$2)=0,OFFSET(P77,-G$2,0)+ G$3* $B77+G$4*OFFSET($B77,-G$2,0)+ G$5*OFFSET($B77,-2* G$2,0), P76)</f>
        <v/>
      </c>
      <c r="Q77">
        <f>IF(MOD($A77,H$2)=0,OFFSET(Q77,-H$2,0)+ H$3* $B77+H$4*OFFSET($B77,-H$2,0)+ H$5*OFFSET($B77,-2* H$2,0), Q76)</f>
        <v/>
      </c>
      <c r="R77">
        <f>IF(MOD($A77,I$2)=0,OFFSET(R77,-I$2,0)+ I$3* $B77+I$4*OFFSET($B77,-I$2,0)+ I$5*OFFSET($B77,-2* I$2,0), R76)</f>
        <v/>
      </c>
    </row>
    <row r="78">
      <c r="A78" t="n">
        <v>69</v>
      </c>
      <c r="B78" t="n">
        <v>1</v>
      </c>
      <c r="C78">
        <f>C77+D$3*$B78+D$4*$B77+D$5*$B76</f>
        <v/>
      </c>
      <c r="D78">
        <f>D73+E$3*$B78+E$4*$B73+E$5*$B68</f>
        <v/>
      </c>
      <c r="E78">
        <f>E68+F$3*$B78+F$4*$B68+F$5*$B58</f>
        <v/>
      </c>
      <c r="F78">
        <f>F77+G$3*$B78+G$4*$B77+G$5*$B76</f>
        <v/>
      </c>
      <c r="G78">
        <f>G73+H$3*$B78+H$4*$B73+H$5*$B68</f>
        <v/>
      </c>
      <c r="H78">
        <f>H68+I$3*$B78+I$4*$B68+I$5*$B58</f>
        <v/>
      </c>
      <c r="L78" t="n">
        <v>1</v>
      </c>
      <c r="M78">
        <f>IF(MOD($A78,D$2)=0,OFFSET(M78,-D$2,0)+ D$3* $B78+D$4*OFFSET($B78,-D$2,0)+ D$5*OFFSET($B78,-2* D$2,0), M77)</f>
        <v/>
      </c>
      <c r="N78">
        <f>IF(MOD($A78,E$2)=0,OFFSET(N78,-E$2,0)+ E$3* $B78+E$4*OFFSET($B78,-E$2,0)+ E$5*OFFSET($B78,-2* E$2,0), N77)</f>
        <v/>
      </c>
      <c r="O78">
        <f>IF(MOD($A78,F$2)=0,OFFSET(O78,-F$2,0)+ F$3* $B78+F$4*OFFSET($B78,-F$2,0)+ F$5*OFFSET($B78,-2* F$2,0), O77)</f>
        <v/>
      </c>
      <c r="P78">
        <f>IF(MOD($A78,G$2)=0,OFFSET(P78,-G$2,0)+ G$3* $B78+G$4*OFFSET($B78,-G$2,0)+ G$5*OFFSET($B78,-2* G$2,0), P77)</f>
        <v/>
      </c>
      <c r="Q78">
        <f>IF(MOD($A78,H$2)=0,OFFSET(Q78,-H$2,0)+ H$3* $B78+H$4*OFFSET($B78,-H$2,0)+ H$5*OFFSET($B78,-2* H$2,0), Q77)</f>
        <v/>
      </c>
      <c r="R78">
        <f>IF(MOD($A78,I$2)=0,OFFSET(R78,-I$2,0)+ I$3* $B78+I$4*OFFSET($B78,-I$2,0)+ I$5*OFFSET($B78,-2* I$2,0), R77)</f>
        <v/>
      </c>
    </row>
    <row r="79">
      <c r="A79" t="n">
        <v>70</v>
      </c>
      <c r="B79" t="n">
        <v>1</v>
      </c>
      <c r="C79">
        <f>C78+D$3*$B79+D$4*$B78+D$5*$B77</f>
        <v/>
      </c>
      <c r="D79">
        <f>D74+E$3*$B79+E$4*$B74+E$5*$B69</f>
        <v/>
      </c>
      <c r="E79">
        <f>E69+F$3*$B79+F$4*$B69+F$5*$B59</f>
        <v/>
      </c>
      <c r="F79">
        <f>F78+G$3*$B79+G$4*$B78+G$5*$B77</f>
        <v/>
      </c>
      <c r="G79">
        <f>G74+H$3*$B79+H$4*$B74+H$5*$B69</f>
        <v/>
      </c>
      <c r="H79">
        <f>H69+I$3*$B79+I$4*$B69+I$5*$B59</f>
        <v/>
      </c>
      <c r="L79" t="n">
        <v>1</v>
      </c>
      <c r="M79">
        <f>IF(MOD($A79,D$2)=0,OFFSET(M79,-D$2,0)+ D$3* $B79+D$4*OFFSET($B79,-D$2,0)+ D$5*OFFSET($B79,-2* D$2,0), M78)</f>
        <v/>
      </c>
      <c r="N79">
        <f>IF(MOD($A79,E$2)=0,OFFSET(N79,-E$2,0)+ E$3* $B79+E$4*OFFSET($B79,-E$2,0)+ E$5*OFFSET($B79,-2* E$2,0), N78)</f>
        <v/>
      </c>
      <c r="O79">
        <f>IF(MOD($A79,F$2)=0,OFFSET(O79,-F$2,0)+ F$3* $B79+F$4*OFFSET($B79,-F$2,0)+ F$5*OFFSET($B79,-2* F$2,0), O78)</f>
        <v/>
      </c>
      <c r="P79">
        <f>IF(MOD($A79,G$2)=0,OFFSET(P79,-G$2,0)+ G$3* $B79+G$4*OFFSET($B79,-G$2,0)+ G$5*OFFSET($B79,-2* G$2,0), P78)</f>
        <v/>
      </c>
      <c r="Q79">
        <f>IF(MOD($A79,H$2)=0,OFFSET(Q79,-H$2,0)+ H$3* $B79+H$4*OFFSET($B79,-H$2,0)+ H$5*OFFSET($B79,-2* H$2,0), Q78)</f>
        <v/>
      </c>
      <c r="R79">
        <f>IF(MOD($A79,I$2)=0,OFFSET(R79,-I$2,0)+ I$3* $B79+I$4*OFFSET($B79,-I$2,0)+ I$5*OFFSET($B79,-2* I$2,0), R78)</f>
        <v/>
      </c>
    </row>
    <row r="80">
      <c r="A80" t="n">
        <v>71</v>
      </c>
      <c r="B80" t="n">
        <v>1</v>
      </c>
      <c r="C80">
        <f>C79+D$3*$B80+D$4*$B79+D$5*$B78</f>
        <v/>
      </c>
      <c r="D80">
        <f>D75+E$3*$B80+E$4*$B75+E$5*$B70</f>
        <v/>
      </c>
      <c r="E80">
        <f>E70+F$3*$B80+F$4*$B70+F$5*$B60</f>
        <v/>
      </c>
      <c r="F80">
        <f>F79+G$3*$B80+G$4*$B79+G$5*$B78</f>
        <v/>
      </c>
      <c r="G80">
        <f>G75+H$3*$B80+H$4*$B75+H$5*$B70</f>
        <v/>
      </c>
      <c r="H80">
        <f>H70+I$3*$B80+I$4*$B70+I$5*$B60</f>
        <v/>
      </c>
      <c r="L80" t="n">
        <v>1</v>
      </c>
      <c r="M80">
        <f>IF(MOD($A80,D$2)=0,OFFSET(M80,-D$2,0)+ D$3* $B80+D$4*OFFSET($B80,-D$2,0)+ D$5*OFFSET($B80,-2* D$2,0), M79)</f>
        <v/>
      </c>
      <c r="N80">
        <f>IF(MOD($A80,E$2)=0,OFFSET(N80,-E$2,0)+ E$3* $B80+E$4*OFFSET($B80,-E$2,0)+ E$5*OFFSET($B80,-2* E$2,0), N79)</f>
        <v/>
      </c>
      <c r="O80">
        <f>IF(MOD($A80,F$2)=0,OFFSET(O80,-F$2,0)+ F$3* $B80+F$4*OFFSET($B80,-F$2,0)+ F$5*OFFSET($B80,-2* F$2,0), O79)</f>
        <v/>
      </c>
      <c r="P80">
        <f>IF(MOD($A80,G$2)=0,OFFSET(P80,-G$2,0)+ G$3* $B80+G$4*OFFSET($B80,-G$2,0)+ G$5*OFFSET($B80,-2* G$2,0), P79)</f>
        <v/>
      </c>
      <c r="Q80">
        <f>IF(MOD($A80,H$2)=0,OFFSET(Q80,-H$2,0)+ H$3* $B80+H$4*OFFSET($B80,-H$2,0)+ H$5*OFFSET($B80,-2* H$2,0), Q79)</f>
        <v/>
      </c>
      <c r="R80">
        <f>IF(MOD($A80,I$2)=0,OFFSET(R80,-I$2,0)+ I$3* $B80+I$4*OFFSET($B80,-I$2,0)+ I$5*OFFSET($B80,-2* I$2,0), R79)</f>
        <v/>
      </c>
    </row>
    <row r="81">
      <c r="A81" t="n">
        <v>72</v>
      </c>
      <c r="B81" t="n">
        <v>1</v>
      </c>
      <c r="C81">
        <f>C80+D$3*$B81+D$4*$B80+D$5*$B79</f>
        <v/>
      </c>
      <c r="D81">
        <f>D76+E$3*$B81+E$4*$B76+E$5*$B71</f>
        <v/>
      </c>
      <c r="E81">
        <f>E71+F$3*$B81+F$4*$B71+F$5*$B61</f>
        <v/>
      </c>
      <c r="F81">
        <f>F80+G$3*$B81+G$4*$B80+G$5*$B79</f>
        <v/>
      </c>
      <c r="G81">
        <f>G76+H$3*$B81+H$4*$B76+H$5*$B71</f>
        <v/>
      </c>
      <c r="H81">
        <f>H71+I$3*$B81+I$4*$B71+I$5*$B61</f>
        <v/>
      </c>
      <c r="L81" t="n">
        <v>1</v>
      </c>
      <c r="M81">
        <f>IF(MOD($A81,D$2)=0,OFFSET(M81,-D$2,0)+ D$3* $B81+D$4*OFFSET($B81,-D$2,0)+ D$5*OFFSET($B81,-2* D$2,0), M80)</f>
        <v/>
      </c>
      <c r="N81">
        <f>IF(MOD($A81,E$2)=0,OFFSET(N81,-E$2,0)+ E$3* $B81+E$4*OFFSET($B81,-E$2,0)+ E$5*OFFSET($B81,-2* E$2,0), N80)</f>
        <v/>
      </c>
      <c r="O81">
        <f>IF(MOD($A81,F$2)=0,OFFSET(O81,-F$2,0)+ F$3* $B81+F$4*OFFSET($B81,-F$2,0)+ F$5*OFFSET($B81,-2* F$2,0), O80)</f>
        <v/>
      </c>
      <c r="P81">
        <f>IF(MOD($A81,G$2)=0,OFFSET(P81,-G$2,0)+ G$3* $B81+G$4*OFFSET($B81,-G$2,0)+ G$5*OFFSET($B81,-2* G$2,0), P80)</f>
        <v/>
      </c>
      <c r="Q81">
        <f>IF(MOD($A81,H$2)=0,OFFSET(Q81,-H$2,0)+ H$3* $B81+H$4*OFFSET($B81,-H$2,0)+ H$5*OFFSET($B81,-2* H$2,0), Q80)</f>
        <v/>
      </c>
      <c r="R81">
        <f>IF(MOD($A81,I$2)=0,OFFSET(R81,-I$2,0)+ I$3* $B81+I$4*OFFSET($B81,-I$2,0)+ I$5*OFFSET($B81,-2* I$2,0), R80)</f>
        <v/>
      </c>
    </row>
    <row r="82">
      <c r="A82" t="n">
        <v>73</v>
      </c>
      <c r="B82" t="n">
        <v>1</v>
      </c>
      <c r="C82">
        <f>C81+D$3*$B82+D$4*$B81+D$5*$B80</f>
        <v/>
      </c>
      <c r="D82">
        <f>D77+E$3*$B82+E$4*$B77+E$5*$B72</f>
        <v/>
      </c>
      <c r="E82">
        <f>E72+F$3*$B82+F$4*$B72+F$5*$B62</f>
        <v/>
      </c>
      <c r="F82">
        <f>F81+G$3*$B82+G$4*$B81+G$5*$B80</f>
        <v/>
      </c>
      <c r="G82">
        <f>G77+H$3*$B82+H$4*$B77+H$5*$B72</f>
        <v/>
      </c>
      <c r="H82">
        <f>H72+I$3*$B82+I$4*$B72+I$5*$B62</f>
        <v/>
      </c>
      <c r="L82" t="n">
        <v>1</v>
      </c>
      <c r="M82">
        <f>IF(MOD($A82,D$2)=0,OFFSET(M82,-D$2,0)+ D$3* $B82+D$4*OFFSET($B82,-D$2,0)+ D$5*OFFSET($B82,-2* D$2,0), M81)</f>
        <v/>
      </c>
      <c r="N82">
        <f>IF(MOD($A82,E$2)=0,OFFSET(N82,-E$2,0)+ E$3* $B82+E$4*OFFSET($B82,-E$2,0)+ E$5*OFFSET($B82,-2* E$2,0), N81)</f>
        <v/>
      </c>
      <c r="O82">
        <f>IF(MOD($A82,F$2)=0,OFFSET(O82,-F$2,0)+ F$3* $B82+F$4*OFFSET($B82,-F$2,0)+ F$5*OFFSET($B82,-2* F$2,0), O81)</f>
        <v/>
      </c>
      <c r="P82">
        <f>IF(MOD($A82,G$2)=0,OFFSET(P82,-G$2,0)+ G$3* $B82+G$4*OFFSET($B82,-G$2,0)+ G$5*OFFSET($B82,-2* G$2,0), P81)</f>
        <v/>
      </c>
      <c r="Q82">
        <f>IF(MOD($A82,H$2)=0,OFFSET(Q82,-H$2,0)+ H$3* $B82+H$4*OFFSET($B82,-H$2,0)+ H$5*OFFSET($B82,-2* H$2,0), Q81)</f>
        <v/>
      </c>
      <c r="R82">
        <f>IF(MOD($A82,I$2)=0,OFFSET(R82,-I$2,0)+ I$3* $B82+I$4*OFFSET($B82,-I$2,0)+ I$5*OFFSET($B82,-2* I$2,0), R81)</f>
        <v/>
      </c>
    </row>
    <row r="83">
      <c r="A83" t="n">
        <v>74</v>
      </c>
      <c r="B83" t="n">
        <v>1</v>
      </c>
      <c r="C83">
        <f>C82+D$3*$B83+D$4*$B82+D$5*$B81</f>
        <v/>
      </c>
      <c r="D83">
        <f>D78+E$3*$B83+E$4*$B78+E$5*$B73</f>
        <v/>
      </c>
      <c r="E83">
        <f>E73+F$3*$B83+F$4*$B73+F$5*$B63</f>
        <v/>
      </c>
      <c r="F83">
        <f>F82+G$3*$B83+G$4*$B82+G$5*$B81</f>
        <v/>
      </c>
      <c r="G83">
        <f>G78+H$3*$B83+H$4*$B78+H$5*$B73</f>
        <v/>
      </c>
      <c r="H83">
        <f>H73+I$3*$B83+I$4*$B73+I$5*$B63</f>
        <v/>
      </c>
      <c r="L83" t="n">
        <v>1</v>
      </c>
      <c r="M83">
        <f>IF(MOD($A83,D$2)=0,OFFSET(M83,-D$2,0)+ D$3* $B83+D$4*OFFSET($B83,-D$2,0)+ D$5*OFFSET($B83,-2* D$2,0), M82)</f>
        <v/>
      </c>
      <c r="N83">
        <f>IF(MOD($A83,E$2)=0,OFFSET(N83,-E$2,0)+ E$3* $B83+E$4*OFFSET($B83,-E$2,0)+ E$5*OFFSET($B83,-2* E$2,0), N82)</f>
        <v/>
      </c>
      <c r="O83">
        <f>IF(MOD($A83,F$2)=0,OFFSET(O83,-F$2,0)+ F$3* $B83+F$4*OFFSET($B83,-F$2,0)+ F$5*OFFSET($B83,-2* F$2,0), O82)</f>
        <v/>
      </c>
      <c r="P83">
        <f>IF(MOD($A83,G$2)=0,OFFSET(P83,-G$2,0)+ G$3* $B83+G$4*OFFSET($B83,-G$2,0)+ G$5*OFFSET($B83,-2* G$2,0), P82)</f>
        <v/>
      </c>
      <c r="Q83">
        <f>IF(MOD($A83,H$2)=0,OFFSET(Q83,-H$2,0)+ H$3* $B83+H$4*OFFSET($B83,-H$2,0)+ H$5*OFFSET($B83,-2* H$2,0), Q82)</f>
        <v/>
      </c>
      <c r="R83">
        <f>IF(MOD($A83,I$2)=0,OFFSET(R83,-I$2,0)+ I$3* $B83+I$4*OFFSET($B83,-I$2,0)+ I$5*OFFSET($B83,-2* I$2,0), R82)</f>
        <v/>
      </c>
    </row>
    <row r="84">
      <c r="A84" t="n">
        <v>75</v>
      </c>
      <c r="B84" t="n">
        <v>1</v>
      </c>
      <c r="C84">
        <f>C83+D$3*$B84+D$4*$B83+D$5*$B82</f>
        <v/>
      </c>
      <c r="D84">
        <f>D79+E$3*$B84+E$4*$B79+E$5*$B74</f>
        <v/>
      </c>
      <c r="E84">
        <f>E74+F$3*$B84+F$4*$B74+F$5*$B64</f>
        <v/>
      </c>
      <c r="F84">
        <f>F83+G$3*$B84+G$4*$B83+G$5*$B82</f>
        <v/>
      </c>
      <c r="G84">
        <f>G79+H$3*$B84+H$4*$B79+H$5*$B74</f>
        <v/>
      </c>
      <c r="H84">
        <f>H74+I$3*$B84+I$4*$B74+I$5*$B64</f>
        <v/>
      </c>
      <c r="L84" t="n">
        <v>1</v>
      </c>
      <c r="M84">
        <f>IF(MOD($A84,D$2)=0,OFFSET(M84,-D$2,0)+ D$3* $B84+D$4*OFFSET($B84,-D$2,0)+ D$5*OFFSET($B84,-2* D$2,0), M83)</f>
        <v/>
      </c>
      <c r="N84">
        <f>IF(MOD($A84,E$2)=0,OFFSET(N84,-E$2,0)+ E$3* $B84+E$4*OFFSET($B84,-E$2,0)+ E$5*OFFSET($B84,-2* E$2,0), N83)</f>
        <v/>
      </c>
      <c r="O84">
        <f>IF(MOD($A84,F$2)=0,OFFSET(O84,-F$2,0)+ F$3* $B84+F$4*OFFSET($B84,-F$2,0)+ F$5*OFFSET($B84,-2* F$2,0), O83)</f>
        <v/>
      </c>
      <c r="P84">
        <f>IF(MOD($A84,G$2)=0,OFFSET(P84,-G$2,0)+ G$3* $B84+G$4*OFFSET($B84,-G$2,0)+ G$5*OFFSET($B84,-2* G$2,0), P83)</f>
        <v/>
      </c>
      <c r="Q84">
        <f>IF(MOD($A84,H$2)=0,OFFSET(Q84,-H$2,0)+ H$3* $B84+H$4*OFFSET($B84,-H$2,0)+ H$5*OFFSET($B84,-2* H$2,0), Q83)</f>
        <v/>
      </c>
      <c r="R84">
        <f>IF(MOD($A84,I$2)=0,OFFSET(R84,-I$2,0)+ I$3* $B84+I$4*OFFSET($B84,-I$2,0)+ I$5*OFFSET($B84,-2* I$2,0), R83)</f>
        <v/>
      </c>
    </row>
    <row r="85">
      <c r="A85" t="n">
        <v>76</v>
      </c>
      <c r="B85" t="n">
        <v>1</v>
      </c>
      <c r="C85">
        <f>C84+D$3*$B85+D$4*$B84+D$5*$B83</f>
        <v/>
      </c>
      <c r="D85">
        <f>D80+E$3*$B85+E$4*$B80+E$5*$B75</f>
        <v/>
      </c>
      <c r="E85">
        <f>E75+F$3*$B85+F$4*$B75+F$5*$B65</f>
        <v/>
      </c>
      <c r="F85">
        <f>F84+G$3*$B85+G$4*$B84+G$5*$B83</f>
        <v/>
      </c>
      <c r="G85">
        <f>G80+H$3*$B85+H$4*$B80+H$5*$B75</f>
        <v/>
      </c>
      <c r="H85">
        <f>H75+I$3*$B85+I$4*$B75+I$5*$B65</f>
        <v/>
      </c>
      <c r="L85" t="n">
        <v>1</v>
      </c>
      <c r="M85">
        <f>IF(MOD($A85,D$2)=0,OFFSET(M85,-D$2,0)+ D$3* $B85+D$4*OFFSET($B85,-D$2,0)+ D$5*OFFSET($B85,-2* D$2,0), M84)</f>
        <v/>
      </c>
      <c r="N85">
        <f>IF(MOD($A85,E$2)=0,OFFSET(N85,-E$2,0)+ E$3* $B85+E$4*OFFSET($B85,-E$2,0)+ E$5*OFFSET($B85,-2* E$2,0), N84)</f>
        <v/>
      </c>
      <c r="O85">
        <f>IF(MOD($A85,F$2)=0,OFFSET(O85,-F$2,0)+ F$3* $B85+F$4*OFFSET($B85,-F$2,0)+ F$5*OFFSET($B85,-2* F$2,0), O84)</f>
        <v/>
      </c>
      <c r="P85">
        <f>IF(MOD($A85,G$2)=0,OFFSET(P85,-G$2,0)+ G$3* $B85+G$4*OFFSET($B85,-G$2,0)+ G$5*OFFSET($B85,-2* G$2,0), P84)</f>
        <v/>
      </c>
      <c r="Q85">
        <f>IF(MOD($A85,H$2)=0,OFFSET(Q85,-H$2,0)+ H$3* $B85+H$4*OFFSET($B85,-H$2,0)+ H$5*OFFSET($B85,-2* H$2,0), Q84)</f>
        <v/>
      </c>
      <c r="R85">
        <f>IF(MOD($A85,I$2)=0,OFFSET(R85,-I$2,0)+ I$3* $B85+I$4*OFFSET($B85,-I$2,0)+ I$5*OFFSET($B85,-2* I$2,0), R84)</f>
        <v/>
      </c>
    </row>
    <row r="86">
      <c r="A86" t="n">
        <v>77</v>
      </c>
      <c r="B86" t="n">
        <v>1</v>
      </c>
      <c r="C86">
        <f>C85+D$3*$B86+D$4*$B85+D$5*$B84</f>
        <v/>
      </c>
      <c r="D86">
        <f>D81+E$3*$B86+E$4*$B81+E$5*$B76</f>
        <v/>
      </c>
      <c r="E86">
        <f>E76+F$3*$B86+F$4*$B76+F$5*$B66</f>
        <v/>
      </c>
      <c r="F86">
        <f>F85+G$3*$B86+G$4*$B85+G$5*$B84</f>
        <v/>
      </c>
      <c r="G86">
        <f>G81+H$3*$B86+H$4*$B81+H$5*$B76</f>
        <v/>
      </c>
      <c r="H86">
        <f>H76+I$3*$B86+I$4*$B76+I$5*$B66</f>
        <v/>
      </c>
      <c r="L86" t="n">
        <v>1</v>
      </c>
      <c r="M86">
        <f>IF(MOD($A86,D$2)=0,OFFSET(M86,-D$2,0)+ D$3* $B86+D$4*OFFSET($B86,-D$2,0)+ D$5*OFFSET($B86,-2* D$2,0), M85)</f>
        <v/>
      </c>
      <c r="N86">
        <f>IF(MOD($A86,E$2)=0,OFFSET(N86,-E$2,0)+ E$3* $B86+E$4*OFFSET($B86,-E$2,0)+ E$5*OFFSET($B86,-2* E$2,0), N85)</f>
        <v/>
      </c>
      <c r="O86">
        <f>IF(MOD($A86,F$2)=0,OFFSET(O86,-F$2,0)+ F$3* $B86+F$4*OFFSET($B86,-F$2,0)+ F$5*OFFSET($B86,-2* F$2,0), O85)</f>
        <v/>
      </c>
      <c r="P86">
        <f>IF(MOD($A86,G$2)=0,OFFSET(P86,-G$2,0)+ G$3* $B86+G$4*OFFSET($B86,-G$2,0)+ G$5*OFFSET($B86,-2* G$2,0), P85)</f>
        <v/>
      </c>
      <c r="Q86">
        <f>IF(MOD($A86,H$2)=0,OFFSET(Q86,-H$2,0)+ H$3* $B86+H$4*OFFSET($B86,-H$2,0)+ H$5*OFFSET($B86,-2* H$2,0), Q85)</f>
        <v/>
      </c>
      <c r="R86">
        <f>IF(MOD($A86,I$2)=0,OFFSET(R86,-I$2,0)+ I$3* $B86+I$4*OFFSET($B86,-I$2,0)+ I$5*OFFSET($B86,-2* I$2,0), R85)</f>
        <v/>
      </c>
    </row>
    <row r="87">
      <c r="A87" t="n">
        <v>78</v>
      </c>
      <c r="B87" t="n">
        <v>1</v>
      </c>
      <c r="C87">
        <f>C86+D$3*$B87+D$4*$B86+D$5*$B85</f>
        <v/>
      </c>
      <c r="D87">
        <f>D82+E$3*$B87+E$4*$B82+E$5*$B77</f>
        <v/>
      </c>
      <c r="E87">
        <f>E77+F$3*$B87+F$4*$B77+F$5*$B67</f>
        <v/>
      </c>
      <c r="F87">
        <f>F86+G$3*$B87+G$4*$B86+G$5*$B85</f>
        <v/>
      </c>
      <c r="G87">
        <f>G82+H$3*$B87+H$4*$B82+H$5*$B77</f>
        <v/>
      </c>
      <c r="H87">
        <f>H77+I$3*$B87+I$4*$B77+I$5*$B67</f>
        <v/>
      </c>
      <c r="L87" t="n">
        <v>1</v>
      </c>
      <c r="M87">
        <f>IF(MOD($A87,D$2)=0,OFFSET(M87,-D$2,0)+ D$3* $B87+D$4*OFFSET($B87,-D$2,0)+ D$5*OFFSET($B87,-2* D$2,0), M86)</f>
        <v/>
      </c>
      <c r="N87">
        <f>IF(MOD($A87,E$2)=0,OFFSET(N87,-E$2,0)+ E$3* $B87+E$4*OFFSET($B87,-E$2,0)+ E$5*OFFSET($B87,-2* E$2,0), N86)</f>
        <v/>
      </c>
      <c r="O87">
        <f>IF(MOD($A87,F$2)=0,OFFSET(O87,-F$2,0)+ F$3* $B87+F$4*OFFSET($B87,-F$2,0)+ F$5*OFFSET($B87,-2* F$2,0), O86)</f>
        <v/>
      </c>
      <c r="P87">
        <f>IF(MOD($A87,G$2)=0,OFFSET(P87,-G$2,0)+ G$3* $B87+G$4*OFFSET($B87,-G$2,0)+ G$5*OFFSET($B87,-2* G$2,0), P86)</f>
        <v/>
      </c>
      <c r="Q87">
        <f>IF(MOD($A87,H$2)=0,OFFSET(Q87,-H$2,0)+ H$3* $B87+H$4*OFFSET($B87,-H$2,0)+ H$5*OFFSET($B87,-2* H$2,0), Q86)</f>
        <v/>
      </c>
      <c r="R87">
        <f>IF(MOD($A87,I$2)=0,OFFSET(R87,-I$2,0)+ I$3* $B87+I$4*OFFSET($B87,-I$2,0)+ I$5*OFFSET($B87,-2* I$2,0), R86)</f>
        <v/>
      </c>
    </row>
    <row r="88">
      <c r="A88" t="n">
        <v>79</v>
      </c>
      <c r="B88" t="n">
        <v>1</v>
      </c>
      <c r="C88">
        <f>C87+D$3*$B88+D$4*$B87+D$5*$B86</f>
        <v/>
      </c>
      <c r="D88">
        <f>D83+E$3*$B88+E$4*$B83+E$5*$B78</f>
        <v/>
      </c>
      <c r="E88">
        <f>E78+F$3*$B88+F$4*$B78+F$5*$B68</f>
        <v/>
      </c>
      <c r="F88">
        <f>F87+G$3*$B88+G$4*$B87+G$5*$B86</f>
        <v/>
      </c>
      <c r="G88">
        <f>G83+H$3*$B88+H$4*$B83+H$5*$B78</f>
        <v/>
      </c>
      <c r="H88">
        <f>H78+I$3*$B88+I$4*$B78+I$5*$B68</f>
        <v/>
      </c>
      <c r="L88" t="n">
        <v>1</v>
      </c>
      <c r="M88">
        <f>IF(MOD($A88,D$2)=0,OFFSET(M88,-D$2,0)+ D$3* $B88+D$4*OFFSET($B88,-D$2,0)+ D$5*OFFSET($B88,-2* D$2,0), M87)</f>
        <v/>
      </c>
      <c r="N88">
        <f>IF(MOD($A88,E$2)=0,OFFSET(N88,-E$2,0)+ E$3* $B88+E$4*OFFSET($B88,-E$2,0)+ E$5*OFFSET($B88,-2* E$2,0), N87)</f>
        <v/>
      </c>
      <c r="O88">
        <f>IF(MOD($A88,F$2)=0,OFFSET(O88,-F$2,0)+ F$3* $B88+F$4*OFFSET($B88,-F$2,0)+ F$5*OFFSET($B88,-2* F$2,0), O87)</f>
        <v/>
      </c>
      <c r="P88">
        <f>IF(MOD($A88,G$2)=0,OFFSET(P88,-G$2,0)+ G$3* $B88+G$4*OFFSET($B88,-G$2,0)+ G$5*OFFSET($B88,-2* G$2,0), P87)</f>
        <v/>
      </c>
      <c r="Q88">
        <f>IF(MOD($A88,H$2)=0,OFFSET(Q88,-H$2,0)+ H$3* $B88+H$4*OFFSET($B88,-H$2,0)+ H$5*OFFSET($B88,-2* H$2,0), Q87)</f>
        <v/>
      </c>
      <c r="R88">
        <f>IF(MOD($A88,I$2)=0,OFFSET(R88,-I$2,0)+ I$3* $B88+I$4*OFFSET($B88,-I$2,0)+ I$5*OFFSET($B88,-2* I$2,0), R87)</f>
        <v/>
      </c>
    </row>
    <row r="89">
      <c r="A89" t="n">
        <v>80</v>
      </c>
      <c r="B89" t="n">
        <v>1</v>
      </c>
      <c r="C89">
        <f>C88+D$3*$B89+D$4*$B88+D$5*$B87</f>
        <v/>
      </c>
      <c r="D89">
        <f>D84+E$3*$B89+E$4*$B84+E$5*$B79</f>
        <v/>
      </c>
      <c r="E89">
        <f>E79+F$3*$B89+F$4*$B79+F$5*$B69</f>
        <v/>
      </c>
      <c r="F89">
        <f>F88+G$3*$B89+G$4*$B88+G$5*$B87</f>
        <v/>
      </c>
      <c r="G89">
        <f>G84+H$3*$B89+H$4*$B84+H$5*$B79</f>
        <v/>
      </c>
      <c r="H89">
        <f>H79+I$3*$B89+I$4*$B79+I$5*$B69</f>
        <v/>
      </c>
      <c r="L89" t="n">
        <v>1</v>
      </c>
      <c r="M89">
        <f>IF(MOD($A89,D$2)=0,OFFSET(M89,-D$2,0)+ D$3* $B89+D$4*OFFSET($B89,-D$2,0)+ D$5*OFFSET($B89,-2* D$2,0), M88)</f>
        <v/>
      </c>
      <c r="N89">
        <f>IF(MOD($A89,E$2)=0,OFFSET(N89,-E$2,0)+ E$3* $B89+E$4*OFFSET($B89,-E$2,0)+ E$5*OFFSET($B89,-2* E$2,0), N88)</f>
        <v/>
      </c>
      <c r="O89">
        <f>IF(MOD($A89,F$2)=0,OFFSET(O89,-F$2,0)+ F$3* $B89+F$4*OFFSET($B89,-F$2,0)+ F$5*OFFSET($B89,-2* F$2,0), O88)</f>
        <v/>
      </c>
      <c r="P89">
        <f>IF(MOD($A89,G$2)=0,OFFSET(P89,-G$2,0)+ G$3* $B89+G$4*OFFSET($B89,-G$2,0)+ G$5*OFFSET($B89,-2* G$2,0), P88)</f>
        <v/>
      </c>
      <c r="Q89">
        <f>IF(MOD($A89,H$2)=0,OFFSET(Q89,-H$2,0)+ H$3* $B89+H$4*OFFSET($B89,-H$2,0)+ H$5*OFFSET($B89,-2* H$2,0), Q88)</f>
        <v/>
      </c>
      <c r="R89">
        <f>IF(MOD($A89,I$2)=0,OFFSET(R89,-I$2,0)+ I$3* $B89+I$4*OFFSET($B89,-I$2,0)+ I$5*OFFSET($B89,-2* I$2,0), R88)</f>
        <v/>
      </c>
    </row>
    <row r="90">
      <c r="A90" t="n">
        <v>81</v>
      </c>
      <c r="B90" t="n">
        <v>1</v>
      </c>
      <c r="C90">
        <f>C89+D$3*$B90+D$4*$B89+D$5*$B88</f>
        <v/>
      </c>
      <c r="D90">
        <f>D85+E$3*$B90+E$4*$B85+E$5*$B80</f>
        <v/>
      </c>
      <c r="E90">
        <f>E80+F$3*$B90+F$4*$B80+F$5*$B70</f>
        <v/>
      </c>
      <c r="F90">
        <f>F89+G$3*$B90+G$4*$B89+G$5*$B88</f>
        <v/>
      </c>
      <c r="G90">
        <f>G85+H$3*$B90+H$4*$B85+H$5*$B80</f>
        <v/>
      </c>
      <c r="H90">
        <f>H80+I$3*$B90+I$4*$B80+I$5*$B70</f>
        <v/>
      </c>
      <c r="L90" t="n">
        <v>1</v>
      </c>
      <c r="M90">
        <f>IF(MOD($A90,D$2)=0,OFFSET(M90,-D$2,0)+ D$3* $B90+D$4*OFFSET($B90,-D$2,0)+ D$5*OFFSET($B90,-2* D$2,0), M89)</f>
        <v/>
      </c>
      <c r="N90">
        <f>IF(MOD($A90,E$2)=0,OFFSET(N90,-E$2,0)+ E$3* $B90+E$4*OFFSET($B90,-E$2,0)+ E$5*OFFSET($B90,-2* E$2,0), N89)</f>
        <v/>
      </c>
      <c r="O90">
        <f>IF(MOD($A90,F$2)=0,OFFSET(O90,-F$2,0)+ F$3* $B90+F$4*OFFSET($B90,-F$2,0)+ F$5*OFFSET($B90,-2* F$2,0), O89)</f>
        <v/>
      </c>
      <c r="P90">
        <f>IF(MOD($A90,G$2)=0,OFFSET(P90,-G$2,0)+ G$3* $B90+G$4*OFFSET($B90,-G$2,0)+ G$5*OFFSET($B90,-2* G$2,0), P89)</f>
        <v/>
      </c>
      <c r="Q90">
        <f>IF(MOD($A90,H$2)=0,OFFSET(Q90,-H$2,0)+ H$3* $B90+H$4*OFFSET($B90,-H$2,0)+ H$5*OFFSET($B90,-2* H$2,0), Q89)</f>
        <v/>
      </c>
      <c r="R90">
        <f>IF(MOD($A90,I$2)=0,OFFSET(R90,-I$2,0)+ I$3* $B90+I$4*OFFSET($B90,-I$2,0)+ I$5*OFFSET($B90,-2* I$2,0), R89)</f>
        <v/>
      </c>
    </row>
    <row r="91">
      <c r="A91" t="n">
        <v>82</v>
      </c>
      <c r="B91" t="n">
        <v>1</v>
      </c>
      <c r="C91">
        <f>C90+D$3*$B91+D$4*$B90+D$5*$B89</f>
        <v/>
      </c>
      <c r="D91">
        <f>D86+E$3*$B91+E$4*$B86+E$5*$B81</f>
        <v/>
      </c>
      <c r="E91">
        <f>E81+F$3*$B91+F$4*$B81+F$5*$B71</f>
        <v/>
      </c>
      <c r="F91">
        <f>F90+G$3*$B91+G$4*$B90+G$5*$B89</f>
        <v/>
      </c>
      <c r="G91">
        <f>G86+H$3*$B91+H$4*$B86+H$5*$B81</f>
        <v/>
      </c>
      <c r="H91">
        <f>H81+I$3*$B91+I$4*$B81+I$5*$B71</f>
        <v/>
      </c>
      <c r="L91" t="n">
        <v>1</v>
      </c>
      <c r="M91">
        <f>IF(MOD($A91,D$2)=0,OFFSET(M91,-D$2,0)+ D$3* $B91+D$4*OFFSET($B91,-D$2,0)+ D$5*OFFSET($B91,-2* D$2,0), M90)</f>
        <v/>
      </c>
      <c r="N91">
        <f>IF(MOD($A91,E$2)=0,OFFSET(N91,-E$2,0)+ E$3* $B91+E$4*OFFSET($B91,-E$2,0)+ E$5*OFFSET($B91,-2* E$2,0), N90)</f>
        <v/>
      </c>
      <c r="O91">
        <f>IF(MOD($A91,F$2)=0,OFFSET(O91,-F$2,0)+ F$3* $B91+F$4*OFFSET($B91,-F$2,0)+ F$5*OFFSET($B91,-2* F$2,0), O90)</f>
        <v/>
      </c>
      <c r="P91">
        <f>IF(MOD($A91,G$2)=0,OFFSET(P91,-G$2,0)+ G$3* $B91+G$4*OFFSET($B91,-G$2,0)+ G$5*OFFSET($B91,-2* G$2,0), P90)</f>
        <v/>
      </c>
      <c r="Q91">
        <f>IF(MOD($A91,H$2)=0,OFFSET(Q91,-H$2,0)+ H$3* $B91+H$4*OFFSET($B91,-H$2,0)+ H$5*OFFSET($B91,-2* H$2,0), Q90)</f>
        <v/>
      </c>
      <c r="R91">
        <f>IF(MOD($A91,I$2)=0,OFFSET(R91,-I$2,0)+ I$3* $B91+I$4*OFFSET($B91,-I$2,0)+ I$5*OFFSET($B91,-2* I$2,0), R90)</f>
        <v/>
      </c>
    </row>
    <row r="92">
      <c r="A92" t="n">
        <v>83</v>
      </c>
      <c r="B92" t="n">
        <v>1</v>
      </c>
      <c r="C92">
        <f>C91+D$3*$B92+D$4*$B91+D$5*$B90</f>
        <v/>
      </c>
      <c r="D92">
        <f>D87+E$3*$B92+E$4*$B87+E$5*$B82</f>
        <v/>
      </c>
      <c r="E92">
        <f>E82+F$3*$B92+F$4*$B82+F$5*$B72</f>
        <v/>
      </c>
      <c r="F92">
        <f>F91+G$3*$B92+G$4*$B91+G$5*$B90</f>
        <v/>
      </c>
      <c r="G92">
        <f>G87+H$3*$B92+H$4*$B87+H$5*$B82</f>
        <v/>
      </c>
      <c r="H92">
        <f>H82+I$3*$B92+I$4*$B82+I$5*$B72</f>
        <v/>
      </c>
      <c r="L92" t="n">
        <v>1</v>
      </c>
      <c r="M92">
        <f>IF(MOD($A92,D$2)=0,OFFSET(M92,-D$2,0)+ D$3* $B92+D$4*OFFSET($B92,-D$2,0)+ D$5*OFFSET($B92,-2* D$2,0), M91)</f>
        <v/>
      </c>
      <c r="N92">
        <f>IF(MOD($A92,E$2)=0,OFFSET(N92,-E$2,0)+ E$3* $B92+E$4*OFFSET($B92,-E$2,0)+ E$5*OFFSET($B92,-2* E$2,0), N91)</f>
        <v/>
      </c>
      <c r="O92">
        <f>IF(MOD($A92,F$2)=0,OFFSET(O92,-F$2,0)+ F$3* $B92+F$4*OFFSET($B92,-F$2,0)+ F$5*OFFSET($B92,-2* F$2,0), O91)</f>
        <v/>
      </c>
      <c r="P92">
        <f>IF(MOD($A92,G$2)=0,OFFSET(P92,-G$2,0)+ G$3* $B92+G$4*OFFSET($B92,-G$2,0)+ G$5*OFFSET($B92,-2* G$2,0), P91)</f>
        <v/>
      </c>
      <c r="Q92">
        <f>IF(MOD($A92,H$2)=0,OFFSET(Q92,-H$2,0)+ H$3* $B92+H$4*OFFSET($B92,-H$2,0)+ H$5*OFFSET($B92,-2* H$2,0), Q91)</f>
        <v/>
      </c>
      <c r="R92">
        <f>IF(MOD($A92,I$2)=0,OFFSET(R92,-I$2,0)+ I$3* $B92+I$4*OFFSET($B92,-I$2,0)+ I$5*OFFSET($B92,-2* I$2,0), R91)</f>
        <v/>
      </c>
    </row>
    <row r="93">
      <c r="A93" t="n">
        <v>84</v>
      </c>
      <c r="B93" t="n">
        <v>1</v>
      </c>
      <c r="C93">
        <f>C92+D$3*$B93+D$4*$B92+D$5*$B91</f>
        <v/>
      </c>
      <c r="D93">
        <f>D88+E$3*$B93+E$4*$B88+E$5*$B83</f>
        <v/>
      </c>
      <c r="E93">
        <f>E83+F$3*$B93+F$4*$B83+F$5*$B73</f>
        <v/>
      </c>
      <c r="F93">
        <f>F92+G$3*$B93+G$4*$B92+G$5*$B91</f>
        <v/>
      </c>
      <c r="G93">
        <f>G88+H$3*$B93+H$4*$B88+H$5*$B83</f>
        <v/>
      </c>
      <c r="H93">
        <f>H83+I$3*$B93+I$4*$B83+I$5*$B73</f>
        <v/>
      </c>
      <c r="L93" t="n">
        <v>1</v>
      </c>
      <c r="M93">
        <f>IF(MOD($A93,D$2)=0,OFFSET(M93,-D$2,0)+ D$3* $B93+D$4*OFFSET($B93,-D$2,0)+ D$5*OFFSET($B93,-2* D$2,0), M92)</f>
        <v/>
      </c>
      <c r="N93">
        <f>IF(MOD($A93,E$2)=0,OFFSET(N93,-E$2,0)+ E$3* $B93+E$4*OFFSET($B93,-E$2,0)+ E$5*OFFSET($B93,-2* E$2,0), N92)</f>
        <v/>
      </c>
      <c r="O93">
        <f>IF(MOD($A93,F$2)=0,OFFSET(O93,-F$2,0)+ F$3* $B93+F$4*OFFSET($B93,-F$2,0)+ F$5*OFFSET($B93,-2* F$2,0), O92)</f>
        <v/>
      </c>
      <c r="P93">
        <f>IF(MOD($A93,G$2)=0,OFFSET(P93,-G$2,0)+ G$3* $B93+G$4*OFFSET($B93,-G$2,0)+ G$5*OFFSET($B93,-2* G$2,0), P92)</f>
        <v/>
      </c>
      <c r="Q93">
        <f>IF(MOD($A93,H$2)=0,OFFSET(Q93,-H$2,0)+ H$3* $B93+H$4*OFFSET($B93,-H$2,0)+ H$5*OFFSET($B93,-2* H$2,0), Q92)</f>
        <v/>
      </c>
      <c r="R93">
        <f>IF(MOD($A93,I$2)=0,OFFSET(R93,-I$2,0)+ I$3* $B93+I$4*OFFSET($B93,-I$2,0)+ I$5*OFFSET($B93,-2* I$2,0), R92)</f>
        <v/>
      </c>
    </row>
    <row r="94">
      <c r="A94" t="n">
        <v>85</v>
      </c>
      <c r="B94" t="n">
        <v>1</v>
      </c>
      <c r="C94">
        <f>C93+D$3*$B94+D$4*$B93+D$5*$B92</f>
        <v/>
      </c>
      <c r="D94">
        <f>D89+E$3*$B94+E$4*$B89+E$5*$B84</f>
        <v/>
      </c>
      <c r="E94">
        <f>E84+F$3*$B94+F$4*$B84+F$5*$B74</f>
        <v/>
      </c>
      <c r="F94">
        <f>F93+G$3*$B94+G$4*$B93+G$5*$B92</f>
        <v/>
      </c>
      <c r="G94">
        <f>G89+H$3*$B94+H$4*$B89+H$5*$B84</f>
        <v/>
      </c>
      <c r="H94">
        <f>H84+I$3*$B94+I$4*$B84+I$5*$B74</f>
        <v/>
      </c>
      <c r="L94" t="n">
        <v>1</v>
      </c>
      <c r="M94">
        <f>IF(MOD($A94,D$2)=0,OFFSET(M94,-D$2,0)+ D$3* $B94+D$4*OFFSET($B94,-D$2,0)+ D$5*OFFSET($B94,-2* D$2,0), M93)</f>
        <v/>
      </c>
      <c r="N94">
        <f>IF(MOD($A94,E$2)=0,OFFSET(N94,-E$2,0)+ E$3* $B94+E$4*OFFSET($B94,-E$2,0)+ E$5*OFFSET($B94,-2* E$2,0), N93)</f>
        <v/>
      </c>
      <c r="O94">
        <f>IF(MOD($A94,F$2)=0,OFFSET(O94,-F$2,0)+ F$3* $B94+F$4*OFFSET($B94,-F$2,0)+ F$5*OFFSET($B94,-2* F$2,0), O93)</f>
        <v/>
      </c>
      <c r="P94">
        <f>IF(MOD($A94,G$2)=0,OFFSET(P94,-G$2,0)+ G$3* $B94+G$4*OFFSET($B94,-G$2,0)+ G$5*OFFSET($B94,-2* G$2,0), P93)</f>
        <v/>
      </c>
      <c r="Q94">
        <f>IF(MOD($A94,H$2)=0,OFFSET(Q94,-H$2,0)+ H$3* $B94+H$4*OFFSET($B94,-H$2,0)+ H$5*OFFSET($B94,-2* H$2,0), Q93)</f>
        <v/>
      </c>
      <c r="R94">
        <f>IF(MOD($A94,I$2)=0,OFFSET(R94,-I$2,0)+ I$3* $B94+I$4*OFFSET($B94,-I$2,0)+ I$5*OFFSET($B94,-2* I$2,0), R93)</f>
        <v/>
      </c>
    </row>
    <row r="95">
      <c r="A95" t="n">
        <v>86</v>
      </c>
      <c r="B95" t="n">
        <v>1</v>
      </c>
      <c r="C95">
        <f>C94+D$3*$B95+D$4*$B94+D$5*$B93</f>
        <v/>
      </c>
      <c r="D95">
        <f>D90+E$3*$B95+E$4*$B90+E$5*$B85</f>
        <v/>
      </c>
      <c r="E95">
        <f>E85+F$3*$B95+F$4*$B85+F$5*$B75</f>
        <v/>
      </c>
      <c r="F95">
        <f>F94+G$3*$B95+G$4*$B94+G$5*$B93</f>
        <v/>
      </c>
      <c r="G95">
        <f>G90+H$3*$B95+H$4*$B90+H$5*$B85</f>
        <v/>
      </c>
      <c r="H95">
        <f>H85+I$3*$B95+I$4*$B85+I$5*$B75</f>
        <v/>
      </c>
      <c r="L95" t="n">
        <v>1</v>
      </c>
      <c r="M95">
        <f>IF(MOD($A95,D$2)=0,OFFSET(M95,-D$2,0)+ D$3* $B95+D$4*OFFSET($B95,-D$2,0)+ D$5*OFFSET($B95,-2* D$2,0), M94)</f>
        <v/>
      </c>
      <c r="N95">
        <f>IF(MOD($A95,E$2)=0,OFFSET(N95,-E$2,0)+ E$3* $B95+E$4*OFFSET($B95,-E$2,0)+ E$5*OFFSET($B95,-2* E$2,0), N94)</f>
        <v/>
      </c>
      <c r="O95">
        <f>IF(MOD($A95,F$2)=0,OFFSET(O95,-F$2,0)+ F$3* $B95+F$4*OFFSET($B95,-F$2,0)+ F$5*OFFSET($B95,-2* F$2,0), O94)</f>
        <v/>
      </c>
      <c r="P95">
        <f>IF(MOD($A95,G$2)=0,OFFSET(P95,-G$2,0)+ G$3* $B95+G$4*OFFSET($B95,-G$2,0)+ G$5*OFFSET($B95,-2* G$2,0), P94)</f>
        <v/>
      </c>
      <c r="Q95">
        <f>IF(MOD($A95,H$2)=0,OFFSET(Q95,-H$2,0)+ H$3* $B95+H$4*OFFSET($B95,-H$2,0)+ H$5*OFFSET($B95,-2* H$2,0), Q94)</f>
        <v/>
      </c>
      <c r="R95">
        <f>IF(MOD($A95,I$2)=0,OFFSET(R95,-I$2,0)+ I$3* $B95+I$4*OFFSET($B95,-I$2,0)+ I$5*OFFSET($B95,-2* I$2,0), R94)</f>
        <v/>
      </c>
    </row>
    <row r="96">
      <c r="A96" t="n">
        <v>87</v>
      </c>
      <c r="B96" t="n">
        <v>1</v>
      </c>
      <c r="C96">
        <f>C95+D$3*$B96+D$4*$B95+D$5*$B94</f>
        <v/>
      </c>
      <c r="D96">
        <f>D91+E$3*$B96+E$4*$B91+E$5*$B86</f>
        <v/>
      </c>
      <c r="E96">
        <f>E86+F$3*$B96+F$4*$B86+F$5*$B76</f>
        <v/>
      </c>
      <c r="F96">
        <f>F95+G$3*$B96+G$4*$B95+G$5*$B94</f>
        <v/>
      </c>
      <c r="G96">
        <f>G91+H$3*$B96+H$4*$B91+H$5*$B86</f>
        <v/>
      </c>
      <c r="H96">
        <f>H86+I$3*$B96+I$4*$B86+I$5*$B76</f>
        <v/>
      </c>
      <c r="L96" t="n">
        <v>1</v>
      </c>
      <c r="M96">
        <f>IF(MOD($A96,D$2)=0,OFFSET(M96,-D$2,0)+ D$3* $B96+D$4*OFFSET($B96,-D$2,0)+ D$5*OFFSET($B96,-2* D$2,0), M95)</f>
        <v/>
      </c>
      <c r="N96">
        <f>IF(MOD($A96,E$2)=0,OFFSET(N96,-E$2,0)+ E$3* $B96+E$4*OFFSET($B96,-E$2,0)+ E$5*OFFSET($B96,-2* E$2,0), N95)</f>
        <v/>
      </c>
      <c r="O96">
        <f>IF(MOD($A96,F$2)=0,OFFSET(O96,-F$2,0)+ F$3* $B96+F$4*OFFSET($B96,-F$2,0)+ F$5*OFFSET($B96,-2* F$2,0), O95)</f>
        <v/>
      </c>
      <c r="P96">
        <f>IF(MOD($A96,G$2)=0,OFFSET(P96,-G$2,0)+ G$3* $B96+G$4*OFFSET($B96,-G$2,0)+ G$5*OFFSET($B96,-2* G$2,0), P95)</f>
        <v/>
      </c>
      <c r="Q96">
        <f>IF(MOD($A96,H$2)=0,OFFSET(Q96,-H$2,0)+ H$3* $B96+H$4*OFFSET($B96,-H$2,0)+ H$5*OFFSET($B96,-2* H$2,0), Q95)</f>
        <v/>
      </c>
      <c r="R96">
        <f>IF(MOD($A96,I$2)=0,OFFSET(R96,-I$2,0)+ I$3* $B96+I$4*OFFSET($B96,-I$2,0)+ I$5*OFFSET($B96,-2* I$2,0), R95)</f>
        <v/>
      </c>
    </row>
    <row r="97">
      <c r="A97" t="n">
        <v>88</v>
      </c>
      <c r="B97" t="n">
        <v>1</v>
      </c>
      <c r="C97">
        <f>C96+D$3*$B97+D$4*$B96+D$5*$B95</f>
        <v/>
      </c>
      <c r="D97">
        <f>D92+E$3*$B97+E$4*$B92+E$5*$B87</f>
        <v/>
      </c>
      <c r="E97">
        <f>E87+F$3*$B97+F$4*$B87+F$5*$B77</f>
        <v/>
      </c>
      <c r="F97">
        <f>F96+G$3*$B97+G$4*$B96+G$5*$B95</f>
        <v/>
      </c>
      <c r="G97">
        <f>G92+H$3*$B97+H$4*$B92+H$5*$B87</f>
        <v/>
      </c>
      <c r="H97">
        <f>H87+I$3*$B97+I$4*$B87+I$5*$B77</f>
        <v/>
      </c>
      <c r="L97" t="n">
        <v>1</v>
      </c>
      <c r="M97">
        <f>IF(MOD($A97,D$2)=0,OFFSET(M97,-D$2,0)+ D$3* $B97+D$4*OFFSET($B97,-D$2,0)+ D$5*OFFSET($B97,-2* D$2,0), M96)</f>
        <v/>
      </c>
      <c r="N97">
        <f>IF(MOD($A97,E$2)=0,OFFSET(N97,-E$2,0)+ E$3* $B97+E$4*OFFSET($B97,-E$2,0)+ E$5*OFFSET($B97,-2* E$2,0), N96)</f>
        <v/>
      </c>
      <c r="O97">
        <f>IF(MOD($A97,F$2)=0,OFFSET(O97,-F$2,0)+ F$3* $B97+F$4*OFFSET($B97,-F$2,0)+ F$5*OFFSET($B97,-2* F$2,0), O96)</f>
        <v/>
      </c>
      <c r="P97">
        <f>IF(MOD($A97,G$2)=0,OFFSET(P97,-G$2,0)+ G$3* $B97+G$4*OFFSET($B97,-G$2,0)+ G$5*OFFSET($B97,-2* G$2,0), P96)</f>
        <v/>
      </c>
      <c r="Q97">
        <f>IF(MOD($A97,H$2)=0,OFFSET(Q97,-H$2,0)+ H$3* $B97+H$4*OFFSET($B97,-H$2,0)+ H$5*OFFSET($B97,-2* H$2,0), Q96)</f>
        <v/>
      </c>
      <c r="R97">
        <f>IF(MOD($A97,I$2)=0,OFFSET(R97,-I$2,0)+ I$3* $B97+I$4*OFFSET($B97,-I$2,0)+ I$5*OFFSET($B97,-2* I$2,0), R96)</f>
        <v/>
      </c>
    </row>
    <row r="98">
      <c r="A98" t="n">
        <v>89</v>
      </c>
      <c r="B98" t="n">
        <v>1</v>
      </c>
      <c r="C98">
        <f>C97+D$3*$B98+D$4*$B97+D$5*$B96</f>
        <v/>
      </c>
      <c r="D98">
        <f>D93+E$3*$B98+E$4*$B93+E$5*$B88</f>
        <v/>
      </c>
      <c r="E98">
        <f>E88+F$3*$B98+F$4*$B88+F$5*$B78</f>
        <v/>
      </c>
      <c r="F98">
        <f>F97+G$3*$B98+G$4*$B97+G$5*$B96</f>
        <v/>
      </c>
      <c r="G98">
        <f>G93+H$3*$B98+H$4*$B93+H$5*$B88</f>
        <v/>
      </c>
      <c r="H98">
        <f>H88+I$3*$B98+I$4*$B88+I$5*$B78</f>
        <v/>
      </c>
      <c r="L98" t="n">
        <v>1</v>
      </c>
      <c r="M98">
        <f>IF(MOD($A98,D$2)=0,OFFSET(M98,-D$2,0)+ D$3* $B98+D$4*OFFSET($B98,-D$2,0)+ D$5*OFFSET($B98,-2* D$2,0), M97)</f>
        <v/>
      </c>
      <c r="N98">
        <f>IF(MOD($A98,E$2)=0,OFFSET(N98,-E$2,0)+ E$3* $B98+E$4*OFFSET($B98,-E$2,0)+ E$5*OFFSET($B98,-2* E$2,0), N97)</f>
        <v/>
      </c>
      <c r="O98">
        <f>IF(MOD($A98,F$2)=0,OFFSET(O98,-F$2,0)+ F$3* $B98+F$4*OFFSET($B98,-F$2,0)+ F$5*OFFSET($B98,-2* F$2,0), O97)</f>
        <v/>
      </c>
      <c r="P98">
        <f>IF(MOD($A98,G$2)=0,OFFSET(P98,-G$2,0)+ G$3* $B98+G$4*OFFSET($B98,-G$2,0)+ G$5*OFFSET($B98,-2* G$2,0), P97)</f>
        <v/>
      </c>
      <c r="Q98">
        <f>IF(MOD($A98,H$2)=0,OFFSET(Q98,-H$2,0)+ H$3* $B98+H$4*OFFSET($B98,-H$2,0)+ H$5*OFFSET($B98,-2* H$2,0), Q97)</f>
        <v/>
      </c>
      <c r="R98">
        <f>IF(MOD($A98,I$2)=0,OFFSET(R98,-I$2,0)+ I$3* $B98+I$4*OFFSET($B98,-I$2,0)+ I$5*OFFSET($B98,-2* I$2,0), R97)</f>
        <v/>
      </c>
    </row>
    <row r="99">
      <c r="A99" t="n">
        <v>90</v>
      </c>
      <c r="B99" t="n">
        <v>1</v>
      </c>
      <c r="C99">
        <f>C98+D$3*$B99+D$4*$B98+D$5*$B97</f>
        <v/>
      </c>
      <c r="D99">
        <f>D94+E$3*$B99+E$4*$B94+E$5*$B89</f>
        <v/>
      </c>
      <c r="E99">
        <f>E89+F$3*$B99+F$4*$B89+F$5*$B79</f>
        <v/>
      </c>
      <c r="F99">
        <f>F98+G$3*$B99+G$4*$B98+G$5*$B97</f>
        <v/>
      </c>
      <c r="G99">
        <f>G94+H$3*$B99+H$4*$B94+H$5*$B89</f>
        <v/>
      </c>
      <c r="H99">
        <f>H89+I$3*$B99+I$4*$B89+I$5*$B79</f>
        <v/>
      </c>
      <c r="L99" t="n">
        <v>1</v>
      </c>
      <c r="M99">
        <f>IF(MOD($A99,D$2)=0,OFFSET(M99,-D$2,0)+ D$3* $B99+D$4*OFFSET($B99,-D$2,0)+ D$5*OFFSET($B99,-2* D$2,0), M98)</f>
        <v/>
      </c>
      <c r="N99">
        <f>IF(MOD($A99,E$2)=0,OFFSET(N99,-E$2,0)+ E$3* $B99+E$4*OFFSET($B99,-E$2,0)+ E$5*OFFSET($B99,-2* E$2,0), N98)</f>
        <v/>
      </c>
      <c r="O99">
        <f>IF(MOD($A99,F$2)=0,OFFSET(O99,-F$2,0)+ F$3* $B99+F$4*OFFSET($B99,-F$2,0)+ F$5*OFFSET($B99,-2* F$2,0), O98)</f>
        <v/>
      </c>
      <c r="P99">
        <f>IF(MOD($A99,G$2)=0,OFFSET(P99,-G$2,0)+ G$3* $B99+G$4*OFFSET($B99,-G$2,0)+ G$5*OFFSET($B99,-2* G$2,0), P98)</f>
        <v/>
      </c>
      <c r="Q99">
        <f>IF(MOD($A99,H$2)=0,OFFSET(Q99,-H$2,0)+ H$3* $B99+H$4*OFFSET($B99,-H$2,0)+ H$5*OFFSET($B99,-2* H$2,0), Q98)</f>
        <v/>
      </c>
      <c r="R99">
        <f>IF(MOD($A99,I$2)=0,OFFSET(R99,-I$2,0)+ I$3* $B99+I$4*OFFSET($B99,-I$2,0)+ I$5*OFFSET($B99,-2* I$2,0), R98)</f>
        <v/>
      </c>
    </row>
    <row r="100">
      <c r="A100" t="n">
        <v>91</v>
      </c>
      <c r="B100" t="n">
        <v>1</v>
      </c>
      <c r="C100">
        <f>C99+D$3*$B100+D$4*$B99+D$5*$B98</f>
        <v/>
      </c>
      <c r="D100">
        <f>D95+E$3*$B100+E$4*$B95+E$5*$B90</f>
        <v/>
      </c>
      <c r="E100">
        <f>E90+F$3*$B100+F$4*$B90+F$5*$B80</f>
        <v/>
      </c>
      <c r="F100">
        <f>F99+G$3*$B100+G$4*$B99+G$5*$B98</f>
        <v/>
      </c>
      <c r="G100">
        <f>G95+H$3*$B100+H$4*$B95+H$5*$B90</f>
        <v/>
      </c>
      <c r="H100">
        <f>H90+I$3*$B100+I$4*$B90+I$5*$B80</f>
        <v/>
      </c>
      <c r="L100" t="n">
        <v>1</v>
      </c>
      <c r="M100">
        <f>IF(MOD($A100,D$2)=0,OFFSET(M100,-D$2,0)+ D$3* $B100+D$4*OFFSET($B100,-D$2,0)+ D$5*OFFSET($B100,-2* D$2,0), M99)</f>
        <v/>
      </c>
      <c r="N100">
        <f>IF(MOD($A100,E$2)=0,OFFSET(N100,-E$2,0)+ E$3* $B100+E$4*OFFSET($B100,-E$2,0)+ E$5*OFFSET($B100,-2* E$2,0), N99)</f>
        <v/>
      </c>
      <c r="O100">
        <f>IF(MOD($A100,F$2)=0,OFFSET(O100,-F$2,0)+ F$3* $B100+F$4*OFFSET($B100,-F$2,0)+ F$5*OFFSET($B100,-2* F$2,0), O99)</f>
        <v/>
      </c>
      <c r="P100">
        <f>IF(MOD($A100,G$2)=0,OFFSET(P100,-G$2,0)+ G$3* $B100+G$4*OFFSET($B100,-G$2,0)+ G$5*OFFSET($B100,-2* G$2,0), P99)</f>
        <v/>
      </c>
      <c r="Q100">
        <f>IF(MOD($A100,H$2)=0,OFFSET(Q100,-H$2,0)+ H$3* $B100+H$4*OFFSET($B100,-H$2,0)+ H$5*OFFSET($B100,-2* H$2,0), Q99)</f>
        <v/>
      </c>
      <c r="R100">
        <f>IF(MOD($A100,I$2)=0,OFFSET(R100,-I$2,0)+ I$3* $B100+I$4*OFFSET($B100,-I$2,0)+ I$5*OFFSET($B100,-2* I$2,0), R99)</f>
        <v/>
      </c>
    </row>
    <row r="101">
      <c r="A101" t="n">
        <v>92</v>
      </c>
      <c r="B101" t="n">
        <v>1</v>
      </c>
      <c r="C101">
        <f>C100+D$3*$B101+D$4*$B100+D$5*$B99</f>
        <v/>
      </c>
      <c r="D101">
        <f>D96+E$3*$B101+E$4*$B96+E$5*$B91</f>
        <v/>
      </c>
      <c r="E101">
        <f>E91+F$3*$B101+F$4*$B91+F$5*$B81</f>
        <v/>
      </c>
      <c r="F101">
        <f>F100+G$3*$B101+G$4*$B100+G$5*$B99</f>
        <v/>
      </c>
      <c r="G101">
        <f>G96+H$3*$B101+H$4*$B96+H$5*$B91</f>
        <v/>
      </c>
      <c r="H101">
        <f>H91+I$3*$B101+I$4*$B91+I$5*$B81</f>
        <v/>
      </c>
      <c r="L101" t="n">
        <v>1</v>
      </c>
      <c r="M101">
        <f>IF(MOD($A101,D$2)=0,OFFSET(M101,-D$2,0)+ D$3* $B101+D$4*OFFSET($B101,-D$2,0)+ D$5*OFFSET($B101,-2* D$2,0), M100)</f>
        <v/>
      </c>
      <c r="N101">
        <f>IF(MOD($A101,E$2)=0,OFFSET(N101,-E$2,0)+ E$3* $B101+E$4*OFFSET($B101,-E$2,0)+ E$5*OFFSET($B101,-2* E$2,0), N100)</f>
        <v/>
      </c>
      <c r="O101">
        <f>IF(MOD($A101,F$2)=0,OFFSET(O101,-F$2,0)+ F$3* $B101+F$4*OFFSET($B101,-F$2,0)+ F$5*OFFSET($B101,-2* F$2,0), O100)</f>
        <v/>
      </c>
      <c r="P101">
        <f>IF(MOD($A101,G$2)=0,OFFSET(P101,-G$2,0)+ G$3* $B101+G$4*OFFSET($B101,-G$2,0)+ G$5*OFFSET($B101,-2* G$2,0), P100)</f>
        <v/>
      </c>
      <c r="Q101">
        <f>IF(MOD($A101,H$2)=0,OFFSET(Q101,-H$2,0)+ H$3* $B101+H$4*OFFSET($B101,-H$2,0)+ H$5*OFFSET($B101,-2* H$2,0), Q100)</f>
        <v/>
      </c>
      <c r="R101">
        <f>IF(MOD($A101,I$2)=0,OFFSET(R101,-I$2,0)+ I$3* $B101+I$4*OFFSET($B101,-I$2,0)+ I$5*OFFSET($B101,-2* I$2,0), R100)</f>
        <v/>
      </c>
    </row>
    <row r="102">
      <c r="A102" t="n">
        <v>93</v>
      </c>
      <c r="B102" t="n">
        <v>1</v>
      </c>
      <c r="C102">
        <f>C101+D$3*$B102+D$4*$B101+D$5*$B100</f>
        <v/>
      </c>
      <c r="D102">
        <f>D97+E$3*$B102+E$4*$B97+E$5*$B92</f>
        <v/>
      </c>
      <c r="E102">
        <f>E92+F$3*$B102+F$4*$B92+F$5*$B82</f>
        <v/>
      </c>
      <c r="F102">
        <f>F101+G$3*$B102+G$4*$B101+G$5*$B100</f>
        <v/>
      </c>
      <c r="G102">
        <f>G97+H$3*$B102+H$4*$B97+H$5*$B92</f>
        <v/>
      </c>
      <c r="H102">
        <f>H92+I$3*$B102+I$4*$B92+I$5*$B82</f>
        <v/>
      </c>
      <c r="L102" t="n">
        <v>1</v>
      </c>
      <c r="M102">
        <f>IF(MOD($A102,D$2)=0,OFFSET(M102,-D$2,0)+ D$3* $B102+D$4*OFFSET($B102,-D$2,0)+ D$5*OFFSET($B102,-2* D$2,0), M101)</f>
        <v/>
      </c>
      <c r="N102">
        <f>IF(MOD($A102,E$2)=0,OFFSET(N102,-E$2,0)+ E$3* $B102+E$4*OFFSET($B102,-E$2,0)+ E$5*OFFSET($B102,-2* E$2,0), N101)</f>
        <v/>
      </c>
      <c r="O102">
        <f>IF(MOD($A102,F$2)=0,OFFSET(O102,-F$2,0)+ F$3* $B102+F$4*OFFSET($B102,-F$2,0)+ F$5*OFFSET($B102,-2* F$2,0), O101)</f>
        <v/>
      </c>
      <c r="P102">
        <f>IF(MOD($A102,G$2)=0,OFFSET(P102,-G$2,0)+ G$3* $B102+G$4*OFFSET($B102,-G$2,0)+ G$5*OFFSET($B102,-2* G$2,0), P101)</f>
        <v/>
      </c>
      <c r="Q102">
        <f>IF(MOD($A102,H$2)=0,OFFSET(Q102,-H$2,0)+ H$3* $B102+H$4*OFFSET($B102,-H$2,0)+ H$5*OFFSET($B102,-2* H$2,0), Q101)</f>
        <v/>
      </c>
      <c r="R102">
        <f>IF(MOD($A102,I$2)=0,OFFSET(R102,-I$2,0)+ I$3* $B102+I$4*OFFSET($B102,-I$2,0)+ I$5*OFFSET($B102,-2* I$2,0), R101)</f>
        <v/>
      </c>
    </row>
    <row r="103">
      <c r="A103" t="n">
        <v>94</v>
      </c>
      <c r="B103" t="n">
        <v>1</v>
      </c>
      <c r="C103">
        <f>C102+D$3*$B103+D$4*$B102+D$5*$B101</f>
        <v/>
      </c>
      <c r="D103">
        <f>D98+E$3*$B103+E$4*$B98+E$5*$B93</f>
        <v/>
      </c>
      <c r="E103">
        <f>E93+F$3*$B103+F$4*$B93+F$5*$B83</f>
        <v/>
      </c>
      <c r="F103">
        <f>F102+G$3*$B103+G$4*$B102+G$5*$B101</f>
        <v/>
      </c>
      <c r="G103">
        <f>G98+H$3*$B103+H$4*$B98+H$5*$B93</f>
        <v/>
      </c>
      <c r="H103">
        <f>H93+I$3*$B103+I$4*$B93+I$5*$B83</f>
        <v/>
      </c>
      <c r="L103" t="n">
        <v>1</v>
      </c>
      <c r="M103">
        <f>IF(MOD($A103,D$2)=0,OFFSET(M103,-D$2,0)+ D$3* $B103+D$4*OFFSET($B103,-D$2,0)+ D$5*OFFSET($B103,-2* D$2,0), M102)</f>
        <v/>
      </c>
      <c r="N103">
        <f>IF(MOD($A103,E$2)=0,OFFSET(N103,-E$2,0)+ E$3* $B103+E$4*OFFSET($B103,-E$2,0)+ E$5*OFFSET($B103,-2* E$2,0), N102)</f>
        <v/>
      </c>
      <c r="O103">
        <f>IF(MOD($A103,F$2)=0,OFFSET(O103,-F$2,0)+ F$3* $B103+F$4*OFFSET($B103,-F$2,0)+ F$5*OFFSET($B103,-2* F$2,0), O102)</f>
        <v/>
      </c>
      <c r="P103">
        <f>IF(MOD($A103,G$2)=0,OFFSET(P103,-G$2,0)+ G$3* $B103+G$4*OFFSET($B103,-G$2,0)+ G$5*OFFSET($B103,-2* G$2,0), P102)</f>
        <v/>
      </c>
      <c r="Q103">
        <f>IF(MOD($A103,H$2)=0,OFFSET(Q103,-H$2,0)+ H$3* $B103+H$4*OFFSET($B103,-H$2,0)+ H$5*OFFSET($B103,-2* H$2,0), Q102)</f>
        <v/>
      </c>
      <c r="R103">
        <f>IF(MOD($A103,I$2)=0,OFFSET(R103,-I$2,0)+ I$3* $B103+I$4*OFFSET($B103,-I$2,0)+ I$5*OFFSET($B103,-2* I$2,0), R102)</f>
        <v/>
      </c>
    </row>
    <row r="104">
      <c r="A104" t="n">
        <v>95</v>
      </c>
      <c r="B104" t="n">
        <v>1</v>
      </c>
      <c r="C104">
        <f>C103+D$3*$B104+D$4*$B103+D$5*$B102</f>
        <v/>
      </c>
      <c r="D104">
        <f>D99+E$3*$B104+E$4*$B99+E$5*$B94</f>
        <v/>
      </c>
      <c r="E104">
        <f>E94+F$3*$B104+F$4*$B94+F$5*$B84</f>
        <v/>
      </c>
      <c r="F104">
        <f>F103+G$3*$B104+G$4*$B103+G$5*$B102</f>
        <v/>
      </c>
      <c r="G104">
        <f>G99+H$3*$B104+H$4*$B99+H$5*$B94</f>
        <v/>
      </c>
      <c r="H104">
        <f>H94+I$3*$B104+I$4*$B94+I$5*$B84</f>
        <v/>
      </c>
      <c r="L104" t="n">
        <v>1</v>
      </c>
      <c r="M104">
        <f>IF(MOD($A104,D$2)=0,OFFSET(M104,-D$2,0)+ D$3* $B104+D$4*OFFSET($B104,-D$2,0)+ D$5*OFFSET($B104,-2* D$2,0), M103)</f>
        <v/>
      </c>
      <c r="N104">
        <f>IF(MOD($A104,E$2)=0,OFFSET(N104,-E$2,0)+ E$3* $B104+E$4*OFFSET($B104,-E$2,0)+ E$5*OFFSET($B104,-2* E$2,0), N103)</f>
        <v/>
      </c>
      <c r="O104">
        <f>IF(MOD($A104,F$2)=0,OFFSET(O104,-F$2,0)+ F$3* $B104+F$4*OFFSET($B104,-F$2,0)+ F$5*OFFSET($B104,-2* F$2,0), O103)</f>
        <v/>
      </c>
      <c r="P104">
        <f>IF(MOD($A104,G$2)=0,OFFSET(P104,-G$2,0)+ G$3* $B104+G$4*OFFSET($B104,-G$2,0)+ G$5*OFFSET($B104,-2* G$2,0), P103)</f>
        <v/>
      </c>
      <c r="Q104">
        <f>IF(MOD($A104,H$2)=0,OFFSET(Q104,-H$2,0)+ H$3* $B104+H$4*OFFSET($B104,-H$2,0)+ H$5*OFFSET($B104,-2* H$2,0), Q103)</f>
        <v/>
      </c>
      <c r="R104">
        <f>IF(MOD($A104,I$2)=0,OFFSET(R104,-I$2,0)+ I$3* $B104+I$4*OFFSET($B104,-I$2,0)+ I$5*OFFSET($B104,-2* I$2,0), R103)</f>
        <v/>
      </c>
    </row>
    <row r="105">
      <c r="A105" t="n">
        <v>96</v>
      </c>
      <c r="B105" t="n">
        <v>1</v>
      </c>
      <c r="C105">
        <f>C104+D$3*$B105+D$4*$B104+D$5*$B103</f>
        <v/>
      </c>
      <c r="D105">
        <f>D100+E$3*$B105+E$4*$B100+E$5*$B95</f>
        <v/>
      </c>
      <c r="E105">
        <f>E95+F$3*$B105+F$4*$B95+F$5*$B85</f>
        <v/>
      </c>
      <c r="F105">
        <f>F104+G$3*$B105+G$4*$B104+G$5*$B103</f>
        <v/>
      </c>
      <c r="G105">
        <f>G100+H$3*$B105+H$4*$B100+H$5*$B95</f>
        <v/>
      </c>
      <c r="H105">
        <f>H95+I$3*$B105+I$4*$B95+I$5*$B85</f>
        <v/>
      </c>
      <c r="L105" t="n">
        <v>1</v>
      </c>
      <c r="M105">
        <f>IF(MOD($A105,D$2)=0,OFFSET(M105,-D$2,0)+ D$3* $B105+D$4*OFFSET($B105,-D$2,0)+ D$5*OFFSET($B105,-2* D$2,0), M104)</f>
        <v/>
      </c>
      <c r="N105">
        <f>IF(MOD($A105,E$2)=0,OFFSET(N105,-E$2,0)+ E$3* $B105+E$4*OFFSET($B105,-E$2,0)+ E$5*OFFSET($B105,-2* E$2,0), N104)</f>
        <v/>
      </c>
      <c r="O105">
        <f>IF(MOD($A105,F$2)=0,OFFSET(O105,-F$2,0)+ F$3* $B105+F$4*OFFSET($B105,-F$2,0)+ F$5*OFFSET($B105,-2* F$2,0), O104)</f>
        <v/>
      </c>
      <c r="P105">
        <f>IF(MOD($A105,G$2)=0,OFFSET(P105,-G$2,0)+ G$3* $B105+G$4*OFFSET($B105,-G$2,0)+ G$5*OFFSET($B105,-2* G$2,0), P104)</f>
        <v/>
      </c>
      <c r="Q105">
        <f>IF(MOD($A105,H$2)=0,OFFSET(Q105,-H$2,0)+ H$3* $B105+H$4*OFFSET($B105,-H$2,0)+ H$5*OFFSET($B105,-2* H$2,0), Q104)</f>
        <v/>
      </c>
      <c r="R105">
        <f>IF(MOD($A105,I$2)=0,OFFSET(R105,-I$2,0)+ I$3* $B105+I$4*OFFSET($B105,-I$2,0)+ I$5*OFFSET($B105,-2* I$2,0), R104)</f>
        <v/>
      </c>
    </row>
    <row r="106">
      <c r="A106" t="n">
        <v>97</v>
      </c>
      <c r="B106" t="n">
        <v>1</v>
      </c>
      <c r="C106">
        <f>C105+D$3*$B106+D$4*$B105+D$5*$B104</f>
        <v/>
      </c>
      <c r="D106">
        <f>D101+E$3*$B106+E$4*$B101+E$5*$B96</f>
        <v/>
      </c>
      <c r="E106">
        <f>E96+F$3*$B106+F$4*$B96+F$5*$B86</f>
        <v/>
      </c>
      <c r="F106">
        <f>F105+G$3*$B106+G$4*$B105+G$5*$B104</f>
        <v/>
      </c>
      <c r="G106">
        <f>G101+H$3*$B106+H$4*$B101+H$5*$B96</f>
        <v/>
      </c>
      <c r="H106">
        <f>H96+I$3*$B106+I$4*$B96+I$5*$B86</f>
        <v/>
      </c>
      <c r="L106" t="n">
        <v>1</v>
      </c>
      <c r="M106">
        <f>IF(MOD($A106,D$2)=0,OFFSET(M106,-D$2,0)+ D$3* $B106+D$4*OFFSET($B106,-D$2,0)+ D$5*OFFSET($B106,-2* D$2,0), M105)</f>
        <v/>
      </c>
      <c r="N106">
        <f>IF(MOD($A106,E$2)=0,OFFSET(N106,-E$2,0)+ E$3* $B106+E$4*OFFSET($B106,-E$2,0)+ E$5*OFFSET($B106,-2* E$2,0), N105)</f>
        <v/>
      </c>
      <c r="O106">
        <f>IF(MOD($A106,F$2)=0,OFFSET(O106,-F$2,0)+ F$3* $B106+F$4*OFFSET($B106,-F$2,0)+ F$5*OFFSET($B106,-2* F$2,0), O105)</f>
        <v/>
      </c>
      <c r="P106">
        <f>IF(MOD($A106,G$2)=0,OFFSET(P106,-G$2,0)+ G$3* $B106+G$4*OFFSET($B106,-G$2,0)+ G$5*OFFSET($B106,-2* G$2,0), P105)</f>
        <v/>
      </c>
      <c r="Q106">
        <f>IF(MOD($A106,H$2)=0,OFFSET(Q106,-H$2,0)+ H$3* $B106+H$4*OFFSET($B106,-H$2,0)+ H$5*OFFSET($B106,-2* H$2,0), Q105)</f>
        <v/>
      </c>
      <c r="R106">
        <f>IF(MOD($A106,I$2)=0,OFFSET(R106,-I$2,0)+ I$3* $B106+I$4*OFFSET($B106,-I$2,0)+ I$5*OFFSET($B106,-2* I$2,0), R105)</f>
        <v/>
      </c>
    </row>
    <row r="107">
      <c r="A107" t="n">
        <v>98</v>
      </c>
      <c r="B107" t="n">
        <v>1</v>
      </c>
      <c r="C107">
        <f>C106+D$3*$B107+D$4*$B106+D$5*$B105</f>
        <v/>
      </c>
      <c r="D107">
        <f>D102+E$3*$B107+E$4*$B102+E$5*$B97</f>
        <v/>
      </c>
      <c r="E107">
        <f>E97+F$3*$B107+F$4*$B97+F$5*$B87</f>
        <v/>
      </c>
      <c r="F107">
        <f>F106+G$3*$B107+G$4*$B106+G$5*$B105</f>
        <v/>
      </c>
      <c r="G107">
        <f>G102+H$3*$B107+H$4*$B102+H$5*$B97</f>
        <v/>
      </c>
      <c r="H107">
        <f>H97+I$3*$B107+I$4*$B97+I$5*$B87</f>
        <v/>
      </c>
      <c r="L107" t="n">
        <v>1</v>
      </c>
      <c r="M107">
        <f>IF(MOD($A107,D$2)=0,OFFSET(M107,-D$2,0)+ D$3* $B107+D$4*OFFSET($B107,-D$2,0)+ D$5*OFFSET($B107,-2* D$2,0), M106)</f>
        <v/>
      </c>
      <c r="N107">
        <f>IF(MOD($A107,E$2)=0,OFFSET(N107,-E$2,0)+ E$3* $B107+E$4*OFFSET($B107,-E$2,0)+ E$5*OFFSET($B107,-2* E$2,0), N106)</f>
        <v/>
      </c>
      <c r="O107">
        <f>IF(MOD($A107,F$2)=0,OFFSET(O107,-F$2,0)+ F$3* $B107+F$4*OFFSET($B107,-F$2,0)+ F$5*OFFSET($B107,-2* F$2,0), O106)</f>
        <v/>
      </c>
      <c r="P107">
        <f>IF(MOD($A107,G$2)=0,OFFSET(P107,-G$2,0)+ G$3* $B107+G$4*OFFSET($B107,-G$2,0)+ G$5*OFFSET($B107,-2* G$2,0), P106)</f>
        <v/>
      </c>
      <c r="Q107">
        <f>IF(MOD($A107,H$2)=0,OFFSET(Q107,-H$2,0)+ H$3* $B107+H$4*OFFSET($B107,-H$2,0)+ H$5*OFFSET($B107,-2* H$2,0), Q106)</f>
        <v/>
      </c>
      <c r="R107">
        <f>IF(MOD($A107,I$2)=0,OFFSET(R107,-I$2,0)+ I$3* $B107+I$4*OFFSET($B107,-I$2,0)+ I$5*OFFSET($B107,-2* I$2,0), R106)</f>
        <v/>
      </c>
    </row>
    <row r="108">
      <c r="A108" t="n">
        <v>99</v>
      </c>
      <c r="B108" t="n">
        <v>1</v>
      </c>
      <c r="C108">
        <f>C107+D$3*$B108+D$4*$B107+D$5*$B106</f>
        <v/>
      </c>
      <c r="D108">
        <f>D103+E$3*$B108+E$4*$B103+E$5*$B98</f>
        <v/>
      </c>
      <c r="E108">
        <f>E98+F$3*$B108+F$4*$B98+F$5*$B88</f>
        <v/>
      </c>
      <c r="F108">
        <f>F107+G$3*$B108+G$4*$B107+G$5*$B106</f>
        <v/>
      </c>
      <c r="G108">
        <f>G103+H$3*$B108+H$4*$B103+H$5*$B98</f>
        <v/>
      </c>
      <c r="H108">
        <f>H98+I$3*$B108+I$4*$B98+I$5*$B88</f>
        <v/>
      </c>
      <c r="L108" t="n">
        <v>1</v>
      </c>
      <c r="M108">
        <f>IF(MOD($A108,D$2)=0,OFFSET(M108,-D$2,0)+ D$3* $B108+D$4*OFFSET($B108,-D$2,0)+ D$5*OFFSET($B108,-2* D$2,0), M107)</f>
        <v/>
      </c>
      <c r="N108">
        <f>IF(MOD($A108,E$2)=0,OFFSET(N108,-E$2,0)+ E$3* $B108+E$4*OFFSET($B108,-E$2,0)+ E$5*OFFSET($B108,-2* E$2,0), N107)</f>
        <v/>
      </c>
      <c r="O108">
        <f>IF(MOD($A108,F$2)=0,OFFSET(O108,-F$2,0)+ F$3* $B108+F$4*OFFSET($B108,-F$2,0)+ F$5*OFFSET($B108,-2* F$2,0), O107)</f>
        <v/>
      </c>
      <c r="P108">
        <f>IF(MOD($A108,G$2)=0,OFFSET(P108,-G$2,0)+ G$3* $B108+G$4*OFFSET($B108,-G$2,0)+ G$5*OFFSET($B108,-2* G$2,0), P107)</f>
        <v/>
      </c>
      <c r="Q108">
        <f>IF(MOD($A108,H$2)=0,OFFSET(Q108,-H$2,0)+ H$3* $B108+H$4*OFFSET($B108,-H$2,0)+ H$5*OFFSET($B108,-2* H$2,0), Q107)</f>
        <v/>
      </c>
      <c r="R108">
        <f>IF(MOD($A108,I$2)=0,OFFSET(R108,-I$2,0)+ I$3* $B108+I$4*OFFSET($B108,-I$2,0)+ I$5*OFFSET($B108,-2* I$2,0), R107)</f>
        <v/>
      </c>
    </row>
    <row r="109">
      <c r="A109" t="n">
        <v>100</v>
      </c>
      <c r="B109" t="n">
        <v>1</v>
      </c>
      <c r="C109">
        <f>C108+D$3*$B109+D$4*$B108+D$5*$B107</f>
        <v/>
      </c>
      <c r="D109">
        <f>D104+E$3*$B109+E$4*$B104+E$5*$B99</f>
        <v/>
      </c>
      <c r="E109">
        <f>E99+F$3*$B109+F$4*$B99+F$5*$B89</f>
        <v/>
      </c>
      <c r="F109">
        <f>F108+G$3*$B109+G$4*$B108+G$5*$B107</f>
        <v/>
      </c>
      <c r="G109">
        <f>G104+H$3*$B109+H$4*$B104+H$5*$B99</f>
        <v/>
      </c>
      <c r="H109">
        <f>H99+I$3*$B109+I$4*$B99+I$5*$B89</f>
        <v/>
      </c>
      <c r="L109" t="n">
        <v>1</v>
      </c>
      <c r="M109">
        <f>IF(MOD($A109,D$2)=0,OFFSET(M109,-D$2,0)+ D$3* $B109+D$4*OFFSET($B109,-D$2,0)+ D$5*OFFSET($B109,-2* D$2,0), M108)</f>
        <v/>
      </c>
      <c r="N109">
        <f>IF(MOD($A109,E$2)=0,OFFSET(N109,-E$2,0)+ E$3* $B109+E$4*OFFSET($B109,-E$2,0)+ E$5*OFFSET($B109,-2* E$2,0), N108)</f>
        <v/>
      </c>
      <c r="O109">
        <f>IF(MOD($A109,F$2)=0,OFFSET(O109,-F$2,0)+ F$3* $B109+F$4*OFFSET($B109,-F$2,0)+ F$5*OFFSET($B109,-2* F$2,0), O108)</f>
        <v/>
      </c>
      <c r="P109">
        <f>IF(MOD($A109,G$2)=0,OFFSET(P109,-G$2,0)+ G$3* $B109+G$4*OFFSET($B109,-G$2,0)+ G$5*OFFSET($B109,-2* G$2,0), P108)</f>
        <v/>
      </c>
      <c r="Q109">
        <f>IF(MOD($A109,H$2)=0,OFFSET(Q109,-H$2,0)+ H$3* $B109+H$4*OFFSET($B109,-H$2,0)+ H$5*OFFSET($B109,-2* H$2,0), Q108)</f>
        <v/>
      </c>
      <c r="R109">
        <f>IF(MOD($A109,I$2)=0,OFFSET(R109,-I$2,0)+ I$3* $B109+I$4*OFFSET($B109,-I$2,0)+ I$5*OFFSET($B109,-2* I$2,0), R108)</f>
        <v/>
      </c>
    </row>
    <row r="110">
      <c r="A110" t="n">
        <v>101</v>
      </c>
      <c r="B110" t="n">
        <v>1</v>
      </c>
      <c r="C110">
        <f>C109+D$3*$B110+D$4*$B109+D$5*$B108</f>
        <v/>
      </c>
      <c r="D110">
        <f>D105+E$3*$B110+E$4*$B105+E$5*$B100</f>
        <v/>
      </c>
      <c r="E110">
        <f>E100+F$3*$B110+F$4*$B100+F$5*$B90</f>
        <v/>
      </c>
      <c r="F110">
        <f>F109+G$3*$B110+G$4*$B109+G$5*$B108</f>
        <v/>
      </c>
      <c r="G110">
        <f>G105+H$3*$B110+H$4*$B105+H$5*$B100</f>
        <v/>
      </c>
      <c r="H110">
        <f>H100+I$3*$B110+I$4*$B100+I$5*$B90</f>
        <v/>
      </c>
      <c r="L110" t="n">
        <v>1</v>
      </c>
      <c r="M110">
        <f>IF(MOD($A110,D$2)=0,OFFSET(M110,-D$2,0)+ D$3* $B110+D$4*OFFSET($B110,-D$2,0)+ D$5*OFFSET($B110,-2* D$2,0), M109)</f>
        <v/>
      </c>
      <c r="N110">
        <f>IF(MOD($A110,E$2)=0,OFFSET(N110,-E$2,0)+ E$3* $B110+E$4*OFFSET($B110,-E$2,0)+ E$5*OFFSET($B110,-2* E$2,0), N109)</f>
        <v/>
      </c>
      <c r="O110">
        <f>IF(MOD($A110,F$2)=0,OFFSET(O110,-F$2,0)+ F$3* $B110+F$4*OFFSET($B110,-F$2,0)+ F$5*OFFSET($B110,-2* F$2,0), O109)</f>
        <v/>
      </c>
      <c r="P110">
        <f>IF(MOD($A110,G$2)=0,OFFSET(P110,-G$2,0)+ G$3* $B110+G$4*OFFSET($B110,-G$2,0)+ G$5*OFFSET($B110,-2* G$2,0), P109)</f>
        <v/>
      </c>
      <c r="Q110">
        <f>IF(MOD($A110,H$2)=0,OFFSET(Q110,-H$2,0)+ H$3* $B110+H$4*OFFSET($B110,-H$2,0)+ H$5*OFFSET($B110,-2* H$2,0), Q109)</f>
        <v/>
      </c>
      <c r="R110">
        <f>IF(MOD($A110,I$2)=0,OFFSET(R110,-I$2,0)+ I$3* $B110+I$4*OFFSET($B110,-I$2,0)+ I$5*OFFSET($B110,-2* I$2,0), R109)</f>
        <v/>
      </c>
    </row>
    <row r="111">
      <c r="A111" t="n">
        <v>102</v>
      </c>
      <c r="B111" t="n">
        <v>1</v>
      </c>
      <c r="C111">
        <f>C110+D$3*$B111+D$4*$B110+D$5*$B109</f>
        <v/>
      </c>
      <c r="D111">
        <f>D106+E$3*$B111+E$4*$B106+E$5*$B101</f>
        <v/>
      </c>
      <c r="E111">
        <f>E101+F$3*$B111+F$4*$B101+F$5*$B91</f>
        <v/>
      </c>
      <c r="F111">
        <f>F110+G$3*$B111+G$4*$B110+G$5*$B109</f>
        <v/>
      </c>
      <c r="G111">
        <f>G106+H$3*$B111+H$4*$B106+H$5*$B101</f>
        <v/>
      </c>
      <c r="H111">
        <f>H101+I$3*$B111+I$4*$B101+I$5*$B91</f>
        <v/>
      </c>
      <c r="L111" t="n">
        <v>1</v>
      </c>
      <c r="M111">
        <f>IF(MOD($A111,D$2)=0,OFFSET(M111,-D$2,0)+ D$3* $B111+D$4*OFFSET($B111,-D$2,0)+ D$5*OFFSET($B111,-2* D$2,0), M110)</f>
        <v/>
      </c>
      <c r="N111">
        <f>IF(MOD($A111,E$2)=0,OFFSET(N111,-E$2,0)+ E$3* $B111+E$4*OFFSET($B111,-E$2,0)+ E$5*OFFSET($B111,-2* E$2,0), N110)</f>
        <v/>
      </c>
      <c r="O111">
        <f>IF(MOD($A111,F$2)=0,OFFSET(O111,-F$2,0)+ F$3* $B111+F$4*OFFSET($B111,-F$2,0)+ F$5*OFFSET($B111,-2* F$2,0), O110)</f>
        <v/>
      </c>
      <c r="P111">
        <f>IF(MOD($A111,G$2)=0,OFFSET(P111,-G$2,0)+ G$3* $B111+G$4*OFFSET($B111,-G$2,0)+ G$5*OFFSET($B111,-2* G$2,0), P110)</f>
        <v/>
      </c>
      <c r="Q111">
        <f>IF(MOD($A111,H$2)=0,OFFSET(Q111,-H$2,0)+ H$3* $B111+H$4*OFFSET($B111,-H$2,0)+ H$5*OFFSET($B111,-2* H$2,0), Q110)</f>
        <v/>
      </c>
      <c r="R111">
        <f>IF(MOD($A111,I$2)=0,OFFSET(R111,-I$2,0)+ I$3* $B111+I$4*OFFSET($B111,-I$2,0)+ I$5*OFFSET($B111,-2* I$2,0), R110)</f>
        <v/>
      </c>
    </row>
    <row r="112">
      <c r="A112" t="n">
        <v>103</v>
      </c>
      <c r="B112" t="n">
        <v>1</v>
      </c>
      <c r="C112">
        <f>C111+D$3*$B112+D$4*$B111+D$5*$B110</f>
        <v/>
      </c>
      <c r="D112">
        <f>D107+E$3*$B112+E$4*$B107+E$5*$B102</f>
        <v/>
      </c>
      <c r="E112">
        <f>E102+F$3*$B112+F$4*$B102+F$5*$B92</f>
        <v/>
      </c>
      <c r="F112">
        <f>F111+G$3*$B112+G$4*$B111+G$5*$B110</f>
        <v/>
      </c>
      <c r="G112">
        <f>G107+H$3*$B112+H$4*$B107+H$5*$B102</f>
        <v/>
      </c>
      <c r="H112">
        <f>H102+I$3*$B112+I$4*$B102+I$5*$B92</f>
        <v/>
      </c>
      <c r="L112" t="n">
        <v>1</v>
      </c>
      <c r="M112">
        <f>IF(MOD($A112,D$2)=0,OFFSET(M112,-D$2,0)+ D$3* $B112+D$4*OFFSET($B112,-D$2,0)+ D$5*OFFSET($B112,-2* D$2,0), M111)</f>
        <v/>
      </c>
      <c r="N112">
        <f>IF(MOD($A112,E$2)=0,OFFSET(N112,-E$2,0)+ E$3* $B112+E$4*OFFSET($B112,-E$2,0)+ E$5*OFFSET($B112,-2* E$2,0), N111)</f>
        <v/>
      </c>
      <c r="O112">
        <f>IF(MOD($A112,F$2)=0,OFFSET(O112,-F$2,0)+ F$3* $B112+F$4*OFFSET($B112,-F$2,0)+ F$5*OFFSET($B112,-2* F$2,0), O111)</f>
        <v/>
      </c>
      <c r="P112">
        <f>IF(MOD($A112,G$2)=0,OFFSET(P112,-G$2,0)+ G$3* $B112+G$4*OFFSET($B112,-G$2,0)+ G$5*OFFSET($B112,-2* G$2,0), P111)</f>
        <v/>
      </c>
      <c r="Q112">
        <f>IF(MOD($A112,H$2)=0,OFFSET(Q112,-H$2,0)+ H$3* $B112+H$4*OFFSET($B112,-H$2,0)+ H$5*OFFSET($B112,-2* H$2,0), Q111)</f>
        <v/>
      </c>
      <c r="R112">
        <f>IF(MOD($A112,I$2)=0,OFFSET(R112,-I$2,0)+ I$3* $B112+I$4*OFFSET($B112,-I$2,0)+ I$5*OFFSET($B112,-2* I$2,0), R111)</f>
        <v/>
      </c>
    </row>
    <row r="113">
      <c r="A113" t="n">
        <v>104</v>
      </c>
      <c r="B113" t="n">
        <v>1</v>
      </c>
      <c r="C113">
        <f>C112+D$3*$B113+D$4*$B112+D$5*$B111</f>
        <v/>
      </c>
      <c r="D113">
        <f>D108+E$3*$B113+E$4*$B108+E$5*$B103</f>
        <v/>
      </c>
      <c r="E113">
        <f>E103+F$3*$B113+F$4*$B103+F$5*$B93</f>
        <v/>
      </c>
      <c r="F113">
        <f>F112+G$3*$B113+G$4*$B112+G$5*$B111</f>
        <v/>
      </c>
      <c r="G113">
        <f>G108+H$3*$B113+H$4*$B108+H$5*$B103</f>
        <v/>
      </c>
      <c r="H113">
        <f>H103+I$3*$B113+I$4*$B103+I$5*$B93</f>
        <v/>
      </c>
      <c r="L113" t="n">
        <v>1</v>
      </c>
      <c r="M113">
        <f>IF(MOD($A113,D$2)=0,OFFSET(M113,-D$2,0)+ D$3* $B113+D$4*OFFSET($B113,-D$2,0)+ D$5*OFFSET($B113,-2* D$2,0), M112)</f>
        <v/>
      </c>
      <c r="N113">
        <f>IF(MOD($A113,E$2)=0,OFFSET(N113,-E$2,0)+ E$3* $B113+E$4*OFFSET($B113,-E$2,0)+ E$5*OFFSET($B113,-2* E$2,0), N112)</f>
        <v/>
      </c>
      <c r="O113">
        <f>IF(MOD($A113,F$2)=0,OFFSET(O113,-F$2,0)+ F$3* $B113+F$4*OFFSET($B113,-F$2,0)+ F$5*OFFSET($B113,-2* F$2,0), O112)</f>
        <v/>
      </c>
      <c r="P113">
        <f>IF(MOD($A113,G$2)=0,OFFSET(P113,-G$2,0)+ G$3* $B113+G$4*OFFSET($B113,-G$2,0)+ G$5*OFFSET($B113,-2* G$2,0), P112)</f>
        <v/>
      </c>
      <c r="Q113">
        <f>IF(MOD($A113,H$2)=0,OFFSET(Q113,-H$2,0)+ H$3* $B113+H$4*OFFSET($B113,-H$2,0)+ H$5*OFFSET($B113,-2* H$2,0), Q112)</f>
        <v/>
      </c>
      <c r="R113">
        <f>IF(MOD($A113,I$2)=0,OFFSET(R113,-I$2,0)+ I$3* $B113+I$4*OFFSET($B113,-I$2,0)+ I$5*OFFSET($B113,-2* I$2,0), R112)</f>
        <v/>
      </c>
    </row>
    <row r="114">
      <c r="A114" t="n">
        <v>105</v>
      </c>
      <c r="B114" t="n">
        <v>1</v>
      </c>
      <c r="C114">
        <f>C113+D$3*$B114+D$4*$B113+D$5*$B112</f>
        <v/>
      </c>
      <c r="D114">
        <f>D109+E$3*$B114+E$4*$B109+E$5*$B104</f>
        <v/>
      </c>
      <c r="E114">
        <f>E104+F$3*$B114+F$4*$B104+F$5*$B94</f>
        <v/>
      </c>
      <c r="F114">
        <f>F113+G$3*$B114+G$4*$B113+G$5*$B112</f>
        <v/>
      </c>
      <c r="G114">
        <f>G109+H$3*$B114+H$4*$B109+H$5*$B104</f>
        <v/>
      </c>
      <c r="H114">
        <f>H104+I$3*$B114+I$4*$B104+I$5*$B94</f>
        <v/>
      </c>
      <c r="L114" t="n">
        <v>1</v>
      </c>
      <c r="M114">
        <f>IF(MOD($A114,D$2)=0,OFFSET(M114,-D$2,0)+ D$3* $B114+D$4*OFFSET($B114,-D$2,0)+ D$5*OFFSET($B114,-2* D$2,0), M113)</f>
        <v/>
      </c>
      <c r="N114">
        <f>IF(MOD($A114,E$2)=0,OFFSET(N114,-E$2,0)+ E$3* $B114+E$4*OFFSET($B114,-E$2,0)+ E$5*OFFSET($B114,-2* E$2,0), N113)</f>
        <v/>
      </c>
      <c r="O114">
        <f>IF(MOD($A114,F$2)=0,OFFSET(O114,-F$2,0)+ F$3* $B114+F$4*OFFSET($B114,-F$2,0)+ F$5*OFFSET($B114,-2* F$2,0), O113)</f>
        <v/>
      </c>
      <c r="P114">
        <f>IF(MOD($A114,G$2)=0,OFFSET(P114,-G$2,0)+ G$3* $B114+G$4*OFFSET($B114,-G$2,0)+ G$5*OFFSET($B114,-2* G$2,0), P113)</f>
        <v/>
      </c>
      <c r="Q114">
        <f>IF(MOD($A114,H$2)=0,OFFSET(Q114,-H$2,0)+ H$3* $B114+H$4*OFFSET($B114,-H$2,0)+ H$5*OFFSET($B114,-2* H$2,0), Q113)</f>
        <v/>
      </c>
      <c r="R114">
        <f>IF(MOD($A114,I$2)=0,OFFSET(R114,-I$2,0)+ I$3* $B114+I$4*OFFSET($B114,-I$2,0)+ I$5*OFFSET($B114,-2* I$2,0), R113)</f>
        <v/>
      </c>
    </row>
    <row r="115">
      <c r="A115" t="n">
        <v>106</v>
      </c>
      <c r="B115" t="n">
        <v>1</v>
      </c>
      <c r="C115">
        <f>C114+D$3*$B115+D$4*$B114+D$5*$B113</f>
        <v/>
      </c>
      <c r="D115">
        <f>D110+E$3*$B115+E$4*$B110+E$5*$B105</f>
        <v/>
      </c>
      <c r="E115">
        <f>E105+F$3*$B115+F$4*$B105+F$5*$B95</f>
        <v/>
      </c>
      <c r="F115">
        <f>F114+G$3*$B115+G$4*$B114+G$5*$B113</f>
        <v/>
      </c>
      <c r="G115">
        <f>G110+H$3*$B115+H$4*$B110+H$5*$B105</f>
        <v/>
      </c>
      <c r="H115">
        <f>H105+I$3*$B115+I$4*$B105+I$5*$B95</f>
        <v/>
      </c>
      <c r="L115" t="n">
        <v>1</v>
      </c>
      <c r="M115">
        <f>IF(MOD($A115,D$2)=0,OFFSET(M115,-D$2,0)+ D$3* $B115+D$4*OFFSET($B115,-D$2,0)+ D$5*OFFSET($B115,-2* D$2,0), M114)</f>
        <v/>
      </c>
      <c r="N115">
        <f>IF(MOD($A115,E$2)=0,OFFSET(N115,-E$2,0)+ E$3* $B115+E$4*OFFSET($B115,-E$2,0)+ E$5*OFFSET($B115,-2* E$2,0), N114)</f>
        <v/>
      </c>
      <c r="O115">
        <f>IF(MOD($A115,F$2)=0,OFFSET(O115,-F$2,0)+ F$3* $B115+F$4*OFFSET($B115,-F$2,0)+ F$5*OFFSET($B115,-2* F$2,0), O114)</f>
        <v/>
      </c>
      <c r="P115">
        <f>IF(MOD($A115,G$2)=0,OFFSET(P115,-G$2,0)+ G$3* $B115+G$4*OFFSET($B115,-G$2,0)+ G$5*OFFSET($B115,-2* G$2,0), P114)</f>
        <v/>
      </c>
      <c r="Q115">
        <f>IF(MOD($A115,H$2)=0,OFFSET(Q115,-H$2,0)+ H$3* $B115+H$4*OFFSET($B115,-H$2,0)+ H$5*OFFSET($B115,-2* H$2,0), Q114)</f>
        <v/>
      </c>
      <c r="R115">
        <f>IF(MOD($A115,I$2)=0,OFFSET(R115,-I$2,0)+ I$3* $B115+I$4*OFFSET($B115,-I$2,0)+ I$5*OFFSET($B115,-2* I$2,0), R114)</f>
        <v/>
      </c>
    </row>
    <row r="116">
      <c r="A116" t="n">
        <v>107</v>
      </c>
      <c r="B116" t="n">
        <v>1</v>
      </c>
      <c r="C116">
        <f>C115+D$3*$B116+D$4*$B115+D$5*$B114</f>
        <v/>
      </c>
      <c r="D116">
        <f>D111+E$3*$B116+E$4*$B111+E$5*$B106</f>
        <v/>
      </c>
      <c r="E116">
        <f>E106+F$3*$B116+F$4*$B106+F$5*$B96</f>
        <v/>
      </c>
      <c r="F116">
        <f>F115+G$3*$B116+G$4*$B115+G$5*$B114</f>
        <v/>
      </c>
      <c r="G116">
        <f>G111+H$3*$B116+H$4*$B111+H$5*$B106</f>
        <v/>
      </c>
      <c r="H116">
        <f>H106+I$3*$B116+I$4*$B106+I$5*$B96</f>
        <v/>
      </c>
      <c r="L116" t="n">
        <v>1</v>
      </c>
      <c r="M116">
        <f>IF(MOD($A116,D$2)=0,OFFSET(M116,-D$2,0)+ D$3* $B116+D$4*OFFSET($B116,-D$2,0)+ D$5*OFFSET($B116,-2* D$2,0), M115)</f>
        <v/>
      </c>
      <c r="N116">
        <f>IF(MOD($A116,E$2)=0,OFFSET(N116,-E$2,0)+ E$3* $B116+E$4*OFFSET($B116,-E$2,0)+ E$5*OFFSET($B116,-2* E$2,0), N115)</f>
        <v/>
      </c>
      <c r="O116">
        <f>IF(MOD($A116,F$2)=0,OFFSET(O116,-F$2,0)+ F$3* $B116+F$4*OFFSET($B116,-F$2,0)+ F$5*OFFSET($B116,-2* F$2,0), O115)</f>
        <v/>
      </c>
      <c r="P116">
        <f>IF(MOD($A116,G$2)=0,OFFSET(P116,-G$2,0)+ G$3* $B116+G$4*OFFSET($B116,-G$2,0)+ G$5*OFFSET($B116,-2* G$2,0), P115)</f>
        <v/>
      </c>
      <c r="Q116">
        <f>IF(MOD($A116,H$2)=0,OFFSET(Q116,-H$2,0)+ H$3* $B116+H$4*OFFSET($B116,-H$2,0)+ H$5*OFFSET($B116,-2* H$2,0), Q115)</f>
        <v/>
      </c>
      <c r="R116">
        <f>IF(MOD($A116,I$2)=0,OFFSET(R116,-I$2,0)+ I$3* $B116+I$4*OFFSET($B116,-I$2,0)+ I$5*OFFSET($B116,-2* I$2,0), R115)</f>
        <v/>
      </c>
    </row>
    <row r="117">
      <c r="A117" t="n">
        <v>108</v>
      </c>
      <c r="B117" t="n">
        <v>1</v>
      </c>
      <c r="C117">
        <f>C116+D$3*$B117+D$4*$B116+D$5*$B115</f>
        <v/>
      </c>
      <c r="D117">
        <f>D112+E$3*$B117+E$4*$B112+E$5*$B107</f>
        <v/>
      </c>
      <c r="E117">
        <f>E107+F$3*$B117+F$4*$B107+F$5*$B97</f>
        <v/>
      </c>
      <c r="F117">
        <f>F116+G$3*$B117+G$4*$B116+G$5*$B115</f>
        <v/>
      </c>
      <c r="G117">
        <f>G112+H$3*$B117+H$4*$B112+H$5*$B107</f>
        <v/>
      </c>
      <c r="H117">
        <f>H107+I$3*$B117+I$4*$B107+I$5*$B97</f>
        <v/>
      </c>
      <c r="L117" t="n">
        <v>1</v>
      </c>
      <c r="M117">
        <f>IF(MOD($A117,D$2)=0,OFFSET(M117,-D$2,0)+ D$3* $B117+D$4*OFFSET($B117,-D$2,0)+ D$5*OFFSET($B117,-2* D$2,0), M116)</f>
        <v/>
      </c>
      <c r="N117">
        <f>IF(MOD($A117,E$2)=0,OFFSET(N117,-E$2,0)+ E$3* $B117+E$4*OFFSET($B117,-E$2,0)+ E$5*OFFSET($B117,-2* E$2,0), N116)</f>
        <v/>
      </c>
      <c r="O117">
        <f>IF(MOD($A117,F$2)=0,OFFSET(O117,-F$2,0)+ F$3* $B117+F$4*OFFSET($B117,-F$2,0)+ F$5*OFFSET($B117,-2* F$2,0), O116)</f>
        <v/>
      </c>
      <c r="P117">
        <f>IF(MOD($A117,G$2)=0,OFFSET(P117,-G$2,0)+ G$3* $B117+G$4*OFFSET($B117,-G$2,0)+ G$5*OFFSET($B117,-2* G$2,0), P116)</f>
        <v/>
      </c>
      <c r="Q117">
        <f>IF(MOD($A117,H$2)=0,OFFSET(Q117,-H$2,0)+ H$3* $B117+H$4*OFFSET($B117,-H$2,0)+ H$5*OFFSET($B117,-2* H$2,0), Q116)</f>
        <v/>
      </c>
      <c r="R117">
        <f>IF(MOD($A117,I$2)=0,OFFSET(R117,-I$2,0)+ I$3* $B117+I$4*OFFSET($B117,-I$2,0)+ I$5*OFFSET($B117,-2* I$2,0), R116)</f>
        <v/>
      </c>
    </row>
    <row r="118">
      <c r="A118" t="n">
        <v>109</v>
      </c>
      <c r="B118" t="n">
        <v>1</v>
      </c>
      <c r="C118">
        <f>C117+D$3*$B118+D$4*$B117+D$5*$B116</f>
        <v/>
      </c>
      <c r="D118">
        <f>D113+E$3*$B118+E$4*$B113+E$5*$B108</f>
        <v/>
      </c>
      <c r="E118">
        <f>E108+F$3*$B118+F$4*$B108+F$5*$B98</f>
        <v/>
      </c>
      <c r="F118">
        <f>F117+G$3*$B118+G$4*$B117+G$5*$B116</f>
        <v/>
      </c>
      <c r="G118">
        <f>G113+H$3*$B118+H$4*$B113+H$5*$B108</f>
        <v/>
      </c>
      <c r="H118">
        <f>H108+I$3*$B118+I$4*$B108+I$5*$B98</f>
        <v/>
      </c>
      <c r="L118" t="n">
        <v>1</v>
      </c>
      <c r="M118">
        <f>IF(MOD($A118,D$2)=0,OFFSET(M118,-D$2,0)+ D$3* $B118+D$4*OFFSET($B118,-D$2,0)+ D$5*OFFSET($B118,-2* D$2,0), M117)</f>
        <v/>
      </c>
      <c r="N118">
        <f>IF(MOD($A118,E$2)=0,OFFSET(N118,-E$2,0)+ E$3* $B118+E$4*OFFSET($B118,-E$2,0)+ E$5*OFFSET($B118,-2* E$2,0), N117)</f>
        <v/>
      </c>
      <c r="O118">
        <f>IF(MOD($A118,F$2)=0,OFFSET(O118,-F$2,0)+ F$3* $B118+F$4*OFFSET($B118,-F$2,0)+ F$5*OFFSET($B118,-2* F$2,0), O117)</f>
        <v/>
      </c>
      <c r="P118">
        <f>IF(MOD($A118,G$2)=0,OFFSET(P118,-G$2,0)+ G$3* $B118+G$4*OFFSET($B118,-G$2,0)+ G$5*OFFSET($B118,-2* G$2,0), P117)</f>
        <v/>
      </c>
      <c r="Q118">
        <f>IF(MOD($A118,H$2)=0,OFFSET(Q118,-H$2,0)+ H$3* $B118+H$4*OFFSET($B118,-H$2,0)+ H$5*OFFSET($B118,-2* H$2,0), Q117)</f>
        <v/>
      </c>
      <c r="R118">
        <f>IF(MOD($A118,I$2)=0,OFFSET(R118,-I$2,0)+ I$3* $B118+I$4*OFFSET($B118,-I$2,0)+ I$5*OFFSET($B118,-2* I$2,0), R117)</f>
        <v/>
      </c>
    </row>
    <row r="119">
      <c r="A119" t="n">
        <v>110</v>
      </c>
      <c r="B119" t="n">
        <v>1</v>
      </c>
      <c r="C119">
        <f>C118+D$3*$B119+D$4*$B118+D$5*$B117</f>
        <v/>
      </c>
      <c r="D119">
        <f>D114+E$3*$B119+E$4*$B114+E$5*$B109</f>
        <v/>
      </c>
      <c r="E119">
        <f>E109+F$3*$B119+F$4*$B109+F$5*$B99</f>
        <v/>
      </c>
      <c r="F119">
        <f>F118+G$3*$B119+G$4*$B118+G$5*$B117</f>
        <v/>
      </c>
      <c r="G119">
        <f>G114+H$3*$B119+H$4*$B114+H$5*$B109</f>
        <v/>
      </c>
      <c r="H119">
        <f>H109+I$3*$B119+I$4*$B109+I$5*$B99</f>
        <v/>
      </c>
      <c r="L119" t="n">
        <v>1</v>
      </c>
      <c r="M119">
        <f>IF(MOD($A119,D$2)=0,OFFSET(M119,-D$2,0)+ D$3* $B119+D$4*OFFSET($B119,-D$2,0)+ D$5*OFFSET($B119,-2* D$2,0), M118)</f>
        <v/>
      </c>
      <c r="N119">
        <f>IF(MOD($A119,E$2)=0,OFFSET(N119,-E$2,0)+ E$3* $B119+E$4*OFFSET($B119,-E$2,0)+ E$5*OFFSET($B119,-2* E$2,0), N118)</f>
        <v/>
      </c>
      <c r="O119">
        <f>IF(MOD($A119,F$2)=0,OFFSET(O119,-F$2,0)+ F$3* $B119+F$4*OFFSET($B119,-F$2,0)+ F$5*OFFSET($B119,-2* F$2,0), O118)</f>
        <v/>
      </c>
      <c r="P119">
        <f>IF(MOD($A119,G$2)=0,OFFSET(P119,-G$2,0)+ G$3* $B119+G$4*OFFSET($B119,-G$2,0)+ G$5*OFFSET($B119,-2* G$2,0), P118)</f>
        <v/>
      </c>
      <c r="Q119">
        <f>IF(MOD($A119,H$2)=0,OFFSET(Q119,-H$2,0)+ H$3* $B119+H$4*OFFSET($B119,-H$2,0)+ H$5*OFFSET($B119,-2* H$2,0), Q118)</f>
        <v/>
      </c>
      <c r="R119">
        <f>IF(MOD($A119,I$2)=0,OFFSET(R119,-I$2,0)+ I$3* $B119+I$4*OFFSET($B119,-I$2,0)+ I$5*OFFSET($B119,-2* I$2,0), R118)</f>
        <v/>
      </c>
    </row>
    <row r="120">
      <c r="A120" t="n">
        <v>111</v>
      </c>
      <c r="B120" t="n">
        <v>1</v>
      </c>
      <c r="C120">
        <f>C119+D$3*$B120+D$4*$B119+D$5*$B118</f>
        <v/>
      </c>
      <c r="D120">
        <f>D115+E$3*$B120+E$4*$B115+E$5*$B110</f>
        <v/>
      </c>
      <c r="E120">
        <f>E110+F$3*$B120+F$4*$B110+F$5*$B100</f>
        <v/>
      </c>
      <c r="F120">
        <f>F119+G$3*$B120+G$4*$B119+G$5*$B118</f>
        <v/>
      </c>
      <c r="G120">
        <f>G115+H$3*$B120+H$4*$B115+H$5*$B110</f>
        <v/>
      </c>
      <c r="H120">
        <f>H110+I$3*$B120+I$4*$B110+I$5*$B100</f>
        <v/>
      </c>
      <c r="L120" t="n">
        <v>1</v>
      </c>
      <c r="M120">
        <f>IF(MOD($A120,D$2)=0,OFFSET(M120,-D$2,0)+ D$3* $B120+D$4*OFFSET($B120,-D$2,0)+ D$5*OFFSET($B120,-2* D$2,0), M119)</f>
        <v/>
      </c>
      <c r="N120">
        <f>IF(MOD($A120,E$2)=0,OFFSET(N120,-E$2,0)+ E$3* $B120+E$4*OFFSET($B120,-E$2,0)+ E$5*OFFSET($B120,-2* E$2,0), N119)</f>
        <v/>
      </c>
      <c r="O120">
        <f>IF(MOD($A120,F$2)=0,OFFSET(O120,-F$2,0)+ F$3* $B120+F$4*OFFSET($B120,-F$2,0)+ F$5*OFFSET($B120,-2* F$2,0), O119)</f>
        <v/>
      </c>
      <c r="P120">
        <f>IF(MOD($A120,G$2)=0,OFFSET(P120,-G$2,0)+ G$3* $B120+G$4*OFFSET($B120,-G$2,0)+ G$5*OFFSET($B120,-2* G$2,0), P119)</f>
        <v/>
      </c>
      <c r="Q120">
        <f>IF(MOD($A120,H$2)=0,OFFSET(Q120,-H$2,0)+ H$3* $B120+H$4*OFFSET($B120,-H$2,0)+ H$5*OFFSET($B120,-2* H$2,0), Q119)</f>
        <v/>
      </c>
      <c r="R120">
        <f>IF(MOD($A120,I$2)=0,OFFSET(R120,-I$2,0)+ I$3* $B120+I$4*OFFSET($B120,-I$2,0)+ I$5*OFFSET($B120,-2* I$2,0), R119)</f>
        <v/>
      </c>
    </row>
    <row r="121">
      <c r="A121" t="n">
        <v>112</v>
      </c>
      <c r="B121" t="n">
        <v>1</v>
      </c>
      <c r="C121">
        <f>C120+D$3*$B121+D$4*$B120+D$5*$B119</f>
        <v/>
      </c>
      <c r="D121">
        <f>D116+E$3*$B121+E$4*$B116+E$5*$B111</f>
        <v/>
      </c>
      <c r="E121">
        <f>E111+F$3*$B121+F$4*$B111+F$5*$B101</f>
        <v/>
      </c>
      <c r="F121">
        <f>F120+G$3*$B121+G$4*$B120+G$5*$B119</f>
        <v/>
      </c>
      <c r="G121">
        <f>G116+H$3*$B121+H$4*$B116+H$5*$B111</f>
        <v/>
      </c>
      <c r="H121">
        <f>H111+I$3*$B121+I$4*$B111+I$5*$B101</f>
        <v/>
      </c>
      <c r="L121" t="n">
        <v>1</v>
      </c>
      <c r="M121">
        <f>IF(MOD($A121,D$2)=0,OFFSET(M121,-D$2,0)+ D$3* $B121+D$4*OFFSET($B121,-D$2,0)+ D$5*OFFSET($B121,-2* D$2,0), M120)</f>
        <v/>
      </c>
      <c r="N121">
        <f>IF(MOD($A121,E$2)=0,OFFSET(N121,-E$2,0)+ E$3* $B121+E$4*OFFSET($B121,-E$2,0)+ E$5*OFFSET($B121,-2* E$2,0), N120)</f>
        <v/>
      </c>
      <c r="O121">
        <f>IF(MOD($A121,F$2)=0,OFFSET(O121,-F$2,0)+ F$3* $B121+F$4*OFFSET($B121,-F$2,0)+ F$5*OFFSET($B121,-2* F$2,0), O120)</f>
        <v/>
      </c>
      <c r="P121">
        <f>IF(MOD($A121,G$2)=0,OFFSET(P121,-G$2,0)+ G$3* $B121+G$4*OFFSET($B121,-G$2,0)+ G$5*OFFSET($B121,-2* G$2,0), P120)</f>
        <v/>
      </c>
      <c r="Q121">
        <f>IF(MOD($A121,H$2)=0,OFFSET(Q121,-H$2,0)+ H$3* $B121+H$4*OFFSET($B121,-H$2,0)+ H$5*OFFSET($B121,-2* H$2,0), Q120)</f>
        <v/>
      </c>
      <c r="R121">
        <f>IF(MOD($A121,I$2)=0,OFFSET(R121,-I$2,0)+ I$3* $B121+I$4*OFFSET($B121,-I$2,0)+ I$5*OFFSET($B121,-2* I$2,0), R120)</f>
        <v/>
      </c>
    </row>
    <row r="122">
      <c r="A122" t="n">
        <v>113</v>
      </c>
      <c r="B122" t="n">
        <v>1</v>
      </c>
      <c r="C122">
        <f>C121+D$3*$B122+D$4*$B121+D$5*$B120</f>
        <v/>
      </c>
      <c r="D122">
        <f>D117+E$3*$B122+E$4*$B117+E$5*$B112</f>
        <v/>
      </c>
      <c r="E122">
        <f>E112+F$3*$B122+F$4*$B112+F$5*$B102</f>
        <v/>
      </c>
      <c r="F122">
        <f>F121+G$3*$B122+G$4*$B121+G$5*$B120</f>
        <v/>
      </c>
      <c r="G122">
        <f>G117+H$3*$B122+H$4*$B117+H$5*$B112</f>
        <v/>
      </c>
      <c r="H122">
        <f>H112+I$3*$B122+I$4*$B112+I$5*$B102</f>
        <v/>
      </c>
      <c r="L122" t="n">
        <v>1</v>
      </c>
      <c r="M122">
        <f>IF(MOD($A122,D$2)=0,OFFSET(M122,-D$2,0)+ D$3* $B122+D$4*OFFSET($B122,-D$2,0)+ D$5*OFFSET($B122,-2* D$2,0), M121)</f>
        <v/>
      </c>
      <c r="N122">
        <f>IF(MOD($A122,E$2)=0,OFFSET(N122,-E$2,0)+ E$3* $B122+E$4*OFFSET($B122,-E$2,0)+ E$5*OFFSET($B122,-2* E$2,0), N121)</f>
        <v/>
      </c>
      <c r="O122">
        <f>IF(MOD($A122,F$2)=0,OFFSET(O122,-F$2,0)+ F$3* $B122+F$4*OFFSET($B122,-F$2,0)+ F$5*OFFSET($B122,-2* F$2,0), O121)</f>
        <v/>
      </c>
      <c r="P122">
        <f>IF(MOD($A122,G$2)=0,OFFSET(P122,-G$2,0)+ G$3* $B122+G$4*OFFSET($B122,-G$2,0)+ G$5*OFFSET($B122,-2* G$2,0), P121)</f>
        <v/>
      </c>
      <c r="Q122">
        <f>IF(MOD($A122,H$2)=0,OFFSET(Q122,-H$2,0)+ H$3* $B122+H$4*OFFSET($B122,-H$2,0)+ H$5*OFFSET($B122,-2* H$2,0), Q121)</f>
        <v/>
      </c>
      <c r="R122">
        <f>IF(MOD($A122,I$2)=0,OFFSET(R122,-I$2,0)+ I$3* $B122+I$4*OFFSET($B122,-I$2,0)+ I$5*OFFSET($B122,-2* I$2,0), R121)</f>
        <v/>
      </c>
    </row>
    <row r="123">
      <c r="A123" t="n">
        <v>114</v>
      </c>
      <c r="B123" t="n">
        <v>1</v>
      </c>
      <c r="C123">
        <f>C122+D$3*$B123+D$4*$B122+D$5*$B121</f>
        <v/>
      </c>
      <c r="D123">
        <f>D118+E$3*$B123+E$4*$B118+E$5*$B113</f>
        <v/>
      </c>
      <c r="E123">
        <f>E113+F$3*$B123+F$4*$B113+F$5*$B103</f>
        <v/>
      </c>
      <c r="F123">
        <f>F122+G$3*$B123+G$4*$B122+G$5*$B121</f>
        <v/>
      </c>
      <c r="G123">
        <f>G118+H$3*$B123+H$4*$B118+H$5*$B113</f>
        <v/>
      </c>
      <c r="H123">
        <f>H113+I$3*$B123+I$4*$B113+I$5*$B103</f>
        <v/>
      </c>
      <c r="L123" t="n">
        <v>1</v>
      </c>
      <c r="M123">
        <f>IF(MOD($A123,D$2)=0,OFFSET(M123,-D$2,0)+ D$3* $B123+D$4*OFFSET($B123,-D$2,0)+ D$5*OFFSET($B123,-2* D$2,0), M122)</f>
        <v/>
      </c>
      <c r="N123">
        <f>IF(MOD($A123,E$2)=0,OFFSET(N123,-E$2,0)+ E$3* $B123+E$4*OFFSET($B123,-E$2,0)+ E$5*OFFSET($B123,-2* E$2,0), N122)</f>
        <v/>
      </c>
      <c r="O123">
        <f>IF(MOD($A123,F$2)=0,OFFSET(O123,-F$2,0)+ F$3* $B123+F$4*OFFSET($B123,-F$2,0)+ F$5*OFFSET($B123,-2* F$2,0), O122)</f>
        <v/>
      </c>
      <c r="P123">
        <f>IF(MOD($A123,G$2)=0,OFFSET(P123,-G$2,0)+ G$3* $B123+G$4*OFFSET($B123,-G$2,0)+ G$5*OFFSET($B123,-2* G$2,0), P122)</f>
        <v/>
      </c>
      <c r="Q123">
        <f>IF(MOD($A123,H$2)=0,OFFSET(Q123,-H$2,0)+ H$3* $B123+H$4*OFFSET($B123,-H$2,0)+ H$5*OFFSET($B123,-2* H$2,0), Q122)</f>
        <v/>
      </c>
      <c r="R123">
        <f>IF(MOD($A123,I$2)=0,OFFSET(R123,-I$2,0)+ I$3* $B123+I$4*OFFSET($B123,-I$2,0)+ I$5*OFFSET($B123,-2* I$2,0), R122)</f>
        <v/>
      </c>
    </row>
    <row r="124">
      <c r="A124" t="n">
        <v>115</v>
      </c>
      <c r="B124" t="n">
        <v>1</v>
      </c>
      <c r="C124">
        <f>C123+D$3*$B124+D$4*$B123+D$5*$B122</f>
        <v/>
      </c>
      <c r="D124">
        <f>D119+E$3*$B124+E$4*$B119+E$5*$B114</f>
        <v/>
      </c>
      <c r="E124">
        <f>E114+F$3*$B124+F$4*$B114+F$5*$B104</f>
        <v/>
      </c>
      <c r="F124">
        <f>F123+G$3*$B124+G$4*$B123+G$5*$B122</f>
        <v/>
      </c>
      <c r="G124">
        <f>G119+H$3*$B124+H$4*$B119+H$5*$B114</f>
        <v/>
      </c>
      <c r="H124">
        <f>H114+I$3*$B124+I$4*$B114+I$5*$B104</f>
        <v/>
      </c>
      <c r="L124" t="n">
        <v>1</v>
      </c>
      <c r="M124">
        <f>IF(MOD($A124,D$2)=0,OFFSET(M124,-D$2,0)+ D$3* $B124+D$4*OFFSET($B124,-D$2,0)+ D$5*OFFSET($B124,-2* D$2,0), M123)</f>
        <v/>
      </c>
      <c r="N124">
        <f>IF(MOD($A124,E$2)=0,OFFSET(N124,-E$2,0)+ E$3* $B124+E$4*OFFSET($B124,-E$2,0)+ E$5*OFFSET($B124,-2* E$2,0), N123)</f>
        <v/>
      </c>
      <c r="O124">
        <f>IF(MOD($A124,F$2)=0,OFFSET(O124,-F$2,0)+ F$3* $B124+F$4*OFFSET($B124,-F$2,0)+ F$5*OFFSET($B124,-2* F$2,0), O123)</f>
        <v/>
      </c>
      <c r="P124">
        <f>IF(MOD($A124,G$2)=0,OFFSET(P124,-G$2,0)+ G$3* $B124+G$4*OFFSET($B124,-G$2,0)+ G$5*OFFSET($B124,-2* G$2,0), P123)</f>
        <v/>
      </c>
      <c r="Q124">
        <f>IF(MOD($A124,H$2)=0,OFFSET(Q124,-H$2,0)+ H$3* $B124+H$4*OFFSET($B124,-H$2,0)+ H$5*OFFSET($B124,-2* H$2,0), Q123)</f>
        <v/>
      </c>
      <c r="R124">
        <f>IF(MOD($A124,I$2)=0,OFFSET(R124,-I$2,0)+ I$3* $B124+I$4*OFFSET($B124,-I$2,0)+ I$5*OFFSET($B124,-2* I$2,0), R123)</f>
        <v/>
      </c>
    </row>
    <row r="125">
      <c r="A125" t="n">
        <v>116</v>
      </c>
      <c r="B125" t="n">
        <v>1</v>
      </c>
      <c r="C125">
        <f>C124+D$3*$B125+D$4*$B124+D$5*$B123</f>
        <v/>
      </c>
      <c r="D125">
        <f>D120+E$3*$B125+E$4*$B120+E$5*$B115</f>
        <v/>
      </c>
      <c r="E125">
        <f>E115+F$3*$B125+F$4*$B115+F$5*$B105</f>
        <v/>
      </c>
      <c r="F125">
        <f>F124+G$3*$B125+G$4*$B124+G$5*$B123</f>
        <v/>
      </c>
      <c r="G125">
        <f>G120+H$3*$B125+H$4*$B120+H$5*$B115</f>
        <v/>
      </c>
      <c r="H125">
        <f>H115+I$3*$B125+I$4*$B115+I$5*$B105</f>
        <v/>
      </c>
      <c r="L125" t="n">
        <v>1</v>
      </c>
      <c r="M125">
        <f>IF(MOD($A125,D$2)=0,OFFSET(M125,-D$2,0)+ D$3* $B125+D$4*OFFSET($B125,-D$2,0)+ D$5*OFFSET($B125,-2* D$2,0), M124)</f>
        <v/>
      </c>
      <c r="N125">
        <f>IF(MOD($A125,E$2)=0,OFFSET(N125,-E$2,0)+ E$3* $B125+E$4*OFFSET($B125,-E$2,0)+ E$5*OFFSET($B125,-2* E$2,0), N124)</f>
        <v/>
      </c>
      <c r="O125">
        <f>IF(MOD($A125,F$2)=0,OFFSET(O125,-F$2,0)+ F$3* $B125+F$4*OFFSET($B125,-F$2,0)+ F$5*OFFSET($B125,-2* F$2,0), O124)</f>
        <v/>
      </c>
      <c r="P125">
        <f>IF(MOD($A125,G$2)=0,OFFSET(P125,-G$2,0)+ G$3* $B125+G$4*OFFSET($B125,-G$2,0)+ G$5*OFFSET($B125,-2* G$2,0), P124)</f>
        <v/>
      </c>
      <c r="Q125">
        <f>IF(MOD($A125,H$2)=0,OFFSET(Q125,-H$2,0)+ H$3* $B125+H$4*OFFSET($B125,-H$2,0)+ H$5*OFFSET($B125,-2* H$2,0), Q124)</f>
        <v/>
      </c>
      <c r="R125">
        <f>IF(MOD($A125,I$2)=0,OFFSET(R125,-I$2,0)+ I$3* $B125+I$4*OFFSET($B125,-I$2,0)+ I$5*OFFSET($B125,-2* I$2,0), R124)</f>
        <v/>
      </c>
    </row>
    <row r="126">
      <c r="A126" t="n">
        <v>117</v>
      </c>
      <c r="B126" t="n">
        <v>1</v>
      </c>
      <c r="C126">
        <f>C125+D$3*$B126+D$4*$B125+D$5*$B124</f>
        <v/>
      </c>
      <c r="D126">
        <f>D121+E$3*$B126+E$4*$B121+E$5*$B116</f>
        <v/>
      </c>
      <c r="E126">
        <f>E116+F$3*$B126+F$4*$B116+F$5*$B106</f>
        <v/>
      </c>
      <c r="F126">
        <f>F125+G$3*$B126+G$4*$B125+G$5*$B124</f>
        <v/>
      </c>
      <c r="G126">
        <f>G121+H$3*$B126+H$4*$B121+H$5*$B116</f>
        <v/>
      </c>
      <c r="H126">
        <f>H116+I$3*$B126+I$4*$B116+I$5*$B106</f>
        <v/>
      </c>
      <c r="L126" t="n">
        <v>1</v>
      </c>
      <c r="M126">
        <f>IF(MOD($A126,D$2)=0,OFFSET(M126,-D$2,0)+ D$3* $B126+D$4*OFFSET($B126,-D$2,0)+ D$5*OFFSET($B126,-2* D$2,0), M125)</f>
        <v/>
      </c>
      <c r="N126">
        <f>IF(MOD($A126,E$2)=0,OFFSET(N126,-E$2,0)+ E$3* $B126+E$4*OFFSET($B126,-E$2,0)+ E$5*OFFSET($B126,-2* E$2,0), N125)</f>
        <v/>
      </c>
      <c r="O126">
        <f>IF(MOD($A126,F$2)=0,OFFSET(O126,-F$2,0)+ F$3* $B126+F$4*OFFSET($B126,-F$2,0)+ F$5*OFFSET($B126,-2* F$2,0), O125)</f>
        <v/>
      </c>
      <c r="P126">
        <f>IF(MOD($A126,G$2)=0,OFFSET(P126,-G$2,0)+ G$3* $B126+G$4*OFFSET($B126,-G$2,0)+ G$5*OFFSET($B126,-2* G$2,0), P125)</f>
        <v/>
      </c>
      <c r="Q126">
        <f>IF(MOD($A126,H$2)=0,OFFSET(Q126,-H$2,0)+ H$3* $B126+H$4*OFFSET($B126,-H$2,0)+ H$5*OFFSET($B126,-2* H$2,0), Q125)</f>
        <v/>
      </c>
      <c r="R126">
        <f>IF(MOD($A126,I$2)=0,OFFSET(R126,-I$2,0)+ I$3* $B126+I$4*OFFSET($B126,-I$2,0)+ I$5*OFFSET($B126,-2* I$2,0), R125)</f>
        <v/>
      </c>
    </row>
    <row r="127">
      <c r="A127" t="n">
        <v>118</v>
      </c>
      <c r="B127" t="n">
        <v>1</v>
      </c>
      <c r="C127">
        <f>C126+D$3*$B127+D$4*$B126+D$5*$B125</f>
        <v/>
      </c>
      <c r="D127">
        <f>D122+E$3*$B127+E$4*$B122+E$5*$B117</f>
        <v/>
      </c>
      <c r="E127">
        <f>E117+F$3*$B127+F$4*$B117+F$5*$B107</f>
        <v/>
      </c>
      <c r="F127">
        <f>F126+G$3*$B127+G$4*$B126+G$5*$B125</f>
        <v/>
      </c>
      <c r="G127">
        <f>G122+H$3*$B127+H$4*$B122+H$5*$B117</f>
        <v/>
      </c>
      <c r="H127">
        <f>H117+I$3*$B127+I$4*$B117+I$5*$B107</f>
        <v/>
      </c>
      <c r="L127" t="n">
        <v>1</v>
      </c>
      <c r="M127">
        <f>IF(MOD($A127,D$2)=0,OFFSET(M127,-D$2,0)+ D$3* $B127+D$4*OFFSET($B127,-D$2,0)+ D$5*OFFSET($B127,-2* D$2,0), M126)</f>
        <v/>
      </c>
      <c r="N127">
        <f>IF(MOD($A127,E$2)=0,OFFSET(N127,-E$2,0)+ E$3* $B127+E$4*OFFSET($B127,-E$2,0)+ E$5*OFFSET($B127,-2* E$2,0), N126)</f>
        <v/>
      </c>
      <c r="O127">
        <f>IF(MOD($A127,F$2)=0,OFFSET(O127,-F$2,0)+ F$3* $B127+F$4*OFFSET($B127,-F$2,0)+ F$5*OFFSET($B127,-2* F$2,0), O126)</f>
        <v/>
      </c>
      <c r="P127">
        <f>IF(MOD($A127,G$2)=0,OFFSET(P127,-G$2,0)+ G$3* $B127+G$4*OFFSET($B127,-G$2,0)+ G$5*OFFSET($B127,-2* G$2,0), P126)</f>
        <v/>
      </c>
      <c r="Q127">
        <f>IF(MOD($A127,H$2)=0,OFFSET(Q127,-H$2,0)+ H$3* $B127+H$4*OFFSET($B127,-H$2,0)+ H$5*OFFSET($B127,-2* H$2,0), Q126)</f>
        <v/>
      </c>
      <c r="R127">
        <f>IF(MOD($A127,I$2)=0,OFFSET(R127,-I$2,0)+ I$3* $B127+I$4*OFFSET($B127,-I$2,0)+ I$5*OFFSET($B127,-2* I$2,0), R126)</f>
        <v/>
      </c>
    </row>
    <row r="128">
      <c r="A128" t="n">
        <v>119</v>
      </c>
      <c r="B128" t="n">
        <v>1</v>
      </c>
      <c r="C128">
        <f>C127+D$3*$B128+D$4*$B127+D$5*$B126</f>
        <v/>
      </c>
      <c r="D128">
        <f>D123+E$3*$B128+E$4*$B123+E$5*$B118</f>
        <v/>
      </c>
      <c r="E128">
        <f>E118+F$3*$B128+F$4*$B118+F$5*$B108</f>
        <v/>
      </c>
      <c r="F128">
        <f>F127+G$3*$B128+G$4*$B127+G$5*$B126</f>
        <v/>
      </c>
      <c r="G128">
        <f>G123+H$3*$B128+H$4*$B123+H$5*$B118</f>
        <v/>
      </c>
      <c r="H128">
        <f>H118+I$3*$B128+I$4*$B118+I$5*$B108</f>
        <v/>
      </c>
      <c r="L128" t="n">
        <v>1</v>
      </c>
      <c r="M128">
        <f>IF(MOD($A128,D$2)=0,OFFSET(M128,-D$2,0)+ D$3* $B128+D$4*OFFSET($B128,-D$2,0)+ D$5*OFFSET($B128,-2* D$2,0), M127)</f>
        <v/>
      </c>
      <c r="N128">
        <f>IF(MOD($A128,E$2)=0,OFFSET(N128,-E$2,0)+ E$3* $B128+E$4*OFFSET($B128,-E$2,0)+ E$5*OFFSET($B128,-2* E$2,0), N127)</f>
        <v/>
      </c>
      <c r="O128">
        <f>IF(MOD($A128,F$2)=0,OFFSET(O128,-F$2,0)+ F$3* $B128+F$4*OFFSET($B128,-F$2,0)+ F$5*OFFSET($B128,-2* F$2,0), O127)</f>
        <v/>
      </c>
      <c r="P128">
        <f>IF(MOD($A128,G$2)=0,OFFSET(P128,-G$2,0)+ G$3* $B128+G$4*OFFSET($B128,-G$2,0)+ G$5*OFFSET($B128,-2* G$2,0), P127)</f>
        <v/>
      </c>
      <c r="Q128">
        <f>IF(MOD($A128,H$2)=0,OFFSET(Q128,-H$2,0)+ H$3* $B128+H$4*OFFSET($B128,-H$2,0)+ H$5*OFFSET($B128,-2* H$2,0), Q127)</f>
        <v/>
      </c>
      <c r="R128">
        <f>IF(MOD($A128,I$2)=0,OFFSET(R128,-I$2,0)+ I$3* $B128+I$4*OFFSET($B128,-I$2,0)+ I$5*OFFSET($B128,-2* I$2,0), R127)</f>
        <v/>
      </c>
    </row>
    <row r="129">
      <c r="A129" t="n">
        <v>120</v>
      </c>
      <c r="B129" t="n">
        <v>1</v>
      </c>
      <c r="C129">
        <f>C128+D$3*$B129+D$4*$B128+D$5*$B127</f>
        <v/>
      </c>
      <c r="D129">
        <f>D124+E$3*$B129+E$4*$B124+E$5*$B119</f>
        <v/>
      </c>
      <c r="E129">
        <f>E119+F$3*$B129+F$4*$B119+F$5*$B109</f>
        <v/>
      </c>
      <c r="F129">
        <f>F128+G$3*$B129+G$4*$B128+G$5*$B127</f>
        <v/>
      </c>
      <c r="G129">
        <f>G124+H$3*$B129+H$4*$B124+H$5*$B119</f>
        <v/>
      </c>
      <c r="H129">
        <f>H119+I$3*$B129+I$4*$B119+I$5*$B109</f>
        <v/>
      </c>
      <c r="L129" t="n">
        <v>1</v>
      </c>
      <c r="M129">
        <f>IF(MOD($A129,D$2)=0,OFFSET(M129,-D$2,0)+ D$3* $B129+D$4*OFFSET($B129,-D$2,0)+ D$5*OFFSET($B129,-2* D$2,0), M128)</f>
        <v/>
      </c>
      <c r="N129">
        <f>IF(MOD($A129,E$2)=0,OFFSET(N129,-E$2,0)+ E$3* $B129+E$4*OFFSET($B129,-E$2,0)+ E$5*OFFSET($B129,-2* E$2,0), N128)</f>
        <v/>
      </c>
      <c r="O129">
        <f>IF(MOD($A129,F$2)=0,OFFSET(O129,-F$2,0)+ F$3* $B129+F$4*OFFSET($B129,-F$2,0)+ F$5*OFFSET($B129,-2* F$2,0), O128)</f>
        <v/>
      </c>
      <c r="P129">
        <f>IF(MOD($A129,G$2)=0,OFFSET(P129,-G$2,0)+ G$3* $B129+G$4*OFFSET($B129,-G$2,0)+ G$5*OFFSET($B129,-2* G$2,0), P128)</f>
        <v/>
      </c>
      <c r="Q129">
        <f>IF(MOD($A129,H$2)=0,OFFSET(Q129,-H$2,0)+ H$3* $B129+H$4*OFFSET($B129,-H$2,0)+ H$5*OFFSET($B129,-2* H$2,0), Q128)</f>
        <v/>
      </c>
      <c r="R129">
        <f>IF(MOD($A129,I$2)=0,OFFSET(R129,-I$2,0)+ I$3* $B129+I$4*OFFSET($B129,-I$2,0)+ I$5*OFFSET($B129,-2* I$2,0), R128)</f>
        <v/>
      </c>
    </row>
    <row r="130">
      <c r="A130" t="n">
        <v>121</v>
      </c>
      <c r="B130" t="n">
        <v>1</v>
      </c>
      <c r="C130">
        <f>C129+D$3*$B130+D$4*$B129+D$5*$B128</f>
        <v/>
      </c>
      <c r="D130">
        <f>D125+E$3*$B130+E$4*$B125+E$5*$B120</f>
        <v/>
      </c>
      <c r="E130">
        <f>E120+F$3*$B130+F$4*$B120+F$5*$B110</f>
        <v/>
      </c>
      <c r="F130">
        <f>F129+G$3*$B130+G$4*$B129+G$5*$B128</f>
        <v/>
      </c>
      <c r="G130">
        <f>G125+H$3*$B130+H$4*$B125+H$5*$B120</f>
        <v/>
      </c>
      <c r="H130">
        <f>H120+I$3*$B130+I$4*$B120+I$5*$B110</f>
        <v/>
      </c>
      <c r="L130" t="n">
        <v>1</v>
      </c>
      <c r="M130">
        <f>IF(MOD($A130,D$2)=0,OFFSET(M130,-D$2,0)+ D$3* $B130+D$4*OFFSET($B130,-D$2,0)+ D$5*OFFSET($B130,-2* D$2,0), M129)</f>
        <v/>
      </c>
      <c r="N130">
        <f>IF(MOD($A130,E$2)=0,OFFSET(N130,-E$2,0)+ E$3* $B130+E$4*OFFSET($B130,-E$2,0)+ E$5*OFFSET($B130,-2* E$2,0), N129)</f>
        <v/>
      </c>
      <c r="O130">
        <f>IF(MOD($A130,F$2)=0,OFFSET(O130,-F$2,0)+ F$3* $B130+F$4*OFFSET($B130,-F$2,0)+ F$5*OFFSET($B130,-2* F$2,0), O129)</f>
        <v/>
      </c>
      <c r="P130">
        <f>IF(MOD($A130,G$2)=0,OFFSET(P130,-G$2,0)+ G$3* $B130+G$4*OFFSET($B130,-G$2,0)+ G$5*OFFSET($B130,-2* G$2,0), P129)</f>
        <v/>
      </c>
      <c r="Q130">
        <f>IF(MOD($A130,H$2)=0,OFFSET(Q130,-H$2,0)+ H$3* $B130+H$4*OFFSET($B130,-H$2,0)+ H$5*OFFSET($B130,-2* H$2,0), Q129)</f>
        <v/>
      </c>
      <c r="R130">
        <f>IF(MOD($A130,I$2)=0,OFFSET(R130,-I$2,0)+ I$3* $B130+I$4*OFFSET($B130,-I$2,0)+ I$5*OFFSET($B130,-2* I$2,0), R129)</f>
        <v/>
      </c>
    </row>
    <row r="131">
      <c r="A131" t="n">
        <v>122</v>
      </c>
      <c r="B131" t="n">
        <v>1</v>
      </c>
      <c r="C131">
        <f>C130+D$3*$B131+D$4*$B130+D$5*$B129</f>
        <v/>
      </c>
      <c r="D131">
        <f>D126+E$3*$B131+E$4*$B126+E$5*$B121</f>
        <v/>
      </c>
      <c r="E131">
        <f>E121+F$3*$B131+F$4*$B121+F$5*$B111</f>
        <v/>
      </c>
      <c r="F131">
        <f>F130+G$3*$B131+G$4*$B130+G$5*$B129</f>
        <v/>
      </c>
      <c r="G131">
        <f>G126+H$3*$B131+H$4*$B126+H$5*$B121</f>
        <v/>
      </c>
      <c r="H131">
        <f>H121+I$3*$B131+I$4*$B121+I$5*$B111</f>
        <v/>
      </c>
      <c r="L131" t="n">
        <v>1</v>
      </c>
      <c r="M131">
        <f>IF(MOD($A131,D$2)=0,OFFSET(M131,-D$2,0)+ D$3* $B131+D$4*OFFSET($B131,-D$2,0)+ D$5*OFFSET($B131,-2* D$2,0), M130)</f>
        <v/>
      </c>
      <c r="N131">
        <f>IF(MOD($A131,E$2)=0,OFFSET(N131,-E$2,0)+ E$3* $B131+E$4*OFFSET($B131,-E$2,0)+ E$5*OFFSET($B131,-2* E$2,0), N130)</f>
        <v/>
      </c>
      <c r="O131">
        <f>IF(MOD($A131,F$2)=0,OFFSET(O131,-F$2,0)+ F$3* $B131+F$4*OFFSET($B131,-F$2,0)+ F$5*OFFSET($B131,-2* F$2,0), O130)</f>
        <v/>
      </c>
      <c r="P131">
        <f>IF(MOD($A131,G$2)=0,OFFSET(P131,-G$2,0)+ G$3* $B131+G$4*OFFSET($B131,-G$2,0)+ G$5*OFFSET($B131,-2* G$2,0), P130)</f>
        <v/>
      </c>
      <c r="Q131">
        <f>IF(MOD($A131,H$2)=0,OFFSET(Q131,-H$2,0)+ H$3* $B131+H$4*OFFSET($B131,-H$2,0)+ H$5*OFFSET($B131,-2* H$2,0), Q130)</f>
        <v/>
      </c>
      <c r="R131">
        <f>IF(MOD($A131,I$2)=0,OFFSET(R131,-I$2,0)+ I$3* $B131+I$4*OFFSET($B131,-I$2,0)+ I$5*OFFSET($B131,-2* I$2,0), R130)</f>
        <v/>
      </c>
    </row>
    <row r="132">
      <c r="A132" t="n">
        <v>123</v>
      </c>
      <c r="B132" t="n">
        <v>1</v>
      </c>
      <c r="C132">
        <f>C131+D$3*$B132+D$4*$B131+D$5*$B130</f>
        <v/>
      </c>
      <c r="D132">
        <f>D127+E$3*$B132+E$4*$B127+E$5*$B122</f>
        <v/>
      </c>
      <c r="E132">
        <f>E122+F$3*$B132+F$4*$B122+F$5*$B112</f>
        <v/>
      </c>
      <c r="F132">
        <f>F131+G$3*$B132+G$4*$B131+G$5*$B130</f>
        <v/>
      </c>
      <c r="G132">
        <f>G127+H$3*$B132+H$4*$B127+H$5*$B122</f>
        <v/>
      </c>
      <c r="H132">
        <f>H122+I$3*$B132+I$4*$B122+I$5*$B112</f>
        <v/>
      </c>
      <c r="L132" t="n">
        <v>1</v>
      </c>
      <c r="M132">
        <f>IF(MOD($A132,D$2)=0,OFFSET(M132,-D$2,0)+ D$3* $B132+D$4*OFFSET($B132,-D$2,0)+ D$5*OFFSET($B132,-2* D$2,0), M131)</f>
        <v/>
      </c>
      <c r="N132">
        <f>IF(MOD($A132,E$2)=0,OFFSET(N132,-E$2,0)+ E$3* $B132+E$4*OFFSET($B132,-E$2,0)+ E$5*OFFSET($B132,-2* E$2,0), N131)</f>
        <v/>
      </c>
      <c r="O132">
        <f>IF(MOD($A132,F$2)=0,OFFSET(O132,-F$2,0)+ F$3* $B132+F$4*OFFSET($B132,-F$2,0)+ F$5*OFFSET($B132,-2* F$2,0), O131)</f>
        <v/>
      </c>
      <c r="P132">
        <f>IF(MOD($A132,G$2)=0,OFFSET(P132,-G$2,0)+ G$3* $B132+G$4*OFFSET($B132,-G$2,0)+ G$5*OFFSET($B132,-2* G$2,0), P131)</f>
        <v/>
      </c>
      <c r="Q132">
        <f>IF(MOD($A132,H$2)=0,OFFSET(Q132,-H$2,0)+ H$3* $B132+H$4*OFFSET($B132,-H$2,0)+ H$5*OFFSET($B132,-2* H$2,0), Q131)</f>
        <v/>
      </c>
      <c r="R132">
        <f>IF(MOD($A132,I$2)=0,OFFSET(R132,-I$2,0)+ I$3* $B132+I$4*OFFSET($B132,-I$2,0)+ I$5*OFFSET($B132,-2* I$2,0), R131)</f>
        <v/>
      </c>
    </row>
    <row r="133">
      <c r="A133" t="n">
        <v>124</v>
      </c>
      <c r="B133" t="n">
        <v>1</v>
      </c>
      <c r="C133">
        <f>C132+D$3*$B133+D$4*$B132+D$5*$B131</f>
        <v/>
      </c>
      <c r="D133">
        <f>D128+E$3*$B133+E$4*$B128+E$5*$B123</f>
        <v/>
      </c>
      <c r="E133">
        <f>E123+F$3*$B133+F$4*$B123+F$5*$B113</f>
        <v/>
      </c>
      <c r="F133">
        <f>F132+G$3*$B133+G$4*$B132+G$5*$B131</f>
        <v/>
      </c>
      <c r="G133">
        <f>G128+H$3*$B133+H$4*$B128+H$5*$B123</f>
        <v/>
      </c>
      <c r="H133">
        <f>H123+I$3*$B133+I$4*$B123+I$5*$B113</f>
        <v/>
      </c>
      <c r="L133" t="n">
        <v>1</v>
      </c>
      <c r="M133">
        <f>IF(MOD($A133,D$2)=0,OFFSET(M133,-D$2,0)+ D$3* $B133+D$4*OFFSET($B133,-D$2,0)+ D$5*OFFSET($B133,-2* D$2,0), M132)</f>
        <v/>
      </c>
      <c r="N133">
        <f>IF(MOD($A133,E$2)=0,OFFSET(N133,-E$2,0)+ E$3* $B133+E$4*OFFSET($B133,-E$2,0)+ E$5*OFFSET($B133,-2* E$2,0), N132)</f>
        <v/>
      </c>
      <c r="O133">
        <f>IF(MOD($A133,F$2)=0,OFFSET(O133,-F$2,0)+ F$3* $B133+F$4*OFFSET($B133,-F$2,0)+ F$5*OFFSET($B133,-2* F$2,0), O132)</f>
        <v/>
      </c>
      <c r="P133">
        <f>IF(MOD($A133,G$2)=0,OFFSET(P133,-G$2,0)+ G$3* $B133+G$4*OFFSET($B133,-G$2,0)+ G$5*OFFSET($B133,-2* G$2,0), P132)</f>
        <v/>
      </c>
      <c r="Q133">
        <f>IF(MOD($A133,H$2)=0,OFFSET(Q133,-H$2,0)+ H$3* $B133+H$4*OFFSET($B133,-H$2,0)+ H$5*OFFSET($B133,-2* H$2,0), Q132)</f>
        <v/>
      </c>
      <c r="R133">
        <f>IF(MOD($A133,I$2)=0,OFFSET(R133,-I$2,0)+ I$3* $B133+I$4*OFFSET($B133,-I$2,0)+ I$5*OFFSET($B133,-2* I$2,0), R132)</f>
        <v/>
      </c>
    </row>
    <row r="134">
      <c r="A134" t="n">
        <v>125</v>
      </c>
      <c r="B134" t="n">
        <v>1</v>
      </c>
      <c r="C134">
        <f>C133+D$3*$B134+D$4*$B133+D$5*$B132</f>
        <v/>
      </c>
      <c r="D134">
        <f>D129+E$3*$B134+E$4*$B129+E$5*$B124</f>
        <v/>
      </c>
      <c r="E134">
        <f>E124+F$3*$B134+F$4*$B124+F$5*$B114</f>
        <v/>
      </c>
      <c r="F134">
        <f>F133+G$3*$B134+G$4*$B133+G$5*$B132</f>
        <v/>
      </c>
      <c r="G134">
        <f>G129+H$3*$B134+H$4*$B129+H$5*$B124</f>
        <v/>
      </c>
      <c r="H134">
        <f>H124+I$3*$B134+I$4*$B124+I$5*$B114</f>
        <v/>
      </c>
      <c r="L134" t="n">
        <v>1</v>
      </c>
      <c r="M134">
        <f>IF(MOD($A134,D$2)=0,OFFSET(M134,-D$2,0)+ D$3* $B134+D$4*OFFSET($B134,-D$2,0)+ D$5*OFFSET($B134,-2* D$2,0), M133)</f>
        <v/>
      </c>
      <c r="N134">
        <f>IF(MOD($A134,E$2)=0,OFFSET(N134,-E$2,0)+ E$3* $B134+E$4*OFFSET($B134,-E$2,0)+ E$5*OFFSET($B134,-2* E$2,0), N133)</f>
        <v/>
      </c>
      <c r="O134">
        <f>IF(MOD($A134,F$2)=0,OFFSET(O134,-F$2,0)+ F$3* $B134+F$4*OFFSET($B134,-F$2,0)+ F$5*OFFSET($B134,-2* F$2,0), O133)</f>
        <v/>
      </c>
      <c r="P134">
        <f>IF(MOD($A134,G$2)=0,OFFSET(P134,-G$2,0)+ G$3* $B134+G$4*OFFSET($B134,-G$2,0)+ G$5*OFFSET($B134,-2* G$2,0), P133)</f>
        <v/>
      </c>
      <c r="Q134">
        <f>IF(MOD($A134,H$2)=0,OFFSET(Q134,-H$2,0)+ H$3* $B134+H$4*OFFSET($B134,-H$2,0)+ H$5*OFFSET($B134,-2* H$2,0), Q133)</f>
        <v/>
      </c>
      <c r="R134">
        <f>IF(MOD($A134,I$2)=0,OFFSET(R134,-I$2,0)+ I$3* $B134+I$4*OFFSET($B134,-I$2,0)+ I$5*OFFSET($B134,-2* I$2,0), R133)</f>
        <v/>
      </c>
    </row>
    <row r="135">
      <c r="A135" t="n">
        <v>126</v>
      </c>
      <c r="B135" t="n">
        <v>1</v>
      </c>
      <c r="C135">
        <f>C134+D$3*$B135+D$4*$B134+D$5*$B133</f>
        <v/>
      </c>
      <c r="D135">
        <f>D130+E$3*$B135+E$4*$B130+E$5*$B125</f>
        <v/>
      </c>
      <c r="E135">
        <f>E125+F$3*$B135+F$4*$B125+F$5*$B115</f>
        <v/>
      </c>
      <c r="F135">
        <f>F134+G$3*$B135+G$4*$B134+G$5*$B133</f>
        <v/>
      </c>
      <c r="G135">
        <f>G130+H$3*$B135+H$4*$B130+H$5*$B125</f>
        <v/>
      </c>
      <c r="H135">
        <f>H125+I$3*$B135+I$4*$B125+I$5*$B115</f>
        <v/>
      </c>
      <c r="L135" t="n">
        <v>1</v>
      </c>
      <c r="M135">
        <f>IF(MOD($A135,D$2)=0,OFFSET(M135,-D$2,0)+ D$3* $B135+D$4*OFFSET($B135,-D$2,0)+ D$5*OFFSET($B135,-2* D$2,0), M134)</f>
        <v/>
      </c>
      <c r="N135">
        <f>IF(MOD($A135,E$2)=0,OFFSET(N135,-E$2,0)+ E$3* $B135+E$4*OFFSET($B135,-E$2,0)+ E$5*OFFSET($B135,-2* E$2,0), N134)</f>
        <v/>
      </c>
      <c r="O135">
        <f>IF(MOD($A135,F$2)=0,OFFSET(O135,-F$2,0)+ F$3* $B135+F$4*OFFSET($B135,-F$2,0)+ F$5*OFFSET($B135,-2* F$2,0), O134)</f>
        <v/>
      </c>
      <c r="P135">
        <f>IF(MOD($A135,G$2)=0,OFFSET(P135,-G$2,0)+ G$3* $B135+G$4*OFFSET($B135,-G$2,0)+ G$5*OFFSET($B135,-2* G$2,0), P134)</f>
        <v/>
      </c>
      <c r="Q135">
        <f>IF(MOD($A135,H$2)=0,OFFSET(Q135,-H$2,0)+ H$3* $B135+H$4*OFFSET($B135,-H$2,0)+ H$5*OFFSET($B135,-2* H$2,0), Q134)</f>
        <v/>
      </c>
      <c r="R135">
        <f>IF(MOD($A135,I$2)=0,OFFSET(R135,-I$2,0)+ I$3* $B135+I$4*OFFSET($B135,-I$2,0)+ I$5*OFFSET($B135,-2* I$2,0), R134)</f>
        <v/>
      </c>
    </row>
    <row r="136">
      <c r="A136" t="n">
        <v>127</v>
      </c>
      <c r="B136" t="n">
        <v>1</v>
      </c>
      <c r="C136">
        <f>C135+D$3*$B136+D$4*$B135+D$5*$B134</f>
        <v/>
      </c>
      <c r="D136">
        <f>D131+E$3*$B136+E$4*$B131+E$5*$B126</f>
        <v/>
      </c>
      <c r="E136">
        <f>E126+F$3*$B136+F$4*$B126+F$5*$B116</f>
        <v/>
      </c>
      <c r="F136">
        <f>F135+G$3*$B136+G$4*$B135+G$5*$B134</f>
        <v/>
      </c>
      <c r="G136">
        <f>G131+H$3*$B136+H$4*$B131+H$5*$B126</f>
        <v/>
      </c>
      <c r="H136">
        <f>H126+I$3*$B136+I$4*$B126+I$5*$B116</f>
        <v/>
      </c>
      <c r="L136" t="n">
        <v>1</v>
      </c>
      <c r="M136">
        <f>IF(MOD($A136,D$2)=0,OFFSET(M136,-D$2,0)+ D$3* $B136+D$4*OFFSET($B136,-D$2,0)+ D$5*OFFSET($B136,-2* D$2,0), M135)</f>
        <v/>
      </c>
      <c r="N136">
        <f>IF(MOD($A136,E$2)=0,OFFSET(N136,-E$2,0)+ E$3* $B136+E$4*OFFSET($B136,-E$2,0)+ E$5*OFFSET($B136,-2* E$2,0), N135)</f>
        <v/>
      </c>
      <c r="O136">
        <f>IF(MOD($A136,F$2)=0,OFFSET(O136,-F$2,0)+ F$3* $B136+F$4*OFFSET($B136,-F$2,0)+ F$5*OFFSET($B136,-2* F$2,0), O135)</f>
        <v/>
      </c>
      <c r="P136">
        <f>IF(MOD($A136,G$2)=0,OFFSET(P136,-G$2,0)+ G$3* $B136+G$4*OFFSET($B136,-G$2,0)+ G$5*OFFSET($B136,-2* G$2,0), P135)</f>
        <v/>
      </c>
      <c r="Q136">
        <f>IF(MOD($A136,H$2)=0,OFFSET(Q136,-H$2,0)+ H$3* $B136+H$4*OFFSET($B136,-H$2,0)+ H$5*OFFSET($B136,-2* H$2,0), Q135)</f>
        <v/>
      </c>
      <c r="R136">
        <f>IF(MOD($A136,I$2)=0,OFFSET(R136,-I$2,0)+ I$3* $B136+I$4*OFFSET($B136,-I$2,0)+ I$5*OFFSET($B136,-2* I$2,0), R135)</f>
        <v/>
      </c>
    </row>
    <row r="137">
      <c r="A137" t="n">
        <v>128</v>
      </c>
      <c r="B137" t="n">
        <v>1</v>
      </c>
      <c r="C137">
        <f>C136+D$3*$B137+D$4*$B136+D$5*$B135</f>
        <v/>
      </c>
      <c r="D137">
        <f>D132+E$3*$B137+E$4*$B132+E$5*$B127</f>
        <v/>
      </c>
      <c r="E137">
        <f>E127+F$3*$B137+F$4*$B127+F$5*$B117</f>
        <v/>
      </c>
      <c r="F137">
        <f>F136+G$3*$B137+G$4*$B136+G$5*$B135</f>
        <v/>
      </c>
      <c r="G137">
        <f>G132+H$3*$B137+H$4*$B132+H$5*$B127</f>
        <v/>
      </c>
      <c r="H137">
        <f>H127+I$3*$B137+I$4*$B127+I$5*$B117</f>
        <v/>
      </c>
      <c r="L137" t="n">
        <v>1</v>
      </c>
      <c r="M137">
        <f>IF(MOD($A137,D$2)=0,OFFSET(M137,-D$2,0)+ D$3* $B137+D$4*OFFSET($B137,-D$2,0)+ D$5*OFFSET($B137,-2* D$2,0), M136)</f>
        <v/>
      </c>
      <c r="N137">
        <f>IF(MOD($A137,E$2)=0,OFFSET(N137,-E$2,0)+ E$3* $B137+E$4*OFFSET($B137,-E$2,0)+ E$5*OFFSET($B137,-2* E$2,0), N136)</f>
        <v/>
      </c>
      <c r="O137">
        <f>IF(MOD($A137,F$2)=0,OFFSET(O137,-F$2,0)+ F$3* $B137+F$4*OFFSET($B137,-F$2,0)+ F$5*OFFSET($B137,-2* F$2,0), O136)</f>
        <v/>
      </c>
      <c r="P137">
        <f>IF(MOD($A137,G$2)=0,OFFSET(P137,-G$2,0)+ G$3* $B137+G$4*OFFSET($B137,-G$2,0)+ G$5*OFFSET($B137,-2* G$2,0), P136)</f>
        <v/>
      </c>
      <c r="Q137">
        <f>IF(MOD($A137,H$2)=0,OFFSET(Q137,-H$2,0)+ H$3* $B137+H$4*OFFSET($B137,-H$2,0)+ H$5*OFFSET($B137,-2* H$2,0), Q136)</f>
        <v/>
      </c>
      <c r="R137">
        <f>IF(MOD($A137,I$2)=0,OFFSET(R137,-I$2,0)+ I$3* $B137+I$4*OFFSET($B137,-I$2,0)+ I$5*OFFSET($B137,-2* I$2,0), R136)</f>
        <v/>
      </c>
    </row>
    <row r="138">
      <c r="A138" t="n">
        <v>129</v>
      </c>
      <c r="B138" t="n">
        <v>1</v>
      </c>
      <c r="C138">
        <f>C137+D$3*$B138+D$4*$B137+D$5*$B136</f>
        <v/>
      </c>
      <c r="D138">
        <f>D133+E$3*$B138+E$4*$B133+E$5*$B128</f>
        <v/>
      </c>
      <c r="E138">
        <f>E128+F$3*$B138+F$4*$B128+F$5*$B118</f>
        <v/>
      </c>
      <c r="F138">
        <f>F137+G$3*$B138+G$4*$B137+G$5*$B136</f>
        <v/>
      </c>
      <c r="G138">
        <f>G133+H$3*$B138+H$4*$B133+H$5*$B128</f>
        <v/>
      </c>
      <c r="H138">
        <f>H128+I$3*$B138+I$4*$B128+I$5*$B118</f>
        <v/>
      </c>
      <c r="L138" t="n">
        <v>1</v>
      </c>
      <c r="M138">
        <f>IF(MOD($A138,D$2)=0,OFFSET(M138,-D$2,0)+ D$3* $B138+D$4*OFFSET($B138,-D$2,0)+ D$5*OFFSET($B138,-2* D$2,0), M137)</f>
        <v/>
      </c>
      <c r="N138">
        <f>IF(MOD($A138,E$2)=0,OFFSET(N138,-E$2,0)+ E$3* $B138+E$4*OFFSET($B138,-E$2,0)+ E$5*OFFSET($B138,-2* E$2,0), N137)</f>
        <v/>
      </c>
      <c r="O138">
        <f>IF(MOD($A138,F$2)=0,OFFSET(O138,-F$2,0)+ F$3* $B138+F$4*OFFSET($B138,-F$2,0)+ F$5*OFFSET($B138,-2* F$2,0), O137)</f>
        <v/>
      </c>
      <c r="P138">
        <f>IF(MOD($A138,G$2)=0,OFFSET(P138,-G$2,0)+ G$3* $B138+G$4*OFFSET($B138,-G$2,0)+ G$5*OFFSET($B138,-2* G$2,0), P137)</f>
        <v/>
      </c>
      <c r="Q138">
        <f>IF(MOD($A138,H$2)=0,OFFSET(Q138,-H$2,0)+ H$3* $B138+H$4*OFFSET($B138,-H$2,0)+ H$5*OFFSET($B138,-2* H$2,0), Q137)</f>
        <v/>
      </c>
      <c r="R138">
        <f>IF(MOD($A138,I$2)=0,OFFSET(R138,-I$2,0)+ I$3* $B138+I$4*OFFSET($B138,-I$2,0)+ I$5*OFFSET($B138,-2* I$2,0), R137)</f>
        <v/>
      </c>
    </row>
    <row r="139">
      <c r="A139" t="n">
        <v>130</v>
      </c>
      <c r="B139" t="n">
        <v>1</v>
      </c>
      <c r="C139">
        <f>C138+D$3*$B139+D$4*$B138+D$5*$B137</f>
        <v/>
      </c>
      <c r="D139">
        <f>D134+E$3*$B139+E$4*$B134+E$5*$B129</f>
        <v/>
      </c>
      <c r="E139">
        <f>E129+F$3*$B139+F$4*$B129+F$5*$B119</f>
        <v/>
      </c>
      <c r="F139">
        <f>F138+G$3*$B139+G$4*$B138+G$5*$B137</f>
        <v/>
      </c>
      <c r="G139">
        <f>G134+H$3*$B139+H$4*$B134+H$5*$B129</f>
        <v/>
      </c>
      <c r="H139">
        <f>H129+I$3*$B139+I$4*$B129+I$5*$B119</f>
        <v/>
      </c>
      <c r="L139" t="n">
        <v>1</v>
      </c>
      <c r="M139">
        <f>IF(MOD($A139,D$2)=0,OFFSET(M139,-D$2,0)+ D$3* $B139+D$4*OFFSET($B139,-D$2,0)+ D$5*OFFSET($B139,-2* D$2,0), M138)</f>
        <v/>
      </c>
      <c r="N139">
        <f>IF(MOD($A139,E$2)=0,OFFSET(N139,-E$2,0)+ E$3* $B139+E$4*OFFSET($B139,-E$2,0)+ E$5*OFFSET($B139,-2* E$2,0), N138)</f>
        <v/>
      </c>
      <c r="O139">
        <f>IF(MOD($A139,F$2)=0,OFFSET(O139,-F$2,0)+ F$3* $B139+F$4*OFFSET($B139,-F$2,0)+ F$5*OFFSET($B139,-2* F$2,0), O138)</f>
        <v/>
      </c>
      <c r="P139">
        <f>IF(MOD($A139,G$2)=0,OFFSET(P139,-G$2,0)+ G$3* $B139+G$4*OFFSET($B139,-G$2,0)+ G$5*OFFSET($B139,-2* G$2,0), P138)</f>
        <v/>
      </c>
      <c r="Q139">
        <f>IF(MOD($A139,H$2)=0,OFFSET(Q139,-H$2,0)+ H$3* $B139+H$4*OFFSET($B139,-H$2,0)+ H$5*OFFSET($B139,-2* H$2,0), Q138)</f>
        <v/>
      </c>
      <c r="R139">
        <f>IF(MOD($A139,I$2)=0,OFFSET(R139,-I$2,0)+ I$3* $B139+I$4*OFFSET($B139,-I$2,0)+ I$5*OFFSET($B139,-2* I$2,0), R138)</f>
        <v/>
      </c>
    </row>
    <row r="140">
      <c r="A140" t="n">
        <v>131</v>
      </c>
      <c r="B140" t="n">
        <v>1</v>
      </c>
      <c r="C140">
        <f>C139+D$3*$B140+D$4*$B139+D$5*$B138</f>
        <v/>
      </c>
      <c r="D140">
        <f>D135+E$3*$B140+E$4*$B135+E$5*$B130</f>
        <v/>
      </c>
      <c r="E140">
        <f>E130+F$3*$B140+F$4*$B130+F$5*$B120</f>
        <v/>
      </c>
      <c r="F140">
        <f>F139+G$3*$B140+G$4*$B139+G$5*$B138</f>
        <v/>
      </c>
      <c r="G140">
        <f>G135+H$3*$B140+H$4*$B135+H$5*$B130</f>
        <v/>
      </c>
      <c r="H140">
        <f>H130+I$3*$B140+I$4*$B130+I$5*$B120</f>
        <v/>
      </c>
      <c r="L140" t="n">
        <v>1</v>
      </c>
      <c r="M140">
        <f>IF(MOD($A140,D$2)=0,OFFSET(M140,-D$2,0)+ D$3* $B140+D$4*OFFSET($B140,-D$2,0)+ D$5*OFFSET($B140,-2* D$2,0), M139)</f>
        <v/>
      </c>
      <c r="N140">
        <f>IF(MOD($A140,E$2)=0,OFFSET(N140,-E$2,0)+ E$3* $B140+E$4*OFFSET($B140,-E$2,0)+ E$5*OFFSET($B140,-2* E$2,0), N139)</f>
        <v/>
      </c>
      <c r="O140">
        <f>IF(MOD($A140,F$2)=0,OFFSET(O140,-F$2,0)+ F$3* $B140+F$4*OFFSET($B140,-F$2,0)+ F$5*OFFSET($B140,-2* F$2,0), O139)</f>
        <v/>
      </c>
      <c r="P140">
        <f>IF(MOD($A140,G$2)=0,OFFSET(P140,-G$2,0)+ G$3* $B140+G$4*OFFSET($B140,-G$2,0)+ G$5*OFFSET($B140,-2* G$2,0), P139)</f>
        <v/>
      </c>
      <c r="Q140">
        <f>IF(MOD($A140,H$2)=0,OFFSET(Q140,-H$2,0)+ H$3* $B140+H$4*OFFSET($B140,-H$2,0)+ H$5*OFFSET($B140,-2* H$2,0), Q139)</f>
        <v/>
      </c>
      <c r="R140">
        <f>IF(MOD($A140,I$2)=0,OFFSET(R140,-I$2,0)+ I$3* $B140+I$4*OFFSET($B140,-I$2,0)+ I$5*OFFSET($B140,-2* I$2,0), R139)</f>
        <v/>
      </c>
    </row>
    <row r="141">
      <c r="A141" t="n">
        <v>132</v>
      </c>
      <c r="B141" t="n">
        <v>1</v>
      </c>
      <c r="C141">
        <f>C140+D$3*$B141+D$4*$B140+D$5*$B139</f>
        <v/>
      </c>
      <c r="D141">
        <f>D136+E$3*$B141+E$4*$B136+E$5*$B131</f>
        <v/>
      </c>
      <c r="E141">
        <f>E131+F$3*$B141+F$4*$B131+F$5*$B121</f>
        <v/>
      </c>
      <c r="F141">
        <f>F140+G$3*$B141+G$4*$B140+G$5*$B139</f>
        <v/>
      </c>
      <c r="G141">
        <f>G136+H$3*$B141+H$4*$B136+H$5*$B131</f>
        <v/>
      </c>
      <c r="H141">
        <f>H131+I$3*$B141+I$4*$B131+I$5*$B121</f>
        <v/>
      </c>
      <c r="L141" t="n">
        <v>1</v>
      </c>
      <c r="M141">
        <f>IF(MOD($A141,D$2)=0,OFFSET(M141,-D$2,0)+ D$3* $B141+D$4*OFFSET($B141,-D$2,0)+ D$5*OFFSET($B141,-2* D$2,0), M140)</f>
        <v/>
      </c>
      <c r="N141">
        <f>IF(MOD($A141,E$2)=0,OFFSET(N141,-E$2,0)+ E$3* $B141+E$4*OFFSET($B141,-E$2,0)+ E$5*OFFSET($B141,-2* E$2,0), N140)</f>
        <v/>
      </c>
      <c r="O141">
        <f>IF(MOD($A141,F$2)=0,OFFSET(O141,-F$2,0)+ F$3* $B141+F$4*OFFSET($B141,-F$2,0)+ F$5*OFFSET($B141,-2* F$2,0), O140)</f>
        <v/>
      </c>
      <c r="P141">
        <f>IF(MOD($A141,G$2)=0,OFFSET(P141,-G$2,0)+ G$3* $B141+G$4*OFFSET($B141,-G$2,0)+ G$5*OFFSET($B141,-2* G$2,0), P140)</f>
        <v/>
      </c>
      <c r="Q141">
        <f>IF(MOD($A141,H$2)=0,OFFSET(Q141,-H$2,0)+ H$3* $B141+H$4*OFFSET($B141,-H$2,0)+ H$5*OFFSET($B141,-2* H$2,0), Q140)</f>
        <v/>
      </c>
      <c r="R141">
        <f>IF(MOD($A141,I$2)=0,OFFSET(R141,-I$2,0)+ I$3* $B141+I$4*OFFSET($B141,-I$2,0)+ I$5*OFFSET($B141,-2* I$2,0), R140)</f>
        <v/>
      </c>
    </row>
    <row r="142">
      <c r="A142" t="n">
        <v>133</v>
      </c>
      <c r="B142" t="n">
        <v>1</v>
      </c>
      <c r="C142">
        <f>C141+D$3*$B142+D$4*$B141+D$5*$B140</f>
        <v/>
      </c>
      <c r="D142">
        <f>D137+E$3*$B142+E$4*$B137+E$5*$B132</f>
        <v/>
      </c>
      <c r="E142">
        <f>E132+F$3*$B142+F$4*$B132+F$5*$B122</f>
        <v/>
      </c>
      <c r="F142">
        <f>F141+G$3*$B142+G$4*$B141+G$5*$B140</f>
        <v/>
      </c>
      <c r="G142">
        <f>G137+H$3*$B142+H$4*$B137+H$5*$B132</f>
        <v/>
      </c>
      <c r="H142">
        <f>H132+I$3*$B142+I$4*$B132+I$5*$B122</f>
        <v/>
      </c>
      <c r="L142" t="n">
        <v>1</v>
      </c>
      <c r="M142">
        <f>IF(MOD($A142,D$2)=0,OFFSET(M142,-D$2,0)+ D$3* $B142+D$4*OFFSET($B142,-D$2,0)+ D$5*OFFSET($B142,-2* D$2,0), M141)</f>
        <v/>
      </c>
      <c r="N142">
        <f>IF(MOD($A142,E$2)=0,OFFSET(N142,-E$2,0)+ E$3* $B142+E$4*OFFSET($B142,-E$2,0)+ E$5*OFFSET($B142,-2* E$2,0), N141)</f>
        <v/>
      </c>
      <c r="O142">
        <f>IF(MOD($A142,F$2)=0,OFFSET(O142,-F$2,0)+ F$3* $B142+F$4*OFFSET($B142,-F$2,0)+ F$5*OFFSET($B142,-2* F$2,0), O141)</f>
        <v/>
      </c>
      <c r="P142">
        <f>IF(MOD($A142,G$2)=0,OFFSET(P142,-G$2,0)+ G$3* $B142+G$4*OFFSET($B142,-G$2,0)+ G$5*OFFSET($B142,-2* G$2,0), P141)</f>
        <v/>
      </c>
      <c r="Q142">
        <f>IF(MOD($A142,H$2)=0,OFFSET(Q142,-H$2,0)+ H$3* $B142+H$4*OFFSET($B142,-H$2,0)+ H$5*OFFSET($B142,-2* H$2,0), Q141)</f>
        <v/>
      </c>
      <c r="R142">
        <f>IF(MOD($A142,I$2)=0,OFFSET(R142,-I$2,0)+ I$3* $B142+I$4*OFFSET($B142,-I$2,0)+ I$5*OFFSET($B142,-2* I$2,0), R141)</f>
        <v/>
      </c>
    </row>
    <row r="143">
      <c r="A143" t="n">
        <v>134</v>
      </c>
      <c r="B143" t="n">
        <v>1</v>
      </c>
      <c r="C143">
        <f>C142+D$3*$B143+D$4*$B142+D$5*$B141</f>
        <v/>
      </c>
      <c r="D143">
        <f>D138+E$3*$B143+E$4*$B138+E$5*$B133</f>
        <v/>
      </c>
      <c r="E143">
        <f>E133+F$3*$B143+F$4*$B133+F$5*$B123</f>
        <v/>
      </c>
      <c r="F143">
        <f>F142+G$3*$B143+G$4*$B142+G$5*$B141</f>
        <v/>
      </c>
      <c r="G143">
        <f>G138+H$3*$B143+H$4*$B138+H$5*$B133</f>
        <v/>
      </c>
      <c r="H143">
        <f>H133+I$3*$B143+I$4*$B133+I$5*$B123</f>
        <v/>
      </c>
      <c r="L143" t="n">
        <v>1</v>
      </c>
      <c r="M143">
        <f>IF(MOD($A143,D$2)=0,OFFSET(M143,-D$2,0)+ D$3* $B143+D$4*OFFSET($B143,-D$2,0)+ D$5*OFFSET($B143,-2* D$2,0), M142)</f>
        <v/>
      </c>
      <c r="N143">
        <f>IF(MOD($A143,E$2)=0,OFFSET(N143,-E$2,0)+ E$3* $B143+E$4*OFFSET($B143,-E$2,0)+ E$5*OFFSET($B143,-2* E$2,0), N142)</f>
        <v/>
      </c>
      <c r="O143">
        <f>IF(MOD($A143,F$2)=0,OFFSET(O143,-F$2,0)+ F$3* $B143+F$4*OFFSET($B143,-F$2,0)+ F$5*OFFSET($B143,-2* F$2,0), O142)</f>
        <v/>
      </c>
      <c r="P143">
        <f>IF(MOD($A143,G$2)=0,OFFSET(P143,-G$2,0)+ G$3* $B143+G$4*OFFSET($B143,-G$2,0)+ G$5*OFFSET($B143,-2* G$2,0), P142)</f>
        <v/>
      </c>
      <c r="Q143">
        <f>IF(MOD($A143,H$2)=0,OFFSET(Q143,-H$2,0)+ H$3* $B143+H$4*OFFSET($B143,-H$2,0)+ H$5*OFFSET($B143,-2* H$2,0), Q142)</f>
        <v/>
      </c>
      <c r="R143">
        <f>IF(MOD($A143,I$2)=0,OFFSET(R143,-I$2,0)+ I$3* $B143+I$4*OFFSET($B143,-I$2,0)+ I$5*OFFSET($B143,-2* I$2,0), R142)</f>
        <v/>
      </c>
    </row>
    <row r="144">
      <c r="A144" t="n">
        <v>135</v>
      </c>
      <c r="B144" t="n">
        <v>1</v>
      </c>
      <c r="C144">
        <f>C143+D$3*$B144+D$4*$B143+D$5*$B142</f>
        <v/>
      </c>
      <c r="D144">
        <f>D139+E$3*$B144+E$4*$B139+E$5*$B134</f>
        <v/>
      </c>
      <c r="E144">
        <f>E134+F$3*$B144+F$4*$B134+F$5*$B124</f>
        <v/>
      </c>
      <c r="F144">
        <f>F143+G$3*$B144+G$4*$B143+G$5*$B142</f>
        <v/>
      </c>
      <c r="G144">
        <f>G139+H$3*$B144+H$4*$B139+H$5*$B134</f>
        <v/>
      </c>
      <c r="H144">
        <f>H134+I$3*$B144+I$4*$B134+I$5*$B124</f>
        <v/>
      </c>
      <c r="L144" t="n">
        <v>1</v>
      </c>
      <c r="M144">
        <f>IF(MOD($A144,D$2)=0,OFFSET(M144,-D$2,0)+ D$3* $B144+D$4*OFFSET($B144,-D$2,0)+ D$5*OFFSET($B144,-2* D$2,0), M143)</f>
        <v/>
      </c>
      <c r="N144">
        <f>IF(MOD($A144,E$2)=0,OFFSET(N144,-E$2,0)+ E$3* $B144+E$4*OFFSET($B144,-E$2,0)+ E$5*OFFSET($B144,-2* E$2,0), N143)</f>
        <v/>
      </c>
      <c r="O144">
        <f>IF(MOD($A144,F$2)=0,OFFSET(O144,-F$2,0)+ F$3* $B144+F$4*OFFSET($B144,-F$2,0)+ F$5*OFFSET($B144,-2* F$2,0), O143)</f>
        <v/>
      </c>
      <c r="P144">
        <f>IF(MOD($A144,G$2)=0,OFFSET(P144,-G$2,0)+ G$3* $B144+G$4*OFFSET($B144,-G$2,0)+ G$5*OFFSET($B144,-2* G$2,0), P143)</f>
        <v/>
      </c>
      <c r="Q144">
        <f>IF(MOD($A144,H$2)=0,OFFSET(Q144,-H$2,0)+ H$3* $B144+H$4*OFFSET($B144,-H$2,0)+ H$5*OFFSET($B144,-2* H$2,0), Q143)</f>
        <v/>
      </c>
      <c r="R144">
        <f>IF(MOD($A144,I$2)=0,OFFSET(R144,-I$2,0)+ I$3* $B144+I$4*OFFSET($B144,-I$2,0)+ I$5*OFFSET($B144,-2* I$2,0), R143)</f>
        <v/>
      </c>
    </row>
    <row r="145">
      <c r="A145" t="n">
        <v>136</v>
      </c>
      <c r="B145" t="n">
        <v>1</v>
      </c>
      <c r="C145">
        <f>C144+D$3*$B145+D$4*$B144+D$5*$B143</f>
        <v/>
      </c>
      <c r="D145">
        <f>D140+E$3*$B145+E$4*$B140+E$5*$B135</f>
        <v/>
      </c>
      <c r="E145">
        <f>E135+F$3*$B145+F$4*$B135+F$5*$B125</f>
        <v/>
      </c>
      <c r="F145">
        <f>F144+G$3*$B145+G$4*$B144+G$5*$B143</f>
        <v/>
      </c>
      <c r="G145">
        <f>G140+H$3*$B145+H$4*$B140+H$5*$B135</f>
        <v/>
      </c>
      <c r="H145">
        <f>H135+I$3*$B145+I$4*$B135+I$5*$B125</f>
        <v/>
      </c>
      <c r="L145" t="n">
        <v>1</v>
      </c>
      <c r="M145">
        <f>IF(MOD($A145,D$2)=0,OFFSET(M145,-D$2,0)+ D$3* $B145+D$4*OFFSET($B145,-D$2,0)+ D$5*OFFSET($B145,-2* D$2,0), M144)</f>
        <v/>
      </c>
      <c r="N145">
        <f>IF(MOD($A145,E$2)=0,OFFSET(N145,-E$2,0)+ E$3* $B145+E$4*OFFSET($B145,-E$2,0)+ E$5*OFFSET($B145,-2* E$2,0), N144)</f>
        <v/>
      </c>
      <c r="O145">
        <f>IF(MOD($A145,F$2)=0,OFFSET(O145,-F$2,0)+ F$3* $B145+F$4*OFFSET($B145,-F$2,0)+ F$5*OFFSET($B145,-2* F$2,0), O144)</f>
        <v/>
      </c>
      <c r="P145">
        <f>IF(MOD($A145,G$2)=0,OFFSET(P145,-G$2,0)+ G$3* $B145+G$4*OFFSET($B145,-G$2,0)+ G$5*OFFSET($B145,-2* G$2,0), P144)</f>
        <v/>
      </c>
      <c r="Q145">
        <f>IF(MOD($A145,H$2)=0,OFFSET(Q145,-H$2,0)+ H$3* $B145+H$4*OFFSET($B145,-H$2,0)+ H$5*OFFSET($B145,-2* H$2,0), Q144)</f>
        <v/>
      </c>
      <c r="R145">
        <f>IF(MOD($A145,I$2)=0,OFFSET(R145,-I$2,0)+ I$3* $B145+I$4*OFFSET($B145,-I$2,0)+ I$5*OFFSET($B145,-2* I$2,0), R144)</f>
        <v/>
      </c>
    </row>
    <row r="146">
      <c r="A146" t="n">
        <v>137</v>
      </c>
      <c r="B146" t="n">
        <v>1</v>
      </c>
      <c r="C146">
        <f>C145+D$3*$B146+D$4*$B145+D$5*$B144</f>
        <v/>
      </c>
      <c r="D146">
        <f>D141+E$3*$B146+E$4*$B141+E$5*$B136</f>
        <v/>
      </c>
      <c r="E146">
        <f>E136+F$3*$B146+F$4*$B136+F$5*$B126</f>
        <v/>
      </c>
      <c r="F146">
        <f>F145+G$3*$B146+G$4*$B145+G$5*$B144</f>
        <v/>
      </c>
      <c r="G146">
        <f>G141+H$3*$B146+H$4*$B141+H$5*$B136</f>
        <v/>
      </c>
      <c r="H146">
        <f>H136+I$3*$B146+I$4*$B136+I$5*$B126</f>
        <v/>
      </c>
      <c r="L146" t="n">
        <v>1</v>
      </c>
      <c r="M146">
        <f>IF(MOD($A146,D$2)=0,OFFSET(M146,-D$2,0)+ D$3* $B146+D$4*OFFSET($B146,-D$2,0)+ D$5*OFFSET($B146,-2* D$2,0), M145)</f>
        <v/>
      </c>
      <c r="N146">
        <f>IF(MOD($A146,E$2)=0,OFFSET(N146,-E$2,0)+ E$3* $B146+E$4*OFFSET($B146,-E$2,0)+ E$5*OFFSET($B146,-2* E$2,0), N145)</f>
        <v/>
      </c>
      <c r="O146">
        <f>IF(MOD($A146,F$2)=0,OFFSET(O146,-F$2,0)+ F$3* $B146+F$4*OFFSET($B146,-F$2,0)+ F$5*OFFSET($B146,-2* F$2,0), O145)</f>
        <v/>
      </c>
      <c r="P146">
        <f>IF(MOD($A146,G$2)=0,OFFSET(P146,-G$2,0)+ G$3* $B146+G$4*OFFSET($B146,-G$2,0)+ G$5*OFFSET($B146,-2* G$2,0), P145)</f>
        <v/>
      </c>
      <c r="Q146">
        <f>IF(MOD($A146,H$2)=0,OFFSET(Q146,-H$2,0)+ H$3* $B146+H$4*OFFSET($B146,-H$2,0)+ H$5*OFFSET($B146,-2* H$2,0), Q145)</f>
        <v/>
      </c>
      <c r="R146">
        <f>IF(MOD($A146,I$2)=0,OFFSET(R146,-I$2,0)+ I$3* $B146+I$4*OFFSET($B146,-I$2,0)+ I$5*OFFSET($B146,-2* I$2,0), R145)</f>
        <v/>
      </c>
    </row>
    <row r="147">
      <c r="A147" t="n">
        <v>138</v>
      </c>
      <c r="B147" t="n">
        <v>1</v>
      </c>
      <c r="C147">
        <f>C146+D$3*$B147+D$4*$B146+D$5*$B145</f>
        <v/>
      </c>
      <c r="D147">
        <f>D142+E$3*$B147+E$4*$B142+E$5*$B137</f>
        <v/>
      </c>
      <c r="E147">
        <f>E137+F$3*$B147+F$4*$B137+F$5*$B127</f>
        <v/>
      </c>
      <c r="F147">
        <f>F146+G$3*$B147+G$4*$B146+G$5*$B145</f>
        <v/>
      </c>
      <c r="G147">
        <f>G142+H$3*$B147+H$4*$B142+H$5*$B137</f>
        <v/>
      </c>
      <c r="H147">
        <f>H137+I$3*$B147+I$4*$B137+I$5*$B127</f>
        <v/>
      </c>
      <c r="L147" t="n">
        <v>1</v>
      </c>
      <c r="M147">
        <f>IF(MOD($A147,D$2)=0,OFFSET(M147,-D$2,0)+ D$3* $B147+D$4*OFFSET($B147,-D$2,0)+ D$5*OFFSET($B147,-2* D$2,0), M146)</f>
        <v/>
      </c>
      <c r="N147">
        <f>IF(MOD($A147,E$2)=0,OFFSET(N147,-E$2,0)+ E$3* $B147+E$4*OFFSET($B147,-E$2,0)+ E$5*OFFSET($B147,-2* E$2,0), N146)</f>
        <v/>
      </c>
      <c r="O147">
        <f>IF(MOD($A147,F$2)=0,OFFSET(O147,-F$2,0)+ F$3* $B147+F$4*OFFSET($B147,-F$2,0)+ F$5*OFFSET($B147,-2* F$2,0), O146)</f>
        <v/>
      </c>
      <c r="P147">
        <f>IF(MOD($A147,G$2)=0,OFFSET(P147,-G$2,0)+ G$3* $B147+G$4*OFFSET($B147,-G$2,0)+ G$5*OFFSET($B147,-2* G$2,0), P146)</f>
        <v/>
      </c>
      <c r="Q147">
        <f>IF(MOD($A147,H$2)=0,OFFSET(Q147,-H$2,0)+ H$3* $B147+H$4*OFFSET($B147,-H$2,0)+ H$5*OFFSET($B147,-2* H$2,0), Q146)</f>
        <v/>
      </c>
      <c r="R147">
        <f>IF(MOD($A147,I$2)=0,OFFSET(R147,-I$2,0)+ I$3* $B147+I$4*OFFSET($B147,-I$2,0)+ I$5*OFFSET($B147,-2* I$2,0), R146)</f>
        <v/>
      </c>
    </row>
    <row r="148">
      <c r="A148" t="n">
        <v>139</v>
      </c>
      <c r="B148" t="n">
        <v>1</v>
      </c>
      <c r="C148">
        <f>C147+D$3*$B148+D$4*$B147+D$5*$B146</f>
        <v/>
      </c>
      <c r="D148">
        <f>D143+E$3*$B148+E$4*$B143+E$5*$B138</f>
        <v/>
      </c>
      <c r="E148">
        <f>E138+F$3*$B148+F$4*$B138+F$5*$B128</f>
        <v/>
      </c>
      <c r="F148">
        <f>F147+G$3*$B148+G$4*$B147+G$5*$B146</f>
        <v/>
      </c>
      <c r="G148">
        <f>G143+H$3*$B148+H$4*$B143+H$5*$B138</f>
        <v/>
      </c>
      <c r="H148">
        <f>H138+I$3*$B148+I$4*$B138+I$5*$B128</f>
        <v/>
      </c>
      <c r="L148" t="n">
        <v>1</v>
      </c>
      <c r="M148">
        <f>IF(MOD($A148,D$2)=0,OFFSET(M148,-D$2,0)+ D$3* $B148+D$4*OFFSET($B148,-D$2,0)+ D$5*OFFSET($B148,-2* D$2,0), M147)</f>
        <v/>
      </c>
      <c r="N148">
        <f>IF(MOD($A148,E$2)=0,OFFSET(N148,-E$2,0)+ E$3* $B148+E$4*OFFSET($B148,-E$2,0)+ E$5*OFFSET($B148,-2* E$2,0), N147)</f>
        <v/>
      </c>
      <c r="O148">
        <f>IF(MOD($A148,F$2)=0,OFFSET(O148,-F$2,0)+ F$3* $B148+F$4*OFFSET($B148,-F$2,0)+ F$5*OFFSET($B148,-2* F$2,0), O147)</f>
        <v/>
      </c>
      <c r="P148">
        <f>IF(MOD($A148,G$2)=0,OFFSET(P148,-G$2,0)+ G$3* $B148+G$4*OFFSET($B148,-G$2,0)+ G$5*OFFSET($B148,-2* G$2,0), P147)</f>
        <v/>
      </c>
      <c r="Q148">
        <f>IF(MOD($A148,H$2)=0,OFFSET(Q148,-H$2,0)+ H$3* $B148+H$4*OFFSET($B148,-H$2,0)+ H$5*OFFSET($B148,-2* H$2,0), Q147)</f>
        <v/>
      </c>
      <c r="R148">
        <f>IF(MOD($A148,I$2)=0,OFFSET(R148,-I$2,0)+ I$3* $B148+I$4*OFFSET($B148,-I$2,0)+ I$5*OFFSET($B148,-2* I$2,0), R147)</f>
        <v/>
      </c>
    </row>
    <row r="149">
      <c r="A149" t="n">
        <v>140</v>
      </c>
      <c r="B149" t="n">
        <v>1</v>
      </c>
      <c r="C149">
        <f>C148+D$3*$B149+D$4*$B148+D$5*$B147</f>
        <v/>
      </c>
      <c r="D149">
        <f>D144+E$3*$B149+E$4*$B144+E$5*$B139</f>
        <v/>
      </c>
      <c r="E149">
        <f>E139+F$3*$B149+F$4*$B139+F$5*$B129</f>
        <v/>
      </c>
      <c r="F149">
        <f>F148+G$3*$B149+G$4*$B148+G$5*$B147</f>
        <v/>
      </c>
      <c r="G149">
        <f>G144+H$3*$B149+H$4*$B144+H$5*$B139</f>
        <v/>
      </c>
      <c r="H149">
        <f>H139+I$3*$B149+I$4*$B139+I$5*$B129</f>
        <v/>
      </c>
      <c r="L149" t="n">
        <v>1</v>
      </c>
      <c r="M149">
        <f>IF(MOD($A149,D$2)=0,OFFSET(M149,-D$2,0)+ D$3* $B149+D$4*OFFSET($B149,-D$2,0)+ D$5*OFFSET($B149,-2* D$2,0), M148)</f>
        <v/>
      </c>
      <c r="N149">
        <f>IF(MOD($A149,E$2)=0,OFFSET(N149,-E$2,0)+ E$3* $B149+E$4*OFFSET($B149,-E$2,0)+ E$5*OFFSET($B149,-2* E$2,0), N148)</f>
        <v/>
      </c>
      <c r="O149">
        <f>IF(MOD($A149,F$2)=0,OFFSET(O149,-F$2,0)+ F$3* $B149+F$4*OFFSET($B149,-F$2,0)+ F$5*OFFSET($B149,-2* F$2,0), O148)</f>
        <v/>
      </c>
      <c r="P149">
        <f>IF(MOD($A149,G$2)=0,OFFSET(P149,-G$2,0)+ G$3* $B149+G$4*OFFSET($B149,-G$2,0)+ G$5*OFFSET($B149,-2* G$2,0), P148)</f>
        <v/>
      </c>
      <c r="Q149">
        <f>IF(MOD($A149,H$2)=0,OFFSET(Q149,-H$2,0)+ H$3* $B149+H$4*OFFSET($B149,-H$2,0)+ H$5*OFFSET($B149,-2* H$2,0), Q148)</f>
        <v/>
      </c>
      <c r="R149">
        <f>IF(MOD($A149,I$2)=0,OFFSET(R149,-I$2,0)+ I$3* $B149+I$4*OFFSET($B149,-I$2,0)+ I$5*OFFSET($B149,-2* I$2,0), R148)</f>
        <v/>
      </c>
    </row>
    <row r="150">
      <c r="A150" t="n">
        <v>141</v>
      </c>
      <c r="B150" t="n">
        <v>1</v>
      </c>
      <c r="C150">
        <f>C149+D$3*$B150+D$4*$B149+D$5*$B148</f>
        <v/>
      </c>
      <c r="D150">
        <f>D145+E$3*$B150+E$4*$B145+E$5*$B140</f>
        <v/>
      </c>
      <c r="E150">
        <f>E140+F$3*$B150+F$4*$B140+F$5*$B130</f>
        <v/>
      </c>
      <c r="F150">
        <f>F149+G$3*$B150+G$4*$B149+G$5*$B148</f>
        <v/>
      </c>
      <c r="G150">
        <f>G145+H$3*$B150+H$4*$B145+H$5*$B140</f>
        <v/>
      </c>
      <c r="H150">
        <f>H140+I$3*$B150+I$4*$B140+I$5*$B130</f>
        <v/>
      </c>
      <c r="L150" t="n">
        <v>1</v>
      </c>
      <c r="M150">
        <f>IF(MOD($A150,D$2)=0,OFFSET(M150,-D$2,0)+ D$3* $B150+D$4*OFFSET($B150,-D$2,0)+ D$5*OFFSET($B150,-2* D$2,0), M149)</f>
        <v/>
      </c>
      <c r="N150">
        <f>IF(MOD($A150,E$2)=0,OFFSET(N150,-E$2,0)+ E$3* $B150+E$4*OFFSET($B150,-E$2,0)+ E$5*OFFSET($B150,-2* E$2,0), N149)</f>
        <v/>
      </c>
      <c r="O150">
        <f>IF(MOD($A150,F$2)=0,OFFSET(O150,-F$2,0)+ F$3* $B150+F$4*OFFSET($B150,-F$2,0)+ F$5*OFFSET($B150,-2* F$2,0), O149)</f>
        <v/>
      </c>
      <c r="P150">
        <f>IF(MOD($A150,G$2)=0,OFFSET(P150,-G$2,0)+ G$3* $B150+G$4*OFFSET($B150,-G$2,0)+ G$5*OFFSET($B150,-2* G$2,0), P149)</f>
        <v/>
      </c>
      <c r="Q150">
        <f>IF(MOD($A150,H$2)=0,OFFSET(Q150,-H$2,0)+ H$3* $B150+H$4*OFFSET($B150,-H$2,0)+ H$5*OFFSET($B150,-2* H$2,0), Q149)</f>
        <v/>
      </c>
      <c r="R150">
        <f>IF(MOD($A150,I$2)=0,OFFSET(R150,-I$2,0)+ I$3* $B150+I$4*OFFSET($B150,-I$2,0)+ I$5*OFFSET($B150,-2* I$2,0), R149)</f>
        <v/>
      </c>
    </row>
    <row r="151">
      <c r="A151" t="n">
        <v>142</v>
      </c>
      <c r="B151" t="n">
        <v>1</v>
      </c>
      <c r="C151">
        <f>C150+D$3*$B151+D$4*$B150+D$5*$B149</f>
        <v/>
      </c>
      <c r="D151">
        <f>D146+E$3*$B151+E$4*$B146+E$5*$B141</f>
        <v/>
      </c>
      <c r="E151">
        <f>E141+F$3*$B151+F$4*$B141+F$5*$B131</f>
        <v/>
      </c>
      <c r="F151">
        <f>F150+G$3*$B151+G$4*$B150+G$5*$B149</f>
        <v/>
      </c>
      <c r="G151">
        <f>G146+H$3*$B151+H$4*$B146+H$5*$B141</f>
        <v/>
      </c>
      <c r="H151">
        <f>H141+I$3*$B151+I$4*$B141+I$5*$B131</f>
        <v/>
      </c>
      <c r="L151" t="n">
        <v>1</v>
      </c>
      <c r="M151">
        <f>IF(MOD($A151,D$2)=0,OFFSET(M151,-D$2,0)+ D$3* $B151+D$4*OFFSET($B151,-D$2,0)+ D$5*OFFSET($B151,-2* D$2,0), M150)</f>
        <v/>
      </c>
      <c r="N151">
        <f>IF(MOD($A151,E$2)=0,OFFSET(N151,-E$2,0)+ E$3* $B151+E$4*OFFSET($B151,-E$2,0)+ E$5*OFFSET($B151,-2* E$2,0), N150)</f>
        <v/>
      </c>
      <c r="O151">
        <f>IF(MOD($A151,F$2)=0,OFFSET(O151,-F$2,0)+ F$3* $B151+F$4*OFFSET($B151,-F$2,0)+ F$5*OFFSET($B151,-2* F$2,0), O150)</f>
        <v/>
      </c>
      <c r="P151">
        <f>IF(MOD($A151,G$2)=0,OFFSET(P151,-G$2,0)+ G$3* $B151+G$4*OFFSET($B151,-G$2,0)+ G$5*OFFSET($B151,-2* G$2,0), P150)</f>
        <v/>
      </c>
      <c r="Q151">
        <f>IF(MOD($A151,H$2)=0,OFFSET(Q151,-H$2,0)+ H$3* $B151+H$4*OFFSET($B151,-H$2,0)+ H$5*OFFSET($B151,-2* H$2,0), Q150)</f>
        <v/>
      </c>
      <c r="R151">
        <f>IF(MOD($A151,I$2)=0,OFFSET(R151,-I$2,0)+ I$3* $B151+I$4*OFFSET($B151,-I$2,0)+ I$5*OFFSET($B151,-2* I$2,0), R150)</f>
        <v/>
      </c>
    </row>
    <row r="152">
      <c r="A152" t="n">
        <v>143</v>
      </c>
      <c r="B152" t="n">
        <v>1</v>
      </c>
      <c r="C152">
        <f>C151+D$3*$B152+D$4*$B151+D$5*$B150</f>
        <v/>
      </c>
      <c r="D152">
        <f>D147+E$3*$B152+E$4*$B147+E$5*$B142</f>
        <v/>
      </c>
      <c r="E152">
        <f>E142+F$3*$B152+F$4*$B142+F$5*$B132</f>
        <v/>
      </c>
      <c r="F152">
        <f>F151+G$3*$B152+G$4*$B151+G$5*$B150</f>
        <v/>
      </c>
      <c r="G152">
        <f>G147+H$3*$B152+H$4*$B147+H$5*$B142</f>
        <v/>
      </c>
      <c r="H152">
        <f>H142+I$3*$B152+I$4*$B142+I$5*$B132</f>
        <v/>
      </c>
      <c r="L152" t="n">
        <v>1</v>
      </c>
      <c r="M152">
        <f>IF(MOD($A152,D$2)=0,OFFSET(M152,-D$2,0)+ D$3* $B152+D$4*OFFSET($B152,-D$2,0)+ D$5*OFFSET($B152,-2* D$2,0), M151)</f>
        <v/>
      </c>
      <c r="N152">
        <f>IF(MOD($A152,E$2)=0,OFFSET(N152,-E$2,0)+ E$3* $B152+E$4*OFFSET($B152,-E$2,0)+ E$5*OFFSET($B152,-2* E$2,0), N151)</f>
        <v/>
      </c>
      <c r="O152">
        <f>IF(MOD($A152,F$2)=0,OFFSET(O152,-F$2,0)+ F$3* $B152+F$4*OFFSET($B152,-F$2,0)+ F$5*OFFSET($B152,-2* F$2,0), O151)</f>
        <v/>
      </c>
      <c r="P152">
        <f>IF(MOD($A152,G$2)=0,OFFSET(P152,-G$2,0)+ G$3* $B152+G$4*OFFSET($B152,-G$2,0)+ G$5*OFFSET($B152,-2* G$2,0), P151)</f>
        <v/>
      </c>
      <c r="Q152">
        <f>IF(MOD($A152,H$2)=0,OFFSET(Q152,-H$2,0)+ H$3* $B152+H$4*OFFSET($B152,-H$2,0)+ H$5*OFFSET($B152,-2* H$2,0), Q151)</f>
        <v/>
      </c>
      <c r="R152">
        <f>IF(MOD($A152,I$2)=0,OFFSET(R152,-I$2,0)+ I$3* $B152+I$4*OFFSET($B152,-I$2,0)+ I$5*OFFSET($B152,-2* I$2,0), R151)</f>
        <v/>
      </c>
    </row>
    <row r="153">
      <c r="A153" t="n">
        <v>144</v>
      </c>
      <c r="B153" t="n">
        <v>1</v>
      </c>
      <c r="C153">
        <f>C152+D$3*$B153+D$4*$B152+D$5*$B151</f>
        <v/>
      </c>
      <c r="D153">
        <f>D148+E$3*$B153+E$4*$B148+E$5*$B143</f>
        <v/>
      </c>
      <c r="E153">
        <f>E143+F$3*$B153+F$4*$B143+F$5*$B133</f>
        <v/>
      </c>
      <c r="F153">
        <f>F152+G$3*$B153+G$4*$B152+G$5*$B151</f>
        <v/>
      </c>
      <c r="G153">
        <f>G148+H$3*$B153+H$4*$B148+H$5*$B143</f>
        <v/>
      </c>
      <c r="H153">
        <f>H143+I$3*$B153+I$4*$B143+I$5*$B133</f>
        <v/>
      </c>
      <c r="L153" t="n">
        <v>1</v>
      </c>
      <c r="M153">
        <f>IF(MOD($A153,D$2)=0,OFFSET(M153,-D$2,0)+ D$3* $B153+D$4*OFFSET($B153,-D$2,0)+ D$5*OFFSET($B153,-2* D$2,0), M152)</f>
        <v/>
      </c>
      <c r="N153">
        <f>IF(MOD($A153,E$2)=0,OFFSET(N153,-E$2,0)+ E$3* $B153+E$4*OFFSET($B153,-E$2,0)+ E$5*OFFSET($B153,-2* E$2,0), N152)</f>
        <v/>
      </c>
      <c r="O153">
        <f>IF(MOD($A153,F$2)=0,OFFSET(O153,-F$2,0)+ F$3* $B153+F$4*OFFSET($B153,-F$2,0)+ F$5*OFFSET($B153,-2* F$2,0), O152)</f>
        <v/>
      </c>
      <c r="P153">
        <f>IF(MOD($A153,G$2)=0,OFFSET(P153,-G$2,0)+ G$3* $B153+G$4*OFFSET($B153,-G$2,0)+ G$5*OFFSET($B153,-2* G$2,0), P152)</f>
        <v/>
      </c>
      <c r="Q153">
        <f>IF(MOD($A153,H$2)=0,OFFSET(Q153,-H$2,0)+ H$3* $B153+H$4*OFFSET($B153,-H$2,0)+ H$5*OFFSET($B153,-2* H$2,0), Q152)</f>
        <v/>
      </c>
      <c r="R153">
        <f>IF(MOD($A153,I$2)=0,OFFSET(R153,-I$2,0)+ I$3* $B153+I$4*OFFSET($B153,-I$2,0)+ I$5*OFFSET($B153,-2* I$2,0), R152)</f>
        <v/>
      </c>
    </row>
    <row r="154">
      <c r="A154" t="n">
        <v>145</v>
      </c>
      <c r="B154" t="n">
        <v>1</v>
      </c>
      <c r="C154">
        <f>C153+D$3*$B154+D$4*$B153+D$5*$B152</f>
        <v/>
      </c>
      <c r="D154">
        <f>D149+E$3*$B154+E$4*$B149+E$5*$B144</f>
        <v/>
      </c>
      <c r="E154">
        <f>E144+F$3*$B154+F$4*$B144+F$5*$B134</f>
        <v/>
      </c>
      <c r="F154">
        <f>F153+G$3*$B154+G$4*$B153+G$5*$B152</f>
        <v/>
      </c>
      <c r="G154">
        <f>G149+H$3*$B154+H$4*$B149+H$5*$B144</f>
        <v/>
      </c>
      <c r="H154">
        <f>H144+I$3*$B154+I$4*$B144+I$5*$B134</f>
        <v/>
      </c>
      <c r="L154" t="n">
        <v>1</v>
      </c>
      <c r="M154">
        <f>IF(MOD($A154,D$2)=0,OFFSET(M154,-D$2,0)+ D$3* $B154+D$4*OFFSET($B154,-D$2,0)+ D$5*OFFSET($B154,-2* D$2,0), M153)</f>
        <v/>
      </c>
      <c r="N154">
        <f>IF(MOD($A154,E$2)=0,OFFSET(N154,-E$2,0)+ E$3* $B154+E$4*OFFSET($B154,-E$2,0)+ E$5*OFFSET($B154,-2* E$2,0), N153)</f>
        <v/>
      </c>
      <c r="O154">
        <f>IF(MOD($A154,F$2)=0,OFFSET(O154,-F$2,0)+ F$3* $B154+F$4*OFFSET($B154,-F$2,0)+ F$5*OFFSET($B154,-2* F$2,0), O153)</f>
        <v/>
      </c>
      <c r="P154">
        <f>IF(MOD($A154,G$2)=0,OFFSET(P154,-G$2,0)+ G$3* $B154+G$4*OFFSET($B154,-G$2,0)+ G$5*OFFSET($B154,-2* G$2,0), P153)</f>
        <v/>
      </c>
      <c r="Q154">
        <f>IF(MOD($A154,H$2)=0,OFFSET(Q154,-H$2,0)+ H$3* $B154+H$4*OFFSET($B154,-H$2,0)+ H$5*OFFSET($B154,-2* H$2,0), Q153)</f>
        <v/>
      </c>
      <c r="R154">
        <f>IF(MOD($A154,I$2)=0,OFFSET(R154,-I$2,0)+ I$3* $B154+I$4*OFFSET($B154,-I$2,0)+ I$5*OFFSET($B154,-2* I$2,0), R153)</f>
        <v/>
      </c>
    </row>
    <row r="155">
      <c r="A155" t="n">
        <v>146</v>
      </c>
      <c r="B155" t="n">
        <v>1</v>
      </c>
      <c r="C155">
        <f>C154+D$3*$B155+D$4*$B154+D$5*$B153</f>
        <v/>
      </c>
      <c r="D155">
        <f>D150+E$3*$B155+E$4*$B150+E$5*$B145</f>
        <v/>
      </c>
      <c r="E155">
        <f>E145+F$3*$B155+F$4*$B145+F$5*$B135</f>
        <v/>
      </c>
      <c r="F155">
        <f>F154+G$3*$B155+G$4*$B154+G$5*$B153</f>
        <v/>
      </c>
      <c r="G155">
        <f>G150+H$3*$B155+H$4*$B150+H$5*$B145</f>
        <v/>
      </c>
      <c r="H155">
        <f>H145+I$3*$B155+I$4*$B145+I$5*$B135</f>
        <v/>
      </c>
      <c r="L155" t="n">
        <v>1</v>
      </c>
      <c r="M155">
        <f>IF(MOD($A155,D$2)=0,OFFSET(M155,-D$2,0)+ D$3* $B155+D$4*OFFSET($B155,-D$2,0)+ D$5*OFFSET($B155,-2* D$2,0), M154)</f>
        <v/>
      </c>
      <c r="N155">
        <f>IF(MOD($A155,E$2)=0,OFFSET(N155,-E$2,0)+ E$3* $B155+E$4*OFFSET($B155,-E$2,0)+ E$5*OFFSET($B155,-2* E$2,0), N154)</f>
        <v/>
      </c>
      <c r="O155">
        <f>IF(MOD($A155,F$2)=0,OFFSET(O155,-F$2,0)+ F$3* $B155+F$4*OFFSET($B155,-F$2,0)+ F$5*OFFSET($B155,-2* F$2,0), O154)</f>
        <v/>
      </c>
      <c r="P155">
        <f>IF(MOD($A155,G$2)=0,OFFSET(P155,-G$2,0)+ G$3* $B155+G$4*OFFSET($B155,-G$2,0)+ G$5*OFFSET($B155,-2* G$2,0), P154)</f>
        <v/>
      </c>
      <c r="Q155">
        <f>IF(MOD($A155,H$2)=0,OFFSET(Q155,-H$2,0)+ H$3* $B155+H$4*OFFSET($B155,-H$2,0)+ H$5*OFFSET($B155,-2* H$2,0), Q154)</f>
        <v/>
      </c>
      <c r="R155">
        <f>IF(MOD($A155,I$2)=0,OFFSET(R155,-I$2,0)+ I$3* $B155+I$4*OFFSET($B155,-I$2,0)+ I$5*OFFSET($B155,-2* I$2,0), R154)</f>
        <v/>
      </c>
    </row>
    <row r="156">
      <c r="A156" t="n">
        <v>147</v>
      </c>
      <c r="B156" t="n">
        <v>1</v>
      </c>
      <c r="C156">
        <f>C155+D$3*$B156+D$4*$B155+D$5*$B154</f>
        <v/>
      </c>
      <c r="D156">
        <f>D151+E$3*$B156+E$4*$B151+E$5*$B146</f>
        <v/>
      </c>
      <c r="E156">
        <f>E146+F$3*$B156+F$4*$B146+F$5*$B136</f>
        <v/>
      </c>
      <c r="F156">
        <f>F155+G$3*$B156+G$4*$B155+G$5*$B154</f>
        <v/>
      </c>
      <c r="G156">
        <f>G151+H$3*$B156+H$4*$B151+H$5*$B146</f>
        <v/>
      </c>
      <c r="H156">
        <f>H146+I$3*$B156+I$4*$B146+I$5*$B136</f>
        <v/>
      </c>
      <c r="L156" t="n">
        <v>1</v>
      </c>
      <c r="M156">
        <f>IF(MOD($A156,D$2)=0,OFFSET(M156,-D$2,0)+ D$3* $B156+D$4*OFFSET($B156,-D$2,0)+ D$5*OFFSET($B156,-2* D$2,0), M155)</f>
        <v/>
      </c>
      <c r="N156">
        <f>IF(MOD($A156,E$2)=0,OFFSET(N156,-E$2,0)+ E$3* $B156+E$4*OFFSET($B156,-E$2,0)+ E$5*OFFSET($B156,-2* E$2,0), N155)</f>
        <v/>
      </c>
      <c r="O156">
        <f>IF(MOD($A156,F$2)=0,OFFSET(O156,-F$2,0)+ F$3* $B156+F$4*OFFSET($B156,-F$2,0)+ F$5*OFFSET($B156,-2* F$2,0), O155)</f>
        <v/>
      </c>
      <c r="P156">
        <f>IF(MOD($A156,G$2)=0,OFFSET(P156,-G$2,0)+ G$3* $B156+G$4*OFFSET($B156,-G$2,0)+ G$5*OFFSET($B156,-2* G$2,0), P155)</f>
        <v/>
      </c>
      <c r="Q156">
        <f>IF(MOD($A156,H$2)=0,OFFSET(Q156,-H$2,0)+ H$3* $B156+H$4*OFFSET($B156,-H$2,0)+ H$5*OFFSET($B156,-2* H$2,0), Q155)</f>
        <v/>
      </c>
      <c r="R156">
        <f>IF(MOD($A156,I$2)=0,OFFSET(R156,-I$2,0)+ I$3* $B156+I$4*OFFSET($B156,-I$2,0)+ I$5*OFFSET($B156,-2* I$2,0), R155)</f>
        <v/>
      </c>
    </row>
    <row r="157">
      <c r="A157" t="n">
        <v>148</v>
      </c>
      <c r="B157" t="n">
        <v>1</v>
      </c>
      <c r="C157">
        <f>C156+D$3*$B157+D$4*$B156+D$5*$B155</f>
        <v/>
      </c>
      <c r="D157">
        <f>D152+E$3*$B157+E$4*$B152+E$5*$B147</f>
        <v/>
      </c>
      <c r="E157">
        <f>E147+F$3*$B157+F$4*$B147+F$5*$B137</f>
        <v/>
      </c>
      <c r="F157">
        <f>F156+G$3*$B157+G$4*$B156+G$5*$B155</f>
        <v/>
      </c>
      <c r="G157">
        <f>G152+H$3*$B157+H$4*$B152+H$5*$B147</f>
        <v/>
      </c>
      <c r="H157">
        <f>H147+I$3*$B157+I$4*$B147+I$5*$B137</f>
        <v/>
      </c>
      <c r="L157" t="n">
        <v>1</v>
      </c>
      <c r="M157">
        <f>IF(MOD($A157,D$2)=0,OFFSET(M157,-D$2,0)+ D$3* $B157+D$4*OFFSET($B157,-D$2,0)+ D$5*OFFSET($B157,-2* D$2,0), M156)</f>
        <v/>
      </c>
      <c r="N157">
        <f>IF(MOD($A157,E$2)=0,OFFSET(N157,-E$2,0)+ E$3* $B157+E$4*OFFSET($B157,-E$2,0)+ E$5*OFFSET($B157,-2* E$2,0), N156)</f>
        <v/>
      </c>
      <c r="O157">
        <f>IF(MOD($A157,F$2)=0,OFFSET(O157,-F$2,0)+ F$3* $B157+F$4*OFFSET($B157,-F$2,0)+ F$5*OFFSET($B157,-2* F$2,0), O156)</f>
        <v/>
      </c>
      <c r="P157">
        <f>IF(MOD($A157,G$2)=0,OFFSET(P157,-G$2,0)+ G$3* $B157+G$4*OFFSET($B157,-G$2,0)+ G$5*OFFSET($B157,-2* G$2,0), P156)</f>
        <v/>
      </c>
      <c r="Q157">
        <f>IF(MOD($A157,H$2)=0,OFFSET(Q157,-H$2,0)+ H$3* $B157+H$4*OFFSET($B157,-H$2,0)+ H$5*OFFSET($B157,-2* H$2,0), Q156)</f>
        <v/>
      </c>
      <c r="R157">
        <f>IF(MOD($A157,I$2)=0,OFFSET(R157,-I$2,0)+ I$3* $B157+I$4*OFFSET($B157,-I$2,0)+ I$5*OFFSET($B157,-2* I$2,0), R156)</f>
        <v/>
      </c>
    </row>
    <row r="158">
      <c r="A158" t="n">
        <v>149</v>
      </c>
      <c r="B158" t="n">
        <v>1</v>
      </c>
      <c r="C158">
        <f>C157+D$3*$B158+D$4*$B157+D$5*$B156</f>
        <v/>
      </c>
      <c r="D158">
        <f>D153+E$3*$B158+E$4*$B153+E$5*$B148</f>
        <v/>
      </c>
      <c r="E158">
        <f>E148+F$3*$B158+F$4*$B148+F$5*$B138</f>
        <v/>
      </c>
      <c r="F158">
        <f>F157+G$3*$B158+G$4*$B157+G$5*$B156</f>
        <v/>
      </c>
      <c r="G158">
        <f>G153+H$3*$B158+H$4*$B153+H$5*$B148</f>
        <v/>
      </c>
      <c r="H158">
        <f>H148+I$3*$B158+I$4*$B148+I$5*$B138</f>
        <v/>
      </c>
      <c r="L158" t="n">
        <v>1</v>
      </c>
      <c r="M158">
        <f>IF(MOD($A158,D$2)=0,OFFSET(M158,-D$2,0)+ D$3* $B158+D$4*OFFSET($B158,-D$2,0)+ D$5*OFFSET($B158,-2* D$2,0), M157)</f>
        <v/>
      </c>
      <c r="N158">
        <f>IF(MOD($A158,E$2)=0,OFFSET(N158,-E$2,0)+ E$3* $B158+E$4*OFFSET($B158,-E$2,0)+ E$5*OFFSET($B158,-2* E$2,0), N157)</f>
        <v/>
      </c>
      <c r="O158">
        <f>IF(MOD($A158,F$2)=0,OFFSET(O158,-F$2,0)+ F$3* $B158+F$4*OFFSET($B158,-F$2,0)+ F$5*OFFSET($B158,-2* F$2,0), O157)</f>
        <v/>
      </c>
      <c r="P158">
        <f>IF(MOD($A158,G$2)=0,OFFSET(P158,-G$2,0)+ G$3* $B158+G$4*OFFSET($B158,-G$2,0)+ G$5*OFFSET($B158,-2* G$2,0), P157)</f>
        <v/>
      </c>
      <c r="Q158">
        <f>IF(MOD($A158,H$2)=0,OFFSET(Q158,-H$2,0)+ H$3* $B158+H$4*OFFSET($B158,-H$2,0)+ H$5*OFFSET($B158,-2* H$2,0), Q157)</f>
        <v/>
      </c>
      <c r="R158">
        <f>IF(MOD($A158,I$2)=0,OFFSET(R158,-I$2,0)+ I$3* $B158+I$4*OFFSET($B158,-I$2,0)+ I$5*OFFSET($B158,-2* I$2,0), R157)</f>
        <v/>
      </c>
    </row>
    <row r="159">
      <c r="A159" t="n">
        <v>150</v>
      </c>
      <c r="B159" t="n">
        <v>1</v>
      </c>
      <c r="C159">
        <f>C158+D$3*$B159+D$4*$B158+D$5*$B157</f>
        <v/>
      </c>
      <c r="D159">
        <f>D154+E$3*$B159+E$4*$B154+E$5*$B149</f>
        <v/>
      </c>
      <c r="E159">
        <f>E149+F$3*$B159+F$4*$B149+F$5*$B139</f>
        <v/>
      </c>
      <c r="F159">
        <f>F158+G$3*$B159+G$4*$B158+G$5*$B157</f>
        <v/>
      </c>
      <c r="G159">
        <f>G154+H$3*$B159+H$4*$B154+H$5*$B149</f>
        <v/>
      </c>
      <c r="H159">
        <f>H149+I$3*$B159+I$4*$B149+I$5*$B139</f>
        <v/>
      </c>
      <c r="L159" t="n">
        <v>1</v>
      </c>
      <c r="M159">
        <f>IF(MOD($A159,D$2)=0,OFFSET(M159,-D$2,0)+ D$3* $B159+D$4*OFFSET($B159,-D$2,0)+ D$5*OFFSET($B159,-2* D$2,0), M158)</f>
        <v/>
      </c>
      <c r="N159">
        <f>IF(MOD($A159,E$2)=0,OFFSET(N159,-E$2,0)+ E$3* $B159+E$4*OFFSET($B159,-E$2,0)+ E$5*OFFSET($B159,-2* E$2,0), N158)</f>
        <v/>
      </c>
      <c r="O159">
        <f>IF(MOD($A159,F$2)=0,OFFSET(O159,-F$2,0)+ F$3* $B159+F$4*OFFSET($B159,-F$2,0)+ F$5*OFFSET($B159,-2* F$2,0), O158)</f>
        <v/>
      </c>
      <c r="P159">
        <f>IF(MOD($A159,G$2)=0,OFFSET(P159,-G$2,0)+ G$3* $B159+G$4*OFFSET($B159,-G$2,0)+ G$5*OFFSET($B159,-2* G$2,0), P158)</f>
        <v/>
      </c>
      <c r="Q159">
        <f>IF(MOD($A159,H$2)=0,OFFSET(Q159,-H$2,0)+ H$3* $B159+H$4*OFFSET($B159,-H$2,0)+ H$5*OFFSET($B159,-2* H$2,0), Q158)</f>
        <v/>
      </c>
      <c r="R159">
        <f>IF(MOD($A159,I$2)=0,OFFSET(R159,-I$2,0)+ I$3* $B159+I$4*OFFSET($B159,-I$2,0)+ I$5*OFFSET($B159,-2* I$2,0), R158)</f>
        <v/>
      </c>
    </row>
  </sheetData>
  <mergeCells count="7">
    <mergeCell ref="P7:R7"/>
    <mergeCell ref="M7:O7"/>
    <mergeCell ref="A1:B1"/>
    <mergeCell ref="F7:H7"/>
    <mergeCell ref="C7:E7"/>
    <mergeCell ref="D1:F1"/>
    <mergeCell ref="G1:I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="70" zoomScaleNormal="70" workbookViewId="0">
      <selection activeCell="J17" sqref="J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</row>
    <row r="2">
      <c r="A2" s="19" t="inlineStr">
        <is>
          <t>K</t>
        </is>
      </c>
      <c r="B2" s="20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IF(L2&lt;$D$16,$D$13,IF(L2&lt;$E$16,$E$13,$F$13))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$D$13</f>
        <v/>
      </c>
      <c r="T2" s="15">
        <f>RAND()*$G$12</f>
        <v/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</row>
    <row r="3">
      <c r="A3" s="19" t="inlineStr">
        <is>
          <t>tau</t>
        </is>
      </c>
      <c r="B3" s="20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IF(L3&lt;$D$16,$D$13,IF(L3&lt;$E$16,$E$13,$F$13))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$D$13</f>
        <v/>
      </c>
      <c r="T3" s="15">
        <f>RAND()*$G$12</f>
        <v/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AB2-E13</f>
        <v/>
      </c>
    </row>
    <row r="4" ht="15" customHeight="1" thickBot="1">
      <c r="A4" s="19" t="inlineStr">
        <is>
          <t>T1</t>
        </is>
      </c>
      <c r="B4" s="20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IF(L4&lt;$D$16,$D$13,IF(L4&lt;$E$16,$E$13,$F$13))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$D$13</f>
        <v/>
      </c>
      <c r="T4" s="15">
        <f>RAND()*$G$12</f>
        <v/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</row>
    <row r="5" ht="15" customHeight="1" thickBot="1">
      <c r="A5" s="23" t="inlineStr">
        <is>
          <t>T2</t>
        </is>
      </c>
      <c r="B5" s="24" t="n">
        <v>13</v>
      </c>
      <c r="L5" s="15" t="n">
        <v>3</v>
      </c>
      <c r="M5" s="15">
        <f>IF(L5&lt;$D$16,$D$13,IF(L5&lt;$E$16,$E$13,$F$13))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$D$13</f>
        <v/>
      </c>
      <c r="T5" s="15">
        <f>RAND()*$G$12</f>
        <v/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IF(L6&lt;$D$16,$D$13,IF(L6&lt;$E$16,$E$13,$F$13))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$D$13</f>
        <v/>
      </c>
      <c r="T6" s="15">
        <f>RAND()*$G$12</f>
        <v/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IF(L7&lt;$D$16,$D$13,IF(L7&lt;$E$16,$E$13,$F$13))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$D$13</f>
        <v/>
      </c>
      <c r="T7" s="15">
        <f>RAND()*$G$12</f>
        <v/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</row>
    <row r="8">
      <c r="A8" s="19" t="inlineStr">
        <is>
          <t>kr</t>
        </is>
      </c>
      <c r="B8" s="20" t="n">
        <v>0.18</v>
      </c>
      <c r="E8" s="20" t="n">
        <v>0.18</v>
      </c>
      <c r="G8" s="20" t="n">
        <v>0.22803</v>
      </c>
      <c r="L8" s="15" t="n">
        <v>6</v>
      </c>
      <c r="M8" s="15">
        <f>IF(L8&lt;$D$16,$D$13,IF(L8&lt;$E$16,$E$13,$F$13))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$D$13</f>
        <v/>
      </c>
      <c r="T8" s="15">
        <f>RAND()*$G$12</f>
        <v/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</row>
    <row r="9">
      <c r="A9" s="19" t="inlineStr">
        <is>
          <t>Ti</t>
        </is>
      </c>
      <c r="B9" s="20" t="n">
        <v>27.5</v>
      </c>
      <c r="E9" s="20" t="n">
        <v>27.5</v>
      </c>
      <c r="G9" s="20" t="n">
        <v>36.184</v>
      </c>
      <c r="L9" s="15" t="n">
        <v>7</v>
      </c>
      <c r="M9" s="15">
        <f>IF(L9&lt;$D$16,$D$13,IF(L9&lt;$E$16,$E$13,$F$13))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$D$13</f>
        <v/>
      </c>
      <c r="T9" s="15">
        <f>RAND()*$G$12</f>
        <v/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</row>
    <row r="10" ht="15" customHeight="1" thickBot="1">
      <c r="A10" s="23" t="inlineStr">
        <is>
          <t>Td</t>
        </is>
      </c>
      <c r="B10" s="24" t="n">
        <v>10</v>
      </c>
      <c r="E10" s="24" t="n">
        <v>10</v>
      </c>
      <c r="G10" s="24" t="n">
        <v>11.157</v>
      </c>
      <c r="L10" s="15" t="n">
        <v>8</v>
      </c>
      <c r="M10" s="15">
        <f>IF(L10&lt;$D$16,$D$13,IF(L10&lt;$E$16,$E$13,$F$13))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$D$13</f>
        <v/>
      </c>
      <c r="T10" s="15">
        <f>RAND()*$G$12</f>
        <v/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IF(L11&lt;$D$16,$D$13,IF(L11&lt;$E$16,$E$13,$F$13))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$D$13</f>
        <v/>
      </c>
      <c r="T11" s="15">
        <f>RAND()*$G$12</f>
        <v/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32</v>
      </c>
      <c r="L12" s="15" t="n">
        <v>10</v>
      </c>
      <c r="M12" s="15">
        <f>IF(L12&lt;$D$16,$D$13,IF(L12&lt;$E$16,$E$13,$F$13))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$D$13</f>
        <v/>
      </c>
      <c r="T12" s="15">
        <f>RAND()*$G$12</f>
        <v/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</row>
    <row r="13"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IF(L13&lt;$D$16,$D$13,IF(L13&lt;$E$16,$E$13,$F$13))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$D$13</f>
        <v/>
      </c>
      <c r="T13" s="15">
        <f>RAND()*$G$12</f>
        <v/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</row>
    <row r="14">
      <c r="L14" s="15" t="n">
        <v>12</v>
      </c>
      <c r="M14" s="15">
        <f>IF(L14&lt;$D$16,$D$13,IF(L14&lt;$E$16,$E$13,$F$13))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$D$13</f>
        <v/>
      </c>
      <c r="T14" s="15">
        <f>RAND()*$G$12</f>
        <v/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</row>
    <row r="15">
      <c r="L15" s="15" t="n">
        <v>13</v>
      </c>
      <c r="M15" s="15">
        <f>IF(L15&lt;$D$16,$D$13,IF(L15&lt;$E$16,$E$13,$F$13))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$D$13</f>
        <v/>
      </c>
      <c r="T15" s="15">
        <f>RAND()*$G$12</f>
        <v/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IF(L16&lt;$D$16,$D$13,IF(L16&lt;$E$16,$E$13,$F$13))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$D$13</f>
        <v/>
      </c>
      <c r="T16" s="15">
        <f>RAND()*$G$12</f>
        <v/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</row>
    <row r="17">
      <c r="L17" s="15" t="n">
        <v>15</v>
      </c>
      <c r="M17" s="15">
        <f>IF(L17&lt;$D$16,$D$13,IF(L17&lt;$E$16,$E$13,$F$13))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$D$13</f>
        <v/>
      </c>
      <c r="T17" s="15">
        <f>RAND()*$G$12</f>
        <v/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</row>
    <row r="18">
      <c r="L18" s="15" t="n">
        <v>16</v>
      </c>
      <c r="M18" s="15">
        <f>IF(L18&lt;$D$16,$D$13,IF(L18&lt;$E$16,$E$13,$F$13))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$D$13</f>
        <v/>
      </c>
      <c r="T18" s="15">
        <f>RAND()*$G$12</f>
        <v/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</row>
    <row r="19">
      <c r="L19" s="15" t="n">
        <v>17</v>
      </c>
      <c r="M19" s="15">
        <f>IF(L19&lt;$D$16,$D$13,IF(L19&lt;$E$16,$E$13,$F$13))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$D$13</f>
        <v/>
      </c>
      <c r="T19" s="15">
        <f>RAND()*$G$12</f>
        <v/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</row>
    <row r="20">
      <c r="L20" s="15" t="n">
        <v>18</v>
      </c>
      <c r="M20" s="15">
        <f>IF(L20&lt;$D$16,$D$13,IF(L20&lt;$E$16,$E$13,$F$13))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$D$13</f>
        <v/>
      </c>
      <c r="T20" s="15">
        <f>RAND()*$G$12</f>
        <v/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</row>
    <row r="21">
      <c r="L21" s="15" t="n">
        <v>19</v>
      </c>
      <c r="M21" s="15">
        <f>IF(L21&lt;$D$16,$D$13,IF(L21&lt;$E$16,$E$13,$F$13))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$D$13</f>
        <v/>
      </c>
      <c r="T21" s="15">
        <f>RAND()*$G$12</f>
        <v/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</row>
    <row r="22">
      <c r="L22" s="15" t="n">
        <v>20</v>
      </c>
      <c r="M22" s="15" t="n">
        <v>1</v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$D$13</f>
        <v/>
      </c>
      <c r="T22" s="15">
        <f>RAND()*$G$12</f>
        <v/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</row>
    <row r="23">
      <c r="L23" s="15" t="n">
        <v>21</v>
      </c>
      <c r="M23" s="15" t="n">
        <v>1</v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$D$13</f>
        <v/>
      </c>
      <c r="T23" s="15">
        <f>RAND()*$G$12</f>
        <v/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</row>
    <row r="24">
      <c r="L24" s="15" t="n">
        <v>22</v>
      </c>
      <c r="M24" s="15" t="n">
        <v>1</v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$D$13</f>
        <v/>
      </c>
      <c r="T24" s="15">
        <f>RAND()*$G$12</f>
        <v/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</row>
    <row r="25">
      <c r="L25" s="15" t="n">
        <v>23</v>
      </c>
      <c r="M25" s="15" t="n">
        <v>1</v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$D$13</f>
        <v/>
      </c>
      <c r="T25" s="15">
        <f>RAND()*$G$12</f>
        <v/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</row>
    <row r="26">
      <c r="L26" s="15" t="n">
        <v>24</v>
      </c>
      <c r="M26" s="15" t="n">
        <v>1</v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$D$13</f>
        <v/>
      </c>
      <c r="T26" s="15">
        <f>RAND()*$G$12</f>
        <v/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</row>
    <row r="27">
      <c r="L27" s="15" t="n">
        <v>25</v>
      </c>
      <c r="M27" s="15" t="n">
        <v>1</v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$D$13</f>
        <v/>
      </c>
      <c r="T27" s="15">
        <f>RAND()*$G$12</f>
        <v/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</row>
    <row r="28">
      <c r="L28" s="15" t="n">
        <v>26</v>
      </c>
      <c r="M28" s="15" t="n">
        <v>1</v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$D$13</f>
        <v/>
      </c>
      <c r="T28" s="15">
        <f>RAND()*$G$12</f>
        <v/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</row>
    <row r="29">
      <c r="L29" s="15" t="n">
        <v>27</v>
      </c>
      <c r="M29" s="15" t="n">
        <v>1</v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$D$13</f>
        <v/>
      </c>
      <c r="T29" s="15">
        <f>RAND()*$G$12</f>
        <v/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</row>
    <row r="30">
      <c r="L30" s="15" t="n">
        <v>28</v>
      </c>
      <c r="M30" s="15" t="n">
        <v>1</v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$D$13</f>
        <v/>
      </c>
      <c r="T30" s="15">
        <f>RAND()*$G$12</f>
        <v/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</row>
    <row r="31">
      <c r="L31" s="15" t="n">
        <v>29</v>
      </c>
      <c r="M31" s="15" t="n">
        <v>1</v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$D$13</f>
        <v/>
      </c>
      <c r="T31" s="15">
        <f>RAND()*$G$12</f>
        <v/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</row>
    <row r="32">
      <c r="L32" s="15" t="n">
        <v>30</v>
      </c>
      <c r="M32" s="15" t="n">
        <v>1</v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$D$13</f>
        <v/>
      </c>
      <c r="T32" s="15">
        <f>RAND()*$G$12</f>
        <v/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</row>
    <row r="33">
      <c r="L33" s="15" t="n">
        <v>31</v>
      </c>
      <c r="M33" s="15" t="n">
        <v>1</v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$D$13</f>
        <v/>
      </c>
      <c r="T33" s="15">
        <f>RAND()*$G$12</f>
        <v/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</row>
    <row r="34">
      <c r="L34" s="15" t="n">
        <v>32</v>
      </c>
      <c r="M34" s="15" t="n">
        <v>1</v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$D$13</f>
        <v/>
      </c>
      <c r="T34" s="15">
        <f>RAND()*$G$12</f>
        <v/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</row>
    <row r="35">
      <c r="L35" s="15" t="n">
        <v>33</v>
      </c>
      <c r="M35" s="15" t="n">
        <v>1</v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$D$13</f>
        <v/>
      </c>
      <c r="T35" s="15">
        <f>RAND()*$G$12</f>
        <v/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</row>
    <row r="36">
      <c r="L36" s="15" t="n">
        <v>34</v>
      </c>
      <c r="M36" s="15" t="n">
        <v>1</v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$D$13</f>
        <v/>
      </c>
      <c r="T36" s="15">
        <f>RAND()*$G$12</f>
        <v/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</row>
    <row r="37">
      <c r="L37" s="15" t="n">
        <v>35</v>
      </c>
      <c r="M37" s="15" t="n">
        <v>1</v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$D$13</f>
        <v/>
      </c>
      <c r="T37" s="15">
        <f>RAND()*$G$12</f>
        <v/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</row>
    <row r="38">
      <c r="L38" s="15" t="n">
        <v>36</v>
      </c>
      <c r="M38" s="15" t="n">
        <v>1</v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$D$13</f>
        <v/>
      </c>
      <c r="T38" s="15">
        <f>RAND()*$G$12</f>
        <v/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</row>
    <row r="39">
      <c r="L39" s="15" t="n">
        <v>37</v>
      </c>
      <c r="M39" s="15" t="n">
        <v>1</v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$D$13</f>
        <v/>
      </c>
      <c r="T39" s="15">
        <f>RAND()*$G$12</f>
        <v/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</row>
    <row r="40">
      <c r="L40" s="15" t="n">
        <v>38</v>
      </c>
      <c r="M40" s="15" t="n">
        <v>1</v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$D$13</f>
        <v/>
      </c>
      <c r="T40" s="15">
        <f>RAND()*$G$12</f>
        <v/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</row>
    <row r="41">
      <c r="L41" s="15" t="n">
        <v>39</v>
      </c>
      <c r="M41" s="15" t="n">
        <v>1</v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$D$13</f>
        <v/>
      </c>
      <c r="T41" s="15">
        <f>RAND()*$G$12</f>
        <v/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</row>
    <row r="42">
      <c r="L42" s="15" t="n">
        <v>40</v>
      </c>
      <c r="M42" s="15">
        <f>IF(L42&lt;$D$16,$D$13,IF(L42&lt;$E$16,$E$13,$F$13))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$D$13</f>
        <v/>
      </c>
      <c r="T42" s="15">
        <f>RAND()*$G$12</f>
        <v/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</row>
    <row r="43">
      <c r="L43" s="15" t="n">
        <v>41</v>
      </c>
      <c r="M43" s="15">
        <f>IF(L43&lt;$D$16,$D$13,IF(L43&lt;$E$16,$E$13,$F$13))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$D$13</f>
        <v/>
      </c>
      <c r="T43" s="15">
        <f>RAND()*$G$12</f>
        <v/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</row>
    <row r="44">
      <c r="L44" s="15" t="n">
        <v>42</v>
      </c>
      <c r="M44" s="15">
        <f>IF(L44&lt;$D$16,$D$13,IF(L44&lt;$E$16,$E$13,$F$13))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>
        <f>RAND()*$G$12</f>
        <v/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</row>
    <row r="45">
      <c r="L45" s="15" t="n">
        <v>43</v>
      </c>
      <c r="M45" s="15">
        <f>IF(L45&lt;$D$16,$D$13,IF(L45&lt;$E$16,$E$13,$F$13))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>
        <f>RAND()*$G$12</f>
        <v/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</row>
    <row r="46">
      <c r="L46" s="15" t="n">
        <v>44</v>
      </c>
      <c r="M46" s="15">
        <f>IF(L46&lt;$D$16,$D$13,IF(L46&lt;$E$16,$E$13,$F$13))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>
        <f>RAND()*$G$12</f>
        <v/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</row>
    <row r="47">
      <c r="L47" s="15" t="n">
        <v>45</v>
      </c>
      <c r="M47" s="15">
        <f>IF(L47&lt;$D$16,$D$13,IF(L47&lt;$E$16,$E$13,$F$13))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>
        <f>RAND()*$G$12</f>
        <v/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</row>
    <row r="48">
      <c r="L48" s="15" t="n">
        <v>46</v>
      </c>
      <c r="M48" s="15">
        <f>IF(L48&lt;$D$16,$D$13,IF(L48&lt;$E$16,$E$13,$F$13))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>
        <f>RAND()*$G$12</f>
        <v/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</row>
    <row r="49">
      <c r="L49" s="15" t="n">
        <v>47</v>
      </c>
      <c r="M49" s="15">
        <f>IF(L49&lt;$D$16,$D$13,IF(L49&lt;$E$16,$E$13,$F$13))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>
        <f>RAND()*$G$12</f>
        <v/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</row>
    <row r="50">
      <c r="L50" s="15" t="n">
        <v>48</v>
      </c>
      <c r="M50" s="15">
        <f>IF(L50&lt;$D$16,$D$13,IF(L50&lt;$E$16,$E$13,$F$13))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>
        <f>RAND()*$G$12</f>
        <v/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</row>
    <row r="51">
      <c r="L51" s="15" t="n">
        <v>49</v>
      </c>
      <c r="M51" s="15">
        <f>IF(L51&lt;$D$16,$D$13,IF(L51&lt;$E$16,$E$13,$F$13))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>
        <f>RAND()*$G$12</f>
        <v/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</row>
    <row r="52">
      <c r="L52" s="15" t="n">
        <v>50</v>
      </c>
      <c r="M52" s="15">
        <f>IF(L52&lt;$D$16,$D$13,IF(L52&lt;$E$16,$E$13,$F$13))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>
        <f>RAND()*$G$12</f>
        <v/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</row>
    <row r="53">
      <c r="L53" s="15" t="n">
        <v>51</v>
      </c>
      <c r="M53" s="15">
        <f>IF(L53&lt;$D$16,$D$13,IF(L53&lt;$E$16,$E$13,$F$13))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>
        <f>RAND()*$G$12</f>
        <v/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</row>
    <row r="54">
      <c r="L54" s="15" t="n">
        <v>52</v>
      </c>
      <c r="M54" s="15">
        <f>IF(L54&lt;$D$16,$D$13,IF(L54&lt;$E$16,$E$13,$F$13))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>
        <f>RAND()*$G$12</f>
        <v/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</row>
    <row r="55">
      <c r="L55" s="15" t="n">
        <v>53</v>
      </c>
      <c r="M55" s="15">
        <f>IF(L55&lt;$D$16,$D$13,IF(L55&lt;$E$16,$E$13,$F$13))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>
        <f>RAND()*$G$12</f>
        <v/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</row>
    <row r="56">
      <c r="L56" s="15" t="n">
        <v>54</v>
      </c>
      <c r="M56" s="15">
        <f>IF(L56&lt;$D$16,$D$13,IF(L56&lt;$E$16,$E$13,$F$13))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>
        <f>RAND()*$G$12</f>
        <v/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</row>
    <row r="57">
      <c r="L57" s="15" t="n">
        <v>55</v>
      </c>
      <c r="M57" s="15">
        <f>IF(L57&lt;$D$16,$D$13,IF(L57&lt;$E$16,$E$13,$F$13))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>
        <f>RAND()*$G$12</f>
        <v/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</row>
    <row r="58">
      <c r="L58" s="15" t="n">
        <v>56</v>
      </c>
      <c r="M58" s="15">
        <f>IF(L58&lt;$D$16,$D$13,IF(L58&lt;$E$16,$E$13,$F$13))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>
        <f>RAND()*$G$12</f>
        <v/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</row>
    <row r="59">
      <c r="L59" s="15" t="n">
        <v>57</v>
      </c>
      <c r="M59" s="15">
        <f>IF(L59&lt;$D$16,$D$13,IF(L59&lt;$E$16,$E$13,$F$13))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>
        <f>RAND()*$G$12</f>
        <v/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</row>
    <row r="60">
      <c r="L60" s="15" t="n">
        <v>58</v>
      </c>
      <c r="M60" s="15">
        <f>IF(L60&lt;$D$16,$D$13,IF(L60&lt;$E$16,$E$13,$F$13))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>
        <f>RAND()*$G$12</f>
        <v/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</row>
    <row r="61">
      <c r="L61" s="15" t="n">
        <v>59</v>
      </c>
      <c r="M61" s="15">
        <f>IF(L61&lt;$D$16,$D$13,IF(L61&lt;$E$16,$E$13,$F$13))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>
        <f>RAND()*$G$12</f>
        <v/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</row>
    <row r="62">
      <c r="L62" s="15" t="n">
        <v>60</v>
      </c>
      <c r="M62" s="15">
        <f>IF(L62&lt;$D$16,$D$13,IF(L62&lt;$E$16,$E$13,$F$13))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>
        <f>RAND()*$G$12</f>
        <v/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</row>
    <row r="63">
      <c r="L63" s="15" t="n">
        <v>61</v>
      </c>
      <c r="M63" s="15">
        <f>IF(L63&lt;$D$16,$D$13,IF(L63&lt;$E$16,$E$13,$F$13))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>
        <f>RAND()*$G$12</f>
        <v/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</row>
    <row r="64">
      <c r="L64" s="15" t="n">
        <v>62</v>
      </c>
      <c r="M64" s="15">
        <f>IF(L64&lt;$D$16,$D$13,IF(L64&lt;$E$16,$E$13,$F$13))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>
        <f>RAND()*$G$12</f>
        <v/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</row>
    <row r="65">
      <c r="L65" s="15" t="n">
        <v>63</v>
      </c>
      <c r="M65" s="15">
        <f>IF(L65&lt;$D$16,$D$13,IF(L65&lt;$E$16,$E$13,$F$13))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>
        <f>RAND()*$G$12</f>
        <v/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</row>
    <row r="66">
      <c r="L66" s="15" t="n">
        <v>64</v>
      </c>
      <c r="M66" s="15">
        <f>IF(L66&lt;$D$16,$D$13,IF(L66&lt;$E$16,$E$13,$F$13))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>
        <f>RAND()*$G$12</f>
        <v/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</row>
    <row r="67">
      <c r="L67" s="15" t="n">
        <v>65</v>
      </c>
      <c r="M67" s="15">
        <f>IF(L67&lt;$D$16,$D$13,IF(L67&lt;$E$16,$E$13,$F$13))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>
        <f>RAND()*$G$12</f>
        <v/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</row>
    <row r="68">
      <c r="L68" s="15" t="n">
        <v>66</v>
      </c>
      <c r="M68" s="15">
        <f>IF(L68&lt;$D$16,$D$13,IF(L68&lt;$E$16,$E$13,$F$13))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>
        <f>RAND()*$G$12</f>
        <v/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</row>
    <row r="69">
      <c r="L69" s="15" t="n">
        <v>67</v>
      </c>
      <c r="M69" s="15">
        <f>IF(L69&lt;$D$16,$D$13,IF(L69&lt;$E$16,$E$13,$F$13))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>
        <f>RAND()*$G$12</f>
        <v/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</row>
    <row r="70">
      <c r="L70" s="15" t="n">
        <v>68</v>
      </c>
      <c r="M70" s="15">
        <f>IF(L70&lt;$D$16,$D$13,IF(L70&lt;$E$16,$E$13,$F$13))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>
        <f>RAND()*$G$12</f>
        <v/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</row>
    <row r="71">
      <c r="L71" s="15" t="n">
        <v>69</v>
      </c>
      <c r="M71" s="15">
        <f>IF(L71&lt;$D$16,$D$13,IF(L71&lt;$E$16,$E$13,$F$13))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>
        <f>RAND()*$G$12</f>
        <v/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</row>
    <row r="72">
      <c r="L72" s="15" t="n">
        <v>70</v>
      </c>
      <c r="M72" s="15">
        <f>IF(L72&lt;$D$16,$D$13,IF(L72&lt;$E$16,$E$13,$F$13))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>
        <f>RAND()*$G$12</f>
        <v/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</row>
    <row r="73">
      <c r="L73" s="15" t="n">
        <v>71</v>
      </c>
      <c r="M73" s="15">
        <f>IF(L73&lt;$D$16,$D$13,IF(L73&lt;$E$16,$E$13,$F$13))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>
        <f>RAND()*$G$12</f>
        <v/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</row>
    <row r="74">
      <c r="L74" s="15" t="n">
        <v>72</v>
      </c>
      <c r="M74" s="15">
        <f>IF(L74&lt;$D$16,$D$13,IF(L74&lt;$E$16,$E$13,$F$13))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>
        <f>RAND()*$G$12</f>
        <v/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</row>
    <row r="75">
      <c r="L75" s="15" t="n">
        <v>73</v>
      </c>
      <c r="M75" s="15">
        <f>IF(L75&lt;$D$16,$D$13,IF(L75&lt;$E$16,$E$13,$F$13))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>
        <f>RAND()*$G$12</f>
        <v/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</row>
    <row r="76">
      <c r="L76" s="15" t="n">
        <v>74</v>
      </c>
      <c r="M76" s="15">
        <f>IF(L76&lt;$D$16,$D$13,IF(L76&lt;$E$16,$E$13,$F$13))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>
        <f>RAND()*$G$12</f>
        <v/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</row>
    <row r="77">
      <c r="L77" s="15" t="n">
        <v>75</v>
      </c>
      <c r="M77" s="15">
        <f>IF(L77&lt;$D$16,$D$13,IF(L77&lt;$E$16,$E$13,$F$13))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>
        <f>RAND()*$G$12</f>
        <v/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</row>
    <row r="78">
      <c r="L78" s="15" t="n">
        <v>76</v>
      </c>
      <c r="M78" s="15">
        <f>IF(L78&lt;$D$16,$D$13,IF(L78&lt;$E$16,$E$13,$F$13))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>
        <f>RAND()*$G$12</f>
        <v/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</row>
    <row r="79">
      <c r="L79" s="15" t="n">
        <v>77</v>
      </c>
      <c r="M79" s="15">
        <f>IF(L79&lt;$D$16,$D$13,IF(L79&lt;$E$16,$E$13,$F$13))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>
        <f>RAND()*$G$12</f>
        <v/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</row>
    <row r="80">
      <c r="L80" s="15" t="n">
        <v>78</v>
      </c>
      <c r="M80" s="15">
        <f>IF(L80&lt;$D$16,$D$13,IF(L80&lt;$E$16,$E$13,$F$13))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>
        <f>RAND()*$G$12</f>
        <v/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</row>
    <row r="81">
      <c r="L81" s="15" t="n">
        <v>79</v>
      </c>
      <c r="M81" s="15">
        <f>IF(L81&lt;$D$16,$D$13,IF(L81&lt;$E$16,$E$13,$F$13))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>
        <f>RAND()*$G$12</f>
        <v/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</row>
    <row r="82">
      <c r="L82" s="15" t="n">
        <v>80</v>
      </c>
      <c r="M82" s="15">
        <f>IF(L82&lt;$D$16,$D$13,IF(L82&lt;$E$16,$E$13,$F$13))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>
        <f>RAND()*$G$12</f>
        <v/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</row>
    <row r="83">
      <c r="L83" s="15" t="n">
        <v>81</v>
      </c>
      <c r="M83" s="15">
        <f>IF(L83&lt;$D$16,$D$13,IF(L83&lt;$E$16,$E$13,$F$13))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>
        <f>RAND()*$G$12</f>
        <v/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</row>
    <row r="84">
      <c r="L84" s="15" t="n">
        <v>82</v>
      </c>
      <c r="M84" s="15">
        <f>IF(L84&lt;$D$16,$D$13,IF(L84&lt;$E$16,$E$13,$F$13))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>
        <f>RAND()*$G$12</f>
        <v/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</row>
    <row r="85">
      <c r="L85" s="15" t="n">
        <v>83</v>
      </c>
      <c r="M85" s="15">
        <f>IF(L85&lt;$D$16,$D$13,IF(L85&lt;$E$16,$E$13,$F$13))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>
        <f>RAND()*$G$12</f>
        <v/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</row>
    <row r="86">
      <c r="L86" s="15" t="n">
        <v>84</v>
      </c>
      <c r="M86" s="15">
        <f>IF(L86&lt;$D$16,$D$13,IF(L86&lt;$E$16,$E$13,$F$13))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>
        <f>RAND()*$G$12</f>
        <v/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</row>
    <row r="87">
      <c r="L87" s="15" t="n">
        <v>85</v>
      </c>
      <c r="M87" s="15">
        <f>IF(L87&lt;$D$16,$D$13,IF(L87&lt;$E$16,$E$13,$F$13))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>
        <f>RAND()*$G$12</f>
        <v/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</row>
    <row r="88">
      <c r="L88" s="15" t="n">
        <v>86</v>
      </c>
      <c r="M88" s="15">
        <f>IF(L88&lt;$D$16,$D$13,IF(L88&lt;$E$16,$E$13,$F$13))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>
        <f>RAND()*$G$12</f>
        <v/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</row>
    <row r="89">
      <c r="L89" s="15" t="n">
        <v>87</v>
      </c>
      <c r="M89" s="15">
        <f>IF(L89&lt;$D$16,$D$13,IF(L89&lt;$E$16,$E$13,$F$13))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>
        <f>RAND()*$G$12</f>
        <v/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</row>
    <row r="90">
      <c r="L90" s="15" t="n">
        <v>88</v>
      </c>
      <c r="M90" s="15">
        <f>IF(L90&lt;$D$16,$D$13,IF(L90&lt;$E$16,$E$13,$F$13))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>
        <f>RAND()*$G$12</f>
        <v/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</row>
    <row r="91">
      <c r="L91" s="27" t="n">
        <v>89</v>
      </c>
      <c r="M91" s="15">
        <f>IF(L91&lt;$D$16,$D$13,IF(L91&lt;$E$16,$E$13,$F$13))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>
        <f>RAND()*$G$12</f>
        <v/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27" t="n"/>
    </row>
    <row r="92">
      <c r="L92" s="15" t="n">
        <v>90</v>
      </c>
      <c r="M92" s="15">
        <f>IF(L92&lt;$D$16,$D$13,IF(L92&lt;$E$16,$E$13,$F$13))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>
        <f>RAND()*$G$12</f>
        <v/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</row>
    <row r="93">
      <c r="L93" s="15" t="n">
        <v>91</v>
      </c>
      <c r="M93" s="15">
        <f>IF(L93&lt;$D$16,$D$13,IF(L93&lt;$E$16,$E$13,$F$13))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>
        <f>RAND()*$G$12</f>
        <v/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</row>
    <row r="94">
      <c r="L94" s="15" t="n">
        <v>92</v>
      </c>
      <c r="M94" s="15">
        <f>IF(L94&lt;$D$16,$D$13,IF(L94&lt;$E$16,$E$13,$F$13))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>
        <f>RAND()*$G$12</f>
        <v/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</row>
    <row r="95">
      <c r="L95" s="15" t="n">
        <v>93</v>
      </c>
      <c r="M95" s="15">
        <f>IF(L95&lt;$D$16,$D$13,IF(L95&lt;$E$16,$E$13,$F$13))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>
        <f>RAND()*$G$12</f>
        <v/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</row>
    <row r="96">
      <c r="L96" s="15" t="n">
        <v>94</v>
      </c>
      <c r="M96" s="15">
        <f>IF(L96&lt;$D$16,$D$13,IF(L96&lt;$E$16,$E$13,$F$13))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>
        <f>RAND()*$G$12</f>
        <v/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</row>
    <row r="97">
      <c r="L97" s="15" t="n">
        <v>95</v>
      </c>
      <c r="M97" s="15">
        <f>IF(L97&lt;$D$16,$D$13,IF(L97&lt;$E$16,$E$13,$F$13))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>
        <f>RAND()*$G$12</f>
        <v/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</row>
    <row r="98">
      <c r="L98" s="15" t="n">
        <v>96</v>
      </c>
      <c r="M98" s="15">
        <f>IF(L98&lt;$D$16,$D$13,IF(L98&lt;$E$16,$E$13,$F$13))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>
        <f>RAND()*$G$12</f>
        <v/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</row>
    <row r="99">
      <c r="L99" s="15" t="n">
        <v>97</v>
      </c>
      <c r="M99" s="15">
        <f>IF(L99&lt;$D$16,$D$13,IF(L99&lt;$E$16,$E$13,$F$13))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>
        <f>RAND()*$G$12</f>
        <v/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</row>
    <row r="100">
      <c r="L100" s="15" t="n">
        <v>98</v>
      </c>
      <c r="M100" s="15">
        <f>IF(L100&lt;$D$16,$D$13,IF(L100&lt;$E$16,$E$13,$F$13))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>
        <f>RAND()*$G$12</f>
        <v/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</row>
    <row r="101">
      <c r="L101" s="15" t="n">
        <v>99</v>
      </c>
      <c r="M101" s="15">
        <f>IF(L101&lt;$D$16,$D$13,IF(L101&lt;$E$16,$E$13,$F$13))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>
        <f>RAND()*$G$12</f>
        <v/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</row>
    <row r="102">
      <c r="L102" s="15" t="n">
        <v>100</v>
      </c>
      <c r="M102" s="15">
        <f>IF(L102&lt;$D$16,$D$13,IF(L102&lt;$E$16,$E$13,$F$13))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>
        <f>RAND()*$G$12</f>
        <v/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</row>
    <row r="103">
      <c r="L103" s="15" t="n">
        <v>101</v>
      </c>
      <c r="M103" s="15">
        <f>IF(L103&lt;$D$16,$D$13,IF(L103&lt;$E$16,$E$13,$F$13))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>
        <f>RAND()*$G$12</f>
        <v/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</row>
    <row r="104">
      <c r="L104" s="15" t="n">
        <v>102</v>
      </c>
      <c r="M104" s="15">
        <f>IF(L104&lt;$D$16,$D$13,IF(L104&lt;$E$16,$E$13,$F$13))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>
        <f>RAND()*$G$12</f>
        <v/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</row>
    <row r="105">
      <c r="L105" s="15" t="n">
        <v>103</v>
      </c>
      <c r="M105" s="15">
        <f>IF(L105&lt;$D$16,$D$13,IF(L105&lt;$E$16,$E$13,$F$13))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>
        <f>RAND()*$G$12</f>
        <v/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</row>
    <row r="106">
      <c r="L106" s="15" t="n">
        <v>104</v>
      </c>
      <c r="M106" s="15">
        <f>IF(L106&lt;$D$16,$D$13,IF(L106&lt;$E$16,$E$13,$F$13))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>
        <f>RAND()*$G$12</f>
        <v/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</row>
    <row r="107">
      <c r="L107" s="15" t="n">
        <v>105</v>
      </c>
      <c r="M107" s="15">
        <f>IF(L107&lt;$D$16,$D$13,IF(L107&lt;$E$16,$E$13,$F$13))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>
        <f>RAND()*$G$12</f>
        <v/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</row>
    <row r="108">
      <c r="L108" s="15" t="n">
        <v>106</v>
      </c>
      <c r="M108" s="15">
        <f>IF(L108&lt;$D$16,$D$13,IF(L108&lt;$E$16,$E$13,$F$13))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>
        <f>RAND()*$G$12</f>
        <v/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</row>
    <row r="109">
      <c r="L109" s="15" t="n">
        <v>107</v>
      </c>
      <c r="M109" s="15">
        <f>IF(L109&lt;$D$16,$D$13,IF(L109&lt;$E$16,$E$13,$F$13))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>
        <f>RAND()*$G$12</f>
        <v/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</row>
    <row r="110">
      <c r="L110" s="15" t="n">
        <v>108</v>
      </c>
      <c r="M110" s="15">
        <f>IF(L110&lt;$D$16,$D$13,IF(L110&lt;$E$16,$E$13,$F$13))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>
        <f>RAND()*$G$12</f>
        <v/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</row>
    <row r="111">
      <c r="L111" s="15" t="n">
        <v>109</v>
      </c>
      <c r="M111" s="15">
        <f>IF(L111&lt;$D$16,$D$13,IF(L111&lt;$E$16,$E$13,$F$13))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>
        <f>RAND()*$G$12</f>
        <v/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</row>
    <row r="112">
      <c r="L112" s="15" t="n">
        <v>110</v>
      </c>
      <c r="M112" s="15">
        <f>IF(L112&lt;$D$16,$D$13,IF(L112&lt;$E$16,$E$13,$F$13))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>
        <f>RAND()*$G$12</f>
        <v/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</row>
    <row r="113">
      <c r="L113" s="15" t="n">
        <v>111</v>
      </c>
      <c r="M113" s="15">
        <f>IF(L113&lt;$D$16,$D$13,IF(L113&lt;$E$16,$E$13,$F$13))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>
        <f>RAND()*$G$12</f>
        <v/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</row>
    <row r="114">
      <c r="L114" s="15" t="n">
        <v>112</v>
      </c>
      <c r="M114" s="15">
        <f>IF(L114&lt;$D$16,$D$13,IF(L114&lt;$E$16,$E$13,$F$13))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>
        <f>RAND()*$G$12</f>
        <v/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</row>
    <row r="115">
      <c r="L115" s="15" t="n">
        <v>113</v>
      </c>
      <c r="M115" s="15">
        <f>IF(L115&lt;$D$16,$D$13,IF(L115&lt;$E$16,$E$13,$F$13))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>
        <f>RAND()*$G$12</f>
        <v/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</row>
    <row r="116">
      <c r="L116" s="15" t="n">
        <v>114</v>
      </c>
      <c r="M116" s="15">
        <f>IF(L116&lt;$D$16,$D$13,IF(L116&lt;$E$16,$E$13,$F$13))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>
        <f>RAND()*$G$12</f>
        <v/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</row>
    <row r="117">
      <c r="L117" s="15" t="n">
        <v>115</v>
      </c>
      <c r="M117" s="15">
        <f>IF(L117&lt;$D$16,$D$13,IF(L117&lt;$E$16,$E$13,$F$13))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>
        <f>RAND()*$G$12</f>
        <v/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</row>
    <row r="118">
      <c r="L118" s="15" t="n">
        <v>116</v>
      </c>
      <c r="M118" s="15">
        <f>IF(L118&lt;$D$16,$D$13,IF(L118&lt;$E$16,$E$13,$F$13))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>
        <f>RAND()*$G$12</f>
        <v/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</row>
    <row r="119">
      <c r="L119" s="15" t="n">
        <v>117</v>
      </c>
      <c r="M119" s="15">
        <f>IF(L119&lt;$D$16,$D$13,IF(L119&lt;$E$16,$E$13,$F$13))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>
        <f>RAND()*$G$12</f>
        <v/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</row>
    <row r="120">
      <c r="L120" s="15" t="n">
        <v>118</v>
      </c>
      <c r="M120" s="15">
        <f>IF(L120&lt;$D$16,$D$13,IF(L120&lt;$E$16,$E$13,$F$13))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>
        <f>RAND()*$G$12</f>
        <v/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</row>
    <row r="121">
      <c r="L121" s="15" t="n">
        <v>119</v>
      </c>
      <c r="M121" s="15">
        <f>IF(L121&lt;$D$16,$D$13,IF(L121&lt;$E$16,$E$13,$F$13))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>
        <f>RAND()*$G$12</f>
        <v/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</row>
    <row r="122">
      <c r="L122" s="15" t="n">
        <v>120</v>
      </c>
      <c r="M122" s="15">
        <f>IF(L122&lt;$D$16,$D$13,IF(L122&lt;$E$16,$E$13,$F$13))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>
        <f>RAND()*$G$12</f>
        <v/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</row>
    <row r="123">
      <c r="L123" s="15" t="n">
        <v>121</v>
      </c>
      <c r="M123" s="15">
        <f>IF(L123&lt;$D$16,$D$13,IF(L123&lt;$E$16,$E$13,$F$13))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>
        <f>RAND()*$G$12</f>
        <v/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</row>
    <row r="124">
      <c r="L124" s="15" t="n">
        <v>122</v>
      </c>
      <c r="M124" s="15">
        <f>IF(L124&lt;$D$16,$D$13,IF(L124&lt;$E$16,$E$13,$F$13))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>
        <f>RAND()*$G$12</f>
        <v/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</row>
    <row r="125">
      <c r="L125" s="15" t="n">
        <v>123</v>
      </c>
      <c r="M125" s="15">
        <f>IF(L125&lt;$D$16,$D$13,IF(L125&lt;$E$16,$E$13,$F$13))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>
        <f>RAND()*$G$12</f>
        <v/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</row>
    <row r="126">
      <c r="L126" s="15" t="n">
        <v>124</v>
      </c>
      <c r="M126" s="15">
        <f>IF(L126&lt;$D$16,$D$13,IF(L126&lt;$E$16,$E$13,$F$13))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>
        <f>RAND()*$G$12</f>
        <v/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</row>
    <row r="127">
      <c r="L127" s="15" t="n">
        <v>125</v>
      </c>
      <c r="M127" s="15">
        <f>IF(L127&lt;$D$16,$D$13,IF(L127&lt;$E$16,$E$13,$F$13))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>
        <f>RAND()*$G$12</f>
        <v/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</row>
    <row r="128">
      <c r="L128" s="15" t="n">
        <v>126</v>
      </c>
      <c r="M128" s="15">
        <f>IF(L128&lt;$D$16,$D$13,IF(L128&lt;$E$16,$E$13,$F$13))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>
        <f>RAND()*$G$12</f>
        <v/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</row>
    <row r="129">
      <c r="L129" s="15" t="n">
        <v>127</v>
      </c>
      <c r="M129" s="15">
        <f>IF(L129&lt;$D$16,$D$13,IF(L129&lt;$E$16,$E$13,$F$13))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>
        <f>RAND()*$G$12</f>
        <v/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</row>
    <row r="130">
      <c r="L130" s="15" t="n">
        <v>128</v>
      </c>
      <c r="M130" s="15">
        <f>IF(L130&lt;$D$16,$D$13,IF(L130&lt;$E$16,$E$13,$F$13))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>
        <f>RAND()*$G$12</f>
        <v/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</row>
    <row r="131">
      <c r="L131" s="15" t="n">
        <v>129</v>
      </c>
      <c r="M131" s="15">
        <f>IF(L131&lt;$D$16,$D$13,IF(L131&lt;$E$16,$E$13,$F$13))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>
        <f>RAND()*$G$12</f>
        <v/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</row>
    <row r="132">
      <c r="L132" s="15" t="n">
        <v>130</v>
      </c>
      <c r="M132" s="15">
        <f>IF(L132&lt;$D$16,$D$13,IF(L132&lt;$E$16,$E$13,$F$13))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>
        <f>RAND()*$G$12</f>
        <v/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</row>
    <row r="133">
      <c r="L133" s="15" t="n">
        <v>131</v>
      </c>
      <c r="M133" s="15">
        <f>IF(L133&lt;$D$16,$D$13,IF(L133&lt;$E$16,$E$13,$F$13))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>
        <f>RAND()*$G$12</f>
        <v/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</row>
    <row r="134">
      <c r="L134" s="15" t="n">
        <v>132</v>
      </c>
      <c r="M134" s="15">
        <f>IF(L134&lt;$D$16,$D$13,IF(L134&lt;$E$16,$E$13,$F$13))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>
        <f>RAND()*$G$12</f>
        <v/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</row>
    <row r="135">
      <c r="L135" s="15" t="n">
        <v>133</v>
      </c>
      <c r="M135" s="15">
        <f>IF(L135&lt;$D$16,$D$13,IF(L135&lt;$E$16,$E$13,$F$13))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>
        <f>RAND()*$G$12</f>
        <v/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</row>
    <row r="136">
      <c r="L136" s="15" t="n">
        <v>134</v>
      </c>
      <c r="M136" s="15">
        <f>IF(L136&lt;$D$16,$D$13,IF(L136&lt;$E$16,$E$13,$F$13))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>
        <f>RAND()*$G$12</f>
        <v/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</row>
    <row r="137">
      <c r="L137" s="15" t="n">
        <v>135</v>
      </c>
      <c r="M137" s="15">
        <f>IF(L137&lt;$D$16,$D$13,IF(L137&lt;$E$16,$E$13,$F$13))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>
        <f>RAND()*$G$12</f>
        <v/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</row>
    <row r="138">
      <c r="L138" s="15" t="n">
        <v>136</v>
      </c>
      <c r="M138" s="15">
        <f>IF(L138&lt;$D$16,$D$13,IF(L138&lt;$E$16,$E$13,$F$13))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>
        <f>RAND()*$G$12</f>
        <v/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</row>
    <row r="139">
      <c r="L139" s="15" t="n">
        <v>137</v>
      </c>
      <c r="M139" s="15">
        <f>IF(L139&lt;$D$16,$D$13,IF(L139&lt;$E$16,$E$13,$F$13))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>
        <f>RAND()*$G$12</f>
        <v/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</row>
    <row r="140">
      <c r="L140" s="15" t="n">
        <v>138</v>
      </c>
      <c r="M140" s="15">
        <f>IF(L140&lt;$D$16,$D$13,IF(L140&lt;$E$16,$E$13,$F$13))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>
        <f>RAND()*$G$12</f>
        <v/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</row>
    <row r="141">
      <c r="L141" s="15" t="n">
        <v>139</v>
      </c>
      <c r="M141" s="15">
        <f>IF(L141&lt;$D$16,$D$13,IF(L141&lt;$E$16,$E$13,$F$13))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>
        <f>RAND()*$G$12</f>
        <v/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</row>
    <row r="142">
      <c r="L142" s="15" t="n">
        <v>140</v>
      </c>
      <c r="M142" s="15">
        <f>IF(L142&lt;$D$16,$D$13,IF(L142&lt;$E$16,$E$13,$F$13))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>
        <f>RAND()*$G$12</f>
        <v/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</row>
    <row r="143">
      <c r="L143" s="15" t="n">
        <v>141</v>
      </c>
      <c r="M143" s="15">
        <f>IF(L143&lt;$D$16,$D$13,IF(L143&lt;$E$16,$E$13,$F$13))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>
        <f>RAND()*$G$12</f>
        <v/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</row>
    <row r="144">
      <c r="L144" s="15" t="n">
        <v>142</v>
      </c>
      <c r="M144" s="15">
        <f>IF(L144&lt;$D$16,$D$13,IF(L144&lt;$E$16,$E$13,$F$13))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>
        <f>RAND()*$G$12</f>
        <v/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</row>
    <row r="145">
      <c r="L145" s="15" t="n">
        <v>143</v>
      </c>
      <c r="M145" s="15">
        <f>IF(L145&lt;$D$16,$D$13,IF(L145&lt;$E$16,$E$13,$F$13))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>
        <f>RAND()*$G$12</f>
        <v/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</row>
    <row r="146">
      <c r="L146" s="15" t="n">
        <v>144</v>
      </c>
      <c r="M146" s="15">
        <f>IF(L146&lt;$D$16,$D$13,IF(L146&lt;$E$16,$E$13,$F$13))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>
        <f>RAND()*$G$12</f>
        <v/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</row>
    <row r="147">
      <c r="L147" s="15" t="n">
        <v>145</v>
      </c>
      <c r="M147" s="15">
        <f>IF(L147&lt;$D$16,$D$13,IF(L147&lt;$E$16,$E$13,$F$13))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>
        <f>RAND()*$G$12</f>
        <v/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</row>
    <row r="148">
      <c r="L148" s="15" t="n">
        <v>146</v>
      </c>
      <c r="M148" s="15">
        <f>IF(L148&lt;$D$16,$D$13,IF(L148&lt;$E$16,$E$13,$F$13))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>
        <f>RAND()*$G$12</f>
        <v/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</row>
    <row r="149">
      <c r="L149" s="15" t="n">
        <v>147</v>
      </c>
      <c r="M149" s="15">
        <f>IF(L149&lt;$D$16,$D$13,IF(L149&lt;$E$16,$E$13,$F$13))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>
        <f>RAND()*$G$12</f>
        <v/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</row>
    <row r="150">
      <c r="L150" s="15" t="n">
        <v>148</v>
      </c>
      <c r="M150" s="15">
        <f>IF(L150&lt;$D$16,$D$13,IF(L150&lt;$E$16,$E$13,$F$13))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>
        <f>RAND()*$G$12</f>
        <v/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</row>
    <row r="151">
      <c r="L151" s="15" t="n">
        <v>149</v>
      </c>
      <c r="M151" s="15">
        <f>IF(L151&lt;$D$16,$D$13,IF(L151&lt;$E$16,$E$13,$F$13))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>
        <f>RAND()*$G$12</f>
        <v/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</row>
    <row r="152">
      <c r="L152" s="15" t="n">
        <v>150</v>
      </c>
      <c r="M152" s="15">
        <f>IF(L152&lt;$D$16,$D$13,IF(L152&lt;$E$16,$E$13,$F$13))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>
        <f>RAND()*$G$12</f>
        <v/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</row>
    <row r="153">
      <c r="L153" s="15" t="n">
        <v>151</v>
      </c>
      <c r="M153" s="15">
        <f>IF(L153&lt;$D$16,$D$13,IF(L153&lt;$E$16,$E$13,$F$13))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>
        <f>RAND()*$G$12</f>
        <v/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</row>
    <row r="154">
      <c r="L154" s="15" t="n">
        <v>152</v>
      </c>
      <c r="M154" s="15">
        <f>IF(L154&lt;$D$16,$D$13,IF(L154&lt;$E$16,$E$13,$F$13))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>
        <f>RAND()*$G$12</f>
        <v/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</row>
    <row r="155">
      <c r="L155" s="15" t="n">
        <v>153</v>
      </c>
      <c r="M155" s="15">
        <f>IF(L155&lt;$D$16,$D$13,IF(L155&lt;$E$16,$E$13,$F$13))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>
        <f>RAND()*$G$12</f>
        <v/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</row>
    <row r="156">
      <c r="L156" s="15" t="n">
        <v>154</v>
      </c>
      <c r="M156" s="15">
        <f>IF(L156&lt;$D$16,$D$13,IF(L156&lt;$E$16,$E$13,$F$13))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>
        <f>RAND()*$G$12</f>
        <v/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</row>
    <row r="157">
      <c r="L157" s="15" t="n">
        <v>155</v>
      </c>
      <c r="M157" s="15">
        <f>IF(L157&lt;$D$16,$D$13,IF(L157&lt;$E$16,$E$13,$F$13))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>
        <f>RAND()*$G$12</f>
        <v/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</row>
    <row r="158">
      <c r="L158" s="15" t="n">
        <v>156</v>
      </c>
      <c r="M158" s="15">
        <f>IF(L158&lt;$D$16,$D$13,IF(L158&lt;$E$16,$E$13,$F$13))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>
        <f>RAND()*$G$12</f>
        <v/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</row>
    <row r="159">
      <c r="L159" s="15" t="n">
        <v>157</v>
      </c>
      <c r="M159" s="15">
        <f>IF(L159&lt;$D$16,$D$13,IF(L159&lt;$E$16,$E$13,$F$13))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>
        <f>RAND()*$G$12</f>
        <v/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</row>
    <row r="160">
      <c r="L160" s="15" t="n">
        <v>158</v>
      </c>
      <c r="M160" s="15">
        <f>IF(L160&lt;$D$16,$D$13,IF(L160&lt;$E$16,$E$13,$F$13))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>
        <f>RAND()*$G$12</f>
        <v/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</row>
    <row r="161">
      <c r="L161" s="15" t="n">
        <v>159</v>
      </c>
      <c r="M161" s="15">
        <f>IF(L161&lt;$D$16,$D$13,IF(L161&lt;$E$16,$E$13,$F$13))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>
        <f>RAND()*$G$12</f>
        <v/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</row>
    <row r="162">
      <c r="L162" s="15" t="n">
        <v>160</v>
      </c>
      <c r="M162" s="15">
        <f>IF(L162&lt;$D$16,$D$13,IF(L162&lt;$E$16,$E$13,$F$13))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>
        <f>RAND()*$G$12</f>
        <v/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</row>
    <row r="163">
      <c r="L163" s="15" t="n">
        <v>161</v>
      </c>
      <c r="M163" s="15">
        <f>IF(L163&lt;$D$16,$D$13,IF(L163&lt;$E$16,$E$13,$F$13))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>
        <f>RAND()*$G$12</f>
        <v/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</row>
    <row r="164">
      <c r="L164" s="15" t="n">
        <v>162</v>
      </c>
      <c r="M164" s="15">
        <f>IF(L164&lt;$D$16,$D$13,IF(L164&lt;$E$16,$E$13,$F$13))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>
        <f>RAND()*$G$12</f>
        <v/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</row>
    <row r="165">
      <c r="L165" s="15" t="n">
        <v>163</v>
      </c>
      <c r="M165" s="15">
        <f>IF(L165&lt;$D$16,$D$13,IF(L165&lt;$E$16,$E$13,$F$13))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>
        <f>RAND()*$G$12</f>
        <v/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</row>
    <row r="166">
      <c r="L166" s="15" t="n">
        <v>164</v>
      </c>
      <c r="M166" s="15">
        <f>IF(L166&lt;$D$16,$D$13,IF(L166&lt;$E$16,$E$13,$F$13))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>
        <f>RAND()*$G$12</f>
        <v/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</row>
    <row r="167">
      <c r="L167" s="15" t="n">
        <v>165</v>
      </c>
      <c r="M167" s="15">
        <f>IF(L167&lt;$D$16,$D$13,IF(L167&lt;$E$16,$E$13,$F$13))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>
        <f>RAND()*$G$12</f>
        <v/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</row>
    <row r="168">
      <c r="L168" s="15" t="n">
        <v>166</v>
      </c>
      <c r="M168" s="15">
        <f>IF(L168&lt;$D$16,$D$13,IF(L168&lt;$E$16,$E$13,$F$13))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>
        <f>RAND()*$G$12</f>
        <v/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</row>
    <row r="169">
      <c r="L169" s="15" t="n">
        <v>167</v>
      </c>
      <c r="M169" s="15">
        <f>IF(L169&lt;$D$16,$D$13,IF(L169&lt;$E$16,$E$13,$F$13))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>
        <f>RAND()*$G$12</f>
        <v/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</row>
    <row r="170">
      <c r="L170" s="15" t="n">
        <v>168</v>
      </c>
      <c r="M170" s="15">
        <f>IF(L170&lt;$D$16,$D$13,IF(L170&lt;$E$16,$E$13,$F$13))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>
        <f>RAND()*$G$12</f>
        <v/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</row>
    <row r="171">
      <c r="L171" s="15" t="n">
        <v>169</v>
      </c>
      <c r="M171" s="15">
        <f>IF(L171&lt;$D$16,$D$13,IF(L171&lt;$E$16,$E$13,$F$13))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>
        <f>RAND()*$G$12</f>
        <v/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</row>
    <row r="172">
      <c r="L172" s="15" t="n">
        <v>170</v>
      </c>
      <c r="M172" s="15">
        <f>IF(L172&lt;$D$16,$D$13,IF(L172&lt;$E$16,$E$13,$F$13))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>
        <f>RAND()*$G$12</f>
        <v/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</row>
    <row r="173">
      <c r="L173" s="15" t="n">
        <v>171</v>
      </c>
      <c r="M173" s="15">
        <f>IF(L173&lt;$D$16,$D$13,IF(L173&lt;$E$16,$E$13,$F$13))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>
        <f>RAND()*$G$12</f>
        <v/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</row>
    <row r="174">
      <c r="L174" s="15" t="n">
        <v>172</v>
      </c>
      <c r="M174" s="15">
        <f>IF(L174&lt;$D$16,$D$13,IF(L174&lt;$E$16,$E$13,$F$13))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>
        <f>RAND()*$G$12</f>
        <v/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</row>
    <row r="175">
      <c r="L175" s="15" t="n">
        <v>173</v>
      </c>
      <c r="M175" s="15">
        <f>IF(L175&lt;$D$16,$D$13,IF(L175&lt;$E$16,$E$13,$F$13))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>
        <f>RAND()*$G$12</f>
        <v/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</row>
    <row r="176">
      <c r="L176" s="15" t="n">
        <v>174</v>
      </c>
      <c r="M176" s="15">
        <f>IF(L176&lt;$D$16,$D$13,IF(L176&lt;$E$16,$E$13,$F$13))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>
        <f>RAND()*$G$12</f>
        <v/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</row>
    <row r="177">
      <c r="L177" s="15" t="n">
        <v>175</v>
      </c>
      <c r="M177" s="15">
        <f>IF(L177&lt;$D$16,$D$13,IF(L177&lt;$E$16,$E$13,$F$13))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>
        <f>RAND()*$G$12</f>
        <v/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</row>
    <row r="178">
      <c r="L178" s="15" t="n">
        <v>176</v>
      </c>
      <c r="M178" s="15">
        <f>IF(L178&lt;$D$16,$D$13,IF(L178&lt;$E$16,$E$13,$F$13))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>
        <f>RAND()*$G$12</f>
        <v/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</row>
    <row r="179">
      <c r="L179" s="15" t="n">
        <v>177</v>
      </c>
      <c r="M179" s="15">
        <f>IF(L179&lt;$D$16,$D$13,IF(L179&lt;$E$16,$E$13,$F$13))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>
        <f>RAND()*$G$12</f>
        <v/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</row>
    <row r="180">
      <c r="L180" s="15" t="n">
        <v>178</v>
      </c>
      <c r="M180" s="15">
        <f>IF(L180&lt;$D$16,$D$13,IF(L180&lt;$E$16,$E$13,$F$13))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>
        <f>RAND()*$G$12</f>
        <v/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</row>
    <row r="181">
      <c r="L181" s="15" t="n">
        <v>179</v>
      </c>
      <c r="M181" s="15">
        <f>IF(L181&lt;$D$16,$D$13,IF(L181&lt;$E$16,$E$13,$F$13))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>
        <f>RAND()*$G$12</f>
        <v/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</row>
    <row r="182">
      <c r="L182" s="15" t="n">
        <v>180</v>
      </c>
      <c r="M182" s="15">
        <f>IF(L182&lt;$D$16,$D$13,IF(L182&lt;$E$16,$E$13,$F$13))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>
        <f>RAND()*$G$12</f>
        <v/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</row>
    <row r="183">
      <c r="L183" s="15" t="n">
        <v>181</v>
      </c>
      <c r="M183" s="15">
        <f>IF(L183&lt;$D$16,$D$13,IF(L183&lt;$E$16,$E$13,$F$13))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>
        <f>RAND()*$G$12</f>
        <v/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</row>
    <row r="184">
      <c r="L184" s="15" t="n">
        <v>182</v>
      </c>
      <c r="M184" s="15">
        <f>IF(L184&lt;$D$16,$D$13,IF(L184&lt;$E$16,$E$13,$F$13))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>
        <f>RAND()*$G$12</f>
        <v/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</row>
    <row r="185">
      <c r="L185" s="15" t="n">
        <v>183</v>
      </c>
      <c r="M185" s="15">
        <f>IF(L185&lt;$D$16,$D$13,IF(L185&lt;$E$16,$E$13,$F$13))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>
        <f>RAND()*$G$12</f>
        <v/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</row>
    <row r="186">
      <c r="L186" s="15" t="n">
        <v>184</v>
      </c>
      <c r="M186" s="15">
        <f>IF(L186&lt;$D$16,$D$13,IF(L186&lt;$E$16,$E$13,$F$13))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>
        <f>RAND()*$G$12</f>
        <v/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</row>
    <row r="187">
      <c r="L187" s="15" t="n">
        <v>185</v>
      </c>
      <c r="M187" s="15">
        <f>IF(L187&lt;$D$16,$D$13,IF(L187&lt;$E$16,$E$13,$F$13))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>
        <f>RAND()*$G$12</f>
        <v/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</row>
    <row r="188">
      <c r="L188" s="15" t="n">
        <v>186</v>
      </c>
      <c r="M188" s="15">
        <f>IF(L188&lt;$D$16,$D$13,IF(L188&lt;$E$16,$E$13,$F$13))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>
        <f>RAND()*$G$12</f>
        <v/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</row>
    <row r="189">
      <c r="L189" s="15" t="n">
        <v>187</v>
      </c>
      <c r="M189" s="15">
        <f>IF(L189&lt;$D$16,$D$13,IF(L189&lt;$E$16,$E$13,$F$13))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>
        <f>RAND()*$G$12</f>
        <v/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</row>
    <row r="190">
      <c r="L190" s="15" t="n">
        <v>188</v>
      </c>
      <c r="M190" s="15">
        <f>IF(L190&lt;$D$16,$D$13,IF(L190&lt;$E$16,$E$13,$F$13))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>
        <f>RAND()*$G$12</f>
        <v/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</row>
    <row r="191">
      <c r="L191" s="15" t="n">
        <v>189</v>
      </c>
      <c r="M191" s="15">
        <f>IF(L191&lt;$D$16,$D$13,IF(L191&lt;$E$16,$E$13,$F$13))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>
        <f>RAND()*$G$12</f>
        <v/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</row>
    <row r="192">
      <c r="L192" s="15" t="n">
        <v>190</v>
      </c>
      <c r="M192" s="15">
        <f>IF(L192&lt;$D$16,$D$13,IF(L192&lt;$E$16,$E$13,$F$13))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>
        <f>RAND()*$G$12</f>
        <v/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</row>
    <row r="193">
      <c r="L193" s="15" t="n">
        <v>191</v>
      </c>
      <c r="M193" s="15">
        <f>IF(L193&lt;$D$16,$D$13,IF(L193&lt;$E$16,$E$13,$F$13))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>
        <f>RAND()*$G$12</f>
        <v/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</row>
    <row r="194">
      <c r="L194" s="15" t="n">
        <v>192</v>
      </c>
      <c r="M194" s="15">
        <f>IF(L194&lt;$D$16,$D$13,IF(L194&lt;$E$16,$E$13,$F$13))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>
        <f>RAND()*$G$12</f>
        <v/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</row>
    <row r="195">
      <c r="L195" s="15" t="n">
        <v>193</v>
      </c>
      <c r="M195" s="15">
        <f>IF(L195&lt;$D$16,$D$13,IF(L195&lt;$E$16,$E$13,$F$13))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>
        <f>RAND()*$G$12</f>
        <v/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</row>
    <row r="196">
      <c r="L196" s="15" t="n">
        <v>194</v>
      </c>
      <c r="M196" s="15">
        <f>IF(L196&lt;$D$16,$D$13,IF(L196&lt;$E$16,$E$13,$F$13))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>
        <f>RAND()*$G$12</f>
        <v/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</row>
    <row r="197">
      <c r="L197" s="15" t="n">
        <v>195</v>
      </c>
      <c r="M197" s="15">
        <f>IF(L197&lt;$D$16,$D$13,IF(L197&lt;$E$16,$E$13,$F$13))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>
        <f>RAND()*$G$12</f>
        <v/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</row>
    <row r="198">
      <c r="L198" s="15" t="n">
        <v>196</v>
      </c>
      <c r="M198" s="15">
        <f>IF(L198&lt;$D$16,$D$13,IF(L198&lt;$E$16,$E$13,$F$13))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>
        <f>RAND()*$G$12</f>
        <v/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</row>
    <row r="199">
      <c r="L199" s="15" t="n">
        <v>197</v>
      </c>
      <c r="M199" s="15">
        <f>IF(L199&lt;$D$16,$D$13,IF(L199&lt;$E$16,$E$13,$F$13))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>
        <f>RAND()*$G$12</f>
        <v/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</row>
    <row r="200">
      <c r="L200" s="15" t="n">
        <v>198</v>
      </c>
      <c r="M200" s="15">
        <f>IF(L200&lt;$D$16,$D$13,IF(L200&lt;$E$16,$E$13,$F$13))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>
        <f>RAND()*$G$12</f>
        <v/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</row>
    <row r="201">
      <c r="L201" s="15" t="n">
        <v>199</v>
      </c>
      <c r="M201" s="15">
        <f>IF(L201&lt;$D$16,$D$13,IF(L201&lt;$E$16,$E$13,$F$13))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>
        <f>RAND()*$G$12</f>
        <v/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</row>
    <row r="202">
      <c r="L202" s="15" t="n">
        <v>200</v>
      </c>
      <c r="M202" s="15">
        <f>IF(L202&lt;$D$16,$D$13,IF(L202&lt;$E$16,$E$13,$F$13))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>
        <f>RAND()*$G$12</f>
        <v/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</row>
    <row r="203">
      <c r="L203" s="15" t="n">
        <v>201</v>
      </c>
      <c r="M203" s="15">
        <f>IF(L203&lt;$D$16,$D$13,IF(L203&lt;$E$16,$E$13,$F$13))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>
        <f>RAND()*$G$12</f>
        <v/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</row>
    <row r="204">
      <c r="L204" s="15" t="n">
        <v>202</v>
      </c>
      <c r="M204" s="15">
        <f>IF(L204&lt;$D$16,$D$13,IF(L204&lt;$E$16,$E$13,$F$13))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>
        <f>RAND()*$G$12</f>
        <v/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</row>
    <row r="205">
      <c r="L205" s="15" t="n">
        <v>203</v>
      </c>
      <c r="M205" s="15">
        <f>IF(L205&lt;$D$16,$D$13,IF(L205&lt;$E$16,$E$13,$F$13))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>
        <f>RAND()*$G$12</f>
        <v/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</row>
    <row r="206">
      <c r="L206" s="15" t="n">
        <v>204</v>
      </c>
      <c r="M206" s="15">
        <f>IF(L206&lt;$D$16,$D$13,IF(L206&lt;$E$16,$E$13,$F$13))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>
        <f>RAND()*$G$12</f>
        <v/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</row>
    <row r="207">
      <c r="L207" s="15" t="n">
        <v>205</v>
      </c>
      <c r="M207" s="15">
        <f>IF(L207&lt;$D$16,$D$13,IF(L207&lt;$E$16,$E$13,$F$13))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>
        <f>RAND()*$G$12</f>
        <v/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</row>
    <row r="208">
      <c r="L208" s="15" t="n">
        <v>206</v>
      </c>
      <c r="M208" s="15">
        <f>IF(L208&lt;$D$16,$D$13,IF(L208&lt;$E$16,$E$13,$F$13))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>
        <f>RAND()*$G$12</f>
        <v/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</row>
    <row r="209">
      <c r="L209" s="15" t="n">
        <v>207</v>
      </c>
      <c r="M209" s="15">
        <f>IF(L209&lt;$D$16,$D$13,IF(L209&lt;$E$16,$E$13,$F$13))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>
        <f>RAND()*$G$12</f>
        <v/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</row>
    <row r="210">
      <c r="L210" s="15" t="n">
        <v>208</v>
      </c>
      <c r="M210" s="15">
        <f>IF(L210&lt;$D$16,$D$13,IF(L210&lt;$E$16,$E$13,$F$13))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>
        <f>RAND()*$G$12</f>
        <v/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</row>
    <row r="211">
      <c r="L211" s="15" t="n">
        <v>209</v>
      </c>
      <c r="M211" s="15">
        <f>IF(L211&lt;$D$16,$D$13,IF(L211&lt;$E$16,$E$13,$F$13))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>
        <f>RAND()*$G$12</f>
        <v/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</row>
    <row r="212">
      <c r="L212" s="15" t="n">
        <v>210</v>
      </c>
      <c r="M212" s="15">
        <f>IF(L212&lt;$D$16,$D$13,IF(L212&lt;$E$16,$E$13,$F$13))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>
        <f>RAND()*$G$12</f>
        <v/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</row>
    <row r="213">
      <c r="L213" s="15" t="n">
        <v>211</v>
      </c>
      <c r="M213" s="15">
        <f>IF(L213&lt;$D$16,$D$13,IF(L213&lt;$E$16,$E$13,$F$13))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>
        <f>RAND()*$G$12</f>
        <v/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</row>
    <row r="214">
      <c r="L214" s="15" t="n">
        <v>212</v>
      </c>
      <c r="M214" s="15">
        <f>IF(L214&lt;$D$16,$D$13,IF(L214&lt;$E$16,$E$13,$F$13))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>
        <f>RAND()*$G$12</f>
        <v/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</row>
    <row r="215">
      <c r="L215" s="15" t="n">
        <v>213</v>
      </c>
      <c r="M215" s="15">
        <f>IF(L215&lt;$D$16,$D$13,IF(L215&lt;$E$16,$E$13,$F$13))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>
        <f>RAND()*$G$12</f>
        <v/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</row>
    <row r="216">
      <c r="L216" s="15" t="n">
        <v>214</v>
      </c>
      <c r="M216" s="15">
        <f>IF(L216&lt;$D$16,$D$13,IF(L216&lt;$E$16,$E$13,$F$13))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>
        <f>RAND()*$G$12</f>
        <v/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</row>
    <row r="217">
      <c r="L217" s="15" t="n">
        <v>215</v>
      </c>
      <c r="M217" s="15">
        <f>IF(L217&lt;$D$16,$D$13,IF(L217&lt;$E$16,$E$13,$F$13))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>
        <f>RAND()*$G$12</f>
        <v/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</row>
    <row r="218">
      <c r="L218" s="15" t="n">
        <v>216</v>
      </c>
      <c r="M218" s="15">
        <f>IF(L218&lt;$D$16,$D$13,IF(L218&lt;$E$16,$E$13,$F$13))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>
        <f>RAND()*$G$12</f>
        <v/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</row>
    <row r="219">
      <c r="L219" s="15" t="n">
        <v>217</v>
      </c>
      <c r="M219" s="15">
        <f>IF(L219&lt;$D$16,$D$13,IF(L219&lt;$E$16,$E$13,$F$13))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>
        <f>RAND()*$G$12</f>
        <v/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</row>
    <row r="220">
      <c r="L220" s="15" t="n">
        <v>218</v>
      </c>
      <c r="M220" s="15">
        <f>IF(L220&lt;$D$16,$D$13,IF(L220&lt;$E$16,$E$13,$F$13))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>
        <f>RAND()*$G$12</f>
        <v/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</row>
    <row r="221">
      <c r="L221" s="15" t="n">
        <v>219</v>
      </c>
      <c r="M221" s="15">
        <f>IF(L221&lt;$D$16,$D$13,IF(L221&lt;$E$16,$E$13,$F$13))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>
        <f>RAND()*$G$12</f>
        <v/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</row>
    <row r="222">
      <c r="L222" s="15" t="n">
        <v>220</v>
      </c>
      <c r="M222" s="15">
        <f>IF(L222&lt;$D$16,$D$13,IF(L222&lt;$E$16,$E$13,$F$13))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>
        <f>RAND()*$G$12</f>
        <v/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</row>
    <row r="223">
      <c r="L223" s="15" t="n">
        <v>221</v>
      </c>
      <c r="M223" s="15">
        <f>IF(L223&lt;$D$16,$D$13,IF(L223&lt;$E$16,$E$13,$F$13))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>
        <f>RAND()*$G$12</f>
        <v/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</row>
    <row r="224">
      <c r="L224" s="15" t="n">
        <v>222</v>
      </c>
      <c r="M224" s="15">
        <f>IF(L224&lt;$D$16,$D$13,IF(L224&lt;$E$16,$E$13,$F$13))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>
        <f>RAND()*$G$12</f>
        <v/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</row>
    <row r="225">
      <c r="L225" s="15" t="n">
        <v>223</v>
      </c>
      <c r="M225" s="15">
        <f>IF(L225&lt;$D$16,$D$13,IF(L225&lt;$E$16,$E$13,$F$13))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>
        <f>RAND()*$G$12</f>
        <v/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</row>
    <row r="226">
      <c r="L226" s="15" t="n">
        <v>224</v>
      </c>
      <c r="M226" s="15">
        <f>IF(L226&lt;$D$16,$D$13,IF(L226&lt;$E$16,$E$13,$F$13))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>
        <f>RAND()*$G$12</f>
        <v/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</row>
    <row r="227">
      <c r="L227" s="15" t="n">
        <v>225</v>
      </c>
      <c r="M227" s="15">
        <f>IF(L227&lt;$D$16,$D$13,IF(L227&lt;$E$16,$E$13,$F$13))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>
        <f>RAND()*$G$12</f>
        <v/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</row>
    <row r="228">
      <c r="L228" s="15" t="n">
        <v>226</v>
      </c>
      <c r="M228" s="15">
        <f>IF(L228&lt;$D$16,$D$13,IF(L228&lt;$E$16,$E$13,$F$13))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>
        <f>RAND()*$G$12</f>
        <v/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</row>
    <row r="229">
      <c r="L229" s="15" t="n">
        <v>227</v>
      </c>
      <c r="M229" s="15">
        <f>IF(L229&lt;$D$16,$D$13,IF(L229&lt;$E$16,$E$13,$F$13))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>
        <f>RAND()*$G$12</f>
        <v/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</row>
    <row r="230">
      <c r="L230" s="15" t="n">
        <v>228</v>
      </c>
      <c r="M230" s="15">
        <f>IF(L230&lt;$D$16,$D$13,IF(L230&lt;$E$16,$E$13,$F$13))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>
        <f>RAND()*$G$12</f>
        <v/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</row>
    <row r="231">
      <c r="L231" s="15" t="n">
        <v>229</v>
      </c>
      <c r="M231" s="15">
        <f>IF(L231&lt;$D$16,$D$13,IF(L231&lt;$E$16,$E$13,$F$13))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>
        <f>RAND()*$G$12</f>
        <v/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</row>
    <row r="232">
      <c r="L232" s="15" t="n">
        <v>230</v>
      </c>
      <c r="M232" s="15">
        <f>IF(L232&lt;$D$16,$D$13,IF(L232&lt;$E$16,$E$13,$F$13))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>
        <f>RAND()*$G$12</f>
        <v/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</row>
    <row r="233">
      <c r="L233" s="15" t="n">
        <v>231</v>
      </c>
      <c r="M233" s="15">
        <f>IF(L233&lt;$D$16,$D$13,IF(L233&lt;$E$16,$E$13,$F$13))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>
        <f>RAND()*$G$12</f>
        <v/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</row>
    <row r="234">
      <c r="L234" s="15" t="n">
        <v>232</v>
      </c>
      <c r="M234" s="15">
        <f>IF(L234&lt;$D$16,$D$13,IF(L234&lt;$E$16,$E$13,$F$13))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>
        <f>RAND()*$G$12</f>
        <v/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</row>
    <row r="235">
      <c r="L235" s="15" t="n">
        <v>233</v>
      </c>
      <c r="M235" s="15">
        <f>IF(L235&lt;$D$16,$D$13,IF(L235&lt;$E$16,$E$13,$F$13))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>
        <f>RAND()*$G$12</f>
        <v/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</row>
    <row r="236">
      <c r="L236" s="15" t="n">
        <v>234</v>
      </c>
      <c r="M236" s="15">
        <f>IF(L236&lt;$D$16,$D$13,IF(L236&lt;$E$16,$E$13,$F$13))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>
        <f>RAND()*$G$12</f>
        <v/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</row>
    <row r="237">
      <c r="L237" s="15" t="n">
        <v>235</v>
      </c>
      <c r="M237" s="15">
        <f>IF(L237&lt;$D$16,$D$13,IF(L237&lt;$E$16,$E$13,$F$13))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>
        <f>RAND()*$G$12</f>
        <v/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</row>
    <row r="238">
      <c r="L238" s="15" t="n">
        <v>236</v>
      </c>
      <c r="M238" s="15">
        <f>IF(L238&lt;$D$16,$D$13,IF(L238&lt;$E$16,$E$13,$F$13))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>
        <f>RAND()*$G$12</f>
        <v/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</row>
    <row r="239">
      <c r="L239" s="15" t="n">
        <v>237</v>
      </c>
      <c r="M239" s="15">
        <f>IF(L239&lt;$D$16,$D$13,IF(L239&lt;$E$16,$E$13,$F$13))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>
        <f>RAND()*$G$12</f>
        <v/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</row>
    <row r="240">
      <c r="L240" s="15" t="n">
        <v>238</v>
      </c>
      <c r="M240" s="15">
        <f>IF(L240&lt;$D$16,$D$13,IF(L240&lt;$E$16,$E$13,$F$13))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>
        <f>RAND()*$G$12</f>
        <v/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</row>
    <row r="241">
      <c r="L241" s="15" t="n">
        <v>239</v>
      </c>
      <c r="M241" s="15">
        <f>IF(L241&lt;$D$16,$D$13,IF(L241&lt;$E$16,$E$13,$F$13))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>
        <f>RAND()*$G$12</f>
        <v/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</row>
    <row r="242">
      <c r="L242" s="15" t="n">
        <v>240</v>
      </c>
      <c r="M242" s="15">
        <f>IF(L242&lt;$D$16,$D$13,IF(L242&lt;$E$16,$E$13,$F$13))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>
        <f>RAND()*$G$12</f>
        <v/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</row>
    <row r="243">
      <c r="L243" s="15" t="n">
        <v>241</v>
      </c>
      <c r="M243" s="15">
        <f>IF(L243&lt;$D$16,$D$13,IF(L243&lt;$E$16,$E$13,$F$13))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>
        <f>RAND()*$G$12</f>
        <v/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</row>
    <row r="244">
      <c r="L244" s="15" t="n">
        <v>242</v>
      </c>
      <c r="M244" s="15">
        <f>IF(L244&lt;$D$16,$D$13,IF(L244&lt;$E$16,$E$13,$F$13))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>
        <f>RAND()*$G$12</f>
        <v/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</row>
    <row r="245">
      <c r="L245" s="15" t="n">
        <v>243</v>
      </c>
      <c r="M245" s="15">
        <f>IF(L245&lt;$D$16,$D$13,IF(L245&lt;$E$16,$E$13,$F$13))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>
        <f>RAND()*$G$12</f>
        <v/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</row>
    <row r="246">
      <c r="L246" s="15" t="n">
        <v>244</v>
      </c>
      <c r="M246" s="15">
        <f>IF(L246&lt;$D$16,$D$13,IF(L246&lt;$E$16,$E$13,$F$13))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>
        <f>RAND()*$G$12</f>
        <v/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</row>
    <row r="247">
      <c r="L247" s="15" t="n">
        <v>245</v>
      </c>
      <c r="M247" s="15">
        <f>IF(L247&lt;$D$16,$D$13,IF(L247&lt;$E$16,$E$13,$F$13))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>
        <f>RAND()*$G$12</f>
        <v/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</row>
    <row r="248">
      <c r="L248" s="15" t="n">
        <v>246</v>
      </c>
      <c r="M248" s="15">
        <f>IF(L248&lt;$D$16,$D$13,IF(L248&lt;$E$16,$E$13,$F$13))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>
        <f>RAND()*$G$12</f>
        <v/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</row>
    <row r="249">
      <c r="L249" s="15" t="n">
        <v>247</v>
      </c>
      <c r="M249" s="15">
        <f>IF(L249&lt;$D$16,$D$13,IF(L249&lt;$E$16,$E$13,$F$13))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>
        <f>RAND()*$G$12</f>
        <v/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</row>
    <row r="250">
      <c r="L250" s="15" t="n">
        <v>248</v>
      </c>
      <c r="M250" s="15">
        <f>IF(L250&lt;$D$16,$D$13,IF(L250&lt;$E$16,$E$13,$F$13))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>
        <f>RAND()*$G$12</f>
        <v/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</row>
    <row r="251">
      <c r="L251" s="15" t="n">
        <v>249</v>
      </c>
      <c r="M251" s="15">
        <f>IF(L251&lt;$D$16,$D$13,IF(L251&lt;$E$16,$E$13,$F$13))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>
        <f>RAND()*$G$12</f>
        <v/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</row>
    <row r="252">
      <c r="L252" s="15" t="n">
        <v>250</v>
      </c>
      <c r="M252" s="15">
        <f>IF(L252&lt;$D$16,$D$13,IF(L252&lt;$E$16,$E$13,$F$13))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>
        <f>RAND()*$G$12</f>
        <v/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</row>
    <row r="253">
      <c r="L253" s="15" t="n">
        <v>251</v>
      </c>
      <c r="M253" s="15">
        <f>IF(L253&lt;$D$16,$D$13,IF(L253&lt;$E$16,$E$13,$F$13))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>
        <f>RAND()*$G$12</f>
        <v/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</row>
    <row r="254">
      <c r="L254" s="15" t="n">
        <v>252</v>
      </c>
      <c r="M254" s="15">
        <f>IF(L254&lt;$D$16,$D$13,IF(L254&lt;$E$16,$E$13,$F$13))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>
        <f>RAND()*$G$12</f>
        <v/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</row>
    <row r="255">
      <c r="L255" s="15" t="n">
        <v>253</v>
      </c>
      <c r="M255" s="15">
        <f>IF(L255&lt;$D$16,$D$13,IF(L255&lt;$E$16,$E$13,$F$13))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>
        <f>RAND()*$G$12</f>
        <v/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</row>
    <row r="256">
      <c r="L256" s="15" t="n">
        <v>254</v>
      </c>
      <c r="M256" s="15">
        <f>IF(L256&lt;$D$16,$D$13,IF(L256&lt;$E$16,$E$13,$F$13))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>
        <f>RAND()*$G$12</f>
        <v/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</row>
    <row r="257">
      <c r="L257" s="15" t="n">
        <v>255</v>
      </c>
      <c r="M257" s="15">
        <f>IF(L257&lt;$D$16,$D$13,IF(L257&lt;$E$16,$E$13,$F$13))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>
        <f>RAND()*$G$12</f>
        <v/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</row>
    <row r="258">
      <c r="L258" s="15" t="n">
        <v>256</v>
      </c>
      <c r="M258" s="15">
        <f>IF(L258&lt;$D$16,$D$13,IF(L258&lt;$E$16,$E$13,$F$13))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>
        <f>RAND()*$G$12</f>
        <v/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</row>
    <row r="259">
      <c r="L259" s="15" t="n">
        <v>257</v>
      </c>
      <c r="M259" s="15">
        <f>IF(L259&lt;$D$16,$D$13,IF(L259&lt;$E$16,$E$13,$F$13))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>
        <f>RAND()*$G$12</f>
        <v/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</row>
    <row r="260">
      <c r="L260" s="15" t="n">
        <v>258</v>
      </c>
      <c r="M260" s="15">
        <f>IF(L260&lt;$D$16,$D$13,IF(L260&lt;$E$16,$E$13,$F$13))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>
        <f>RAND()*$G$12</f>
        <v/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</row>
    <row r="261">
      <c r="L261" s="15" t="n">
        <v>259</v>
      </c>
      <c r="M261" s="15">
        <f>IF(L261&lt;$D$16,$D$13,IF(L261&lt;$E$16,$E$13,$F$13))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>
        <f>RAND()*$G$12</f>
        <v/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</row>
    <row r="262">
      <c r="L262" s="15" t="n">
        <v>260</v>
      </c>
      <c r="M262" s="15">
        <f>IF(L262&lt;$D$16,$D$13,IF(L262&lt;$E$16,$E$13,$F$13))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>
        <f>RAND()*$G$12</f>
        <v/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</row>
    <row r="263">
      <c r="L263" s="15" t="n">
        <v>261</v>
      </c>
      <c r="M263" s="15">
        <f>IF(L263&lt;$D$16,$D$13,IF(L263&lt;$E$16,$E$13,$F$13))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>
        <f>RAND()*$G$12</f>
        <v/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</row>
    <row r="264">
      <c r="L264" s="15" t="n">
        <v>262</v>
      </c>
      <c r="M264" s="15">
        <f>IF(L264&lt;$D$16,$D$13,IF(L264&lt;$E$16,$E$13,$F$13))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>
        <f>RAND()*$G$12</f>
        <v/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</row>
    <row r="265">
      <c r="L265" s="15" t="n">
        <v>263</v>
      </c>
      <c r="M265" s="15">
        <f>IF(L265&lt;$D$16,$D$13,IF(L265&lt;$E$16,$E$13,$F$13))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>
        <f>RAND()*$G$12</f>
        <v/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</row>
    <row r="266">
      <c r="L266" s="15" t="n">
        <v>264</v>
      </c>
      <c r="M266" s="15">
        <f>IF(L266&lt;$D$16,$D$13,IF(L266&lt;$E$16,$E$13,$F$13))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>
        <f>RAND()*$G$12</f>
        <v/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</row>
    <row r="267">
      <c r="L267" s="15" t="n">
        <v>265</v>
      </c>
      <c r="M267" s="15">
        <f>IF(L267&lt;$D$16,$D$13,IF(L267&lt;$E$16,$E$13,$F$13))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>
        <f>RAND()*$G$12</f>
        <v/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</row>
    <row r="268">
      <c r="L268" s="15" t="n">
        <v>266</v>
      </c>
      <c r="M268" s="15">
        <f>IF(L268&lt;$D$16,$D$13,IF(L268&lt;$E$16,$E$13,$F$13))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>
        <f>RAND()*$G$12</f>
        <v/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</row>
    <row r="269">
      <c r="L269" s="15" t="n">
        <v>267</v>
      </c>
      <c r="M269" s="15">
        <f>IF(L269&lt;$D$16,$D$13,IF(L269&lt;$E$16,$E$13,$F$13))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>
        <f>RAND()*$G$12</f>
        <v/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</row>
    <row r="270">
      <c r="L270" s="15" t="n">
        <v>268</v>
      </c>
      <c r="M270" s="15">
        <f>IF(L270&lt;$D$16,$D$13,IF(L270&lt;$E$16,$E$13,$F$13))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>
        <f>RAND()*$G$12</f>
        <v/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</row>
    <row r="271">
      <c r="L271" s="15" t="n">
        <v>269</v>
      </c>
      <c r="M271" s="15">
        <f>IF(L271&lt;$D$16,$D$13,IF(L271&lt;$E$16,$E$13,$F$13))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>
        <f>RAND()*$G$12</f>
        <v/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</row>
    <row r="272">
      <c r="L272" s="15" t="n">
        <v>270</v>
      </c>
      <c r="M272" s="15">
        <f>IF(L272&lt;$D$16,$D$13,IF(L272&lt;$E$16,$E$13,$F$13))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>
        <f>RAND()*$G$12</f>
        <v/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</row>
    <row r="273">
      <c r="L273" s="15" t="n">
        <v>271</v>
      </c>
      <c r="M273" s="15">
        <f>IF(L273&lt;$D$16,$D$13,IF(L273&lt;$E$16,$E$13,$F$13))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>
        <f>RAND()*$G$12</f>
        <v/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</row>
    <row r="274">
      <c r="L274" s="15" t="n">
        <v>272</v>
      </c>
      <c r="M274" s="15">
        <f>IF(L274&lt;$D$16,$D$13,IF(L274&lt;$E$16,$E$13,$F$13))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>
        <f>RAND()*$G$12</f>
        <v/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</row>
    <row r="275">
      <c r="L275" s="15" t="n">
        <v>273</v>
      </c>
      <c r="M275" s="15">
        <f>IF(L275&lt;$D$16,$D$13,IF(L275&lt;$E$16,$E$13,$F$13))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>
        <f>RAND()*$G$12</f>
        <v/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</row>
    <row r="276">
      <c r="L276" s="15" t="n">
        <v>274</v>
      </c>
      <c r="M276" s="15">
        <f>IF(L276&lt;$D$16,$D$13,IF(L276&lt;$E$16,$E$13,$F$13))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>
        <f>RAND()*$G$12</f>
        <v/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</row>
    <row r="277">
      <c r="L277" s="15" t="n">
        <v>275</v>
      </c>
      <c r="M277" s="15">
        <f>IF(L277&lt;$D$16,$D$13,IF(L277&lt;$E$16,$E$13,$F$13))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>
        <f>RAND()*$G$12</f>
        <v/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</row>
    <row r="278">
      <c r="L278" s="15" t="n">
        <v>276</v>
      </c>
      <c r="M278" s="15">
        <f>IF(L278&lt;$D$16,$D$13,IF(L278&lt;$E$16,$E$13,$F$13))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>
        <f>RAND()*$G$12</f>
        <v/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</row>
    <row r="279">
      <c r="L279" s="15" t="n">
        <v>277</v>
      </c>
      <c r="M279" s="15">
        <f>IF(L279&lt;$D$16,$D$13,IF(L279&lt;$E$16,$E$13,$F$13))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>
        <f>RAND()*$G$12</f>
        <v/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</row>
    <row r="280">
      <c r="L280" s="15" t="n">
        <v>278</v>
      </c>
      <c r="M280" s="15">
        <f>IF(L280&lt;$D$16,$D$13,IF(L280&lt;$E$16,$E$13,$F$13))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>
        <f>RAND()*$G$12</f>
        <v/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</row>
    <row r="281">
      <c r="L281" s="15" t="n">
        <v>279</v>
      </c>
      <c r="M281" s="15">
        <f>IF(L281&lt;$D$16,$D$13,IF(L281&lt;$E$16,$E$13,$F$13))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>
        <f>RAND()*$G$12</f>
        <v/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</row>
    <row r="282">
      <c r="L282" s="15" t="n">
        <v>280</v>
      </c>
      <c r="M282" s="15">
        <f>IF(L282&lt;$D$16,$D$13,IF(L282&lt;$E$16,$E$13,$F$13))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>
        <f>RAND()*$G$12</f>
        <v/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</row>
    <row r="283">
      <c r="L283" s="15" t="n">
        <v>281</v>
      </c>
      <c r="M283" s="15">
        <f>IF(L283&lt;$D$16,$D$13,IF(L283&lt;$E$16,$E$13,$F$13))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>
        <f>RAND()*$G$12</f>
        <v/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</row>
    <row r="284">
      <c r="L284" s="15" t="n">
        <v>282</v>
      </c>
      <c r="M284" s="15">
        <f>IF(L284&lt;$D$16,$D$13,IF(L284&lt;$E$16,$E$13,$F$13))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>
        <f>RAND()*$G$12</f>
        <v/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</row>
    <row r="285">
      <c r="L285" s="15" t="n">
        <v>283</v>
      </c>
      <c r="M285" s="15">
        <f>IF(L285&lt;$D$16,$D$13,IF(L285&lt;$E$16,$E$13,$F$13))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>
        <f>RAND()*$G$12</f>
        <v/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</row>
    <row r="286">
      <c r="L286" s="15" t="n">
        <v>284</v>
      </c>
      <c r="M286" s="15">
        <f>IF(L286&lt;$D$16,$D$13,IF(L286&lt;$E$16,$E$13,$F$13))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>
        <f>RAND()*$G$12</f>
        <v/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</row>
    <row r="287">
      <c r="L287" s="15" t="n">
        <v>285</v>
      </c>
      <c r="M287" s="15">
        <f>IF(L287&lt;$D$16,$D$13,IF(L287&lt;$E$16,$E$13,$F$13))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>
        <f>RAND()*$G$12</f>
        <v/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</row>
    <row r="288">
      <c r="L288" s="15" t="n">
        <v>286</v>
      </c>
      <c r="M288" s="15">
        <f>IF(L288&lt;$D$16,$D$13,IF(L288&lt;$E$16,$E$13,$F$13))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>
        <f>RAND()*$G$12</f>
        <v/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</row>
    <row r="289">
      <c r="L289" s="15" t="n">
        <v>287</v>
      </c>
      <c r="M289" s="15">
        <f>IF(L289&lt;$D$16,$D$13,IF(L289&lt;$E$16,$E$13,$F$13))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>
        <f>RAND()*$G$12</f>
        <v/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</row>
    <row r="290">
      <c r="L290" s="15" t="n">
        <v>288</v>
      </c>
      <c r="M290" s="15">
        <f>IF(L290&lt;$D$16,$D$13,IF(L290&lt;$E$16,$E$13,$F$13))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>
        <f>RAND()*$G$12</f>
        <v/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</row>
    <row r="291">
      <c r="L291" s="15" t="n">
        <v>289</v>
      </c>
      <c r="M291" s="15">
        <f>IF(L291&lt;$D$16,$D$13,IF(L291&lt;$E$16,$E$13,$F$13))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>
        <f>RAND()*$G$12</f>
        <v/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</row>
    <row r="292">
      <c r="L292" s="15" t="n">
        <v>290</v>
      </c>
      <c r="M292" s="15">
        <f>IF(L292&lt;$D$16,$D$13,IF(L292&lt;$E$16,$E$13,$F$13))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>
        <f>RAND()*$G$12</f>
        <v/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</row>
    <row r="293">
      <c r="L293" s="15" t="n">
        <v>291</v>
      </c>
      <c r="M293" s="15">
        <f>IF(L293&lt;$D$16,$D$13,IF(L293&lt;$E$16,$E$13,$F$13))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>
        <f>RAND()*$G$12</f>
        <v/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</row>
    <row r="294">
      <c r="L294" s="15" t="n">
        <v>292</v>
      </c>
      <c r="M294" s="15">
        <f>IF(L294&lt;$D$16,$D$13,IF(L294&lt;$E$16,$E$13,$F$13))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>
        <f>RAND()*$G$12</f>
        <v/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</row>
    <row r="295">
      <c r="L295" s="15" t="n">
        <v>293</v>
      </c>
      <c r="M295" s="15">
        <f>IF(L295&lt;$D$16,$D$13,IF(L295&lt;$E$16,$E$13,$F$13))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>
        <f>RAND()*$G$12</f>
        <v/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</row>
    <row r="296">
      <c r="L296" s="15" t="n">
        <v>294</v>
      </c>
      <c r="M296" s="15">
        <f>IF(L296&lt;$D$16,$D$13,IF(L296&lt;$E$16,$E$13,$F$13))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>
        <f>RAND()*$G$12</f>
        <v/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</row>
    <row r="297">
      <c r="L297" s="15" t="n">
        <v>295</v>
      </c>
      <c r="M297" s="15">
        <f>IF(L297&lt;$D$16,$D$13,IF(L297&lt;$E$16,$E$13,$F$13))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>
        <f>RAND()*$G$12</f>
        <v/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</row>
    <row r="298">
      <c r="L298" s="15" t="n">
        <v>296</v>
      </c>
      <c r="M298" s="15">
        <f>IF(L298&lt;$D$16,$D$13,IF(L298&lt;$E$16,$E$13,$F$13))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>
        <f>RAND()*$G$12</f>
        <v/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</row>
    <row r="299">
      <c r="L299" s="15" t="n">
        <v>297</v>
      </c>
      <c r="M299" s="15">
        <f>IF(L299&lt;$D$16,$D$13,IF(L299&lt;$E$16,$E$13,$F$13))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>
        <f>RAND()*$G$12</f>
        <v/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</row>
    <row r="300">
      <c r="L300" s="15" t="n">
        <v>298</v>
      </c>
      <c r="M300" s="15">
        <f>IF(L300&lt;$D$16,$D$13,IF(L300&lt;$E$16,$E$13,$F$13))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>
        <f>RAND()*$G$12</f>
        <v/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</row>
    <row r="301">
      <c r="L301" s="15" t="n">
        <v>299</v>
      </c>
      <c r="M301" s="15">
        <f>IF(L301&lt;$D$16,$D$13,IF(L301&lt;$E$16,$E$13,$F$13))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>
        <f>RAND()*$G$12</f>
        <v/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</row>
    <row r="302">
      <c r="L302" s="15" t="n">
        <v>300</v>
      </c>
      <c r="M302" s="15">
        <f>IF(L302&lt;$D$16,$D$13,IF(L302&lt;$E$16,$E$13,$F$13))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>
        <f>$H$12*M302</f>
        <v/>
      </c>
      <c r="R302" s="15">
        <f>P302+Q302</f>
        <v/>
      </c>
      <c r="S302" s="15">
        <f>$I$1*S301-$I$2*S300+$I$3*R281+$I$4*R280</f>
        <v/>
      </c>
      <c r="T302" s="15">
        <f>RAND()*$G$12</f>
        <v/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</row>
    <row r="303">
      <c r="L303" s="15" t="n">
        <v>301</v>
      </c>
      <c r="M303" s="15">
        <f>IF(L303&lt;$D$16,$D$13,IF(L303&lt;$E$16,$E$13,$F$13))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>
        <f>$H$12*M303</f>
        <v/>
      </c>
      <c r="R303" s="15">
        <f>P303+Q303</f>
        <v/>
      </c>
      <c r="S303" s="15">
        <f>$I$1*S302-$I$2*S301+$I$3*R282+$I$4*R281</f>
        <v/>
      </c>
      <c r="T303" s="15">
        <f>RAND()*$G$12</f>
        <v/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</row>
    <row r="304">
      <c r="L304" s="15" t="n">
        <v>302</v>
      </c>
      <c r="M304" s="15">
        <f>IF(L304&lt;$D$16,$D$13,IF(L304&lt;$E$16,$E$13,$F$13))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>
        <f>$H$12*M304</f>
        <v/>
      </c>
      <c r="R304" s="15">
        <f>P304+Q304</f>
        <v/>
      </c>
      <c r="S304" s="15">
        <f>$I$1*S303-$I$2*S302+$I$3*R283+$I$4*R282</f>
        <v/>
      </c>
      <c r="T304" s="15">
        <f>RAND()*$G$12</f>
        <v/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</row>
    <row r="305">
      <c r="L305" s="15" t="n">
        <v>303</v>
      </c>
      <c r="M305" s="15">
        <f>IF(L305&lt;$D$16,$D$13,IF(L305&lt;$E$16,$E$13,$F$13))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>
        <f>$H$12*M305</f>
        <v/>
      </c>
      <c r="R305" s="15">
        <f>P305+Q305</f>
        <v/>
      </c>
      <c r="S305" s="15">
        <f>$I$1*S304-$I$2*S303+$I$3*R284+$I$4*R283</f>
        <v/>
      </c>
      <c r="T305" s="15">
        <f>RAND()*$G$12</f>
        <v/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</row>
    <row r="306">
      <c r="L306" s="15" t="n">
        <v>304</v>
      </c>
      <c r="M306" s="15">
        <f>IF(L306&lt;$D$16,$D$13,IF(L306&lt;$E$16,$E$13,$F$13))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>
        <f>$H$12*M306</f>
        <v/>
      </c>
      <c r="R306" s="15">
        <f>P306+Q306</f>
        <v/>
      </c>
      <c r="S306" s="15">
        <f>$I$1*S305-$I$2*S304+$I$3*R285+$I$4*R284</f>
        <v/>
      </c>
      <c r="T306" s="15">
        <f>RAND()*$G$12</f>
        <v/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</row>
    <row r="307">
      <c r="L307" s="15" t="n">
        <v>305</v>
      </c>
      <c r="M307" s="15">
        <f>IF(L307&lt;$D$16,$D$13,IF(L307&lt;$E$16,$E$13,$F$13))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>
        <f>$H$12*M307</f>
        <v/>
      </c>
      <c r="R307" s="15">
        <f>P307+Q307</f>
        <v/>
      </c>
      <c r="S307" s="15">
        <f>$I$1*S306-$I$2*S305+$I$3*R286+$I$4*R285</f>
        <v/>
      </c>
      <c r="T307" s="15">
        <f>RAND()*$G$12</f>
        <v/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</row>
    <row r="308">
      <c r="L308" s="15" t="n">
        <v>306</v>
      </c>
      <c r="M308" s="15">
        <f>IF(L308&lt;$D$16,$D$13,IF(L308&lt;$E$16,$E$13,$F$13))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>
        <f>$H$12*M308</f>
        <v/>
      </c>
      <c r="R308" s="15">
        <f>P308+Q308</f>
        <v/>
      </c>
      <c r="S308" s="15">
        <f>$I$1*S307-$I$2*S306+$I$3*R287+$I$4*R286</f>
        <v/>
      </c>
      <c r="T308" s="15">
        <f>RAND()*$G$12</f>
        <v/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</row>
    <row r="309">
      <c r="L309" s="15" t="n">
        <v>307</v>
      </c>
      <c r="M309" s="15">
        <f>IF(L309&lt;$D$16,$D$13,IF(L309&lt;$E$16,$E$13,$F$13))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>
        <f>$H$12*M309</f>
        <v/>
      </c>
      <c r="R309" s="15">
        <f>P309+Q309</f>
        <v/>
      </c>
      <c r="S309" s="15">
        <f>$I$1*S308-$I$2*S307+$I$3*R288+$I$4*R287</f>
        <v/>
      </c>
      <c r="T309" s="15">
        <f>RAND()*$G$12</f>
        <v/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</row>
    <row r="310">
      <c r="L310" s="15" t="n">
        <v>308</v>
      </c>
      <c r="M310" s="15">
        <f>IF(L310&lt;$D$16,$D$13,IF(L310&lt;$E$16,$E$13,$F$13))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>
        <f>$H$12*M310</f>
        <v/>
      </c>
      <c r="R310" s="15">
        <f>P310+Q310</f>
        <v/>
      </c>
      <c r="S310" s="15">
        <f>$I$1*S309-$I$2*S308+$I$3*R289+$I$4*R288</f>
        <v/>
      </c>
      <c r="T310" s="15">
        <f>RAND()*$G$12</f>
        <v/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</row>
    <row r="311">
      <c r="L311" s="15" t="n">
        <v>309</v>
      </c>
      <c r="M311" s="15">
        <f>IF(L311&lt;$D$16,$D$13,IF(L311&lt;$E$16,$E$13,$F$13))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>
        <f>$H$12*M311</f>
        <v/>
      </c>
      <c r="R311" s="15">
        <f>P311+Q311</f>
        <v/>
      </c>
      <c r="S311" s="15">
        <f>$I$1*S310-$I$2*S309+$I$3*R290+$I$4*R289</f>
        <v/>
      </c>
      <c r="T311" s="15">
        <f>RAND()*$G$12</f>
        <v/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</row>
    <row r="312">
      <c r="L312" s="15" t="n">
        <v>310</v>
      </c>
      <c r="M312" s="15">
        <f>IF(L312&lt;$D$16,$D$13,IF(L312&lt;$E$16,$E$13,$F$13))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>
        <f>$H$12*M312</f>
        <v/>
      </c>
      <c r="R312" s="15">
        <f>P312+Q312</f>
        <v/>
      </c>
      <c r="S312" s="15">
        <f>$I$1*S311-$I$2*S310+$I$3*R291+$I$4*R290</f>
        <v/>
      </c>
      <c r="T312" s="15">
        <f>RAND()*$G$12</f>
        <v/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</row>
    <row r="313">
      <c r="L313" s="15" t="n">
        <v>311</v>
      </c>
      <c r="M313" s="15">
        <f>IF(L313&lt;$D$16,$D$13,IF(L313&lt;$E$16,$E$13,$F$13))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>
        <f>$H$12*M313</f>
        <v/>
      </c>
      <c r="R313" s="15">
        <f>P313+Q313</f>
        <v/>
      </c>
      <c r="S313" s="15">
        <f>$I$1*S312-$I$2*S311+$I$3*R292+$I$4*R291</f>
        <v/>
      </c>
      <c r="T313" s="15">
        <f>RAND()*$G$12</f>
        <v/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</row>
    <row r="314">
      <c r="L314" s="15" t="n">
        <v>312</v>
      </c>
      <c r="M314" s="15">
        <f>IF(L314&lt;$D$16,$D$13,IF(L314&lt;$E$16,$E$13,$F$13))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>
        <f>$H$12*M314</f>
        <v/>
      </c>
      <c r="R314" s="15">
        <f>P314+Q314</f>
        <v/>
      </c>
      <c r="S314" s="15">
        <f>$I$1*S313-$I$2*S312+$I$3*R293+$I$4*R292</f>
        <v/>
      </c>
      <c r="T314" s="15">
        <f>RAND()*$G$12</f>
        <v/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</row>
    <row r="315">
      <c r="L315" s="15" t="n">
        <v>313</v>
      </c>
      <c r="M315" s="15">
        <f>IF(L315&lt;$D$16,$D$13,IF(L315&lt;$E$16,$E$13,$F$13))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>
        <f>$H$12*M315</f>
        <v/>
      </c>
      <c r="R315" s="15">
        <f>P315+Q315</f>
        <v/>
      </c>
      <c r="S315" s="15">
        <f>$I$1*S314-$I$2*S313+$I$3*R294+$I$4*R293</f>
        <v/>
      </c>
      <c r="T315" s="15">
        <f>RAND()*$G$12</f>
        <v/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</row>
    <row r="316">
      <c r="L316" s="15" t="n">
        <v>314</v>
      </c>
      <c r="M316" s="15">
        <f>IF(L316&lt;$D$16,$D$13,IF(L316&lt;$E$16,$E$13,$F$13))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>
        <f>$H$12*M316</f>
        <v/>
      </c>
      <c r="R316" s="15">
        <f>P316+Q316</f>
        <v/>
      </c>
      <c r="S316" s="15">
        <f>$I$1*S315-$I$2*S314+$I$3*R295+$I$4*R294</f>
        <v/>
      </c>
      <c r="T316" s="15">
        <f>RAND()*$G$12</f>
        <v/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</row>
    <row r="317">
      <c r="L317" s="15" t="n">
        <v>315</v>
      </c>
      <c r="M317" s="15">
        <f>IF(L317&lt;$D$16,$D$13,IF(L317&lt;$E$16,$E$13,$F$13))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>
        <f>$H$12*M317</f>
        <v/>
      </c>
      <c r="R317" s="15">
        <f>P317+Q317</f>
        <v/>
      </c>
      <c r="S317" s="15">
        <f>$I$1*S316-$I$2*S315+$I$3*R296+$I$4*R295</f>
        <v/>
      </c>
      <c r="T317" s="15">
        <f>RAND()*$G$12</f>
        <v/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</row>
    <row r="318">
      <c r="L318" s="15" t="n">
        <v>316</v>
      </c>
      <c r="M318" s="15">
        <f>IF(L318&lt;$D$16,$D$13,IF(L318&lt;$E$16,$E$13,$F$13))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>
        <f>$H$12*M318</f>
        <v/>
      </c>
      <c r="R318" s="15">
        <f>P318+Q318</f>
        <v/>
      </c>
      <c r="S318" s="15">
        <f>$I$1*S317-$I$2*S316+$I$3*R297+$I$4*R296</f>
        <v/>
      </c>
      <c r="T318" s="15">
        <f>RAND()*$G$12</f>
        <v/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</row>
    <row r="319">
      <c r="L319" s="15" t="n">
        <v>317</v>
      </c>
      <c r="M319" s="15">
        <f>IF(L319&lt;$D$16,$D$13,IF(L319&lt;$E$16,$E$13,$F$13))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>
        <f>$H$12*M319</f>
        <v/>
      </c>
      <c r="R319" s="15">
        <f>P319+Q319</f>
        <v/>
      </c>
      <c r="S319" s="15">
        <f>$I$1*S318-$I$2*S317+$I$3*R298+$I$4*R297</f>
        <v/>
      </c>
      <c r="T319" s="15">
        <f>RAND()*$G$12</f>
        <v/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</row>
    <row r="320">
      <c r="L320" s="15" t="n">
        <v>318</v>
      </c>
      <c r="M320" s="15">
        <f>IF(L320&lt;$D$16,$D$13,IF(L320&lt;$E$16,$E$13,$F$13))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>
        <f>$H$12*M320</f>
        <v/>
      </c>
      <c r="R320" s="15">
        <f>P320+Q320</f>
        <v/>
      </c>
      <c r="S320" s="15">
        <f>$I$1*S319-$I$2*S318+$I$3*R299+$I$4*R298</f>
        <v/>
      </c>
      <c r="T320" s="15">
        <f>RAND()*$G$12</f>
        <v/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</row>
    <row r="321">
      <c r="L321" s="15" t="n">
        <v>319</v>
      </c>
      <c r="M321" s="15">
        <f>IF(L321&lt;$D$16,$D$13,IF(L321&lt;$E$16,$E$13,$F$13))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>
        <f>$H$12*M321</f>
        <v/>
      </c>
      <c r="R321" s="15">
        <f>P321+Q321</f>
        <v/>
      </c>
      <c r="S321" s="15">
        <f>$I$1*S320-$I$2*S319+$I$3*R300+$I$4*R299</f>
        <v/>
      </c>
      <c r="T321" s="15">
        <f>RAND()*$G$12</f>
        <v/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</row>
    <row r="322">
      <c r="L322" s="15" t="n">
        <v>320</v>
      </c>
      <c r="M322" s="15">
        <f>IF(L322&lt;$D$16,$D$13,IF(L322&lt;$E$16,$E$13,$F$13))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>
        <f>$H$12*M322</f>
        <v/>
      </c>
      <c r="R322" s="15">
        <f>P322+Q322</f>
        <v/>
      </c>
      <c r="S322" s="15">
        <f>$I$1*S321-$I$2*S320+$I$3*R301+$I$4*R300</f>
        <v/>
      </c>
      <c r="T322" s="15">
        <f>RAND()*$G$12</f>
        <v/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</row>
    <row r="323">
      <c r="L323" s="15" t="n">
        <v>321</v>
      </c>
      <c r="M323" s="15">
        <f>IF(L323&lt;$D$16,$D$13,IF(L323&lt;$E$16,$E$13,$F$13))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>
        <f>RAND()*$G$12</f>
        <v/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</row>
    <row r="324">
      <c r="L324" s="15" t="n">
        <v>322</v>
      </c>
      <c r="M324" s="15">
        <f>IF(L324&lt;$D$16,$D$13,IF(L324&lt;$E$16,$E$13,$F$13))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>
        <f>RAND()*$G$12</f>
        <v/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</row>
    <row r="325">
      <c r="L325" s="15" t="n">
        <v>323</v>
      </c>
      <c r="M325" s="15">
        <f>IF(L325&lt;$D$16,$D$13,IF(L325&lt;$E$16,$E$13,$F$13))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>
        <f>RAND()*$G$12</f>
        <v/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</row>
    <row r="326">
      <c r="L326" s="15" t="n">
        <v>324</v>
      </c>
      <c r="M326" s="15">
        <f>IF(L326&lt;$D$16,$D$13,IF(L326&lt;$E$16,$E$13,$F$13))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>
        <f>RAND()*$G$12</f>
        <v/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</row>
    <row r="327">
      <c r="L327" s="15" t="n">
        <v>325</v>
      </c>
      <c r="M327" s="15">
        <f>IF(L327&lt;$D$16,$D$13,IF(L327&lt;$E$16,$E$13,$F$13))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>
        <f>RAND()*$G$12</f>
        <v/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</row>
    <row r="328">
      <c r="L328" s="15" t="n">
        <v>326</v>
      </c>
      <c r="M328" s="15">
        <f>IF(L328&lt;$D$16,$D$13,IF(L328&lt;$E$16,$E$13,$F$13))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>
        <f>RAND()*$G$12</f>
        <v/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</row>
    <row r="329">
      <c r="L329" s="15" t="n">
        <v>327</v>
      </c>
      <c r="M329" s="15">
        <f>IF(L329&lt;$D$16,$D$13,IF(L329&lt;$E$16,$E$13,$F$13))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>
        <f>RAND()*$G$12</f>
        <v/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</row>
    <row r="330">
      <c r="L330" s="15" t="n">
        <v>328</v>
      </c>
      <c r="M330" s="15">
        <f>IF(L330&lt;$D$16,$D$13,IF(L330&lt;$E$16,$E$13,$F$13))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>
        <f>RAND()*$G$12</f>
        <v/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</row>
    <row r="331">
      <c r="L331" s="15" t="n">
        <v>329</v>
      </c>
      <c r="M331" s="15">
        <f>IF(L331&lt;$D$16,$D$13,IF(L331&lt;$E$16,$E$13,$F$13))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>
        <f>RAND()*$G$12</f>
        <v/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</row>
    <row r="332">
      <c r="L332" s="15" t="n">
        <v>330</v>
      </c>
      <c r="M332" s="15">
        <f>IF(L332&lt;$D$16,$D$13,IF(L332&lt;$E$16,$E$13,$F$13))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>
        <f>RAND()*$G$12</f>
        <v/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</row>
    <row r="333" ht="13.8" customHeight="1">
      <c r="L333" s="15" t="n">
        <v>331</v>
      </c>
      <c r="M333" s="15">
        <f>IF(L333&lt;$D$16,$D$13,IF(L333&lt;$E$16,$E$13,$F$13))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>
        <f>RAND()*$G$12</f>
        <v/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</row>
    <row r="334">
      <c r="L334" s="15" t="n">
        <v>332</v>
      </c>
      <c r="M334" s="15">
        <f>IF(L334&lt;$D$16,$D$13,IF(L334&lt;$E$16,$E$13,$F$13))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>
        <f>RAND()*$G$12</f>
        <v/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</row>
    <row r="335">
      <c r="L335" s="15" t="n">
        <v>333</v>
      </c>
      <c r="M335" s="15">
        <f>IF(L335&lt;$D$16,$D$13,IF(L335&lt;$E$16,$E$13,$F$13))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>
        <f>RAND()*$G$12</f>
        <v/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</row>
    <row r="336">
      <c r="L336" s="15" t="n">
        <v>334</v>
      </c>
      <c r="M336" s="15">
        <f>IF(L336&lt;$D$16,$D$13,IF(L336&lt;$E$16,$E$13,$F$13))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>
        <f>RAND()*$G$12</f>
        <v/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</row>
    <row r="337">
      <c r="L337" s="15" t="n">
        <v>335</v>
      </c>
      <c r="M337" s="15">
        <f>IF(L337&lt;$D$16,$D$13,IF(L337&lt;$E$16,$E$13,$F$13))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>
        <f>RAND()*$G$12</f>
        <v/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</row>
    <row r="338">
      <c r="L338" s="15" t="n">
        <v>336</v>
      </c>
      <c r="M338" s="15">
        <f>IF(L338&lt;$D$16,$D$13,IF(L338&lt;$E$16,$E$13,$F$13))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>
        <f>RAND()*$G$12</f>
        <v/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</row>
    <row r="339">
      <c r="L339" s="15" t="n">
        <v>337</v>
      </c>
      <c r="M339" s="15">
        <f>IF(L339&lt;$D$16,$D$13,IF(L339&lt;$E$16,$E$13,$F$13))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>
        <f>RAND()*$G$12</f>
        <v/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</row>
    <row r="340">
      <c r="L340" s="15" t="n">
        <v>338</v>
      </c>
      <c r="M340" s="15">
        <f>IF(L340&lt;$D$16,$D$13,IF(L340&lt;$E$16,$E$13,$F$13))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>
        <f>RAND()*$G$12</f>
        <v/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</row>
    <row r="341">
      <c r="L341" s="15" t="n">
        <v>339</v>
      </c>
      <c r="M341" s="15">
        <f>IF(L341&lt;$D$16,$D$13,IF(L341&lt;$E$16,$E$13,$F$13))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>
        <f>RAND()*$G$12</f>
        <v/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</row>
    <row r="342">
      <c r="L342" s="15" t="n">
        <v>340</v>
      </c>
      <c r="M342" s="15">
        <f>IF(L342&lt;$D$16,$D$13,IF(L342&lt;$E$16,$E$13,$F$13))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>
        <f>RAND()*$G$12</f>
        <v/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</row>
    <row r="343">
      <c r="L343" s="15" t="n">
        <v>341</v>
      </c>
      <c r="M343" s="15">
        <f>IF(L343&lt;$D$16,$D$13,IF(L343&lt;$E$16,$E$13,$F$13))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>
        <f>RAND()*$G$12</f>
        <v/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</row>
    <row r="344">
      <c r="L344" s="15" t="n">
        <v>342</v>
      </c>
      <c r="M344" s="15">
        <f>IF(L344&lt;$D$16,$D$13,IF(L344&lt;$E$16,$E$13,$F$13))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>
        <f>RAND()*$G$12</f>
        <v/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</row>
    <row r="345">
      <c r="L345" s="15" t="n">
        <v>343</v>
      </c>
      <c r="M345" s="15">
        <f>IF(L345&lt;$D$16,$D$13,IF(L345&lt;$E$16,$E$13,$F$13))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>
        <f>RAND()*$G$12</f>
        <v/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</row>
    <row r="346">
      <c r="L346" s="15" t="n">
        <v>344</v>
      </c>
      <c r="M346" s="15">
        <f>IF(L346&lt;$D$16,$D$13,IF(L346&lt;$E$16,$E$13,$F$13))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>
        <f>RAND()*$G$12</f>
        <v/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</row>
    <row r="347">
      <c r="L347" s="15" t="n">
        <v>345</v>
      </c>
      <c r="M347" s="15">
        <f>IF(L347&lt;$D$16,$D$13,IF(L347&lt;$E$16,$E$13,$F$13))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>
        <f>RAND()*$G$12</f>
        <v/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</row>
    <row r="348">
      <c r="L348" s="15" t="n">
        <v>346</v>
      </c>
      <c r="M348" s="15">
        <f>IF(L348&lt;$D$16,$D$13,IF(L348&lt;$E$16,$E$13,$F$13))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>
        <f>RAND()*$G$12</f>
        <v/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</row>
    <row r="349">
      <c r="L349" s="15" t="n">
        <v>347</v>
      </c>
      <c r="M349" s="15">
        <f>IF(L349&lt;$D$16,$D$13,IF(L349&lt;$E$16,$E$13,$F$13))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>
        <f>RAND()*$G$12</f>
        <v/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</row>
    <row r="350">
      <c r="L350" s="15" t="n">
        <v>348</v>
      </c>
      <c r="M350" s="15">
        <f>IF(L350&lt;$D$16,$D$13,IF(L350&lt;$E$16,$E$13,$F$13))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>
        <f>RAND()*$G$12</f>
        <v/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</row>
    <row r="351">
      <c r="L351" s="15" t="n">
        <v>349</v>
      </c>
      <c r="M351" s="15">
        <f>IF(L351&lt;$D$16,$D$13,IF(L351&lt;$E$16,$E$13,$F$13))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>
        <f>RAND()*$G$12</f>
        <v/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</row>
    <row r="352">
      <c r="L352" s="15" t="n">
        <v>350</v>
      </c>
      <c r="M352" s="15">
        <f>IF(L352&lt;$D$16,$D$13,IF(L352&lt;$E$16,$E$13,$F$13))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>
        <f>RAND()*$G$12</f>
        <v/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</row>
    <row r="353">
      <c r="L353" s="15" t="n">
        <v>351</v>
      </c>
      <c r="M353" s="15">
        <f>IF(L353&lt;$D$16,$D$13,IF(L353&lt;$E$16,$E$13,$F$13))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>
        <f>RAND()*$G$12</f>
        <v/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</row>
    <row r="354">
      <c r="L354" s="15" t="n">
        <v>352</v>
      </c>
      <c r="M354" s="15">
        <f>IF(L354&lt;$D$16,$D$13,IF(L354&lt;$E$16,$E$13,$F$13))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>
        <f>RAND()*$G$12</f>
        <v/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</row>
    <row r="355">
      <c r="L355" s="15" t="n">
        <v>353</v>
      </c>
      <c r="M355" s="15">
        <f>IF(L355&lt;$D$16,$D$13,IF(L355&lt;$E$16,$E$13,$F$13))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>
        <f>RAND()*$G$12</f>
        <v/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</row>
    <row r="356">
      <c r="L356" s="15" t="n">
        <v>354</v>
      </c>
      <c r="M356" s="15">
        <f>IF(L356&lt;$D$16,$D$13,IF(L356&lt;$E$16,$E$13,$F$13))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>
        <f>RAND()*$G$12</f>
        <v/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</row>
    <row r="357">
      <c r="L357" s="15" t="n">
        <v>355</v>
      </c>
      <c r="M357" s="15">
        <f>IF(L357&lt;$D$16,$D$13,IF(L357&lt;$E$16,$E$13,$F$13))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>
        <f>RAND()*$G$12</f>
        <v/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</row>
    <row r="358">
      <c r="L358" s="15" t="n">
        <v>356</v>
      </c>
      <c r="M358" s="15">
        <f>IF(L358&lt;$D$16,$D$13,IF(L358&lt;$E$16,$E$13,$F$13))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>
        <f>RAND()*$G$12</f>
        <v/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</row>
    <row r="359">
      <c r="L359" s="15" t="n">
        <v>357</v>
      </c>
      <c r="M359" s="15">
        <f>IF(L359&lt;$D$16,$D$13,IF(L359&lt;$E$16,$E$13,$F$13))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>
        <f>RAND()*$G$12</f>
        <v/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</row>
    <row r="360">
      <c r="L360" s="15" t="n">
        <v>358</v>
      </c>
      <c r="M360" s="15">
        <f>IF(L360&lt;$D$16,$D$13,IF(L360&lt;$E$16,$E$13,$F$13))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>
        <f>RAND()*$G$12</f>
        <v/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</row>
    <row r="361">
      <c r="L361" s="15" t="n">
        <v>359</v>
      </c>
      <c r="M361" s="15">
        <f>IF(L361&lt;$D$16,$D$13,IF(L361&lt;$E$16,$E$13,$F$13))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>
        <f>RAND()*$G$12</f>
        <v/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</row>
    <row r="362">
      <c r="L362" s="15" t="n">
        <v>360</v>
      </c>
      <c r="M362" s="15">
        <f>IF(L362&lt;$D$16,$D$13,IF(L362&lt;$E$16,$E$13,$F$13))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>
        <f>RAND()*$G$12</f>
        <v/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</row>
    <row r="363">
      <c r="L363" s="15" t="n">
        <v>361</v>
      </c>
      <c r="M363" s="15">
        <f>IF(L363&lt;$D$16,$D$13,IF(L363&lt;$E$16,$E$13,$F$13))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>
        <f>RAND()*$G$12</f>
        <v/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</row>
    <row r="364">
      <c r="L364" s="15" t="n">
        <v>362</v>
      </c>
      <c r="M364" s="15">
        <f>IF(L364&lt;$D$16,$D$13,IF(L364&lt;$E$16,$E$13,$F$13))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>
        <f>RAND()*$G$12</f>
        <v/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</row>
    <row r="365">
      <c r="L365" s="15" t="n">
        <v>363</v>
      </c>
      <c r="M365" s="15">
        <f>IF(L365&lt;$D$16,$D$13,IF(L365&lt;$E$16,$E$13,$F$13))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>
        <f>RAND()*$G$12</f>
        <v/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</row>
    <row r="366">
      <c r="L366" s="15" t="n">
        <v>364</v>
      </c>
      <c r="M366" s="15">
        <f>IF(L366&lt;$D$16,$D$13,IF(L366&lt;$E$16,$E$13,$F$13))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>
        <f>RAND()*$G$12</f>
        <v/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</row>
    <row r="367">
      <c r="L367" s="15" t="n">
        <v>365</v>
      </c>
      <c r="M367" s="15">
        <f>IF(L367&lt;$D$16,$D$13,IF(L367&lt;$E$16,$E$13,$F$13))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>
        <f>RAND()*$G$12</f>
        <v/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</row>
    <row r="368">
      <c r="L368" s="15" t="n">
        <v>366</v>
      </c>
      <c r="M368" s="15">
        <f>IF(L368&lt;$D$16,$D$13,IF(L368&lt;$E$16,$E$13,$F$13))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>
        <f>RAND()*$G$12</f>
        <v/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</row>
    <row r="369">
      <c r="L369" s="15" t="n">
        <v>367</v>
      </c>
      <c r="M369" s="15">
        <f>IF(L369&lt;$D$16,$D$13,IF(L369&lt;$E$16,$E$13,$F$13))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>
        <f>RAND()*$G$12</f>
        <v/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</row>
    <row r="370">
      <c r="L370" s="15" t="n">
        <v>368</v>
      </c>
      <c r="M370" s="15">
        <f>IF(L370&lt;$D$16,$D$13,IF(L370&lt;$E$16,$E$13,$F$13))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>
        <f>RAND()*$G$12</f>
        <v/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</row>
    <row r="371">
      <c r="L371" s="15" t="n">
        <v>369</v>
      </c>
      <c r="M371" s="15">
        <f>IF(L371&lt;$D$16,$D$13,IF(L371&lt;$E$16,$E$13,$F$13))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>
        <f>RAND()*$G$12</f>
        <v/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</row>
    <row r="372">
      <c r="L372" s="15" t="n">
        <v>370</v>
      </c>
      <c r="M372" s="15">
        <f>IF(L372&lt;$D$16,$D$13,IF(L372&lt;$E$16,$E$13,$F$13))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>
        <f>RAND()*$G$12</f>
        <v/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</row>
    <row r="373">
      <c r="L373" s="15" t="n">
        <v>371</v>
      </c>
      <c r="M373" s="15">
        <f>IF(L373&lt;$D$16,$D$13,IF(L373&lt;$E$16,$E$13,$F$13))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>
        <f>RAND()*$G$12</f>
        <v/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</row>
    <row r="374">
      <c r="L374" s="15" t="n">
        <v>372</v>
      </c>
      <c r="M374" s="15">
        <f>IF(L374&lt;$D$16,$D$13,IF(L374&lt;$E$16,$E$13,$F$13))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>
        <f>RAND()*$G$12</f>
        <v/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</row>
    <row r="375">
      <c r="L375" s="15" t="n">
        <v>373</v>
      </c>
      <c r="M375" s="15">
        <f>IF(L375&lt;$D$16,$D$13,IF(L375&lt;$E$16,$E$13,$F$13))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>
        <f>RAND()*$G$12</f>
        <v/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</row>
    <row r="376">
      <c r="L376" s="15" t="n">
        <v>374</v>
      </c>
      <c r="M376" s="15">
        <f>IF(L376&lt;$D$16,$D$13,IF(L376&lt;$E$16,$E$13,$F$13))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>
        <f>RAND()*$G$12</f>
        <v/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</row>
    <row r="377">
      <c r="L377" s="15" t="n">
        <v>375</v>
      </c>
      <c r="M377" s="15">
        <f>IF(L377&lt;$D$16,$D$13,IF(L377&lt;$E$16,$E$13,$F$13))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>
        <f>RAND()*$G$12</f>
        <v/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</row>
    <row r="378">
      <c r="L378" s="15" t="n">
        <v>376</v>
      </c>
      <c r="M378" s="15">
        <f>IF(L378&lt;$D$16,$D$13,IF(L378&lt;$E$16,$E$13,$F$13))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>
        <f>RAND()*$G$12</f>
        <v/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</row>
    <row r="379">
      <c r="L379" s="15" t="n">
        <v>377</v>
      </c>
      <c r="M379" s="15">
        <f>IF(L379&lt;$D$16,$D$13,IF(L379&lt;$E$16,$E$13,$F$13))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>
        <f>RAND()*$G$12</f>
        <v/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</row>
    <row r="380">
      <c r="L380" s="15" t="n">
        <v>378</v>
      </c>
      <c r="M380" s="15">
        <f>IF(L380&lt;$D$16,$D$13,IF(L380&lt;$E$16,$E$13,$F$13))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>
        <f>RAND()*$G$12</f>
        <v/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</row>
    <row r="381">
      <c r="L381" s="15" t="n">
        <v>379</v>
      </c>
      <c r="M381" s="15">
        <f>IF(L381&lt;$D$16,$D$13,IF(L381&lt;$E$16,$E$13,$F$13))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>
        <f>RAND()*$G$12</f>
        <v/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</row>
    <row r="382">
      <c r="L382" s="15" t="n">
        <v>380</v>
      </c>
      <c r="M382" s="15">
        <f>IF(L382&lt;$D$16,$D$13,IF(L382&lt;$E$16,$E$13,$F$13))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>
        <f>RAND()*$G$12</f>
        <v/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</row>
    <row r="383">
      <c r="L383" s="15" t="n">
        <v>381</v>
      </c>
      <c r="M383" s="15">
        <f>IF(L383&lt;$D$16,$D$13,IF(L383&lt;$E$16,$E$13,$F$13))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>
        <f>RAND()*$G$12</f>
        <v/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</row>
    <row r="384">
      <c r="L384" s="15" t="n">
        <v>382</v>
      </c>
      <c r="M384" s="15">
        <f>IF(L384&lt;$D$16,$D$13,IF(L384&lt;$E$16,$E$13,$F$13))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>
        <f>RAND()*$G$12</f>
        <v/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</row>
    <row r="385">
      <c r="L385" s="15" t="n">
        <v>383</v>
      </c>
      <c r="M385" s="15">
        <f>IF(L385&lt;$D$16,$D$13,IF(L385&lt;$E$16,$E$13,$F$13))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>
        <f>RAND()*$G$12</f>
        <v/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</row>
    <row r="386">
      <c r="L386" s="15" t="n">
        <v>384</v>
      </c>
      <c r="M386" s="15">
        <f>IF(L386&lt;$D$16,$D$13,IF(L386&lt;$E$16,$E$13,$F$13))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>
        <f>RAND()*$G$12</f>
        <v/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</row>
    <row r="387">
      <c r="L387" s="15" t="n">
        <v>385</v>
      </c>
      <c r="M387" s="15">
        <f>IF(L387&lt;$D$16,$D$13,IF(L387&lt;$E$16,$E$13,$F$13))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>
        <f>RAND()*$G$12</f>
        <v/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</row>
    <row r="388">
      <c r="L388" s="15" t="n">
        <v>386</v>
      </c>
      <c r="M388" s="15">
        <f>IF(L388&lt;$D$16,$D$13,IF(L388&lt;$E$16,$E$13,$F$13))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>
        <f>RAND()*$G$12</f>
        <v/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</row>
    <row r="389">
      <c r="L389" s="15" t="n">
        <v>387</v>
      </c>
      <c r="M389" s="15">
        <f>IF(L389&lt;$D$16,$D$13,IF(L389&lt;$E$16,$E$13,$F$13))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>
        <f>RAND()*$G$12</f>
        <v/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</row>
    <row r="390">
      <c r="L390" s="15" t="n">
        <v>388</v>
      </c>
      <c r="M390" s="15">
        <f>IF(L390&lt;$D$16,$D$13,IF(L390&lt;$E$16,$E$13,$F$13))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>
        <f>RAND()*$G$12</f>
        <v/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</row>
    <row r="391">
      <c r="L391" s="15" t="n">
        <v>389</v>
      </c>
      <c r="M391" s="15">
        <f>IF(L391&lt;$D$16,$D$13,IF(L391&lt;$E$16,$E$13,$F$13))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>
        <f>RAND()*$G$12</f>
        <v/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</row>
    <row r="392">
      <c r="L392" s="15" t="n">
        <v>390</v>
      </c>
      <c r="M392" s="15">
        <f>IF(L392&lt;$D$16,$D$13,IF(L392&lt;$E$16,$E$13,$F$13))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>
        <f>RAND()*$G$12</f>
        <v/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</row>
    <row r="393">
      <c r="L393" s="15" t="n">
        <v>391</v>
      </c>
      <c r="M393" s="15">
        <f>IF(L393&lt;$D$16,$D$13,IF(L393&lt;$E$16,$E$13,$F$13))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>
        <f>RAND()*$G$12</f>
        <v/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</row>
    <row r="394">
      <c r="L394" s="15" t="n">
        <v>392</v>
      </c>
      <c r="M394" s="15">
        <f>IF(L394&lt;$D$16,$D$13,IF(L394&lt;$E$16,$E$13,$F$13))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>
        <f>RAND()*$G$12</f>
        <v/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</row>
    <row r="395">
      <c r="L395" s="15" t="n">
        <v>393</v>
      </c>
      <c r="M395" s="15">
        <f>IF(L395&lt;$D$16,$D$13,IF(L395&lt;$E$16,$E$13,$F$13))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>
        <f>RAND()*$G$12</f>
        <v/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</row>
    <row r="396">
      <c r="L396" s="15" t="n">
        <v>394</v>
      </c>
      <c r="M396" s="15">
        <f>IF(L396&lt;$D$16,$D$13,IF(L396&lt;$E$16,$E$13,$F$13))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>
        <f>RAND()*$G$12</f>
        <v/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</row>
    <row r="397">
      <c r="L397" s="15" t="n">
        <v>395</v>
      </c>
      <c r="M397" s="15">
        <f>IF(L397&lt;$D$16,$D$13,IF(L397&lt;$E$16,$E$13,$F$13))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>
        <f>RAND()*$G$12</f>
        <v/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</row>
    <row r="398">
      <c r="L398" s="15" t="n">
        <v>396</v>
      </c>
      <c r="M398" s="15">
        <f>IF(L398&lt;$D$16,$D$13,IF(L398&lt;$E$16,$E$13,$F$13))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>
        <f>RAND()*$G$12</f>
        <v/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</row>
    <row r="399">
      <c r="L399" s="15" t="n">
        <v>397</v>
      </c>
      <c r="M399" s="15">
        <f>IF(L399&lt;$D$16,$D$13,IF(L399&lt;$E$16,$E$13,$F$13))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>
        <f>RAND()*$G$12</f>
        <v/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</row>
    <row r="400">
      <c r="L400" s="15" t="n">
        <v>398</v>
      </c>
      <c r="M400" s="15">
        <f>IF(L400&lt;$D$16,$D$13,IF(L400&lt;$E$16,$E$13,$F$13))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>
        <f>RAND()*$G$12</f>
        <v/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</row>
    <row r="401">
      <c r="L401" s="15" t="n">
        <v>399</v>
      </c>
      <c r="M401" s="15">
        <f>IF(L401&lt;$D$16,$D$13,IF(L401&lt;$E$16,$E$13,$F$13))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>
        <f>RAND()*$G$12</f>
        <v/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</row>
    <row r="402">
      <c r="L402" s="15" t="n">
        <v>400</v>
      </c>
      <c r="M402" s="15">
        <f>IF(L402&lt;$D$16,$D$13,IF(L402&lt;$E$16,$E$13,$F$13))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>
        <f>RAND()*$G$12</f>
        <v/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</row>
    <row r="403">
      <c r="L403" s="15" t="n">
        <v>401</v>
      </c>
      <c r="M403" s="15">
        <f>IF(L403&lt;$D$16,$D$13,IF(L403&lt;$E$16,$E$13,$F$13))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>
        <f>RAND()*$G$12</f>
        <v/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</row>
    <row r="404">
      <c r="L404" s="15" t="n">
        <v>402</v>
      </c>
      <c r="M404" s="15">
        <f>IF(L404&lt;$D$16,$D$13,IF(L404&lt;$E$16,$E$13,$F$13))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>
        <f>RAND()*$G$12</f>
        <v/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</row>
    <row r="405">
      <c r="L405" s="15" t="n">
        <v>403</v>
      </c>
      <c r="M405" s="15">
        <f>IF(L405&lt;$D$16,$D$13,IF(L405&lt;$E$16,$E$13,$F$13))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>
        <f>RAND()*$G$12</f>
        <v/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</row>
    <row r="406">
      <c r="L406" s="15" t="n">
        <v>404</v>
      </c>
      <c r="M406" s="15">
        <f>IF(L406&lt;$D$16,$D$13,IF(L406&lt;$E$16,$E$13,$F$13))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>
        <f>RAND()*$G$12</f>
        <v/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</row>
    <row r="407">
      <c r="L407" s="15" t="n">
        <v>405</v>
      </c>
      <c r="M407" s="15">
        <f>IF(L407&lt;$D$16,$D$13,IF(L407&lt;$E$16,$E$13,$F$13))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>
        <f>RAND()*$G$12</f>
        <v/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</row>
    <row r="408">
      <c r="L408" s="15" t="n">
        <v>406</v>
      </c>
      <c r="M408" s="15">
        <f>IF(L408&lt;$D$16,$D$13,IF(L408&lt;$E$16,$E$13,$F$13))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>
        <f>RAND()*$G$12</f>
        <v/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</row>
    <row r="409">
      <c r="L409" s="15" t="n">
        <v>407</v>
      </c>
      <c r="M409" s="15">
        <f>IF(L409&lt;$D$16,$D$13,IF(L409&lt;$E$16,$E$13,$F$13))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>
        <f>RAND()*$G$12</f>
        <v/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</row>
    <row r="410">
      <c r="L410" s="15" t="n">
        <v>408</v>
      </c>
      <c r="M410" s="15">
        <f>IF(L410&lt;$D$16,$D$13,IF(L410&lt;$E$16,$E$13,$F$13))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>
        <f>RAND()*$G$12</f>
        <v/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</row>
    <row r="411">
      <c r="L411" s="15" t="n">
        <v>409</v>
      </c>
      <c r="M411" s="15">
        <f>IF(L411&lt;$D$16,$D$13,IF(L411&lt;$E$16,$E$13,$F$13))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>
        <f>RAND()*$G$12</f>
        <v/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</row>
    <row r="412">
      <c r="L412" s="15" t="n">
        <v>410</v>
      </c>
      <c r="M412" s="15">
        <f>IF(L412&lt;$D$16,$D$13,IF(L412&lt;$E$16,$E$13,$F$13))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>
        <f>RAND()*$G$12</f>
        <v/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</row>
    <row r="413">
      <c r="L413" s="15" t="n">
        <v>411</v>
      </c>
      <c r="M413" s="15">
        <f>IF(L413&lt;$D$16,$D$13,IF(L413&lt;$E$16,$E$13,$F$13))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>
        <f>RAND()*$G$12</f>
        <v/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</row>
    <row r="414">
      <c r="L414" s="15" t="n">
        <v>412</v>
      </c>
      <c r="M414" s="15">
        <f>IF(L414&lt;$D$16,$D$13,IF(L414&lt;$E$16,$E$13,$F$13))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>
        <f>RAND()*$G$12</f>
        <v/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</row>
    <row r="415">
      <c r="L415" s="15" t="n">
        <v>413</v>
      </c>
      <c r="M415" s="15">
        <f>IF(L415&lt;$D$16,$D$13,IF(L415&lt;$E$16,$E$13,$F$13))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>
        <f>RAND()*$G$12</f>
        <v/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</row>
    <row r="416">
      <c r="L416" s="15" t="n">
        <v>414</v>
      </c>
      <c r="M416" s="15">
        <f>IF(L416&lt;$D$16,$D$13,IF(L416&lt;$E$16,$E$13,$F$13))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>
        <f>RAND()*$G$12</f>
        <v/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</row>
    <row r="417">
      <c r="L417" s="15" t="n">
        <v>415</v>
      </c>
      <c r="M417" s="15">
        <f>IF(L417&lt;$D$16,$D$13,IF(L417&lt;$E$16,$E$13,$F$13))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>
        <f>RAND()*$G$12</f>
        <v/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</row>
    <row r="418">
      <c r="L418" s="15" t="n">
        <v>416</v>
      </c>
      <c r="M418" s="15">
        <f>IF(L418&lt;$D$16,$D$13,IF(L418&lt;$E$16,$E$13,$F$13))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>
        <f>RAND()*$G$12</f>
        <v/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</row>
    <row r="419">
      <c r="L419" s="15" t="n">
        <v>417</v>
      </c>
      <c r="M419" s="15">
        <f>IF(L419&lt;$D$16,$D$13,IF(L419&lt;$E$16,$E$13,$F$13))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>
        <f>RAND()*$G$12</f>
        <v/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</row>
    <row r="420">
      <c r="L420" s="15" t="n">
        <v>418</v>
      </c>
      <c r="M420" s="15">
        <f>IF(L420&lt;$D$16,$D$13,IF(L420&lt;$E$16,$E$13,$F$13))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>
        <f>RAND()*$G$12</f>
        <v/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</row>
    <row r="421">
      <c r="L421" s="15" t="n">
        <v>419</v>
      </c>
      <c r="M421" s="15">
        <f>IF(L421&lt;$D$16,$D$13,IF(L421&lt;$E$16,$E$13,$F$13))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>
        <f>RAND()*$G$12</f>
        <v/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</row>
    <row r="422">
      <c r="L422" s="15" t="n">
        <v>420</v>
      </c>
      <c r="M422" s="15">
        <f>IF(L422&lt;$D$16,$D$13,IF(L422&lt;$E$16,$E$13,$F$13))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>
        <f>RAND()*$G$12</f>
        <v/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</row>
    <row r="423">
      <c r="L423" s="15" t="n">
        <v>421</v>
      </c>
      <c r="M423" s="15">
        <f>IF(L423&lt;$D$16,$D$13,IF(L423&lt;$E$16,$E$13,$F$13))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>
        <f>RAND()*$G$12</f>
        <v/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</row>
    <row r="424">
      <c r="L424" s="15" t="n">
        <v>422</v>
      </c>
      <c r="M424" s="15">
        <f>IF(L424&lt;$D$16,$D$13,IF(L424&lt;$E$16,$E$13,$F$13))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>
        <f>RAND()*$G$12</f>
        <v/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</row>
    <row r="425">
      <c r="L425" s="15" t="n">
        <v>423</v>
      </c>
      <c r="M425" s="15">
        <f>IF(L425&lt;$D$16,$D$13,IF(L425&lt;$E$16,$E$13,$F$13))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>
        <f>RAND()*$G$12</f>
        <v/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</row>
    <row r="426">
      <c r="L426" s="15" t="n">
        <v>424</v>
      </c>
      <c r="M426" s="15">
        <f>IF(L426&lt;$D$16,$D$13,IF(L426&lt;$E$16,$E$13,$F$13))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>
        <f>RAND()*$G$12</f>
        <v/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</row>
    <row r="427">
      <c r="L427" s="15" t="n">
        <v>425</v>
      </c>
      <c r="M427" s="15">
        <f>IF(L427&lt;$D$16,$D$13,IF(L427&lt;$E$16,$E$13,$F$13))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>
        <f>RAND()*$G$12</f>
        <v/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</row>
    <row r="428">
      <c r="L428" s="15" t="n">
        <v>426</v>
      </c>
      <c r="M428" s="15">
        <f>IF(L428&lt;$D$16,$D$13,IF(L428&lt;$E$16,$E$13,$F$13))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>
        <f>RAND()*$G$12</f>
        <v/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</row>
    <row r="429">
      <c r="L429" s="15" t="n">
        <v>427</v>
      </c>
      <c r="M429" s="15">
        <f>IF(L429&lt;$D$16,$D$13,IF(L429&lt;$E$16,$E$13,$F$13))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>
        <f>RAND()*$G$12</f>
        <v/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</row>
    <row r="430">
      <c r="L430" s="15" t="n">
        <v>428</v>
      </c>
      <c r="M430" s="15">
        <f>IF(L430&lt;$D$16,$D$13,IF(L430&lt;$E$16,$E$13,$F$13))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>
        <f>RAND()*$G$12</f>
        <v/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</row>
    <row r="431">
      <c r="L431" s="15" t="n">
        <v>429</v>
      </c>
      <c r="M431" s="15">
        <f>IF(L431&lt;$D$16,$D$13,IF(L431&lt;$E$16,$E$13,$F$13))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>
        <f>RAND()*$G$12</f>
        <v/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</row>
    <row r="432">
      <c r="L432" s="15" t="n">
        <v>430</v>
      </c>
      <c r="M432" s="15">
        <f>IF(L432&lt;$D$16,$D$13,IF(L432&lt;$E$16,$E$13,$F$13))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>
        <f>RAND()*$G$12</f>
        <v/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</row>
    <row r="433">
      <c r="L433" s="15" t="n">
        <v>431</v>
      </c>
      <c r="M433" s="15">
        <f>IF(L433&lt;$D$16,$D$13,IF(L433&lt;$E$16,$E$13,$F$13))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>
        <f>RAND()*$G$12</f>
        <v/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</row>
    <row r="434">
      <c r="L434" s="15" t="n">
        <v>432</v>
      </c>
      <c r="M434" s="15">
        <f>IF(L434&lt;$D$16,$D$13,IF(L434&lt;$E$16,$E$13,$F$13))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>
        <f>RAND()*$G$12</f>
        <v/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</row>
    <row r="435">
      <c r="L435" s="15" t="n">
        <v>433</v>
      </c>
      <c r="M435" s="15">
        <f>IF(L435&lt;$D$16,$D$13,IF(L435&lt;$E$16,$E$13,$F$13))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>
        <f>RAND()*$G$12</f>
        <v/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</row>
    <row r="436">
      <c r="L436" s="15" t="n">
        <v>434</v>
      </c>
      <c r="M436" s="15">
        <f>IF(L436&lt;$D$16,$D$13,IF(L436&lt;$E$16,$E$13,$F$13))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>
        <f>RAND()*$G$12</f>
        <v/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</row>
    <row r="437">
      <c r="L437" s="15" t="n">
        <v>435</v>
      </c>
      <c r="M437" s="15">
        <f>IF(L437&lt;$D$16,$D$13,IF(L437&lt;$E$16,$E$13,$F$13))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>
        <f>RAND()*$G$12</f>
        <v/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</row>
    <row r="438">
      <c r="L438" s="15" t="n">
        <v>436</v>
      </c>
      <c r="M438" s="15">
        <f>IF(L438&lt;$D$16,$D$13,IF(L438&lt;$E$16,$E$13,$F$13))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>
        <f>RAND()*$G$12</f>
        <v/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</row>
    <row r="439">
      <c r="L439" s="15" t="n">
        <v>437</v>
      </c>
      <c r="M439" s="15">
        <f>IF(L439&lt;$D$16,$D$13,IF(L439&lt;$E$16,$E$13,$F$13))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>
        <f>RAND()*$G$12</f>
        <v/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</row>
    <row r="440">
      <c r="L440" s="15" t="n">
        <v>438</v>
      </c>
      <c r="M440" s="15">
        <f>IF(L440&lt;$D$16,$D$13,IF(L440&lt;$E$16,$E$13,$F$13))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>
        <f>RAND()*$G$12</f>
        <v/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</row>
    <row r="441">
      <c r="L441" s="15" t="n">
        <v>439</v>
      </c>
      <c r="M441" s="15">
        <f>IF(L441&lt;$D$16,$D$13,IF(L441&lt;$E$16,$E$13,$F$13))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>
        <f>RAND()*$G$12</f>
        <v/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</row>
    <row r="442">
      <c r="L442" s="15" t="n">
        <v>440</v>
      </c>
      <c r="M442" s="15">
        <f>IF(L442&lt;$D$16,$D$13,IF(L442&lt;$E$16,$E$13,$F$13))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>
        <f>RAND()*$G$12</f>
        <v/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</row>
    <row r="443">
      <c r="L443" s="15" t="n">
        <v>441</v>
      </c>
      <c r="M443" s="15">
        <f>IF(L443&lt;$D$16,$D$13,IF(L443&lt;$E$16,$E$13,$F$13))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>
        <f>RAND()*$G$12</f>
        <v/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</row>
    <row r="444">
      <c r="L444" s="15" t="n">
        <v>442</v>
      </c>
      <c r="M444" s="15">
        <f>IF(L444&lt;$D$16,$D$13,IF(L444&lt;$E$16,$E$13,$F$13))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>
        <f>RAND()*$G$12</f>
        <v/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</row>
    <row r="445">
      <c r="L445" s="15" t="n">
        <v>443</v>
      </c>
      <c r="M445" s="15">
        <f>IF(L445&lt;$D$16,$D$13,IF(L445&lt;$E$16,$E$13,$F$13))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>
        <f>RAND()*$G$12</f>
        <v/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</row>
    <row r="446">
      <c r="L446" s="15" t="n">
        <v>444</v>
      </c>
      <c r="M446" s="15">
        <f>IF(L446&lt;$D$16,$D$13,IF(L446&lt;$E$16,$E$13,$F$13))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>
        <f>RAND()*$G$12</f>
        <v/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</row>
    <row r="447">
      <c r="L447" s="15" t="n">
        <v>445</v>
      </c>
      <c r="M447" s="15">
        <f>IF(L447&lt;$D$16,$D$13,IF(L447&lt;$E$16,$E$13,$F$13))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>
        <f>RAND()*$G$12</f>
        <v/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</row>
    <row r="448">
      <c r="L448" s="15" t="n">
        <v>446</v>
      </c>
      <c r="M448" s="15">
        <f>IF(L448&lt;$D$16,$D$13,IF(L448&lt;$E$16,$E$13,$F$13))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>
        <f>RAND()*$G$12</f>
        <v/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</row>
    <row r="449">
      <c r="L449" s="15" t="n">
        <v>447</v>
      </c>
      <c r="M449" s="15">
        <f>IF(L449&lt;$D$16,$D$13,IF(L449&lt;$E$16,$E$13,$F$13))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>
        <f>RAND()*$G$12</f>
        <v/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</row>
    <row r="450">
      <c r="L450" s="15" t="n">
        <v>448</v>
      </c>
      <c r="M450" s="15">
        <f>IF(L450&lt;$D$16,$D$13,IF(L450&lt;$E$16,$E$13,$F$13))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>
        <f>RAND()*$G$12</f>
        <v/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</row>
    <row r="451">
      <c r="L451" s="15" t="n">
        <v>449</v>
      </c>
      <c r="M451" s="15">
        <f>IF(L451&lt;$D$16,$D$13,IF(L451&lt;$E$16,$E$13,$F$13))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>
        <f>RAND()*$G$12</f>
        <v/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</row>
    <row r="452">
      <c r="L452" s="15" t="n">
        <v>450</v>
      </c>
      <c r="M452" s="15">
        <f>IF(L452&lt;$D$16,$D$13,IF(L452&lt;$E$16,$E$13,$F$13))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>
        <f>RAND()*$G$12</f>
        <v/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</row>
    <row r="453">
      <c r="L453" s="15" t="n">
        <v>451</v>
      </c>
      <c r="M453" s="15">
        <f>IF(L453&lt;$D$16,$D$13,IF(L453&lt;$E$16,$E$13,$F$13))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>
        <f>RAND()*$G$12</f>
        <v/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</row>
    <row r="454">
      <c r="L454" s="15" t="n">
        <v>452</v>
      </c>
      <c r="M454" s="15">
        <f>IF(L454&lt;$D$16,$D$13,IF(L454&lt;$E$16,$E$13,$F$13))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>
        <f>RAND()*$G$12</f>
        <v/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</row>
    <row r="455">
      <c r="L455" s="15" t="n">
        <v>453</v>
      </c>
      <c r="M455" s="15">
        <f>IF(L455&lt;$D$16,$D$13,IF(L455&lt;$E$16,$E$13,$F$13))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>
        <f>RAND()*$G$12</f>
        <v/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</row>
    <row r="456">
      <c r="L456" s="15" t="n">
        <v>454</v>
      </c>
      <c r="M456" s="15">
        <f>IF(L456&lt;$D$16,$D$13,IF(L456&lt;$E$16,$E$13,$F$13))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>
        <f>RAND()*$G$12</f>
        <v/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</row>
    <row r="457">
      <c r="L457" s="15" t="n">
        <v>455</v>
      </c>
      <c r="M457" s="15">
        <f>IF(L457&lt;$D$16,$D$13,IF(L457&lt;$E$16,$E$13,$F$13))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>
        <f>RAND()*$G$12</f>
        <v/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</row>
    <row r="458">
      <c r="L458" s="15" t="n">
        <v>456</v>
      </c>
      <c r="M458" s="15">
        <f>IF(L458&lt;$D$16,$D$13,IF(L458&lt;$E$16,$E$13,$F$13))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>
        <f>RAND()*$G$12</f>
        <v/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</row>
    <row r="459">
      <c r="L459" s="15" t="n">
        <v>457</v>
      </c>
      <c r="M459" s="15">
        <f>IF(L459&lt;$D$16,$D$13,IF(L459&lt;$E$16,$E$13,$F$13))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>
        <f>RAND()*$G$12</f>
        <v/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</row>
    <row r="460">
      <c r="L460" s="15" t="n">
        <v>458</v>
      </c>
      <c r="M460" s="15">
        <f>IF(L460&lt;$D$16,$D$13,IF(L460&lt;$E$16,$E$13,$F$13))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>
        <f>RAND()*$G$12</f>
        <v/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</row>
    <row r="461">
      <c r="L461" s="15" t="n">
        <v>459</v>
      </c>
      <c r="M461" s="15">
        <f>IF(L461&lt;$D$16,$D$13,IF(L461&lt;$E$16,$E$13,$F$13))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>
        <f>RAND()*$G$12</f>
        <v/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</row>
    <row r="462">
      <c r="L462" s="15" t="n">
        <v>460</v>
      </c>
      <c r="M462" s="15">
        <f>IF(L462&lt;$D$16,$D$13,IF(L462&lt;$E$16,$E$13,$F$13))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>
        <f>RAND()*$G$12</f>
        <v/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</row>
    <row r="463">
      <c r="L463" s="15" t="n">
        <v>461</v>
      </c>
      <c r="M463" s="15">
        <f>IF(L463&lt;$D$16,$D$13,IF(L463&lt;$E$16,$E$13,$F$13))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>
        <f>RAND()*$G$12</f>
        <v/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</row>
    <row r="464">
      <c r="L464" s="15" t="n">
        <v>462</v>
      </c>
      <c r="M464" s="15">
        <f>IF(L464&lt;$D$16,$D$13,IF(L464&lt;$E$16,$E$13,$F$13))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>
        <f>RAND()*$G$12</f>
        <v/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</row>
    <row r="465">
      <c r="L465" s="15" t="n">
        <v>463</v>
      </c>
      <c r="M465" s="15">
        <f>IF(L465&lt;$D$16,$D$13,IF(L465&lt;$E$16,$E$13,$F$13))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>
        <f>RAND()*$G$12</f>
        <v/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</row>
    <row r="466">
      <c r="L466" s="15" t="n">
        <v>464</v>
      </c>
      <c r="M466" s="15">
        <f>IF(L466&lt;$D$16,$D$13,IF(L466&lt;$E$16,$E$13,$F$13))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>
        <f>RAND()*$G$12</f>
        <v/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</row>
    <row r="467">
      <c r="L467" s="15" t="n">
        <v>465</v>
      </c>
      <c r="M467" s="15">
        <f>IF(L467&lt;$D$16,$D$13,IF(L467&lt;$E$16,$E$13,$F$13))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>
        <f>RAND()*$G$12</f>
        <v/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</row>
    <row r="468">
      <c r="L468" s="15" t="n">
        <v>466</v>
      </c>
      <c r="M468" s="15">
        <f>IF(L468&lt;$D$16,$D$13,IF(L468&lt;$E$16,$E$13,$F$13))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>
        <f>RAND()*$G$12</f>
        <v/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</row>
    <row r="469">
      <c r="L469" s="15" t="n">
        <v>467</v>
      </c>
      <c r="M469" s="15">
        <f>IF(L469&lt;$D$16,$D$13,IF(L469&lt;$E$16,$E$13,$F$13))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>
        <f>RAND()*$G$12</f>
        <v/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</row>
    <row r="470">
      <c r="L470" s="15" t="n">
        <v>468</v>
      </c>
      <c r="M470" s="15">
        <f>IF(L470&lt;$D$16,$D$13,IF(L470&lt;$E$16,$E$13,$F$13))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>
        <f>RAND()*$G$12</f>
        <v/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</row>
    <row r="471">
      <c r="L471" s="15" t="n">
        <v>469</v>
      </c>
      <c r="M471" s="15">
        <f>IF(L471&lt;$D$16,$D$13,IF(L471&lt;$E$16,$E$13,$F$13))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>
        <f>RAND()*$G$12</f>
        <v/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</row>
    <row r="472">
      <c r="L472" s="15" t="n">
        <v>470</v>
      </c>
      <c r="M472" s="15">
        <f>IF(L472&lt;$D$16,$D$13,IF(L472&lt;$E$16,$E$13,$F$13))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>
        <f>RAND()*$G$12</f>
        <v/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</row>
    <row r="473">
      <c r="L473" s="15" t="n">
        <v>471</v>
      </c>
      <c r="M473" s="15">
        <f>IF(L473&lt;$D$16,$D$13,IF(L473&lt;$E$16,$E$13,$F$13))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>
        <f>RAND()*$G$12</f>
        <v/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</row>
    <row r="474">
      <c r="L474" s="15" t="n">
        <v>472</v>
      </c>
      <c r="M474" s="15">
        <f>IF(L474&lt;$D$16,$D$13,IF(L474&lt;$E$16,$E$13,$F$13))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>
        <f>RAND()*$G$12</f>
        <v/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</row>
    <row r="475">
      <c r="L475" s="15" t="n">
        <v>473</v>
      </c>
      <c r="M475" s="15">
        <f>IF(L475&lt;$D$16,$D$13,IF(L475&lt;$E$16,$E$13,$F$13))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>
        <f>RAND()*$G$12</f>
        <v/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</row>
    <row r="476">
      <c r="L476" s="15" t="n">
        <v>474</v>
      </c>
      <c r="M476" s="15">
        <f>IF(L476&lt;$D$16,$D$13,IF(L476&lt;$E$16,$E$13,$F$13))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>
        <f>RAND()*$G$12</f>
        <v/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</row>
    <row r="477">
      <c r="L477" s="15" t="n">
        <v>475</v>
      </c>
      <c r="M477" s="15">
        <f>IF(L477&lt;$D$16,$D$13,IF(L477&lt;$E$16,$E$13,$F$13))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>
        <f>RAND()*$G$12</f>
        <v/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</row>
    <row r="478">
      <c r="L478" s="15" t="n">
        <v>476</v>
      </c>
      <c r="M478" s="15">
        <f>IF(L478&lt;$D$16,$D$13,IF(L478&lt;$E$16,$E$13,$F$13))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>
        <f>RAND()*$G$12</f>
        <v/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</row>
    <row r="479">
      <c r="L479" s="15" t="n">
        <v>477</v>
      </c>
      <c r="M479" s="15">
        <f>IF(L479&lt;$D$16,$D$13,IF(L479&lt;$E$16,$E$13,$F$13))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>
        <f>RAND()*$G$12</f>
        <v/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</row>
    <row r="480">
      <c r="L480" s="15" t="n">
        <v>478</v>
      </c>
      <c r="M480" s="15">
        <f>IF(L480&lt;$D$16,$D$13,IF(L480&lt;$E$16,$E$13,$F$13))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>
        <f>RAND()*$G$12</f>
        <v/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</row>
    <row r="481">
      <c r="L481" s="15" t="n">
        <v>479</v>
      </c>
      <c r="M481" s="15">
        <f>IF(L481&lt;$D$16,$D$13,IF(L481&lt;$E$16,$E$13,$F$13))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>
        <f>RAND()*$G$12</f>
        <v/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</row>
    <row r="482">
      <c r="L482" s="15" t="n">
        <v>480</v>
      </c>
      <c r="M482" s="15">
        <f>IF(L482&lt;$D$16,$D$13,IF(L482&lt;$E$16,$E$13,$F$13))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>
        <f>RAND()*$G$12</f>
        <v/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</row>
    <row r="483">
      <c r="L483" s="15" t="n">
        <v>481</v>
      </c>
      <c r="M483" s="15">
        <f>IF(L483&lt;$D$16,$D$13,IF(L483&lt;$E$16,$E$13,$F$13))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>
        <f>RAND()*$G$12</f>
        <v/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</row>
    <row r="484">
      <c r="L484" s="15" t="n">
        <v>482</v>
      </c>
      <c r="M484" s="15">
        <f>IF(L484&lt;$D$16,$D$13,IF(L484&lt;$E$16,$E$13,$F$13))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>
        <f>RAND()*$G$12</f>
        <v/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</row>
    <row r="485">
      <c r="L485" s="15" t="n">
        <v>483</v>
      </c>
      <c r="M485" s="15">
        <f>IF(L485&lt;$D$16,$D$13,IF(L485&lt;$E$16,$E$13,$F$13))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>
        <f>RAND()*$G$12</f>
        <v/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</row>
    <row r="486">
      <c r="L486" s="15" t="n">
        <v>484</v>
      </c>
      <c r="M486" s="15">
        <f>IF(L486&lt;$D$16,$D$13,IF(L486&lt;$E$16,$E$13,$F$13))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>
        <f>RAND()*$G$12</f>
        <v/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</row>
    <row r="487">
      <c r="L487" s="15" t="n">
        <v>485</v>
      </c>
      <c r="M487" s="15">
        <f>IF(L487&lt;$D$16,$D$13,IF(L487&lt;$E$16,$E$13,$F$13))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>
        <f>RAND()*$G$12</f>
        <v/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</row>
    <row r="488">
      <c r="L488" s="15" t="n">
        <v>486</v>
      </c>
      <c r="M488" s="15">
        <f>IF(L488&lt;$D$16,$D$13,IF(L488&lt;$E$16,$E$13,$F$13))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>
        <f>RAND()*$G$12</f>
        <v/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</row>
    <row r="489">
      <c r="L489" s="15" t="n">
        <v>487</v>
      </c>
      <c r="M489" s="15">
        <f>IF(L489&lt;$D$16,$D$13,IF(L489&lt;$E$16,$E$13,$F$13))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>
        <f>RAND()*$G$12</f>
        <v/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</row>
    <row r="490">
      <c r="L490" s="15" t="n">
        <v>488</v>
      </c>
      <c r="M490" s="15">
        <f>IF(L490&lt;$D$16,$D$13,IF(L490&lt;$E$16,$E$13,$F$13))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>
        <f>RAND()*$G$12</f>
        <v/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</row>
    <row r="491">
      <c r="L491" s="15" t="n">
        <v>489</v>
      </c>
      <c r="M491" s="15">
        <f>IF(L491&lt;$D$16,$D$13,IF(L491&lt;$E$16,$E$13,$F$13))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>
        <f>RAND()*$G$12</f>
        <v/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</row>
    <row r="492">
      <c r="L492" s="15" t="n">
        <v>490</v>
      </c>
      <c r="M492" s="15">
        <f>IF(L492&lt;$D$16,$D$13,IF(L492&lt;$E$16,$E$13,$F$13))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>
        <f>RAND()*$G$12</f>
        <v/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</row>
    <row r="493">
      <c r="L493" s="15" t="n">
        <v>491</v>
      </c>
      <c r="M493" s="15">
        <f>IF(L493&lt;$D$16,$D$13,IF(L493&lt;$E$16,$E$13,$F$13))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>
        <f>RAND()*$G$12</f>
        <v/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</row>
    <row r="494">
      <c r="L494" s="15" t="n">
        <v>492</v>
      </c>
      <c r="M494" s="15">
        <f>IF(L494&lt;$D$16,$D$13,IF(L494&lt;$E$16,$E$13,$F$13))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>
        <f>RAND()*$G$12</f>
        <v/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</row>
    <row r="495">
      <c r="L495" s="15" t="n">
        <v>493</v>
      </c>
      <c r="M495" s="15">
        <f>IF(L495&lt;$D$16,$D$13,IF(L495&lt;$E$16,$E$13,$F$13))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>
        <f>RAND()*$G$12</f>
        <v/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</row>
    <row r="496">
      <c r="L496" s="15" t="n">
        <v>494</v>
      </c>
      <c r="M496" s="15">
        <f>IF(L496&lt;$D$16,$D$13,IF(L496&lt;$E$16,$E$13,$F$13))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>
        <f>RAND()*$G$12</f>
        <v/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</row>
    <row r="497">
      <c r="L497" s="15" t="n">
        <v>495</v>
      </c>
      <c r="M497" s="15">
        <f>IF(L497&lt;$D$16,$D$13,IF(L497&lt;$E$16,$E$13,$F$13))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>
        <f>RAND()*$G$12</f>
        <v/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</row>
    <row r="498">
      <c r="L498" s="15" t="n">
        <v>496</v>
      </c>
      <c r="M498" s="15">
        <f>IF(L498&lt;$D$16,$D$13,IF(L498&lt;$E$16,$E$13,$F$13))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>
        <f>RAND()*$G$12</f>
        <v/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</row>
    <row r="499">
      <c r="L499" s="15" t="n">
        <v>497</v>
      </c>
      <c r="M499" s="15">
        <f>IF(L499&lt;$D$16,$D$13,IF(L499&lt;$E$16,$E$13,$F$13))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>
        <f>RAND()*$G$12</f>
        <v/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</row>
    <row r="500">
      <c r="L500" s="15" t="n">
        <v>498</v>
      </c>
      <c r="M500" s="15">
        <f>IF(L500&lt;$D$16,$D$13,IF(L500&lt;$E$16,$E$13,$F$13))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>
        <f>RAND()*$G$12</f>
        <v/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</row>
    <row r="501">
      <c r="L501" s="15" t="n">
        <v>499</v>
      </c>
      <c r="M501" s="15">
        <f>IF(L501&lt;$D$16,$D$13,IF(L501&lt;$E$16,$E$13,$F$13))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>
        <f>RAND()*$G$12</f>
        <v/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</row>
    <row r="502">
      <c r="L502" s="15" t="n">
        <v>500</v>
      </c>
      <c r="M502" s="15">
        <f>IF(L502&lt;$D$16,$D$13,IF(L502&lt;$E$16,$E$13,$F$13))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>
        <f>RAND()*$G$12</f>
        <v/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</row>
    <row r="503">
      <c r="L503" s="15" t="n">
        <v>501</v>
      </c>
      <c r="M503" s="15">
        <f>IF(L503&lt;$D$16,$D$13,IF(L503&lt;$E$16,$E$13,$F$13))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>
        <f>RAND()*$G$12</f>
        <v/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</row>
    <row r="504">
      <c r="L504" s="15" t="n">
        <v>502</v>
      </c>
      <c r="M504" s="15">
        <f>IF(L504&lt;$D$16,$D$13,IF(L504&lt;$E$16,$E$13,$F$13))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>
        <f>RAND()*$G$12</f>
        <v/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</row>
    <row r="505">
      <c r="L505" s="15" t="n">
        <v>503</v>
      </c>
      <c r="M505" s="15">
        <f>IF(L505&lt;$D$16,$D$13,IF(L505&lt;$E$16,$E$13,$F$13))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>
        <f>RAND()*$G$12</f>
        <v/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</row>
    <row r="506">
      <c r="L506" s="15" t="n">
        <v>504</v>
      </c>
      <c r="M506" s="15">
        <f>IF(L506&lt;$D$16,$D$13,IF(L506&lt;$E$16,$E$13,$F$13))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>
        <f>RAND()*$G$12</f>
        <v/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</row>
    <row r="507">
      <c r="L507" s="15" t="n">
        <v>505</v>
      </c>
      <c r="M507" s="15">
        <f>IF(L507&lt;$D$16,$D$13,IF(L507&lt;$E$16,$E$13,$F$13))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>
        <f>RAND()*$G$12</f>
        <v/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</row>
    <row r="508">
      <c r="L508" s="15" t="n">
        <v>506</v>
      </c>
      <c r="M508" s="15">
        <f>IF(L508&lt;$D$16,$D$13,IF(L508&lt;$E$16,$E$13,$F$13))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>
        <f>RAND()*$G$12</f>
        <v/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</row>
    <row r="509">
      <c r="L509" s="15" t="n">
        <v>507</v>
      </c>
      <c r="M509" s="15">
        <f>IF(L509&lt;$D$16,$D$13,IF(L509&lt;$E$16,$E$13,$F$13))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>
        <f>RAND()*$G$12</f>
        <v/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</row>
    <row r="510">
      <c r="L510" s="15" t="n">
        <v>508</v>
      </c>
      <c r="M510" s="15">
        <f>IF(L510&lt;$D$16,$D$13,IF(L510&lt;$E$16,$E$13,$F$13))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>
        <f>RAND()*$G$12</f>
        <v/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</row>
    <row r="511">
      <c r="L511" s="15" t="n">
        <v>509</v>
      </c>
      <c r="M511" s="15">
        <f>IF(L511&lt;$D$16,$D$13,IF(L511&lt;$E$16,$E$13,$F$13))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>
        <f>RAND()*$G$12</f>
        <v/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</row>
    <row r="512">
      <c r="L512" s="15" t="n">
        <v>510</v>
      </c>
      <c r="M512" s="15">
        <f>IF(L512&lt;$D$16,$D$13,IF(L512&lt;$E$16,$E$13,$F$13))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>
        <f>RAND()*$G$12</f>
        <v/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</row>
    <row r="513">
      <c r="L513" s="15" t="n">
        <v>511</v>
      </c>
      <c r="M513" s="15">
        <f>IF(L513&lt;$D$16,$D$13,IF(L513&lt;$E$16,$E$13,$F$13))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>
        <f>RAND()*$G$12</f>
        <v/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</row>
    <row r="514">
      <c r="L514" s="15" t="n">
        <v>512</v>
      </c>
      <c r="M514" s="15">
        <f>IF(L514&lt;$D$16,$D$13,IF(L514&lt;$E$16,$E$13,$F$13))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>
        <f>RAND()*$G$12</f>
        <v/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</row>
    <row r="515">
      <c r="L515" s="15" t="n">
        <v>513</v>
      </c>
      <c r="M515" s="15">
        <f>IF(L515&lt;$D$16,$D$13,IF(L515&lt;$E$16,$E$13,$F$13))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>
        <f>RAND()*$G$12</f>
        <v/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</row>
    <row r="516">
      <c r="L516" s="15" t="n">
        <v>514</v>
      </c>
      <c r="M516" s="15">
        <f>IF(L516&lt;$D$16,$D$13,IF(L516&lt;$E$16,$E$13,$F$13))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>
        <f>RAND()*$G$12</f>
        <v/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</row>
    <row r="517">
      <c r="L517" s="15" t="n">
        <v>515</v>
      </c>
      <c r="M517" s="15">
        <f>IF(L517&lt;$D$16,$D$13,IF(L517&lt;$E$16,$E$13,$F$13))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>
        <f>RAND()*$G$12</f>
        <v/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</row>
    <row r="518">
      <c r="L518" s="15" t="n">
        <v>516</v>
      </c>
      <c r="M518" s="15">
        <f>IF(L518&lt;$D$16,$D$13,IF(L518&lt;$E$16,$E$13,$F$13))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>
        <f>RAND()*$G$12</f>
        <v/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</row>
    <row r="519">
      <c r="L519" s="15" t="n">
        <v>517</v>
      </c>
      <c r="M519" s="15">
        <f>IF(L519&lt;$D$16,$D$13,IF(L519&lt;$E$16,$E$13,$F$13))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>
        <f>RAND()*$G$12</f>
        <v/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</row>
    <row r="520">
      <c r="L520" s="15" t="n">
        <v>518</v>
      </c>
      <c r="M520" s="15">
        <f>IF(L520&lt;$D$16,$D$13,IF(L520&lt;$E$16,$E$13,$F$13))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>
        <f>RAND()*$G$12</f>
        <v/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</row>
    <row r="521">
      <c r="L521" s="15" t="n">
        <v>519</v>
      </c>
      <c r="M521" s="15">
        <f>IF(L521&lt;$D$16,$D$13,IF(L521&lt;$E$16,$E$13,$F$13))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>
        <f>RAND()*$G$12</f>
        <v/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</row>
    <row r="522">
      <c r="L522" s="15" t="n">
        <v>520</v>
      </c>
      <c r="M522" s="15">
        <f>IF(L522&lt;$D$16,$D$13,IF(L522&lt;$E$16,$E$13,$F$13))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>
        <f>RAND()*$G$12</f>
        <v/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</row>
    <row r="523">
      <c r="L523" s="15" t="n">
        <v>521</v>
      </c>
      <c r="M523" s="15">
        <f>IF(L523&lt;$D$16,$D$13,IF(L523&lt;$E$16,$E$13,$F$13))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>
        <f>RAND()*$G$12</f>
        <v/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</row>
    <row r="524">
      <c r="L524" s="15" t="n">
        <v>522</v>
      </c>
      <c r="M524" s="15">
        <f>IF(L524&lt;$D$16,$D$13,IF(L524&lt;$E$16,$E$13,$F$13))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>
        <f>RAND()*$G$12</f>
        <v/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</row>
    <row r="525">
      <c r="L525" s="15" t="n">
        <v>523</v>
      </c>
      <c r="M525" s="15">
        <f>IF(L525&lt;$D$16,$D$13,IF(L525&lt;$E$16,$E$13,$F$13))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>
        <f>RAND()*$G$12</f>
        <v/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</row>
    <row r="526">
      <c r="L526" s="15" t="n">
        <v>524</v>
      </c>
      <c r="M526" s="15">
        <f>IF(L526&lt;$D$16,$D$13,IF(L526&lt;$E$16,$E$13,$F$13))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>
        <f>RAND()*$G$12</f>
        <v/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</row>
    <row r="527">
      <c r="L527" s="15" t="n">
        <v>525</v>
      </c>
      <c r="M527" s="15">
        <f>IF(L527&lt;$D$16,$D$13,IF(L527&lt;$E$16,$E$13,$F$13))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>
        <f>RAND()*$G$12</f>
        <v/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</row>
    <row r="528">
      <c r="L528" s="15" t="n">
        <v>526</v>
      </c>
      <c r="M528" s="15">
        <f>IF(L528&lt;$D$16,$D$13,IF(L528&lt;$E$16,$E$13,$F$13))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>
        <f>RAND()*$G$12</f>
        <v/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</row>
    <row r="529">
      <c r="L529" s="15" t="n">
        <v>527</v>
      </c>
      <c r="M529" s="15">
        <f>IF(L529&lt;$D$16,$D$13,IF(L529&lt;$E$16,$E$13,$F$13))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>
        <f>RAND()*$G$12</f>
        <v/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</row>
    <row r="530">
      <c r="L530" s="15" t="n">
        <v>528</v>
      </c>
      <c r="M530" s="15">
        <f>IF(L530&lt;$D$16,$D$13,IF(L530&lt;$E$16,$E$13,$F$13))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>
        <f>RAND()*$G$12</f>
        <v/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</row>
    <row r="531">
      <c r="L531" s="15" t="n">
        <v>529</v>
      </c>
      <c r="M531" s="15">
        <f>IF(L531&lt;$D$16,$D$13,IF(L531&lt;$E$16,$E$13,$F$13))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>
        <f>RAND()*$G$12</f>
        <v/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</row>
    <row r="532">
      <c r="L532" s="15" t="n">
        <v>530</v>
      </c>
      <c r="M532" s="15">
        <f>IF(L532&lt;$D$16,$D$13,IF(L532&lt;$E$16,$E$13,$F$13))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>
        <f>RAND()*$G$12</f>
        <v/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</row>
    <row r="533">
      <c r="L533" s="15" t="n">
        <v>531</v>
      </c>
      <c r="M533" s="15">
        <f>IF(L533&lt;$D$16,$D$13,IF(L533&lt;$E$16,$E$13,$F$13))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>
        <f>RAND()*$G$12</f>
        <v/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</row>
    <row r="534">
      <c r="L534" s="15" t="n">
        <v>532</v>
      </c>
      <c r="M534" s="15">
        <f>IF(L534&lt;$D$16,$D$13,IF(L534&lt;$E$16,$E$13,$F$13))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>
        <f>RAND()*$G$12</f>
        <v/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</row>
    <row r="535">
      <c r="L535" s="15" t="n">
        <v>533</v>
      </c>
      <c r="M535" s="15">
        <f>IF(L535&lt;$D$16,$D$13,IF(L535&lt;$E$16,$E$13,$F$13))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>
        <f>RAND()*$G$12</f>
        <v/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</row>
    <row r="536">
      <c r="L536" s="15" t="n">
        <v>534</v>
      </c>
      <c r="M536" s="15">
        <f>IF(L536&lt;$D$16,$D$13,IF(L536&lt;$E$16,$E$13,$F$13))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>
        <f>RAND()*$G$12</f>
        <v/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</row>
    <row r="537">
      <c r="L537" s="15" t="n">
        <v>535</v>
      </c>
      <c r="M537" s="15">
        <f>IF(L537&lt;$D$16,$D$13,IF(L537&lt;$E$16,$E$13,$F$13))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>
        <f>RAND()*$G$12</f>
        <v/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</row>
    <row r="538">
      <c r="L538" s="15" t="n">
        <v>536</v>
      </c>
      <c r="M538" s="15">
        <f>IF(L538&lt;$D$16,$D$13,IF(L538&lt;$E$16,$E$13,$F$13))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>
        <f>RAND()*$G$12</f>
        <v/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</row>
    <row r="539">
      <c r="L539" s="15" t="n">
        <v>537</v>
      </c>
      <c r="M539" s="15">
        <f>IF(L539&lt;$D$16,$D$13,IF(L539&lt;$E$16,$E$13,$F$13))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>
        <f>RAND()*$G$12</f>
        <v/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</row>
    <row r="540">
      <c r="L540" s="15" t="n">
        <v>538</v>
      </c>
      <c r="M540" s="15">
        <f>IF(L540&lt;$D$16,$D$13,IF(L540&lt;$E$16,$E$13,$F$13))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>
        <f>RAND()*$G$12</f>
        <v/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</row>
    <row r="541">
      <c r="L541" s="15" t="n">
        <v>539</v>
      </c>
      <c r="M541" s="15">
        <f>IF(L541&lt;$D$16,$D$13,IF(L541&lt;$E$16,$E$13,$F$13))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>
        <f>RAND()*$G$12</f>
        <v/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</row>
    <row r="542">
      <c r="L542" s="15" t="n">
        <v>540</v>
      </c>
      <c r="M542" s="15">
        <f>IF(L542&lt;$D$16,$D$13,IF(L542&lt;$E$16,$E$13,$F$13))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>
        <f>RAND()*$G$12</f>
        <v/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</row>
    <row r="543">
      <c r="L543" s="15" t="n">
        <v>541</v>
      </c>
      <c r="M543" s="15">
        <f>IF(L543&lt;$D$16,$D$13,IF(L543&lt;$E$16,$E$13,$F$13))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>
        <f>RAND()*$G$12</f>
        <v/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</row>
    <row r="544">
      <c r="L544" s="15" t="n">
        <v>542</v>
      </c>
      <c r="M544" s="15">
        <f>IF(L544&lt;$D$16,$D$13,IF(L544&lt;$E$16,$E$13,$F$13))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>
        <f>RAND()*$G$12</f>
        <v/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</row>
    <row r="545">
      <c r="L545" s="15" t="n">
        <v>543</v>
      </c>
      <c r="M545" s="15">
        <f>IF(L545&lt;$D$16,$D$13,IF(L545&lt;$E$16,$E$13,$F$13))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>
        <f>RAND()*$G$12</f>
        <v/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</row>
    <row r="546">
      <c r="L546" s="15" t="n">
        <v>544</v>
      </c>
      <c r="M546" s="15">
        <f>IF(L546&lt;$D$16,$D$13,IF(L546&lt;$E$16,$E$13,$F$13))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>
        <f>RAND()*$G$12</f>
        <v/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</row>
    <row r="547">
      <c r="L547" s="15" t="n">
        <v>545</v>
      </c>
      <c r="M547" s="15">
        <f>IF(L547&lt;$D$16,$D$13,IF(L547&lt;$E$16,$E$13,$F$13))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>
        <f>RAND()*$G$12</f>
        <v/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</row>
    <row r="548">
      <c r="L548" s="15" t="n">
        <v>546</v>
      </c>
      <c r="M548" s="15">
        <f>IF(L548&lt;$D$16,$D$13,IF(L548&lt;$E$16,$E$13,$F$13))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>
        <f>RAND()*$G$12</f>
        <v/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</row>
    <row r="549">
      <c r="L549" s="15" t="n">
        <v>547</v>
      </c>
      <c r="M549" s="15">
        <f>IF(L549&lt;$D$16,$D$13,IF(L549&lt;$E$16,$E$13,$F$13))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>
        <f>RAND()*$G$12</f>
        <v/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</row>
    <row r="550">
      <c r="L550" s="15" t="n">
        <v>548</v>
      </c>
      <c r="M550" s="15">
        <f>IF(L550&lt;$D$16,$D$13,IF(L550&lt;$E$16,$E$13,$F$13))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>
        <f>RAND()*$G$12</f>
        <v/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</row>
    <row r="551">
      <c r="L551" s="15" t="n">
        <v>549</v>
      </c>
      <c r="M551" s="15">
        <f>IF(L551&lt;$D$16,$D$13,IF(L551&lt;$E$16,$E$13,$F$13))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>
        <f>RAND()*$G$12</f>
        <v/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</row>
    <row r="552">
      <c r="L552" s="15" t="n">
        <v>550</v>
      </c>
      <c r="M552" s="15">
        <f>IF(L552&lt;$D$16,$D$13,IF(L552&lt;$E$16,$E$13,$F$13))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>
        <f>RAND()*$G$12</f>
        <v/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</row>
    <row r="553">
      <c r="L553" s="15" t="n">
        <v>551</v>
      </c>
      <c r="M553" s="15">
        <f>IF(L553&lt;$D$16,$D$13,IF(L553&lt;$E$16,$E$13,$F$13))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>
        <f>RAND()*$G$12</f>
        <v/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</row>
    <row r="554">
      <c r="L554" s="15" t="n">
        <v>552</v>
      </c>
      <c r="M554" s="15">
        <f>IF(L554&lt;$D$16,$D$13,IF(L554&lt;$E$16,$E$13,$F$13))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>
        <f>RAND()*$G$12</f>
        <v/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</row>
    <row r="555">
      <c r="L555" s="15" t="n">
        <v>553</v>
      </c>
      <c r="M555" s="15">
        <f>IF(L555&lt;$D$16,$D$13,IF(L555&lt;$E$16,$E$13,$F$13))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>
        <f>RAND()*$G$12</f>
        <v/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</row>
    <row r="556">
      <c r="L556" s="15" t="n">
        <v>554</v>
      </c>
      <c r="M556" s="15">
        <f>IF(L556&lt;$D$16,$D$13,IF(L556&lt;$E$16,$E$13,$F$13))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>
        <f>RAND()*$G$12</f>
        <v/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</row>
    <row r="557">
      <c r="L557" s="15" t="n">
        <v>555</v>
      </c>
      <c r="M557" s="15">
        <f>IF(L557&lt;$D$16,$D$13,IF(L557&lt;$E$16,$E$13,$F$13))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>
        <f>RAND()*$G$12</f>
        <v/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</row>
    <row r="558">
      <c r="L558" s="15" t="n">
        <v>556</v>
      </c>
      <c r="M558" s="15">
        <f>IF(L558&lt;$D$16,$D$13,IF(L558&lt;$E$16,$E$13,$F$13))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>
        <f>RAND()*$G$12</f>
        <v/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</row>
    <row r="559">
      <c r="L559" s="15" t="n">
        <v>557</v>
      </c>
      <c r="M559" s="15">
        <f>IF(L559&lt;$D$16,$D$13,IF(L559&lt;$E$16,$E$13,$F$13))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>
        <f>RAND()*$G$12</f>
        <v/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</row>
    <row r="560">
      <c r="L560" s="15" t="n">
        <v>558</v>
      </c>
      <c r="M560" s="15">
        <f>IF(L560&lt;$D$16,$D$13,IF(L560&lt;$E$16,$E$13,$F$13))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>
        <f>RAND()*$G$12</f>
        <v/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</row>
    <row r="561">
      <c r="L561" s="15" t="n">
        <v>559</v>
      </c>
      <c r="M561" s="15">
        <f>IF(L561&lt;$D$16,$D$13,IF(L561&lt;$E$16,$E$13,$F$13))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>
        <f>RAND()*$G$12</f>
        <v/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</row>
    <row r="562">
      <c r="L562" s="15" t="n">
        <v>560</v>
      </c>
      <c r="M562" s="15">
        <f>IF(L562&lt;$D$16,$D$13,IF(L562&lt;$E$16,$E$13,$F$13))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>
        <f>RAND()*$G$12</f>
        <v/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</row>
    <row r="563">
      <c r="L563" s="15" t="n">
        <v>561</v>
      </c>
      <c r="M563" s="15">
        <f>IF(L563&lt;$D$16,$D$13,IF(L563&lt;$E$16,$E$13,$F$13))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>
        <f>RAND()*$G$12</f>
        <v/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</row>
    <row r="564">
      <c r="L564" s="15" t="n">
        <v>562</v>
      </c>
      <c r="M564" s="15">
        <f>IF(L564&lt;$D$16,$D$13,IF(L564&lt;$E$16,$E$13,$F$13))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>
        <f>RAND()*$G$12</f>
        <v/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</row>
    <row r="565">
      <c r="L565" s="15" t="n">
        <v>563</v>
      </c>
      <c r="M565" s="15">
        <f>IF(L565&lt;$D$16,$D$13,IF(L565&lt;$E$16,$E$13,$F$13))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>
        <f>RAND()*$G$12</f>
        <v/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</row>
    <row r="566">
      <c r="L566" s="15" t="n">
        <v>564</v>
      </c>
      <c r="M566" s="15">
        <f>IF(L566&lt;$D$16,$D$13,IF(L566&lt;$E$16,$E$13,$F$13))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>
        <f>RAND()*$G$12</f>
        <v/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</row>
    <row r="567">
      <c r="L567" s="15" t="n">
        <v>565</v>
      </c>
      <c r="M567" s="15">
        <f>IF(L567&lt;$D$16,$D$13,IF(L567&lt;$E$16,$E$13,$F$13))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>
        <f>RAND()*$G$12</f>
        <v/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</row>
    <row r="568">
      <c r="L568" s="15" t="n">
        <v>566</v>
      </c>
      <c r="M568" s="15">
        <f>IF(L568&lt;$D$16,$D$13,IF(L568&lt;$E$16,$E$13,$F$13))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>
        <f>RAND()*$G$12</f>
        <v/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</row>
    <row r="569">
      <c r="L569" s="15" t="n">
        <v>567</v>
      </c>
      <c r="M569" s="15">
        <f>IF(L569&lt;$D$16,$D$13,IF(L569&lt;$E$16,$E$13,$F$13))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>
        <f>RAND()*$G$12</f>
        <v/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</row>
    <row r="570">
      <c r="L570" s="15" t="n">
        <v>568</v>
      </c>
      <c r="M570" s="15">
        <f>IF(L570&lt;$D$16,$D$13,IF(L570&lt;$E$16,$E$13,$F$13))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>
        <f>RAND()*$G$12</f>
        <v/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</row>
    <row r="571">
      <c r="L571" s="15" t="n">
        <v>569</v>
      </c>
      <c r="M571" s="15">
        <f>IF(L571&lt;$D$16,$D$13,IF(L571&lt;$E$16,$E$13,$F$13))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>
        <f>RAND()*$G$12</f>
        <v/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</row>
    <row r="572">
      <c r="L572" s="15" t="n">
        <v>570</v>
      </c>
      <c r="M572" s="15">
        <f>IF(L572&lt;$D$16,$D$13,IF(L572&lt;$E$16,$E$13,$F$13))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>
        <f>RAND()*$G$12</f>
        <v/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</row>
    <row r="573">
      <c r="L573" s="15" t="n">
        <v>571</v>
      </c>
      <c r="M573" s="15">
        <f>IF(L573&lt;$D$16,$D$13,IF(L573&lt;$E$16,$E$13,$F$13))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>
        <f>RAND()*$G$12</f>
        <v/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</row>
    <row r="574">
      <c r="L574" s="15" t="n">
        <v>572</v>
      </c>
      <c r="M574" s="15">
        <f>IF(L574&lt;$D$16,$D$13,IF(L574&lt;$E$16,$E$13,$F$13))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>
        <f>RAND()*$G$12</f>
        <v/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</row>
    <row r="575">
      <c r="L575" s="15" t="n">
        <v>573</v>
      </c>
      <c r="M575" s="15">
        <f>IF(L575&lt;$D$16,$D$13,IF(L575&lt;$E$16,$E$13,$F$13))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>
        <f>RAND()*$G$12</f>
        <v/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</row>
    <row r="576">
      <c r="L576" s="15" t="n">
        <v>574</v>
      </c>
      <c r="M576" s="15">
        <f>IF(L576&lt;$D$16,$D$13,IF(L576&lt;$E$16,$E$13,$F$13))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>
        <f>RAND()*$G$12</f>
        <v/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</row>
    <row r="577">
      <c r="L577" s="15" t="n">
        <v>575</v>
      </c>
      <c r="M577" s="15">
        <f>IF(L577&lt;$D$16,$D$13,IF(L577&lt;$E$16,$E$13,$F$13))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>
        <f>RAND()*$G$12</f>
        <v/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</row>
    <row r="578">
      <c r="L578" s="15" t="n">
        <v>576</v>
      </c>
      <c r="M578" s="15">
        <f>IF(L578&lt;$D$16,$D$13,IF(L578&lt;$E$16,$E$13,$F$13))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>
        <f>RAND()*$G$12</f>
        <v/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</row>
    <row r="579">
      <c r="L579" s="15" t="n">
        <v>577</v>
      </c>
      <c r="M579" s="15">
        <f>IF(L579&lt;$D$16,$D$13,IF(L579&lt;$E$16,$E$13,$F$13))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>
        <f>RAND()*$G$12</f>
        <v/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</row>
    <row r="580">
      <c r="L580" s="15" t="n">
        <v>578</v>
      </c>
      <c r="M580" s="15">
        <f>IF(L580&lt;$D$16,$D$13,IF(L580&lt;$E$16,$E$13,$F$13))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>
        <f>RAND()*$G$12</f>
        <v/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</row>
    <row r="581">
      <c r="L581" s="15" t="n">
        <v>579</v>
      </c>
      <c r="M581" s="15">
        <f>IF(L581&lt;$D$16,$D$13,IF(L581&lt;$E$16,$E$13,$F$13))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>
        <f>RAND()*$G$12</f>
        <v/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</row>
    <row r="582">
      <c r="L582" s="15" t="n">
        <v>580</v>
      </c>
      <c r="M582" s="15">
        <f>IF(L582&lt;$D$16,$D$13,IF(L582&lt;$E$16,$E$13,$F$13))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>
        <f>RAND()*$G$12</f>
        <v/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</row>
    <row r="583">
      <c r="L583" s="15" t="n">
        <v>581</v>
      </c>
      <c r="M583" s="15">
        <f>IF(L583&lt;$D$16,$D$13,IF(L583&lt;$E$16,$E$13,$F$13))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>
        <f>RAND()*$G$12</f>
        <v/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</row>
    <row r="584">
      <c r="L584" s="15" t="n">
        <v>582</v>
      </c>
      <c r="M584" s="15">
        <f>IF(L584&lt;$D$16,$D$13,IF(L584&lt;$E$16,$E$13,$F$13))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>
        <f>RAND()*$G$12</f>
        <v/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</row>
    <row r="585">
      <c r="L585" s="15" t="n">
        <v>583</v>
      </c>
      <c r="M585" s="15">
        <f>IF(L585&lt;$D$16,$D$13,IF(L585&lt;$E$16,$E$13,$F$13))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>
        <f>RAND()*$G$12</f>
        <v/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</row>
    <row r="586">
      <c r="L586" s="15" t="n">
        <v>584</v>
      </c>
      <c r="M586" s="15">
        <f>IF(L586&lt;$D$16,$D$13,IF(L586&lt;$E$16,$E$13,$F$13))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>
        <f>RAND()*$G$12</f>
        <v/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</row>
    <row r="587">
      <c r="L587" s="15" t="n">
        <v>585</v>
      </c>
      <c r="M587" s="15">
        <f>IF(L587&lt;$D$16,$D$13,IF(L587&lt;$E$16,$E$13,$F$13))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>
        <f>RAND()*$G$12</f>
        <v/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</row>
    <row r="588">
      <c r="L588" s="15" t="n">
        <v>586</v>
      </c>
      <c r="M588" s="15">
        <f>IF(L588&lt;$D$16,$D$13,IF(L588&lt;$E$16,$E$13,$F$13))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>
        <f>RAND()*$G$12</f>
        <v/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</row>
    <row r="589">
      <c r="L589" s="15" t="n">
        <v>587</v>
      </c>
      <c r="M589" s="15">
        <f>IF(L589&lt;$D$16,$D$13,IF(L589&lt;$E$16,$E$13,$F$13))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>
        <f>RAND()*$G$12</f>
        <v/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</row>
    <row r="590">
      <c r="L590" s="15" t="n">
        <v>588</v>
      </c>
      <c r="M590" s="15">
        <f>IF(L590&lt;$D$16,$D$13,IF(L590&lt;$E$16,$E$13,$F$13))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>
        <f>RAND()*$G$12</f>
        <v/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</row>
    <row r="591">
      <c r="L591" s="15" t="n">
        <v>589</v>
      </c>
      <c r="M591" s="15">
        <f>IF(L591&lt;$D$16,$D$13,IF(L591&lt;$E$16,$E$13,$F$13))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>
        <f>RAND()*$G$12</f>
        <v/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</row>
    <row r="592">
      <c r="L592" s="15" t="n">
        <v>590</v>
      </c>
      <c r="M592" s="15">
        <f>IF(L592&lt;$D$16,$D$13,IF(L592&lt;$E$16,$E$13,$F$13))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>
        <f>RAND()*$G$12</f>
        <v/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</row>
    <row r="593">
      <c r="L593" s="15" t="n">
        <v>591</v>
      </c>
      <c r="M593" s="15">
        <f>IF(L593&lt;$D$16,$D$13,IF(L593&lt;$E$16,$E$13,$F$13))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>
        <f>RAND()*$G$12</f>
        <v/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</row>
    <row r="594">
      <c r="L594" s="15" t="n">
        <v>592</v>
      </c>
      <c r="M594" s="15">
        <f>IF(L594&lt;$D$16,$D$13,IF(L594&lt;$E$16,$E$13,$F$13))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>
        <f>RAND()*$G$12</f>
        <v/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</row>
    <row r="595">
      <c r="L595" s="15" t="n">
        <v>593</v>
      </c>
      <c r="M595" s="15">
        <f>IF(L595&lt;$D$16,$D$13,IF(L595&lt;$E$16,$E$13,$F$13))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>
        <f>RAND()*$G$12</f>
        <v/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</row>
    <row r="596">
      <c r="L596" s="15" t="n">
        <v>594</v>
      </c>
      <c r="M596" s="15">
        <f>IF(L596&lt;$D$16,$D$13,IF(L596&lt;$E$16,$E$13,$F$13))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>
        <f>RAND()*$G$12</f>
        <v/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</row>
    <row r="597">
      <c r="L597" s="15" t="n">
        <v>595</v>
      </c>
      <c r="M597" s="15">
        <f>IF(L597&lt;$D$16,$D$13,IF(L597&lt;$E$16,$E$13,$F$13))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>
        <f>RAND()*$G$12</f>
        <v/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</row>
    <row r="598">
      <c r="L598" s="15" t="n">
        <v>596</v>
      </c>
      <c r="M598" s="15">
        <f>IF(L598&lt;$D$16,$D$13,IF(L598&lt;$E$16,$E$13,$F$13))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>
        <f>RAND()*$G$12</f>
        <v/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</row>
    <row r="599">
      <c r="L599" s="15" t="n">
        <v>597</v>
      </c>
      <c r="M599" s="15">
        <f>IF(L599&lt;$D$16,$D$13,IF(L599&lt;$E$16,$E$13,$F$13))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>
        <f>RAND()*$G$12</f>
        <v/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</row>
    <row r="600">
      <c r="L600" s="15" t="n">
        <v>598</v>
      </c>
      <c r="M600" s="15">
        <f>IF(L600&lt;$D$16,$D$13,IF(L600&lt;$E$16,$E$13,$F$13))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>
        <f>RAND()*$G$12</f>
        <v/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</row>
    <row r="601">
      <c r="L601" s="15" t="n">
        <v>599</v>
      </c>
      <c r="M601" s="15">
        <f>IF(L601&lt;$D$16,$D$13,IF(L601&lt;$E$16,$E$13,$F$13))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>
        <f>RAND()*$G$12</f>
        <v/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</row>
    <row r="602">
      <c r="L602" s="15" t="n">
        <v>600</v>
      </c>
      <c r="M602" s="15">
        <f>IF(L602&lt;$D$16,$D$13,IF(L602&lt;$E$16,$E$13,$F$13))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>
        <f>RAND()*$G$12</f>
        <v/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</row>
    <row r="603">
      <c r="L603" s="15" t="n">
        <v>601</v>
      </c>
      <c r="M603" s="15">
        <f>IF(L603&lt;$D$16,$D$13,IF(L603&lt;$E$16,$E$13,$F$13))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>
        <f>RAND()*$G$12</f>
        <v/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</row>
    <row r="604">
      <c r="L604" s="15" t="n">
        <v>602</v>
      </c>
      <c r="M604" s="15">
        <f>IF(L604&lt;$D$16,$D$13,IF(L604&lt;$E$16,$E$13,$F$13))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>
        <f>RAND()*$G$12</f>
        <v/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</row>
    <row r="605">
      <c r="L605" s="15" t="n">
        <v>603</v>
      </c>
      <c r="M605" s="15">
        <f>IF(L605&lt;$D$16,$D$13,IF(L605&lt;$E$16,$E$13,$F$13))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>
        <f>RAND()*$G$12</f>
        <v/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</row>
    <row r="606">
      <c r="L606" s="15" t="n">
        <v>604</v>
      </c>
      <c r="M606" s="15">
        <f>IF(L606&lt;$D$16,$D$13,IF(L606&lt;$E$16,$E$13,$F$13))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>
        <f>RAND()*$G$12</f>
        <v/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</row>
    <row r="607">
      <c r="L607" s="15" t="n">
        <v>605</v>
      </c>
      <c r="M607" s="15">
        <f>IF(L607&lt;$D$16,$D$13,IF(L607&lt;$E$16,$E$13,$F$13))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>
        <f>RAND()*$G$12</f>
        <v/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</row>
    <row r="608">
      <c r="L608" s="15" t="n">
        <v>606</v>
      </c>
      <c r="M608" s="15">
        <f>IF(L608&lt;$D$16,$D$13,IF(L608&lt;$E$16,$E$13,$F$13))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>
        <f>RAND()*$G$12</f>
        <v/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</row>
    <row r="609">
      <c r="L609" s="15" t="n">
        <v>607</v>
      </c>
      <c r="M609" s="15">
        <f>IF(L609&lt;$D$16,$D$13,IF(L609&lt;$E$16,$E$13,$F$13))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>
        <f>RAND()*$G$12</f>
        <v/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</row>
    <row r="610">
      <c r="L610" s="15" t="n">
        <v>608</v>
      </c>
      <c r="M610" s="15">
        <f>IF(L610&lt;$D$16,$D$13,IF(L610&lt;$E$16,$E$13,$F$13))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>
        <f>RAND()*$G$12</f>
        <v/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</row>
    <row r="611">
      <c r="L611" s="15" t="n">
        <v>609</v>
      </c>
      <c r="M611" s="15">
        <f>IF(L611&lt;$D$16,$D$13,IF(L611&lt;$E$16,$E$13,$F$13))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>
        <f>RAND()*$G$12</f>
        <v/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</row>
    <row r="612">
      <c r="L612" s="15" t="n">
        <v>610</v>
      </c>
      <c r="M612" s="15">
        <f>IF(L612&lt;$D$16,$D$13,IF(L612&lt;$E$16,$E$13,$F$13))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>
        <f>RAND()*$G$12</f>
        <v/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</row>
    <row r="613">
      <c r="L613" s="15" t="n">
        <v>611</v>
      </c>
      <c r="M613" s="15">
        <f>IF(L613&lt;$D$16,$D$13,IF(L613&lt;$E$16,$E$13,$F$13))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>
        <f>RAND()*$G$12</f>
        <v/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</row>
    <row r="614">
      <c r="L614" s="15" t="n">
        <v>612</v>
      </c>
      <c r="M614" s="15">
        <f>IF(L614&lt;$D$16,$D$13,IF(L614&lt;$E$16,$E$13,$F$13))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>
        <f>RAND()*$G$12</f>
        <v/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</row>
    <row r="615">
      <c r="L615" s="15" t="n">
        <v>613</v>
      </c>
      <c r="M615" s="15">
        <f>IF(L615&lt;$D$16,$D$13,IF(L615&lt;$E$16,$E$13,$F$13))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>
        <f>RAND()*$G$12</f>
        <v/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</row>
    <row r="616">
      <c r="L616" s="15" t="n">
        <v>614</v>
      </c>
      <c r="M616" s="15">
        <f>IF(L616&lt;$D$16,$D$13,IF(L616&lt;$E$16,$E$13,$F$13))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>
        <f>RAND()*$G$12</f>
        <v/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</row>
    <row r="617">
      <c r="L617" s="15" t="n">
        <v>615</v>
      </c>
      <c r="M617" s="15">
        <f>IF(L617&lt;$D$16,$D$13,IF(L617&lt;$E$16,$E$13,$F$13))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>
        <f>RAND()*$G$12</f>
        <v/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</row>
    <row r="618">
      <c r="L618" s="15" t="n">
        <v>616</v>
      </c>
      <c r="M618" s="15">
        <f>IF(L618&lt;$D$16,$D$13,IF(L618&lt;$E$16,$E$13,$F$13))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>
        <f>RAND()*$G$12</f>
        <v/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</row>
    <row r="619">
      <c r="L619" s="15" t="n">
        <v>617</v>
      </c>
      <c r="M619" s="15">
        <f>IF(L619&lt;$D$16,$D$13,IF(L619&lt;$E$16,$E$13,$F$13))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>
        <f>RAND()*$G$12</f>
        <v/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</row>
    <row r="620">
      <c r="L620" s="15" t="n">
        <v>618</v>
      </c>
      <c r="M620" s="15">
        <f>IF(L620&lt;$D$16,$D$13,IF(L620&lt;$E$16,$E$13,$F$13))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>
        <f>RAND()*$G$12</f>
        <v/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</row>
    <row r="621">
      <c r="L621" s="15" t="n">
        <v>619</v>
      </c>
      <c r="M621" s="15">
        <f>IF(L621&lt;$D$16,$D$13,IF(L621&lt;$E$16,$E$13,$F$13))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>
        <f>RAND()*$G$12</f>
        <v/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</row>
    <row r="622">
      <c r="L622" s="15" t="n">
        <v>620</v>
      </c>
      <c r="M622" s="15">
        <f>IF(L622&lt;$D$16,$D$13,IF(L622&lt;$E$16,$E$13,$F$13))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>
        <f>RAND()*$G$12</f>
        <v/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</row>
    <row r="623">
      <c r="L623" s="15" t="n">
        <v>621</v>
      </c>
      <c r="M623" s="15">
        <f>IF(L623&lt;$D$16,$D$13,IF(L623&lt;$E$16,$E$13,$F$13))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>
        <f>RAND()*$G$12</f>
        <v/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</row>
    <row r="624">
      <c r="L624" s="15" t="n">
        <v>622</v>
      </c>
      <c r="M624" s="15">
        <f>IF(L624&lt;$D$16,$D$13,IF(L624&lt;$E$16,$E$13,$F$13))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>
        <f>RAND()*$G$12</f>
        <v/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</row>
    <row r="625">
      <c r="L625" s="15" t="n">
        <v>623</v>
      </c>
      <c r="M625" s="15">
        <f>IF(L625&lt;$D$16,$D$13,IF(L625&lt;$E$16,$E$13,$F$13))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>
        <f>RAND()*$G$12</f>
        <v/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</row>
    <row r="626">
      <c r="L626" s="15" t="n">
        <v>624</v>
      </c>
      <c r="M626" s="15">
        <f>IF(L626&lt;$D$16,$D$13,IF(L626&lt;$E$16,$E$13,$F$13))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>
        <f>RAND()*$G$12</f>
        <v/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</row>
    <row r="627">
      <c r="L627" s="15" t="n">
        <v>625</v>
      </c>
      <c r="M627" s="15">
        <f>IF(L627&lt;$D$16,$D$13,IF(L627&lt;$E$16,$E$13,$F$13))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>
        <f>RAND()*$G$12</f>
        <v/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</row>
    <row r="628">
      <c r="L628" s="15" t="n">
        <v>626</v>
      </c>
      <c r="M628" s="15">
        <f>IF(L628&lt;$D$16,$D$13,IF(L628&lt;$E$16,$E$13,$F$13))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>
        <f>RAND()*$G$12</f>
        <v/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</row>
    <row r="629">
      <c r="L629" s="15" t="n">
        <v>627</v>
      </c>
      <c r="M629" s="15">
        <f>IF(L629&lt;$D$16,$D$13,IF(L629&lt;$E$16,$E$13,$F$13))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>
        <f>RAND()*$G$12</f>
        <v/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</row>
    <row r="630">
      <c r="L630" s="15" t="n">
        <v>628</v>
      </c>
      <c r="M630" s="15">
        <f>IF(L630&lt;$D$16,$D$13,IF(L630&lt;$E$16,$E$13,$F$13))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>
        <f>RAND()*$G$12</f>
        <v/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</row>
    <row r="631">
      <c r="L631" s="15" t="n">
        <v>629</v>
      </c>
      <c r="M631" s="15">
        <f>IF(L631&lt;$D$16,$D$13,IF(L631&lt;$E$16,$E$13,$F$13))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>
        <f>RAND()*$G$12</f>
        <v/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</row>
    <row r="632">
      <c r="L632" s="15" t="n">
        <v>630</v>
      </c>
      <c r="M632" s="15">
        <f>IF(L632&lt;$D$16,$D$13,IF(L632&lt;$E$16,$E$13,$F$13))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>
        <f>RAND()*$G$12</f>
        <v/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</row>
    <row r="633">
      <c r="L633" s="15" t="n">
        <v>631</v>
      </c>
      <c r="M633" s="15">
        <f>IF(L633&lt;$D$16,$D$13,IF(L633&lt;$E$16,$E$13,$F$13))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>
        <f>RAND()*$G$12</f>
        <v/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</row>
    <row r="634">
      <c r="L634" s="15" t="n">
        <v>632</v>
      </c>
      <c r="M634" s="15">
        <f>IF(L634&lt;$D$16,$D$13,IF(L634&lt;$E$16,$E$13,$F$13))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>
        <f>RAND()*$G$12</f>
        <v/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</row>
    <row r="635">
      <c r="L635" s="15" t="n">
        <v>633</v>
      </c>
      <c r="M635" s="15">
        <f>IF(L635&lt;$D$16,$D$13,IF(L635&lt;$E$16,$E$13,$F$13))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>
        <f>RAND()*$G$12</f>
        <v/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</row>
    <row r="636">
      <c r="L636" s="15" t="n">
        <v>634</v>
      </c>
      <c r="M636" s="15">
        <f>IF(L636&lt;$D$16,$D$13,IF(L636&lt;$E$16,$E$13,$F$13))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>
        <f>RAND()*$G$12</f>
        <v/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</row>
    <row r="637">
      <c r="L637" s="15" t="n">
        <v>635</v>
      </c>
      <c r="M637" s="15">
        <f>IF(L637&lt;$D$16,$D$13,IF(L637&lt;$E$16,$E$13,$F$13))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>
        <f>RAND()*$G$12</f>
        <v/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</row>
    <row r="638">
      <c r="L638" s="15" t="n">
        <v>636</v>
      </c>
      <c r="M638" s="15">
        <f>IF(L638&lt;$D$16,$D$13,IF(L638&lt;$E$16,$E$13,$F$13))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>
        <f>RAND()*$G$12</f>
        <v/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</row>
    <row r="639">
      <c r="L639" s="15" t="n">
        <v>637</v>
      </c>
      <c r="M639" s="15">
        <f>IF(L639&lt;$D$16,$D$13,IF(L639&lt;$E$16,$E$13,$F$13))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>
        <f>RAND()*$G$12</f>
        <v/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</row>
    <row r="640">
      <c r="L640" s="15" t="n">
        <v>638</v>
      </c>
      <c r="M640" s="15">
        <f>IF(L640&lt;$D$16,$D$13,IF(L640&lt;$E$16,$E$13,$F$13))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>
        <f>RAND()*$G$12</f>
        <v/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</row>
    <row r="641">
      <c r="L641" s="15" t="n">
        <v>639</v>
      </c>
      <c r="M641" s="15">
        <f>IF(L641&lt;$D$16,$D$13,IF(L641&lt;$E$16,$E$13,$F$13))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>
        <f>RAND()*$G$12</f>
        <v/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</row>
    <row r="642">
      <c r="L642" s="15" t="n">
        <v>640</v>
      </c>
      <c r="M642" s="15">
        <f>IF(L642&lt;$D$16,$D$13,IF(L642&lt;$E$16,$E$13,$F$13))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>
        <f>RAND()*$G$12</f>
        <v/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</row>
    <row r="643">
      <c r="L643" s="15" t="n">
        <v>641</v>
      </c>
      <c r="M643" s="15">
        <f>IF(L643&lt;$D$16,$D$13,IF(L643&lt;$E$16,$E$13,$F$13))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>
        <f>RAND()*$G$12</f>
        <v/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</row>
    <row r="644">
      <c r="L644" s="15" t="n">
        <v>642</v>
      </c>
      <c r="M644" s="15">
        <f>IF(L644&lt;$D$16,$D$13,IF(L644&lt;$E$16,$E$13,$F$13))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>
        <f>RAND()*$G$12</f>
        <v/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</row>
    <row r="645">
      <c r="L645" s="15" t="n">
        <v>643</v>
      </c>
      <c r="M645" s="15">
        <f>IF(L645&lt;$D$16,$D$13,IF(L645&lt;$E$16,$E$13,$F$13))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>
        <f>RAND()*$G$12</f>
        <v/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</row>
    <row r="646">
      <c r="L646" s="15" t="n">
        <v>644</v>
      </c>
      <c r="M646" s="15">
        <f>IF(L646&lt;$D$16,$D$13,IF(L646&lt;$E$16,$E$13,$F$13))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>
        <f>RAND()*$G$12</f>
        <v/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</row>
    <row r="647">
      <c r="L647" s="15" t="n">
        <v>645</v>
      </c>
      <c r="M647" s="15">
        <f>IF(L647&lt;$D$16,$D$13,IF(L647&lt;$E$16,$E$13,$F$13))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>
        <f>RAND()*$G$12</f>
        <v/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</row>
    <row r="648">
      <c r="L648" s="15" t="n">
        <v>646</v>
      </c>
      <c r="M648" s="15">
        <f>IF(L648&lt;$D$16,$D$13,IF(L648&lt;$E$16,$E$13,$F$13))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>
        <f>RAND()*$G$12</f>
        <v/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</row>
    <row r="649">
      <c r="L649" s="15" t="n">
        <v>647</v>
      </c>
      <c r="M649" s="15">
        <f>IF(L649&lt;$D$16,$D$13,IF(L649&lt;$E$16,$E$13,$F$13))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>
        <f>RAND()*$G$12</f>
        <v/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</row>
    <row r="650">
      <c r="L650" s="15" t="n">
        <v>648</v>
      </c>
      <c r="M650" s="15">
        <f>IF(L650&lt;$D$16,$D$13,IF(L650&lt;$E$16,$E$13,$F$13))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>
        <f>RAND()*$G$12</f>
        <v/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</row>
    <row r="651">
      <c r="L651" s="15" t="n">
        <v>649</v>
      </c>
      <c r="M651" s="15">
        <f>IF(L651&lt;$D$16,$D$13,IF(L651&lt;$E$16,$E$13,$F$13))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>
        <f>RAND()*$G$12</f>
        <v/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</row>
    <row r="652">
      <c r="L652" s="15" t="n">
        <v>650</v>
      </c>
      <c r="M652" s="15">
        <f>IF(L652&lt;$D$16,$D$13,IF(L652&lt;$E$16,$E$13,$F$13))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>
        <f>RAND()*$G$12</f>
        <v/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</row>
    <row r="653">
      <c r="L653" s="15" t="n">
        <v>651</v>
      </c>
      <c r="M653" s="15">
        <f>IF(L653&lt;$D$16,$D$13,IF(L653&lt;$E$16,$E$13,$F$13))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>
        <f>RAND()*$G$12</f>
        <v/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</row>
    <row r="654">
      <c r="L654" s="15" t="n">
        <v>652</v>
      </c>
      <c r="M654" s="15">
        <f>IF(L654&lt;$D$16,$D$13,IF(L654&lt;$E$16,$E$13,$F$13))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>
        <f>RAND()*$G$12</f>
        <v/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</row>
    <row r="655">
      <c r="L655" s="15" t="n">
        <v>653</v>
      </c>
      <c r="M655" s="15">
        <f>IF(L655&lt;$D$16,$D$13,IF(L655&lt;$E$16,$E$13,$F$13))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>
        <f>RAND()*$G$12</f>
        <v/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</row>
    <row r="656">
      <c r="L656" s="15" t="n">
        <v>654</v>
      </c>
      <c r="M656" s="15">
        <f>IF(L656&lt;$D$16,$D$13,IF(L656&lt;$E$16,$E$13,$F$13))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>
        <f>RAND()*$G$12</f>
        <v/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</row>
    <row r="657">
      <c r="L657" s="15" t="n">
        <v>655</v>
      </c>
      <c r="M657" s="15">
        <f>IF(L657&lt;$D$16,$D$13,IF(L657&lt;$E$16,$E$13,$F$13))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>
        <f>RAND()*$G$12</f>
        <v/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</row>
    <row r="658">
      <c r="L658" s="15" t="n">
        <v>656</v>
      </c>
      <c r="M658" s="15">
        <f>IF(L658&lt;$D$16,$D$13,IF(L658&lt;$E$16,$E$13,$F$13))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>
        <f>RAND()*$G$12</f>
        <v/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</row>
    <row r="659">
      <c r="L659" s="15" t="n">
        <v>657</v>
      </c>
      <c r="M659" s="15">
        <f>IF(L659&lt;$D$16,$D$13,IF(L659&lt;$E$16,$E$13,$F$13))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>
        <f>RAND()*$G$12</f>
        <v/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</row>
    <row r="660">
      <c r="L660" s="15" t="n">
        <v>658</v>
      </c>
      <c r="M660" s="15">
        <f>IF(L660&lt;$D$16,$D$13,IF(L660&lt;$E$16,$E$13,$F$13))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>
        <f>RAND()*$G$12</f>
        <v/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</row>
    <row r="661">
      <c r="L661" s="15" t="n">
        <v>659</v>
      </c>
      <c r="M661" s="15">
        <f>IF(L661&lt;$D$16,$D$13,IF(L661&lt;$E$16,$E$13,$F$13))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>
        <f>RAND()*$G$12</f>
        <v/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</row>
    <row r="662">
      <c r="L662" s="15" t="n">
        <v>660</v>
      </c>
      <c r="M662" s="15">
        <f>IF(L662&lt;$D$16,$D$13,IF(L662&lt;$E$16,$E$13,$F$13))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>
        <f>RAND()*$G$12</f>
        <v/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</row>
    <row r="663">
      <c r="L663" s="15" t="n">
        <v>661</v>
      </c>
      <c r="M663" s="15">
        <f>IF(L663&lt;$D$16,$D$13,IF(L663&lt;$E$16,$E$13,$F$13))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>
        <f>RAND()*$G$12</f>
        <v/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</row>
    <row r="664">
      <c r="L664" s="15" t="n">
        <v>662</v>
      </c>
      <c r="M664" s="15">
        <f>IF(L664&lt;$D$16,$D$13,IF(L664&lt;$E$16,$E$13,$F$13))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>
        <f>RAND()*$G$12</f>
        <v/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</row>
    <row r="665">
      <c r="L665" s="15" t="n">
        <v>663</v>
      </c>
      <c r="M665" s="15">
        <f>IF(L665&lt;$D$16,$D$13,IF(L665&lt;$E$16,$E$13,$F$13))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>
        <f>RAND()*$G$12</f>
        <v/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</row>
    <row r="666">
      <c r="L666" s="15" t="n">
        <v>664</v>
      </c>
      <c r="M666" s="15">
        <f>IF(L666&lt;$D$16,$D$13,IF(L666&lt;$E$16,$E$13,$F$13))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>
        <f>RAND()*$G$12</f>
        <v/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</row>
    <row r="667">
      <c r="L667" s="15" t="n">
        <v>665</v>
      </c>
      <c r="M667" s="15">
        <f>IF(L667&lt;$D$16,$D$13,IF(L667&lt;$E$16,$E$13,$F$13))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>
        <f>RAND()*$G$12</f>
        <v/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</row>
    <row r="668">
      <c r="L668" s="15" t="n">
        <v>666</v>
      </c>
      <c r="M668" s="15">
        <f>IF(L668&lt;$D$16,$D$13,IF(L668&lt;$E$16,$E$13,$F$13))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>
        <f>RAND()*$G$12</f>
        <v/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</row>
    <row r="669">
      <c r="L669" s="15" t="n">
        <v>667</v>
      </c>
      <c r="M669" s="15">
        <f>IF(L669&lt;$D$16,$D$13,IF(L669&lt;$E$16,$E$13,$F$13))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>
        <f>RAND()*$G$12</f>
        <v/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</row>
    <row r="670">
      <c r="L670" s="15" t="n">
        <v>668</v>
      </c>
      <c r="M670" s="15">
        <f>IF(L670&lt;$D$16,$D$13,IF(L670&lt;$E$16,$E$13,$F$13))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>
        <f>RAND()*$G$12</f>
        <v/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</row>
    <row r="671">
      <c r="L671" s="15" t="n">
        <v>669</v>
      </c>
      <c r="M671" s="15">
        <f>IF(L671&lt;$D$16,$D$13,IF(L671&lt;$E$16,$E$13,$F$13))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>
        <f>RAND()*$G$12</f>
        <v/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</row>
    <row r="672">
      <c r="L672" s="15" t="n">
        <v>670</v>
      </c>
      <c r="M672" s="15">
        <f>IF(L672&lt;$D$16,$D$13,IF(L672&lt;$E$16,$E$13,$F$13))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>
        <f>RAND()*$G$12</f>
        <v/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</row>
    <row r="673">
      <c r="L673" s="15" t="n">
        <v>671</v>
      </c>
      <c r="M673" s="15">
        <f>IF(L673&lt;$D$16,$D$13,IF(L673&lt;$E$16,$E$13,$F$13))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>
        <f>RAND()*$G$12</f>
        <v/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</row>
    <row r="674">
      <c r="L674" s="15" t="n">
        <v>672</v>
      </c>
      <c r="M674" s="15">
        <f>IF(L674&lt;$D$16,$D$13,IF(L674&lt;$E$16,$E$13,$F$13))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>
        <f>RAND()*$G$12</f>
        <v/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</row>
    <row r="675">
      <c r="L675" s="15" t="n">
        <v>673</v>
      </c>
      <c r="M675" s="15">
        <f>IF(L675&lt;$D$16,$D$13,IF(L675&lt;$E$16,$E$13,$F$13))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>
        <f>RAND()*$G$12</f>
        <v/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</row>
    <row r="676">
      <c r="L676" s="15" t="n">
        <v>674</v>
      </c>
      <c r="M676" s="15">
        <f>IF(L676&lt;$D$16,$D$13,IF(L676&lt;$E$16,$E$13,$F$13))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>
        <f>RAND()*$G$12</f>
        <v/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</row>
    <row r="677">
      <c r="L677" s="15" t="n">
        <v>675</v>
      </c>
      <c r="M677" s="15">
        <f>IF(L677&lt;$D$16,$D$13,IF(L677&lt;$E$16,$E$13,$F$13))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>
        <f>RAND()*$G$12</f>
        <v/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</row>
    <row r="678">
      <c r="L678" s="15" t="n">
        <v>676</v>
      </c>
      <c r="M678" s="15">
        <f>IF(L678&lt;$D$16,$D$13,IF(L678&lt;$E$16,$E$13,$F$13))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>
        <f>RAND()*$G$12</f>
        <v/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</row>
    <row r="679">
      <c r="L679" s="15" t="n">
        <v>677</v>
      </c>
      <c r="M679" s="15">
        <f>IF(L679&lt;$D$16,$D$13,IF(L679&lt;$E$16,$E$13,$F$13))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>
        <f>RAND()*$G$12</f>
        <v/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</row>
    <row r="680">
      <c r="L680" s="15" t="n">
        <v>678</v>
      </c>
      <c r="M680" s="15">
        <f>IF(L680&lt;$D$16,$D$13,IF(L680&lt;$E$16,$E$13,$F$13))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>
        <f>RAND()*$G$12</f>
        <v/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</row>
    <row r="681">
      <c r="L681" s="15" t="n">
        <v>679</v>
      </c>
      <c r="M681" s="15">
        <f>IF(L681&lt;$D$16,$D$13,IF(L681&lt;$E$16,$E$13,$F$13))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>
        <f>RAND()*$G$12</f>
        <v/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</row>
    <row r="682">
      <c r="L682" s="15" t="n">
        <v>680</v>
      </c>
      <c r="M682" s="15">
        <f>IF(L682&lt;$D$16,$D$13,IF(L682&lt;$E$16,$E$13,$F$13))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>
        <f>RAND()*$G$12</f>
        <v/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</row>
    <row r="683">
      <c r="L683" s="15" t="n">
        <v>681</v>
      </c>
      <c r="M683" s="15">
        <f>IF(L683&lt;$D$16,$D$13,IF(L683&lt;$E$16,$E$13,$F$13))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>
        <f>RAND()*$G$12</f>
        <v/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</row>
    <row r="684">
      <c r="L684" s="15" t="n">
        <v>682</v>
      </c>
      <c r="M684" s="15">
        <f>IF(L684&lt;$D$16,$D$13,IF(L684&lt;$E$16,$E$13,$F$13))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>
        <f>RAND()*$G$12</f>
        <v/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</row>
    <row r="685">
      <c r="L685" s="15" t="n">
        <v>683</v>
      </c>
      <c r="M685" s="15">
        <f>IF(L685&lt;$D$16,$D$13,IF(L685&lt;$E$16,$E$13,$F$13))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>
        <f>RAND()*$G$12</f>
        <v/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</row>
    <row r="686">
      <c r="L686" s="15" t="n">
        <v>684</v>
      </c>
      <c r="M686" s="15">
        <f>IF(L686&lt;$D$16,$D$13,IF(L686&lt;$E$16,$E$13,$F$13))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>
        <f>RAND()*$G$12</f>
        <v/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</row>
    <row r="687">
      <c r="L687" s="15" t="n">
        <v>685</v>
      </c>
      <c r="M687" s="15">
        <f>IF(L687&lt;$D$16,$D$13,IF(L687&lt;$E$16,$E$13,$F$13))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>
        <f>RAND()*$G$12</f>
        <v/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</row>
    <row r="688">
      <c r="L688" s="15" t="n">
        <v>686</v>
      </c>
      <c r="M688" s="15">
        <f>IF(L688&lt;$D$16,$D$13,IF(L688&lt;$E$16,$E$13,$F$13))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>
        <f>RAND()*$G$12</f>
        <v/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</row>
    <row r="689">
      <c r="L689" s="15" t="n">
        <v>687</v>
      </c>
      <c r="M689" s="15">
        <f>IF(L689&lt;$D$16,$D$13,IF(L689&lt;$E$16,$E$13,$F$13))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>
        <f>RAND()*$G$12</f>
        <v/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</row>
    <row r="690">
      <c r="L690" s="15" t="n">
        <v>688</v>
      </c>
      <c r="M690" s="15">
        <f>IF(L690&lt;$D$16,$D$13,IF(L690&lt;$E$16,$E$13,$F$13))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>
        <f>RAND()*$G$12</f>
        <v/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</row>
    <row r="691">
      <c r="L691" s="15" t="n">
        <v>689</v>
      </c>
      <c r="M691" s="15">
        <f>IF(L691&lt;$D$16,$D$13,IF(L691&lt;$E$16,$E$13,$F$13))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>
        <f>RAND()*$G$12</f>
        <v/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</row>
    <row r="692">
      <c r="L692" s="15" t="n">
        <v>690</v>
      </c>
      <c r="M692" s="15">
        <f>IF(L692&lt;$D$16,$D$13,IF(L692&lt;$E$16,$E$13,$F$13))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>
        <f>RAND()*$G$12</f>
        <v/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</row>
    <row r="693">
      <c r="L693" s="15" t="n">
        <v>691</v>
      </c>
      <c r="M693" s="15">
        <f>IF(L693&lt;$D$16,$D$13,IF(L693&lt;$E$16,$E$13,$F$13))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>
        <f>RAND()*$G$12</f>
        <v/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</row>
    <row r="694">
      <c r="L694" s="15" t="n">
        <v>692</v>
      </c>
      <c r="M694" s="15">
        <f>IF(L694&lt;$D$16,$D$13,IF(L694&lt;$E$16,$E$13,$F$13))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>
        <f>RAND()*$G$12</f>
        <v/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</row>
    <row r="695">
      <c r="L695" s="15" t="n">
        <v>693</v>
      </c>
      <c r="M695" s="15">
        <f>IF(L695&lt;$D$16,$D$13,IF(L695&lt;$E$16,$E$13,$F$13))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>
        <f>RAND()*$G$12</f>
        <v/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</row>
    <row r="696">
      <c r="L696" s="15" t="n">
        <v>694</v>
      </c>
      <c r="M696" s="15">
        <f>IF(L696&lt;$D$16,$D$13,IF(L696&lt;$E$16,$E$13,$F$13))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>
        <f>RAND()*$G$12</f>
        <v/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</row>
    <row r="697">
      <c r="L697" s="15" t="n">
        <v>695</v>
      </c>
      <c r="M697" s="15">
        <f>IF(L697&lt;$D$16,$D$13,IF(L697&lt;$E$16,$E$13,$F$13))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>
        <f>RAND()*$G$12</f>
        <v/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</row>
    <row r="698">
      <c r="L698" s="15" t="n">
        <v>696</v>
      </c>
      <c r="M698" s="15">
        <f>IF(L698&lt;$D$16,$D$13,IF(L698&lt;$E$16,$E$13,$F$13))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>
        <f>RAND()*$G$12</f>
        <v/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</row>
    <row r="699">
      <c r="L699" s="15" t="n">
        <v>697</v>
      </c>
      <c r="M699" s="15">
        <f>IF(L699&lt;$D$16,$D$13,IF(L699&lt;$E$16,$E$13,$F$13))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>
        <f>RAND()*$G$12</f>
        <v/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</row>
    <row r="700">
      <c r="L700" s="15" t="n">
        <v>698</v>
      </c>
      <c r="M700" s="15">
        <f>IF(L700&lt;$D$16,$D$13,IF(L700&lt;$E$16,$E$13,$F$13))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>
        <f>RAND()*$G$12</f>
        <v/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</row>
    <row r="701">
      <c r="L701" s="15" t="n">
        <v>699</v>
      </c>
      <c r="M701" s="15">
        <f>IF(L701&lt;$D$16,$D$13,IF(L701&lt;$E$16,$E$13,$F$13))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>
        <f>RAND()*$G$12</f>
        <v/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</row>
    <row r="702">
      <c r="L702" s="15" t="n">
        <v>700</v>
      </c>
      <c r="M702" s="15">
        <f>IF(L702&lt;$D$16,$D$13,IF(L702&lt;$E$16,$E$13,$F$13))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>
        <f>RAND()*$G$12</f>
        <v/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</row>
    <row r="703">
      <c r="L703" s="15" t="n">
        <v>701</v>
      </c>
      <c r="M703" s="15">
        <f>IF(L703&lt;$D$16,$D$13,IF(L703&lt;$E$16,$E$13,$F$13))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>
        <f>RAND()*$G$12</f>
        <v/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</row>
    <row r="704">
      <c r="L704" s="15" t="n">
        <v>702</v>
      </c>
      <c r="M704" s="15">
        <f>IF(L704&lt;$D$16,$D$13,IF(L704&lt;$E$16,$E$13,$F$13))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>
        <f>RAND()*$G$12</f>
        <v/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</row>
    <row r="705">
      <c r="L705" s="15" t="n">
        <v>703</v>
      </c>
      <c r="M705" s="15">
        <f>IF(L705&lt;$D$16,$D$13,IF(L705&lt;$E$16,$E$13,$F$13))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>
        <f>RAND()*$G$12</f>
        <v/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</row>
    <row r="706">
      <c r="L706" s="15" t="n">
        <v>704</v>
      </c>
      <c r="M706" s="15">
        <f>IF(L706&lt;$D$16,$D$13,IF(L706&lt;$E$16,$E$13,$F$13))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>
        <f>RAND()*$G$12</f>
        <v/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</row>
    <row r="707">
      <c r="L707" s="15" t="n">
        <v>705</v>
      </c>
      <c r="M707" s="15">
        <f>IF(L707&lt;$D$16,$D$13,IF(L707&lt;$E$16,$E$13,$F$13))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>
        <f>RAND()*$G$12</f>
        <v/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</row>
    <row r="708">
      <c r="L708" s="15" t="n">
        <v>706</v>
      </c>
      <c r="M708" s="15">
        <f>IF(L708&lt;$D$16,$D$13,IF(L708&lt;$E$16,$E$13,$F$13))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>
        <f>RAND()*$G$12</f>
        <v/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</row>
    <row r="709">
      <c r="L709" s="15" t="n">
        <v>707</v>
      </c>
      <c r="M709" s="15">
        <f>IF(L709&lt;$D$16,$D$13,IF(L709&lt;$E$16,$E$13,$F$13))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>
        <f>RAND()*$G$12</f>
        <v/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</row>
    <row r="710">
      <c r="L710" s="15" t="n">
        <v>708</v>
      </c>
      <c r="M710" s="15">
        <f>IF(L710&lt;$D$16,$D$13,IF(L710&lt;$E$16,$E$13,$F$13))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>
        <f>RAND()*$G$12</f>
        <v/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</row>
    <row r="711">
      <c r="L711" s="15" t="n">
        <v>709</v>
      </c>
      <c r="M711" s="15">
        <f>IF(L711&lt;$D$16,$D$13,IF(L711&lt;$E$16,$E$13,$F$13))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>
        <f>RAND()*$G$12</f>
        <v/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</row>
    <row r="712">
      <c r="L712" s="15" t="n">
        <v>710</v>
      </c>
      <c r="M712" s="15">
        <f>IF(L712&lt;$D$16,$D$13,IF(L712&lt;$E$16,$E$13,$F$13))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>
        <f>RAND()*$G$12</f>
        <v/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</row>
    <row r="713">
      <c r="L713" s="15" t="n">
        <v>711</v>
      </c>
      <c r="M713" s="15">
        <f>IF(L713&lt;$D$16,$D$13,IF(L713&lt;$E$16,$E$13,$F$13))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>
        <f>RAND()*$G$12</f>
        <v/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</row>
    <row r="714">
      <c r="L714" s="15" t="n">
        <v>712</v>
      </c>
      <c r="M714" s="15">
        <f>IF(L714&lt;$D$16,$D$13,IF(L714&lt;$E$16,$E$13,$F$13))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>
        <f>RAND()*$G$12</f>
        <v/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</row>
    <row r="715">
      <c r="L715" s="15" t="n">
        <v>713</v>
      </c>
      <c r="M715" s="15">
        <f>IF(L715&lt;$D$16,$D$13,IF(L715&lt;$E$16,$E$13,$F$13))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>
        <f>RAND()*$G$12</f>
        <v/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</row>
    <row r="716">
      <c r="L716" s="15" t="n">
        <v>714</v>
      </c>
      <c r="M716" s="15">
        <f>IF(L716&lt;$D$16,$D$13,IF(L716&lt;$E$16,$E$13,$F$13))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>
        <f>RAND()*$G$12</f>
        <v/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</row>
    <row r="717">
      <c r="L717" s="15" t="n">
        <v>715</v>
      </c>
      <c r="M717" s="15">
        <f>IF(L717&lt;$D$16,$D$13,IF(L717&lt;$E$16,$E$13,$F$13))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>
        <f>RAND()*$G$12</f>
        <v/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</row>
    <row r="718">
      <c r="L718" s="15" t="n">
        <v>716</v>
      </c>
      <c r="M718" s="15">
        <f>IF(L718&lt;$D$16,$D$13,IF(L718&lt;$E$16,$E$13,$F$13))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>
        <f>RAND()*$G$12</f>
        <v/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</row>
    <row r="719">
      <c r="L719" s="15" t="n">
        <v>717</v>
      </c>
      <c r="M719" s="15">
        <f>IF(L719&lt;$D$16,$D$13,IF(L719&lt;$E$16,$E$13,$F$13))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>
        <f>RAND()*$G$12</f>
        <v/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</row>
    <row r="720">
      <c r="L720" s="15" t="n">
        <v>718</v>
      </c>
      <c r="M720" s="15">
        <f>IF(L720&lt;$D$16,$D$13,IF(L720&lt;$E$16,$E$13,$F$13))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>
        <f>RAND()*$G$12</f>
        <v/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</row>
    <row r="721">
      <c r="L721" s="15" t="n">
        <v>719</v>
      </c>
      <c r="M721" s="15">
        <f>IF(L721&lt;$D$16,$D$13,IF(L721&lt;$E$16,$E$13,$F$13))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>
        <f>RAND()*$G$12</f>
        <v/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</row>
    <row r="722">
      <c r="L722" s="15" t="n">
        <v>720</v>
      </c>
      <c r="M722" s="15">
        <f>IF(L722&lt;$D$16,$D$13,IF(L722&lt;$E$16,$E$13,$F$13))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>
        <f>RAND()*$G$12</f>
        <v/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</row>
    <row r="723">
      <c r="L723" s="15" t="n">
        <v>721</v>
      </c>
      <c r="M723" s="15">
        <f>IF(L723&lt;$D$16,$D$13,IF(L723&lt;$E$16,$E$13,$F$13))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>
        <f>RAND()*$G$12</f>
        <v/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</row>
    <row r="724">
      <c r="L724" s="15" t="n">
        <v>722</v>
      </c>
      <c r="M724" s="15">
        <f>IF(L724&lt;$D$16,$D$13,IF(L724&lt;$E$16,$E$13,$F$13))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>
        <f>RAND()*$G$12</f>
        <v/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</row>
    <row r="725">
      <c r="L725" s="15" t="n">
        <v>723</v>
      </c>
      <c r="M725" s="15">
        <f>IF(L725&lt;$D$16,$D$13,IF(L725&lt;$E$16,$E$13,$F$13))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>
        <f>RAND()*$G$12</f>
        <v/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</row>
    <row r="726">
      <c r="L726" s="15" t="n">
        <v>724</v>
      </c>
      <c r="M726" s="15">
        <f>IF(L726&lt;$D$16,$D$13,IF(L726&lt;$E$16,$E$13,$F$13))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>
        <f>RAND()*$G$12</f>
        <v/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</row>
    <row r="727">
      <c r="L727" s="15" t="n">
        <v>725</v>
      </c>
      <c r="M727" s="15">
        <f>IF(L727&lt;$D$16,$D$13,IF(L727&lt;$E$16,$E$13,$F$13))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>
        <f>RAND()*$G$12</f>
        <v/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</row>
    <row r="728">
      <c r="L728" s="15" t="n">
        <v>726</v>
      </c>
      <c r="M728" s="15">
        <f>IF(L728&lt;$D$16,$D$13,IF(L728&lt;$E$16,$E$13,$F$13))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>
        <f>RAND()*$G$12</f>
        <v/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</row>
    <row r="729">
      <c r="L729" s="15" t="n">
        <v>727</v>
      </c>
      <c r="M729" s="15">
        <f>IF(L729&lt;$D$16,$D$13,IF(L729&lt;$E$16,$E$13,$F$13))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>
        <f>RAND()*$G$12</f>
        <v/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</row>
    <row r="730">
      <c r="L730" s="15" t="n">
        <v>728</v>
      </c>
      <c r="M730" s="15">
        <f>IF(L730&lt;$D$16,$D$13,IF(L730&lt;$E$16,$E$13,$F$13))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>
        <f>RAND()*$G$12</f>
        <v/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</row>
    <row r="731">
      <c r="L731" s="15" t="n">
        <v>729</v>
      </c>
      <c r="M731" s="15">
        <f>IF(L731&lt;$D$16,$D$13,IF(L731&lt;$E$16,$E$13,$F$13))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>
        <f>RAND()*$G$12</f>
        <v/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</row>
    <row r="732">
      <c r="L732" s="15" t="n">
        <v>730</v>
      </c>
      <c r="M732" s="15">
        <f>IF(L732&lt;$D$16,$D$13,IF(L732&lt;$E$16,$E$13,$F$13))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>
        <f>RAND()*$G$12</f>
        <v/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</row>
    <row r="733">
      <c r="L733" s="15" t="n">
        <v>731</v>
      </c>
      <c r="M733" s="15">
        <f>IF(L733&lt;$D$16,$D$13,IF(L733&lt;$E$16,$E$13,$F$13))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>
        <f>RAND()*$G$12</f>
        <v/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</row>
    <row r="734">
      <c r="L734" s="15" t="n">
        <v>732</v>
      </c>
      <c r="M734" s="15">
        <f>IF(L734&lt;$D$16,$D$13,IF(L734&lt;$E$16,$E$13,$F$13))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>
        <f>RAND()*$G$12</f>
        <v/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</row>
    <row r="735">
      <c r="L735" s="15" t="n">
        <v>733</v>
      </c>
      <c r="M735" s="15">
        <f>IF(L735&lt;$D$16,$D$13,IF(L735&lt;$E$16,$E$13,$F$13))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>
        <f>RAND()*$G$12</f>
        <v/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</row>
    <row r="736">
      <c r="L736" s="15" t="n">
        <v>734</v>
      </c>
      <c r="M736" s="15">
        <f>IF(L736&lt;$D$16,$D$13,IF(L736&lt;$E$16,$E$13,$F$13))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>
        <f>RAND()*$G$12</f>
        <v/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</row>
    <row r="737">
      <c r="L737" s="15" t="n">
        <v>735</v>
      </c>
      <c r="M737" s="15">
        <f>IF(L737&lt;$D$16,$D$13,IF(L737&lt;$E$16,$E$13,$F$13))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>
        <f>RAND()*$G$12</f>
        <v/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</row>
    <row r="738">
      <c r="L738" s="15" t="n">
        <v>736</v>
      </c>
      <c r="M738" s="15">
        <f>IF(L738&lt;$D$16,$D$13,IF(L738&lt;$E$16,$E$13,$F$13))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>
        <f>RAND()*$G$12</f>
        <v/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</row>
    <row r="739">
      <c r="L739" s="15" t="n">
        <v>737</v>
      </c>
      <c r="M739" s="15">
        <f>IF(L739&lt;$D$16,$D$13,IF(L739&lt;$E$16,$E$13,$F$13))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>
        <f>RAND()*$G$12</f>
        <v/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</row>
    <row r="740">
      <c r="L740" s="15" t="n">
        <v>738</v>
      </c>
      <c r="M740" s="15">
        <f>IF(L740&lt;$D$16,$D$13,IF(L740&lt;$E$16,$E$13,$F$13))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>
        <f>RAND()*$G$12</f>
        <v/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</row>
    <row r="741">
      <c r="L741" s="15" t="n">
        <v>739</v>
      </c>
      <c r="M741" s="15">
        <f>IF(L741&lt;$D$16,$D$13,IF(L741&lt;$E$16,$E$13,$F$13))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>
        <f>RAND()*$G$12</f>
        <v/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</row>
    <row r="742">
      <c r="L742" s="15" t="n">
        <v>740</v>
      </c>
      <c r="M742" s="15">
        <f>IF(L742&lt;$D$16,$D$13,IF(L742&lt;$E$16,$E$13,$F$13))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>
        <f>RAND()*$G$12</f>
        <v/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</row>
    <row r="743">
      <c r="L743" s="15" t="n">
        <v>741</v>
      </c>
      <c r="M743" s="15">
        <f>IF(L743&lt;$D$16,$D$13,IF(L743&lt;$E$16,$E$13,$F$13))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>
        <f>RAND()*$G$12</f>
        <v/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</row>
    <row r="744">
      <c r="L744" s="15" t="n">
        <v>742</v>
      </c>
      <c r="M744" s="15">
        <f>IF(L744&lt;$D$16,$D$13,IF(L744&lt;$E$16,$E$13,$F$13))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>
        <f>RAND()*$G$12</f>
        <v/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</row>
    <row r="745">
      <c r="L745" s="15" t="n">
        <v>743</v>
      </c>
      <c r="M745" s="15">
        <f>IF(L745&lt;$D$16,$D$13,IF(L745&lt;$E$16,$E$13,$F$13))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>
        <f>RAND()*$G$12</f>
        <v/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</row>
    <row r="746">
      <c r="L746" s="15" t="n">
        <v>744</v>
      </c>
      <c r="M746" s="15">
        <f>IF(L746&lt;$D$16,$D$13,IF(L746&lt;$E$16,$E$13,$F$13))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>
        <f>RAND()*$G$12</f>
        <v/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</row>
    <row r="747">
      <c r="L747" s="15" t="n">
        <v>745</v>
      </c>
      <c r="M747" s="15">
        <f>IF(L747&lt;$D$16,$D$13,IF(L747&lt;$E$16,$E$13,$F$13))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>
        <f>RAND()*$G$12</f>
        <v/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</row>
    <row r="748">
      <c r="L748" s="15" t="n">
        <v>746</v>
      </c>
      <c r="M748" s="15">
        <f>IF(L748&lt;$D$16,$D$13,IF(L748&lt;$E$16,$E$13,$F$13))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>
        <f>RAND()*$G$12</f>
        <v/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</row>
    <row r="749">
      <c r="L749" s="15" t="n">
        <v>747</v>
      </c>
      <c r="M749" s="15">
        <f>IF(L749&lt;$D$16,$D$13,IF(L749&lt;$E$16,$E$13,$F$13))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>
        <f>RAND()*$G$12</f>
        <v/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</row>
    <row r="750">
      <c r="L750" s="15" t="n">
        <v>748</v>
      </c>
      <c r="M750" s="15">
        <f>IF(L750&lt;$D$16,$D$13,IF(L750&lt;$E$16,$E$13,$F$13))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>
        <f>RAND()*$G$12</f>
        <v/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</row>
    <row r="751">
      <c r="L751" s="15" t="n">
        <v>749</v>
      </c>
      <c r="M751" s="15">
        <f>IF(L751&lt;$D$16,$D$13,IF(L751&lt;$E$16,$E$13,$F$13))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>
        <f>RAND()*$G$12</f>
        <v/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</row>
    <row r="752">
      <c r="L752" s="15" t="n">
        <v>750</v>
      </c>
      <c r="M752" s="15">
        <f>IF(L752&lt;$D$16,$D$13,IF(L752&lt;$E$16,$E$13,$F$13))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>
        <f>RAND()*$G$12</f>
        <v/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</row>
    <row r="753">
      <c r="L753" s="15" t="n">
        <v>751</v>
      </c>
      <c r="M753" s="15">
        <f>IF(L753&lt;$D$16,$D$13,IF(L753&lt;$E$16,$E$13,$F$13))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>
        <f>RAND()*$G$12</f>
        <v/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</row>
    <row r="754">
      <c r="L754" s="15" t="n">
        <v>752</v>
      </c>
      <c r="M754" s="15">
        <f>IF(L754&lt;$D$16,$D$13,IF(L754&lt;$E$16,$E$13,$F$13))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>
        <f>RAND()*$G$12</f>
        <v/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</row>
    <row r="755">
      <c r="L755" s="15" t="n">
        <v>753</v>
      </c>
      <c r="M755" s="15">
        <f>IF(L755&lt;$D$16,$D$13,IF(L755&lt;$E$16,$E$13,$F$13))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>
        <f>RAND()*$G$12</f>
        <v/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</row>
    <row r="756">
      <c r="L756" s="15" t="n">
        <v>754</v>
      </c>
      <c r="M756" s="15">
        <f>IF(L756&lt;$D$16,$D$13,IF(L756&lt;$E$16,$E$13,$F$13))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>
        <f>RAND()*$G$12</f>
        <v/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</row>
    <row r="757">
      <c r="L757" s="15" t="n">
        <v>755</v>
      </c>
      <c r="M757" s="15">
        <f>IF(L757&lt;$D$16,$D$13,IF(L757&lt;$E$16,$E$13,$F$13))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>
        <f>RAND()*$G$12</f>
        <v/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</row>
    <row r="758">
      <c r="L758" s="15" t="n">
        <v>756</v>
      </c>
      <c r="M758" s="15">
        <f>IF(L758&lt;$D$16,$D$13,IF(L758&lt;$E$16,$E$13,$F$13))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>
        <f>RAND()*$G$12</f>
        <v/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</row>
    <row r="759">
      <c r="L759" s="15" t="n">
        <v>757</v>
      </c>
      <c r="M759" s="15">
        <f>IF(L759&lt;$D$16,$D$13,IF(L759&lt;$E$16,$E$13,$F$13))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>
        <f>RAND()*$G$12</f>
        <v/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</row>
    <row r="760">
      <c r="L760" s="15" t="n">
        <v>758</v>
      </c>
      <c r="M760" s="15">
        <f>IF(L760&lt;$D$16,$D$13,IF(L760&lt;$E$16,$E$13,$F$13))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>
        <f>RAND()*$G$12</f>
        <v/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</row>
    <row r="761">
      <c r="L761" s="15" t="n">
        <v>759</v>
      </c>
      <c r="M761" s="15">
        <f>IF(L761&lt;$D$16,$D$13,IF(L761&lt;$E$16,$E$13,$F$13))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>
        <f>RAND()*$G$12</f>
        <v/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</row>
    <row r="762">
      <c r="L762" s="15" t="n">
        <v>760</v>
      </c>
      <c r="M762" s="15">
        <f>IF(L762&lt;$D$16,$D$13,IF(L762&lt;$E$16,$E$13,$F$13))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>
        <f>RAND()*$G$12</f>
        <v/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</row>
    <row r="763">
      <c r="L763" s="15" t="n">
        <v>761</v>
      </c>
      <c r="M763" s="15">
        <f>IF(L763&lt;$D$16,$D$13,IF(L763&lt;$E$16,$E$13,$F$13))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>
        <f>RAND()*$G$12</f>
        <v/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</row>
    <row r="764">
      <c r="L764" s="15" t="n">
        <v>762</v>
      </c>
      <c r="M764" s="15">
        <f>IF(L764&lt;$D$16,$D$13,IF(L764&lt;$E$16,$E$13,$F$13))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>
        <f>RAND()*$G$12</f>
        <v/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</row>
    <row r="765">
      <c r="L765" s="15" t="n">
        <v>763</v>
      </c>
      <c r="M765" s="15">
        <f>IF(L765&lt;$D$16,$D$13,IF(L765&lt;$E$16,$E$13,$F$13))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>
        <f>RAND()*$G$12</f>
        <v/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</row>
    <row r="766">
      <c r="L766" s="15" t="n">
        <v>764</v>
      </c>
      <c r="M766" s="15">
        <f>IF(L766&lt;$D$16,$D$13,IF(L766&lt;$E$16,$E$13,$F$13))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>
        <f>RAND()*$G$12</f>
        <v/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</row>
    <row r="767">
      <c r="L767" s="15" t="n">
        <v>765</v>
      </c>
      <c r="M767" s="15">
        <f>IF(L767&lt;$D$16,$D$13,IF(L767&lt;$E$16,$E$13,$F$13))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>
        <f>RAND()*$G$12</f>
        <v/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</row>
    <row r="768">
      <c r="L768" s="15" t="n">
        <v>766</v>
      </c>
      <c r="M768" s="15">
        <f>IF(L768&lt;$D$16,$D$13,IF(L768&lt;$E$16,$E$13,$F$13))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>
        <f>RAND()*$G$12</f>
        <v/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</row>
    <row r="769">
      <c r="L769" s="15" t="n">
        <v>767</v>
      </c>
      <c r="M769" s="15">
        <f>IF(L769&lt;$D$16,$D$13,IF(L769&lt;$E$16,$E$13,$F$13))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>
        <f>RAND()*$G$12</f>
        <v/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</row>
    <row r="770">
      <c r="L770" s="15" t="n">
        <v>768</v>
      </c>
      <c r="M770" s="15">
        <f>IF(L770&lt;$D$16,$D$13,IF(L770&lt;$E$16,$E$13,$F$13))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>
        <f>RAND()*$G$12</f>
        <v/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</row>
    <row r="771">
      <c r="L771" s="15" t="n">
        <v>769</v>
      </c>
      <c r="M771" s="15">
        <f>IF(L771&lt;$D$16,$D$13,IF(L771&lt;$E$16,$E$13,$F$13))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>
        <f>RAND()*$G$12</f>
        <v/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</row>
    <row r="772">
      <c r="L772" s="15" t="n">
        <v>770</v>
      </c>
      <c r="M772" s="15">
        <f>IF(L772&lt;$D$16,$D$13,IF(L772&lt;$E$16,$E$13,$F$13))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>
        <f>RAND()*$G$12</f>
        <v/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</row>
    <row r="773">
      <c r="L773" s="15" t="n">
        <v>771</v>
      </c>
      <c r="M773" s="15">
        <f>IF(L773&lt;$D$16,$D$13,IF(L773&lt;$E$16,$E$13,$F$13))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>
        <f>RAND()*$G$12</f>
        <v/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</row>
    <row r="774">
      <c r="L774" s="15" t="n">
        <v>772</v>
      </c>
      <c r="M774" s="15">
        <f>IF(L774&lt;$D$16,$D$13,IF(L774&lt;$E$16,$E$13,$F$13))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>
        <f>RAND()*$G$12</f>
        <v/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</row>
    <row r="775">
      <c r="L775" s="15" t="n">
        <v>773</v>
      </c>
      <c r="M775" s="15">
        <f>IF(L775&lt;$D$16,$D$13,IF(L775&lt;$E$16,$E$13,$F$13))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>
        <f>RAND()*$G$12</f>
        <v/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</row>
    <row r="776">
      <c r="L776" s="15" t="n">
        <v>774</v>
      </c>
      <c r="M776" s="15">
        <f>IF(L776&lt;$D$16,$D$13,IF(L776&lt;$E$16,$E$13,$F$13))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>
        <f>RAND()*$G$12</f>
        <v/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</row>
    <row r="777">
      <c r="L777" s="15" t="n">
        <v>775</v>
      </c>
      <c r="M777" s="15">
        <f>IF(L777&lt;$D$16,$D$13,IF(L777&lt;$E$16,$E$13,$F$13))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>
        <f>RAND()*$G$12</f>
        <v/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</row>
    <row r="778">
      <c r="L778" s="15" t="n">
        <v>776</v>
      </c>
      <c r="M778" s="15">
        <f>IF(L778&lt;$D$16,$D$13,IF(L778&lt;$E$16,$E$13,$F$13))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>
        <f>RAND()*$G$12</f>
        <v/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</row>
    <row r="779">
      <c r="L779" s="15" t="n">
        <v>777</v>
      </c>
      <c r="M779" s="15">
        <f>IF(L779&lt;$D$16,$D$13,IF(L779&lt;$E$16,$E$13,$F$13))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>
        <f>RAND()*$G$12</f>
        <v/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</row>
    <row r="780">
      <c r="L780" s="15" t="n">
        <v>778</v>
      </c>
      <c r="M780" s="15">
        <f>IF(L780&lt;$D$16,$D$13,IF(L780&lt;$E$16,$E$13,$F$13))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>
        <f>RAND()*$G$12</f>
        <v/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</row>
    <row r="781">
      <c r="L781" s="15" t="n">
        <v>779</v>
      </c>
      <c r="M781" s="15">
        <f>IF(L781&lt;$D$16,$D$13,IF(L781&lt;$E$16,$E$13,$F$13))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>
        <f>RAND()*$G$12</f>
        <v/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</row>
    <row r="782">
      <c r="L782" s="15" t="n">
        <v>780</v>
      </c>
      <c r="M782" s="15">
        <f>IF(L782&lt;$D$16,$D$13,IF(L782&lt;$E$16,$E$13,$F$13))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>
        <f>RAND()*$G$12</f>
        <v/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</row>
    <row r="783">
      <c r="L783" s="15" t="n">
        <v>781</v>
      </c>
      <c r="M783" s="15">
        <f>IF(L783&lt;$D$16,$D$13,IF(L783&lt;$E$16,$E$13,$F$13))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>
        <f>RAND()*$G$12</f>
        <v/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</row>
    <row r="784">
      <c r="L784" s="15" t="n">
        <v>782</v>
      </c>
      <c r="M784" s="15">
        <f>IF(L784&lt;$D$16,$D$13,IF(L784&lt;$E$16,$E$13,$F$13))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>
        <f>RAND()*$G$12</f>
        <v/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</row>
    <row r="785">
      <c r="L785" s="15" t="n">
        <v>783</v>
      </c>
      <c r="M785" s="15">
        <f>IF(L785&lt;$D$16,$D$13,IF(L785&lt;$E$16,$E$13,$F$13))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>
        <f>RAND()*$G$12</f>
        <v/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</row>
    <row r="786">
      <c r="L786" s="15" t="n">
        <v>784</v>
      </c>
      <c r="M786" s="15">
        <f>IF(L786&lt;$D$16,$D$13,IF(L786&lt;$E$16,$E$13,$F$13))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>
        <f>RAND()*$G$12</f>
        <v/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</row>
    <row r="787">
      <c r="L787" s="15" t="n">
        <v>785</v>
      </c>
      <c r="M787" s="15">
        <f>IF(L787&lt;$D$16,$D$13,IF(L787&lt;$E$16,$E$13,$F$13))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>
        <f>RAND()*$G$12</f>
        <v/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</row>
    <row r="788">
      <c r="L788" s="15" t="n">
        <v>786</v>
      </c>
      <c r="M788" s="15">
        <f>IF(L788&lt;$D$16,$D$13,IF(L788&lt;$E$16,$E$13,$F$13))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>
        <f>RAND()*$G$12</f>
        <v/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</row>
    <row r="789">
      <c r="L789" s="15" t="n">
        <v>787</v>
      </c>
      <c r="M789" s="15">
        <f>IF(L789&lt;$D$16,$D$13,IF(L789&lt;$E$16,$E$13,$F$13))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>
        <f>RAND()*$G$12</f>
        <v/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</row>
    <row r="790">
      <c r="L790" s="15" t="n">
        <v>788</v>
      </c>
      <c r="M790" s="15">
        <f>IF(L790&lt;$D$16,$D$13,IF(L790&lt;$E$16,$E$13,$F$13))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>
        <f>RAND()*$G$12</f>
        <v/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</row>
    <row r="791">
      <c r="L791" s="15" t="n">
        <v>789</v>
      </c>
      <c r="M791" s="15">
        <f>IF(L791&lt;$D$16,$D$13,IF(L791&lt;$E$16,$E$13,$F$13))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>
        <f>RAND()*$G$12</f>
        <v/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</row>
    <row r="792">
      <c r="L792" s="15" t="n">
        <v>790</v>
      </c>
      <c r="M792" s="15">
        <f>IF(L792&lt;$D$16,$D$13,IF(L792&lt;$E$16,$E$13,$F$13))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>
        <f>RAND()*$G$12</f>
        <v/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</row>
    <row r="793">
      <c r="L793" s="15" t="n">
        <v>791</v>
      </c>
      <c r="M793" s="15">
        <f>IF(L793&lt;$D$16,$D$13,IF(L793&lt;$E$16,$E$13,$F$13))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>
        <f>RAND()*$G$12</f>
        <v/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</row>
    <row r="794">
      <c r="L794" s="15" t="n">
        <v>792</v>
      </c>
      <c r="M794" s="15">
        <f>IF(L794&lt;$D$16,$D$13,IF(L794&lt;$E$16,$E$13,$F$13))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>
        <f>RAND()*$G$12</f>
        <v/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</row>
    <row r="795">
      <c r="L795" s="15" t="n">
        <v>793</v>
      </c>
      <c r="M795" s="15">
        <f>IF(L795&lt;$D$16,$D$13,IF(L795&lt;$E$16,$E$13,$F$13))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>
        <f>RAND()*$G$12</f>
        <v/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</row>
    <row r="796">
      <c r="L796" s="15" t="n">
        <v>794</v>
      </c>
      <c r="M796" s="15">
        <f>IF(L796&lt;$D$16,$D$13,IF(L796&lt;$E$16,$E$13,$F$13))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>
        <f>RAND()*$G$12</f>
        <v/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</row>
    <row r="797">
      <c r="L797" s="15" t="n">
        <v>795</v>
      </c>
      <c r="M797" s="15">
        <f>IF(L797&lt;$D$16,$D$13,IF(L797&lt;$E$16,$E$13,$F$13))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>
        <f>RAND()*$G$12</f>
        <v/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</row>
    <row r="798">
      <c r="L798" s="15" t="n">
        <v>796</v>
      </c>
      <c r="M798" s="15">
        <f>IF(L798&lt;$D$16,$D$13,IF(L798&lt;$E$16,$E$13,$F$13))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>
        <f>RAND()*$G$12</f>
        <v/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</row>
    <row r="799">
      <c r="L799" s="15" t="n">
        <v>797</v>
      </c>
      <c r="M799" s="15">
        <f>IF(L799&lt;$D$16,$D$13,IF(L799&lt;$E$16,$E$13,$F$13))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>
        <f>RAND()*$G$12</f>
        <v/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</row>
    <row r="800">
      <c r="L800" s="15" t="n">
        <v>798</v>
      </c>
      <c r="M800" s="15">
        <f>IF(L800&lt;$D$16,$D$13,IF(L800&lt;$E$16,$E$13,$F$13))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>
        <f>RAND()*$G$12</f>
        <v/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</row>
    <row r="801">
      <c r="L801" s="15" t="n">
        <v>799</v>
      </c>
      <c r="M801" s="15">
        <f>IF(L801&lt;$D$16,$D$13,IF(L801&lt;$E$16,$E$13,$F$13))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>
        <f>RAND()*$G$12</f>
        <v/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</row>
    <row r="802">
      <c r="L802" s="15" t="n">
        <v>800</v>
      </c>
      <c r="M802" s="15">
        <f>IF(L802&lt;$D$16,$D$13,IF(L802&lt;$E$16,$E$13,$F$13))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>
        <f>RAND()*$G$12</f>
        <v/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</row>
    <row r="803">
      <c r="L803" s="15" t="n">
        <v>801</v>
      </c>
      <c r="M803" s="15">
        <f>IF(L803&lt;$D$16,$D$13,IF(L803&lt;$E$16,$E$13,$F$13))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>
        <f>RAND()*$G$12</f>
        <v/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</row>
    <row r="804">
      <c r="L804" s="15" t="n">
        <v>802</v>
      </c>
      <c r="M804" s="15">
        <f>IF(L804&lt;$D$16,$D$13,IF(L804&lt;$E$16,$E$13,$F$13))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>
        <f>RAND()*$G$12</f>
        <v/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</row>
    <row r="805">
      <c r="L805" s="15" t="n">
        <v>803</v>
      </c>
      <c r="M805" s="15">
        <f>IF(L805&lt;$D$16,$D$13,IF(L805&lt;$E$16,$E$13,$F$13))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>
        <f>RAND()*$G$12</f>
        <v/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</row>
    <row r="806">
      <c r="L806" s="15" t="n">
        <v>804</v>
      </c>
      <c r="M806" s="15">
        <f>IF(L806&lt;$D$16,$D$13,IF(L806&lt;$E$16,$E$13,$F$13))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>
        <f>RAND()*$G$12</f>
        <v/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</row>
    <row r="807">
      <c r="L807" s="15" t="n">
        <v>805</v>
      </c>
      <c r="M807" s="15">
        <f>IF(L807&lt;$D$16,$D$13,IF(L807&lt;$E$16,$E$13,$F$13))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>
        <f>RAND()*$G$12</f>
        <v/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</row>
    <row r="808">
      <c r="L808" s="15" t="n">
        <v>806</v>
      </c>
      <c r="M808" s="15">
        <f>IF(L808&lt;$D$16,$D$13,IF(L808&lt;$E$16,$E$13,$F$13))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>
        <f>RAND()*$G$12</f>
        <v/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</row>
    <row r="809">
      <c r="L809" s="15" t="n">
        <v>807</v>
      </c>
      <c r="M809" s="15">
        <f>IF(L809&lt;$D$16,$D$13,IF(L809&lt;$E$16,$E$13,$F$13))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>
        <f>RAND()*$G$12</f>
        <v/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</row>
    <row r="810">
      <c r="L810" s="15" t="n">
        <v>808</v>
      </c>
      <c r="M810" s="15">
        <f>IF(L810&lt;$D$16,$D$13,IF(L810&lt;$E$16,$E$13,$F$13))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>
        <f>RAND()*$G$12</f>
        <v/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</row>
    <row r="811">
      <c r="L811" s="15" t="n">
        <v>809</v>
      </c>
      <c r="M811" s="15">
        <f>IF(L811&lt;$D$16,$D$13,IF(L811&lt;$E$16,$E$13,$F$13))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>
        <f>RAND()*$G$12</f>
        <v/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</row>
    <row r="812">
      <c r="L812" s="15" t="n">
        <v>810</v>
      </c>
      <c r="M812" s="15">
        <f>IF(L812&lt;$D$16,$D$13,IF(L812&lt;$E$16,$E$13,$F$13))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>
        <f>RAND()*$G$12</f>
        <v/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</row>
    <row r="813">
      <c r="L813" s="15" t="n">
        <v>811</v>
      </c>
      <c r="M813" s="15">
        <f>IF(L813&lt;$D$16,$D$13,IF(L813&lt;$E$16,$E$13,$F$13))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>
        <f>RAND()*$G$12</f>
        <v/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</row>
    <row r="814">
      <c r="L814" s="15" t="n">
        <v>812</v>
      </c>
      <c r="M814" s="15">
        <f>IF(L814&lt;$D$16,$D$13,IF(L814&lt;$E$16,$E$13,$F$13))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>
        <f>RAND()*$G$12</f>
        <v/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</row>
    <row r="815">
      <c r="L815" s="15" t="n">
        <v>813</v>
      </c>
      <c r="M815" s="15">
        <f>IF(L815&lt;$D$16,$D$13,IF(L815&lt;$E$16,$E$13,$F$13))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>
        <f>RAND()*$G$12</f>
        <v/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</row>
    <row r="816">
      <c r="L816" s="15" t="n">
        <v>814</v>
      </c>
      <c r="M816" s="15">
        <f>IF(L816&lt;$D$16,$D$13,IF(L816&lt;$E$16,$E$13,$F$13))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>
        <f>RAND()*$G$12</f>
        <v/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</row>
    <row r="817">
      <c r="L817" s="15" t="n">
        <v>815</v>
      </c>
      <c r="M817" s="15">
        <f>IF(L817&lt;$D$16,$D$13,IF(L817&lt;$E$16,$E$13,$F$13))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>
        <f>RAND()*$G$12</f>
        <v/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</row>
    <row r="818">
      <c r="L818" s="15" t="n">
        <v>816</v>
      </c>
      <c r="M818" s="15">
        <f>IF(L818&lt;$D$16,$D$13,IF(L818&lt;$E$16,$E$13,$F$13))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>
        <f>RAND()*$G$12</f>
        <v/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</row>
    <row r="819">
      <c r="L819" s="15" t="n">
        <v>817</v>
      </c>
      <c r="M819" s="15">
        <f>IF(L819&lt;$D$16,$D$13,IF(L819&lt;$E$16,$E$13,$F$13))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>
        <f>RAND()*$G$12</f>
        <v/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</row>
    <row r="820">
      <c r="L820" s="15" t="n">
        <v>818</v>
      </c>
      <c r="M820" s="15">
        <f>IF(L820&lt;$D$16,$D$13,IF(L820&lt;$E$16,$E$13,$F$13))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>
        <f>RAND()*$G$12</f>
        <v/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</row>
    <row r="821">
      <c r="L821" s="15" t="n">
        <v>819</v>
      </c>
      <c r="M821" s="15">
        <f>IF(L821&lt;$D$16,$D$13,IF(L821&lt;$E$16,$E$13,$F$13))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>
        <f>RAND()*$G$12</f>
        <v/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</row>
    <row r="822">
      <c r="L822" s="15" t="n">
        <v>820</v>
      </c>
      <c r="M822" s="15">
        <f>IF(L822&lt;$D$16,$D$13,IF(L822&lt;$E$16,$E$13,$F$13))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>
        <f>RAND()*$G$12</f>
        <v/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</row>
    <row r="823">
      <c r="L823" s="15" t="n">
        <v>821</v>
      </c>
      <c r="M823" s="15">
        <f>IF(L823&lt;$D$16,$D$13,IF(L823&lt;$E$16,$E$13,$F$13))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>
        <f>RAND()*$G$12</f>
        <v/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</row>
    <row r="824">
      <c r="L824" s="15" t="n">
        <v>822</v>
      </c>
      <c r="M824" s="15">
        <f>IF(L824&lt;$D$16,$D$13,IF(L824&lt;$E$16,$E$13,$F$13))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>
        <f>RAND()*$G$12</f>
        <v/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</row>
    <row r="825">
      <c r="L825" s="15" t="n">
        <v>823</v>
      </c>
      <c r="M825" s="15">
        <f>IF(L825&lt;$D$16,$D$13,IF(L825&lt;$E$16,$E$13,$F$13))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>
        <f>RAND()*$G$12</f>
        <v/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</row>
    <row r="826">
      <c r="L826" s="15" t="n">
        <v>824</v>
      </c>
      <c r="M826" s="15">
        <f>IF(L826&lt;$D$16,$D$13,IF(L826&lt;$E$16,$E$13,$F$13))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>
        <f>RAND()*$G$12</f>
        <v/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</row>
    <row r="827">
      <c r="L827" s="15" t="n">
        <v>825</v>
      </c>
      <c r="M827" s="15">
        <f>IF(L827&lt;$D$16,$D$13,IF(L827&lt;$E$16,$E$13,$F$13))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>
        <f>RAND()*$G$12</f>
        <v/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</row>
    <row r="828">
      <c r="L828" s="15" t="n">
        <v>826</v>
      </c>
      <c r="M828" s="15">
        <f>IF(L828&lt;$D$16,$D$13,IF(L828&lt;$E$16,$E$13,$F$13))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>
        <f>RAND()*$G$12</f>
        <v/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</row>
    <row r="829">
      <c r="L829" s="15" t="n">
        <v>827</v>
      </c>
      <c r="M829" s="15">
        <f>IF(L829&lt;$D$16,$D$13,IF(L829&lt;$E$16,$E$13,$F$13))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>
        <f>RAND()*$G$12</f>
        <v/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</row>
    <row r="830">
      <c r="L830" s="15" t="n">
        <v>828</v>
      </c>
      <c r="M830" s="15">
        <f>IF(L830&lt;$D$16,$D$13,IF(L830&lt;$E$16,$E$13,$F$13))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>
        <f>RAND()*$G$12</f>
        <v/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</row>
    <row r="831">
      <c r="L831" s="15" t="n">
        <v>829</v>
      </c>
      <c r="M831" s="15">
        <f>IF(L831&lt;$D$16,$D$13,IF(L831&lt;$E$16,$E$13,$F$13))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>
        <f>RAND()*$G$12</f>
        <v/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</row>
    <row r="832">
      <c r="L832" s="15" t="n">
        <v>830</v>
      </c>
      <c r="M832" s="15">
        <f>IF(L832&lt;$D$16,$D$13,IF(L832&lt;$E$16,$E$13,$F$13))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>
        <f>RAND()*$G$12</f>
        <v/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</row>
    <row r="833">
      <c r="L833" s="15" t="n">
        <v>831</v>
      </c>
      <c r="M833" s="15">
        <f>IF(L833&lt;$D$16,$D$13,IF(L833&lt;$E$16,$E$13,$F$13))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>
        <f>RAND()*$G$12</f>
        <v/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</row>
    <row r="834">
      <c r="L834" s="15" t="n">
        <v>832</v>
      </c>
      <c r="M834" s="15">
        <f>IF(L834&lt;$D$16,$D$13,IF(L834&lt;$E$16,$E$13,$F$13))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>
        <f>RAND()*$G$12</f>
        <v/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</row>
    <row r="835">
      <c r="L835" s="15" t="n">
        <v>833</v>
      </c>
      <c r="M835" s="15">
        <f>IF(L835&lt;$D$16,$D$13,IF(L835&lt;$E$16,$E$13,$F$13))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>
        <f>RAND()*$G$12</f>
        <v/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</row>
    <row r="836">
      <c r="L836" s="15" t="n">
        <v>834</v>
      </c>
      <c r="M836" s="15">
        <f>IF(L836&lt;$D$16,$D$13,IF(L836&lt;$E$16,$E$13,$F$13))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>
        <f>RAND()*$G$12</f>
        <v/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</row>
    <row r="837">
      <c r="L837" s="15" t="n">
        <v>835</v>
      </c>
      <c r="M837" s="15">
        <f>IF(L837&lt;$D$16,$D$13,IF(L837&lt;$E$16,$E$13,$F$13))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>
        <f>RAND()*$G$12</f>
        <v/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</row>
    <row r="838">
      <c r="L838" s="15" t="n">
        <v>836</v>
      </c>
      <c r="M838" s="15">
        <f>IF(L838&lt;$D$16,$D$13,IF(L838&lt;$E$16,$E$13,$F$13))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>
        <f>RAND()*$G$12</f>
        <v/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</row>
    <row r="839">
      <c r="L839" s="15" t="n">
        <v>837</v>
      </c>
      <c r="M839" s="15">
        <f>IF(L839&lt;$D$16,$D$13,IF(L839&lt;$E$16,$E$13,$F$13))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>
        <f>RAND()*$G$12</f>
        <v/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</row>
    <row r="840">
      <c r="L840" s="15" t="n">
        <v>838</v>
      </c>
      <c r="M840" s="15">
        <f>IF(L840&lt;$D$16,$D$13,IF(L840&lt;$E$16,$E$13,$F$13))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>
        <f>RAND()*$G$12</f>
        <v/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</row>
    <row r="841">
      <c r="L841" s="15" t="n">
        <v>839</v>
      </c>
      <c r="M841" s="15">
        <f>IF(L841&lt;$D$16,$D$13,IF(L841&lt;$E$16,$E$13,$F$13))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>
        <f>RAND()*$G$12</f>
        <v/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</row>
    <row r="842">
      <c r="L842" s="15" t="n">
        <v>840</v>
      </c>
      <c r="M842" s="15">
        <f>IF(L842&lt;$D$16,$D$13,IF(L842&lt;$E$16,$E$13,$F$13))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>
        <f>RAND()*$G$12</f>
        <v/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</row>
    <row r="843">
      <c r="L843" s="15" t="n">
        <v>841</v>
      </c>
      <c r="M843" s="15">
        <f>IF(L843&lt;$D$16,$D$13,IF(L843&lt;$E$16,$E$13,$F$13))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>
        <f>RAND()*$G$12</f>
        <v/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</row>
    <row r="844">
      <c r="L844" s="15" t="n">
        <v>842</v>
      </c>
      <c r="M844" s="15">
        <f>IF(L844&lt;$D$16,$D$13,IF(L844&lt;$E$16,$E$13,$F$13))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>
        <f>RAND()*$G$12</f>
        <v/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</row>
    <row r="845">
      <c r="L845" s="15" t="n">
        <v>843</v>
      </c>
      <c r="M845" s="15">
        <f>IF(L845&lt;$D$16,$D$13,IF(L845&lt;$E$16,$E$13,$F$13))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>
        <f>RAND()*$G$12</f>
        <v/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</row>
    <row r="846">
      <c r="L846" s="15" t="n">
        <v>844</v>
      </c>
      <c r="M846" s="15">
        <f>IF(L846&lt;$D$16,$D$13,IF(L846&lt;$E$16,$E$13,$F$13))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>
        <f>RAND()*$G$12</f>
        <v/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</row>
    <row r="847">
      <c r="L847" s="15" t="n">
        <v>845</v>
      </c>
      <c r="M847" s="15">
        <f>IF(L847&lt;$D$16,$D$13,IF(L847&lt;$E$16,$E$13,$F$13))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>
        <f>RAND()*$G$12</f>
        <v/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</row>
    <row r="848">
      <c r="L848" s="15" t="n">
        <v>846</v>
      </c>
      <c r="M848" s="15">
        <f>IF(L848&lt;$D$16,$D$13,IF(L848&lt;$E$16,$E$13,$F$13))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>
        <f>RAND()*$G$12</f>
        <v/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</row>
    <row r="849">
      <c r="L849" s="15" t="n">
        <v>847</v>
      </c>
      <c r="M849" s="15">
        <f>IF(L849&lt;$D$16,$D$13,IF(L849&lt;$E$16,$E$13,$F$13))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>
        <f>RAND()*$G$12</f>
        <v/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</row>
    <row r="850">
      <c r="L850" s="15" t="n">
        <v>848</v>
      </c>
      <c r="M850" s="15">
        <f>IF(L850&lt;$D$16,$D$13,IF(L850&lt;$E$16,$E$13,$F$13))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>
        <f>RAND()*$G$12</f>
        <v/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</row>
    <row r="851">
      <c r="L851" s="15" t="n">
        <v>849</v>
      </c>
      <c r="M851" s="15">
        <f>IF(L851&lt;$D$16,$D$13,IF(L851&lt;$E$16,$E$13,$F$13))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>
        <f>RAND()*$G$12</f>
        <v/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</row>
    <row r="852">
      <c r="L852" s="15" t="n">
        <v>850</v>
      </c>
      <c r="M852" s="15">
        <f>IF(L852&lt;$D$16,$D$13,IF(L852&lt;$E$16,$E$13,$F$13))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>
        <f>RAND()*$G$12</f>
        <v/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</row>
    <row r="853">
      <c r="L853" s="15" t="n">
        <v>851</v>
      </c>
      <c r="M853" s="15">
        <f>IF(L853&lt;$D$16,$D$13,IF(L853&lt;$E$16,$E$13,$F$13))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>
        <f>RAND()*$G$12</f>
        <v/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</row>
    <row r="854">
      <c r="L854" s="15" t="n">
        <v>852</v>
      </c>
      <c r="M854" s="15">
        <f>IF(L854&lt;$D$16,$D$13,IF(L854&lt;$E$16,$E$13,$F$13))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>
        <f>RAND()*$G$12</f>
        <v/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</row>
    <row r="855">
      <c r="L855" s="15" t="n">
        <v>853</v>
      </c>
      <c r="M855" s="15">
        <f>IF(L855&lt;$D$16,$D$13,IF(L855&lt;$E$16,$E$13,$F$13))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>
        <f>RAND()*$G$12</f>
        <v/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</row>
    <row r="856">
      <c r="L856" s="15" t="n">
        <v>854</v>
      </c>
      <c r="M856" s="15">
        <f>IF(L856&lt;$D$16,$D$13,IF(L856&lt;$E$16,$E$13,$F$13))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>
        <f>RAND()*$G$12</f>
        <v/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</row>
    <row r="857">
      <c r="L857" s="15" t="n">
        <v>855</v>
      </c>
      <c r="M857" s="15">
        <f>IF(L857&lt;$D$16,$D$13,IF(L857&lt;$E$16,$E$13,$F$13))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>
        <f>RAND()*$G$12</f>
        <v/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</row>
    <row r="858">
      <c r="L858" s="15" t="n">
        <v>856</v>
      </c>
      <c r="M858" s="15">
        <f>IF(L858&lt;$D$16,$D$13,IF(L858&lt;$E$16,$E$13,$F$13))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>
        <f>RAND()*$G$12</f>
        <v/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</row>
    <row r="859">
      <c r="L859" s="15" t="n">
        <v>857</v>
      </c>
      <c r="M859" s="15">
        <f>IF(L859&lt;$D$16,$D$13,IF(L859&lt;$E$16,$E$13,$F$13))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>
        <f>RAND()*$G$12</f>
        <v/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</row>
    <row r="860">
      <c r="L860" s="15" t="n">
        <v>858</v>
      </c>
      <c r="M860" s="15">
        <f>IF(L860&lt;$D$16,$D$13,IF(L860&lt;$E$16,$E$13,$F$13))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>
        <f>RAND()*$G$12</f>
        <v/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</row>
    <row r="861">
      <c r="L861" s="15" t="n">
        <v>859</v>
      </c>
      <c r="M861" s="15">
        <f>IF(L861&lt;$D$16,$D$13,IF(L861&lt;$E$16,$E$13,$F$13))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>
        <f>RAND()*$G$12</f>
        <v/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</row>
    <row r="862">
      <c r="L862" s="15" t="n">
        <v>860</v>
      </c>
      <c r="M862" s="15">
        <f>IF(L862&lt;$D$16,$D$13,IF(L862&lt;$E$16,$E$13,$F$13))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>
        <f>RAND()*$G$12</f>
        <v/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</row>
    <row r="863">
      <c r="L863" s="15" t="n">
        <v>861</v>
      </c>
      <c r="M863" s="15">
        <f>IF(L863&lt;$D$16,$D$13,IF(L863&lt;$E$16,$E$13,$F$13))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>
        <f>RAND()*$G$12</f>
        <v/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</row>
    <row r="864">
      <c r="L864" s="15" t="n">
        <v>862</v>
      </c>
      <c r="M864" s="15">
        <f>IF(L864&lt;$D$16,$D$13,IF(L864&lt;$E$16,$E$13,$F$13))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>
        <f>RAND()*$G$12</f>
        <v/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</row>
    <row r="865">
      <c r="L865" s="15" t="n">
        <v>863</v>
      </c>
      <c r="M865" s="15">
        <f>IF(L865&lt;$D$16,$D$13,IF(L865&lt;$E$16,$E$13,$F$13))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>
        <f>RAND()*$G$12</f>
        <v/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</row>
    <row r="866">
      <c r="L866" s="15" t="n">
        <v>864</v>
      </c>
      <c r="M866" s="15">
        <f>IF(L866&lt;$D$16,$D$13,IF(L866&lt;$E$16,$E$13,$F$13))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>
        <f>RAND()*$G$12</f>
        <v/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</row>
    <row r="867">
      <c r="L867" s="15" t="n">
        <v>865</v>
      </c>
      <c r="M867" s="15">
        <f>IF(L867&lt;$D$16,$D$13,IF(L867&lt;$E$16,$E$13,$F$13))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>
        <f>RAND()*$G$12</f>
        <v/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</row>
    <row r="868">
      <c r="L868" s="15" t="n">
        <v>866</v>
      </c>
      <c r="M868" s="15">
        <f>IF(L868&lt;$D$16,$D$13,IF(L868&lt;$E$16,$E$13,$F$13))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>
        <f>RAND()*$G$12</f>
        <v/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</row>
    <row r="869">
      <c r="L869" s="15" t="n">
        <v>867</v>
      </c>
      <c r="M869" s="15">
        <f>IF(L869&lt;$D$16,$D$13,IF(L869&lt;$E$16,$E$13,$F$13))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>
        <f>RAND()*$G$12</f>
        <v/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</row>
    <row r="870">
      <c r="L870" s="15" t="n">
        <v>868</v>
      </c>
      <c r="M870" s="15">
        <f>IF(L870&lt;$D$16,$D$13,IF(L870&lt;$E$16,$E$13,$F$13))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>
        <f>RAND()*$G$12</f>
        <v/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</row>
    <row r="871">
      <c r="L871" s="15" t="n">
        <v>869</v>
      </c>
      <c r="M871" s="15">
        <f>IF(L871&lt;$D$16,$D$13,IF(L871&lt;$E$16,$E$13,$F$13))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>
        <f>RAND()*$G$12</f>
        <v/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</row>
    <row r="872">
      <c r="L872" s="15" t="n">
        <v>870</v>
      </c>
      <c r="M872" s="15">
        <f>IF(L872&lt;$D$16,$D$13,IF(L872&lt;$E$16,$E$13,$F$13))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>
        <f>RAND()*$G$12</f>
        <v/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</row>
    <row r="873">
      <c r="L873" s="15" t="n">
        <v>871</v>
      </c>
      <c r="M873" s="15">
        <f>IF(L873&lt;$D$16,$D$13,IF(L873&lt;$E$16,$E$13,$F$13))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>
        <f>RAND()*$G$12</f>
        <v/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</row>
    <row r="874">
      <c r="L874" s="15" t="n">
        <v>872</v>
      </c>
      <c r="M874" s="15">
        <f>IF(L874&lt;$D$16,$D$13,IF(L874&lt;$E$16,$E$13,$F$13))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>
        <f>RAND()*$G$12</f>
        <v/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</row>
    <row r="875">
      <c r="L875" s="15" t="n">
        <v>873</v>
      </c>
      <c r="M875" s="15">
        <f>IF(L875&lt;$D$16,$D$13,IF(L875&lt;$E$16,$E$13,$F$13))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>
        <f>RAND()*$G$12</f>
        <v/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</row>
    <row r="876">
      <c r="L876" s="15" t="n">
        <v>874</v>
      </c>
      <c r="M876" s="15">
        <f>IF(L876&lt;$D$16,$D$13,IF(L876&lt;$E$16,$E$13,$F$13))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>
        <f>RAND()*$G$12</f>
        <v/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</row>
    <row r="877">
      <c r="L877" s="15" t="n">
        <v>875</v>
      </c>
      <c r="M877" s="15">
        <f>IF(L877&lt;$D$16,$D$13,IF(L877&lt;$E$16,$E$13,$F$13))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>
        <f>RAND()*$G$12</f>
        <v/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</row>
    <row r="878">
      <c r="L878" s="15" t="n">
        <v>876</v>
      </c>
      <c r="M878" s="15">
        <f>IF(L878&lt;$D$16,$D$13,IF(L878&lt;$E$16,$E$13,$F$13))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>
        <f>RAND()*$G$12</f>
        <v/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</row>
    <row r="879">
      <c r="L879" s="15" t="n">
        <v>877</v>
      </c>
      <c r="M879" s="15">
        <f>IF(L879&lt;$D$16,$D$13,IF(L879&lt;$E$16,$E$13,$F$13))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>
        <f>RAND()*$G$12</f>
        <v/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</row>
    <row r="880">
      <c r="L880" s="15" t="n">
        <v>878</v>
      </c>
      <c r="M880" s="15">
        <f>IF(L880&lt;$D$16,$D$13,IF(L880&lt;$E$16,$E$13,$F$13))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>
        <f>RAND()*$G$12</f>
        <v/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</row>
    <row r="881">
      <c r="L881" s="15" t="n">
        <v>879</v>
      </c>
      <c r="M881" s="15">
        <f>IF(L881&lt;$D$16,$D$13,IF(L881&lt;$E$16,$E$13,$F$13))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>
        <f>RAND()*$G$12</f>
        <v/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</row>
    <row r="882">
      <c r="L882" s="15" t="n">
        <v>880</v>
      </c>
      <c r="M882" s="15">
        <f>IF(L882&lt;$D$16,$D$13,IF(L882&lt;$E$16,$E$13,$F$13))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>
        <f>RAND()*$G$12</f>
        <v/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</row>
    <row r="883">
      <c r="L883" s="15" t="n">
        <v>881</v>
      </c>
      <c r="M883" s="15">
        <f>IF(L883&lt;$D$16,$D$13,IF(L883&lt;$E$16,$E$13,$F$13))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>
        <f>RAND()*$G$12</f>
        <v/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</row>
    <row r="884">
      <c r="L884" s="15" t="n">
        <v>882</v>
      </c>
      <c r="M884" s="15">
        <f>IF(L884&lt;$D$16,$D$13,IF(L884&lt;$E$16,$E$13,$F$13))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>
        <f>RAND()*$G$12</f>
        <v/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</row>
    <row r="885">
      <c r="L885" s="15" t="n">
        <v>883</v>
      </c>
      <c r="M885" s="15">
        <f>IF(L885&lt;$D$16,$D$13,IF(L885&lt;$E$16,$E$13,$F$13))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>
        <f>RAND()*$G$12</f>
        <v/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</row>
    <row r="886">
      <c r="L886" s="15" t="n">
        <v>884</v>
      </c>
      <c r="M886" s="15">
        <f>IF(L886&lt;$D$16,$D$13,IF(L886&lt;$E$16,$E$13,$F$13))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>
        <f>RAND()*$G$12</f>
        <v/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</row>
    <row r="887">
      <c r="L887" s="15" t="n">
        <v>885</v>
      </c>
      <c r="M887" s="15">
        <f>IF(L887&lt;$D$16,$D$13,IF(L887&lt;$E$16,$E$13,$F$13))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>
        <f>RAND()*$G$12</f>
        <v/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</row>
    <row r="888">
      <c r="L888" s="15" t="n">
        <v>886</v>
      </c>
      <c r="M888" s="15">
        <f>IF(L888&lt;$D$16,$D$13,IF(L888&lt;$E$16,$E$13,$F$13))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>
        <f>RAND()*$G$12</f>
        <v/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</row>
    <row r="889">
      <c r="L889" s="15" t="n">
        <v>887</v>
      </c>
      <c r="M889" s="15">
        <f>IF(L889&lt;$D$16,$D$13,IF(L889&lt;$E$16,$E$13,$F$13))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>
        <f>RAND()*$G$12</f>
        <v/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</row>
    <row r="890">
      <c r="L890" s="15" t="n">
        <v>888</v>
      </c>
      <c r="M890" s="15">
        <f>IF(L890&lt;$D$16,$D$13,IF(L890&lt;$E$16,$E$13,$F$13))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>
        <f>RAND()*$G$12</f>
        <v/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</row>
    <row r="891">
      <c r="L891" s="15" t="n">
        <v>889</v>
      </c>
      <c r="M891" s="15">
        <f>IF(L891&lt;$D$16,$D$13,IF(L891&lt;$E$16,$E$13,$F$13))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>
        <f>RAND()*$G$12</f>
        <v/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</row>
    <row r="892">
      <c r="L892" s="15" t="n">
        <v>890</v>
      </c>
      <c r="M892" s="15">
        <f>IF(L892&lt;$D$16,$D$13,IF(L892&lt;$E$16,$E$13,$F$13))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>
        <f>RAND()*$G$12</f>
        <v/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</row>
    <row r="893">
      <c r="L893" s="15" t="n">
        <v>891</v>
      </c>
      <c r="M893" s="15">
        <f>IF(L893&lt;$D$16,$D$13,IF(L893&lt;$E$16,$E$13,$F$13))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>
        <f>RAND()*$G$12</f>
        <v/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</row>
    <row r="894">
      <c r="L894" s="15" t="n">
        <v>892</v>
      </c>
      <c r="M894" s="15">
        <f>IF(L894&lt;$D$16,$D$13,IF(L894&lt;$E$16,$E$13,$F$13))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>
        <f>RAND()*$G$12</f>
        <v/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</row>
    <row r="895">
      <c r="L895" s="15" t="n">
        <v>893</v>
      </c>
      <c r="M895" s="15">
        <f>IF(L895&lt;$D$16,$D$13,IF(L895&lt;$E$16,$E$13,$F$13))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>
        <f>RAND()*$G$12</f>
        <v/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</row>
    <row r="896">
      <c r="L896" s="15" t="n">
        <v>894</v>
      </c>
      <c r="M896" s="15">
        <f>IF(L896&lt;$D$16,$D$13,IF(L896&lt;$E$16,$E$13,$F$13))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>
        <f>RAND()*$G$12</f>
        <v/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</row>
    <row r="897">
      <c r="L897" s="15" t="n">
        <v>895</v>
      </c>
      <c r="M897" s="15">
        <f>IF(L897&lt;$D$16,$D$13,IF(L897&lt;$E$16,$E$13,$F$13))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>
        <f>RAND()*$G$12</f>
        <v/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</row>
    <row r="898">
      <c r="L898" s="15" t="n">
        <v>896</v>
      </c>
      <c r="M898" s="15">
        <f>IF(L898&lt;$D$16,$D$13,IF(L898&lt;$E$16,$E$13,$F$13))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>
        <f>RAND()*$G$12</f>
        <v/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</row>
    <row r="899">
      <c r="L899" s="15" t="n">
        <v>897</v>
      </c>
      <c r="M899" s="15">
        <f>IF(L899&lt;$D$16,$D$13,IF(L899&lt;$E$16,$E$13,$F$13))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>
        <f>RAND()*$G$12</f>
        <v/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</row>
    <row r="900">
      <c r="L900" s="15" t="n">
        <v>898</v>
      </c>
      <c r="M900" s="15">
        <f>IF(L900&lt;$D$16,$D$13,IF(L900&lt;$E$16,$E$13,$F$13))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>
        <f>RAND()*$G$12</f>
        <v/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</row>
    <row r="901">
      <c r="L901" s="15" t="n">
        <v>899</v>
      </c>
      <c r="M901" s="15">
        <f>IF(L901&lt;$D$16,$D$13,IF(L901&lt;$E$16,$E$13,$F$13))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>
        <f>RAND()*$G$12</f>
        <v/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</row>
    <row r="902">
      <c r="L902" s="15" t="n">
        <v>900</v>
      </c>
      <c r="M902" s="15">
        <f>IF(L902&lt;$D$16,$D$13,IF(L902&lt;$E$16,$E$13,$F$13))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>
        <f>RAND()*$G$12</f>
        <v/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</row>
    <row r="903">
      <c r="L903" s="15" t="n">
        <v>901</v>
      </c>
      <c r="M903" s="15">
        <f>IF(L903&lt;$D$16,$D$13,IF(L903&lt;$E$16,$E$13,$F$13))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>
        <f>RAND()*$G$12</f>
        <v/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</row>
    <row r="904">
      <c r="L904" s="15" t="n">
        <v>902</v>
      </c>
      <c r="M904" s="15">
        <f>IF(L904&lt;$D$16,$D$13,IF(L904&lt;$E$16,$E$13,$F$13))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>
        <f>RAND()*$G$12</f>
        <v/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</row>
    <row r="905">
      <c r="L905" s="15" t="n">
        <v>903</v>
      </c>
      <c r="M905" s="15">
        <f>IF(L905&lt;$D$16,$D$13,IF(L905&lt;$E$16,$E$13,$F$13))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>
        <f>RAND()*$G$12</f>
        <v/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</row>
    <row r="906">
      <c r="L906" s="15" t="n">
        <v>904</v>
      </c>
      <c r="M906" s="15">
        <f>IF(L906&lt;$D$16,$D$13,IF(L906&lt;$E$16,$E$13,$F$13))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>
        <f>RAND()*$G$12</f>
        <v/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</row>
    <row r="907">
      <c r="L907" s="15" t="n">
        <v>905</v>
      </c>
      <c r="M907" s="15">
        <f>IF(L907&lt;$D$16,$D$13,IF(L907&lt;$E$16,$E$13,$F$13))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>
        <f>RAND()*$G$12</f>
        <v/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</row>
    <row r="908">
      <c r="L908" s="15" t="n">
        <v>906</v>
      </c>
      <c r="M908" s="15">
        <f>IF(L908&lt;$D$16,$D$13,IF(L908&lt;$E$16,$E$13,$F$13))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>
        <f>RAND()*$G$12</f>
        <v/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</row>
    <row r="909">
      <c r="L909" s="15" t="n">
        <v>907</v>
      </c>
      <c r="M909" s="15">
        <f>IF(L909&lt;$D$16,$D$13,IF(L909&lt;$E$16,$E$13,$F$13))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>
        <f>RAND()*$G$12</f>
        <v/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</row>
    <row r="910">
      <c r="L910" s="15" t="n">
        <v>908</v>
      </c>
      <c r="M910" s="15">
        <f>IF(L910&lt;$D$16,$D$13,IF(L910&lt;$E$16,$E$13,$F$13))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>
        <f>RAND()*$G$12</f>
        <v/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</row>
    <row r="911">
      <c r="L911" s="15" t="n">
        <v>909</v>
      </c>
      <c r="M911" s="15">
        <f>IF(L911&lt;$D$16,$D$13,IF(L911&lt;$E$16,$E$13,$F$13))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>
        <f>RAND()*$G$12</f>
        <v/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</row>
    <row r="912">
      <c r="L912" s="15" t="n">
        <v>910</v>
      </c>
      <c r="M912" s="15">
        <f>IF(L912&lt;$D$16,$D$13,IF(L912&lt;$E$16,$E$13,$F$13))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>
        <f>RAND()*$G$12</f>
        <v/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</row>
    <row r="913">
      <c r="L913" s="15" t="n">
        <v>911</v>
      </c>
      <c r="M913" s="15">
        <f>IF(L913&lt;$D$16,$D$13,IF(L913&lt;$E$16,$E$13,$F$13))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>
        <f>RAND()*$G$12</f>
        <v/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</row>
    <row r="914">
      <c r="L914" s="15" t="n">
        <v>912</v>
      </c>
      <c r="M914" s="15">
        <f>IF(L914&lt;$D$16,$D$13,IF(L914&lt;$E$16,$E$13,$F$13))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>
        <f>RAND()*$G$12</f>
        <v/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</row>
    <row r="915">
      <c r="L915" s="15" t="n">
        <v>913</v>
      </c>
      <c r="M915" s="15">
        <f>IF(L915&lt;$D$16,$D$13,IF(L915&lt;$E$16,$E$13,$F$13))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>
        <f>RAND()*$G$12</f>
        <v/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</row>
    <row r="916">
      <c r="L916" s="15" t="n">
        <v>914</v>
      </c>
      <c r="M916" s="15">
        <f>IF(L916&lt;$D$16,$D$13,IF(L916&lt;$E$16,$E$13,$F$13))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>
        <f>RAND()*$G$12</f>
        <v/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</row>
    <row r="917">
      <c r="L917" s="15" t="n">
        <v>915</v>
      </c>
      <c r="M917" s="15">
        <f>IF(L917&lt;$D$16,$D$13,IF(L917&lt;$E$16,$E$13,$F$13))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>
        <f>RAND()*$G$12</f>
        <v/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</row>
    <row r="918">
      <c r="L918" s="15" t="n">
        <v>916</v>
      </c>
      <c r="M918" s="15">
        <f>IF(L918&lt;$D$16,$D$13,IF(L918&lt;$E$16,$E$13,$F$13))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>
        <f>RAND()*$G$12</f>
        <v/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</row>
    <row r="919">
      <c r="L919" s="15" t="n">
        <v>917</v>
      </c>
      <c r="M919" s="15">
        <f>IF(L919&lt;$D$16,$D$13,IF(L919&lt;$E$16,$E$13,$F$13))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>
        <f>RAND()*$G$12</f>
        <v/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</row>
    <row r="920">
      <c r="L920" s="15" t="n">
        <v>918</v>
      </c>
      <c r="M920" s="15">
        <f>IF(L920&lt;$D$16,$D$13,IF(L920&lt;$E$16,$E$13,$F$13))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>
        <f>RAND()*$G$12</f>
        <v/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</row>
    <row r="921">
      <c r="L921" s="15" t="n">
        <v>919</v>
      </c>
      <c r="M921" s="15">
        <f>IF(L921&lt;$D$16,$D$13,IF(L921&lt;$E$16,$E$13,$F$13))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>
        <f>RAND()*$G$12</f>
        <v/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</row>
    <row r="922">
      <c r="L922" s="15" t="n">
        <v>920</v>
      </c>
      <c r="M922" s="15">
        <f>IF(L922&lt;$D$16,$D$13,IF(L922&lt;$E$16,$E$13,$F$13))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>
        <f>RAND()*$G$12</f>
        <v/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</row>
    <row r="923">
      <c r="L923" s="15" t="n">
        <v>921</v>
      </c>
      <c r="M923" s="15">
        <f>IF(L923&lt;$D$16,$D$13,IF(L923&lt;$E$16,$E$13,$F$13))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>
        <f>RAND()*$G$12</f>
        <v/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</row>
    <row r="924">
      <c r="L924" s="15" t="n">
        <v>922</v>
      </c>
      <c r="M924" s="15">
        <f>IF(L924&lt;$D$16,$D$13,IF(L924&lt;$E$16,$E$13,$F$13))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>
        <f>RAND()*$G$12</f>
        <v/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</row>
    <row r="925">
      <c r="L925" s="15" t="n">
        <v>923</v>
      </c>
      <c r="M925" s="15">
        <f>IF(L925&lt;$D$16,$D$13,IF(L925&lt;$E$16,$E$13,$F$13))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>
        <f>RAND()*$G$12</f>
        <v/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</row>
    <row r="926">
      <c r="L926" s="15" t="n">
        <v>924</v>
      </c>
      <c r="M926" s="15">
        <f>IF(L926&lt;$D$16,$D$13,IF(L926&lt;$E$16,$E$13,$F$13))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>
        <f>RAND()*$G$12</f>
        <v/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</row>
    <row r="927">
      <c r="L927" s="15" t="n">
        <v>925</v>
      </c>
      <c r="M927" s="15">
        <f>IF(L927&lt;$D$16,$D$13,IF(L927&lt;$E$16,$E$13,$F$13))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>
        <f>RAND()*$G$12</f>
        <v/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</row>
    <row r="928">
      <c r="L928" s="15" t="n">
        <v>926</v>
      </c>
      <c r="M928" s="15">
        <f>IF(L928&lt;$D$16,$D$13,IF(L928&lt;$E$16,$E$13,$F$13))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>
        <f>RAND()*$G$12</f>
        <v/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</row>
    <row r="929">
      <c r="L929" s="15" t="n">
        <v>927</v>
      </c>
      <c r="M929" s="15">
        <f>IF(L929&lt;$D$16,$D$13,IF(L929&lt;$E$16,$E$13,$F$13))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>
        <f>RAND()*$G$12</f>
        <v/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</row>
    <row r="930">
      <c r="L930" s="15" t="n">
        <v>928</v>
      </c>
      <c r="M930" s="15">
        <f>IF(L930&lt;$D$16,$D$13,IF(L930&lt;$E$16,$E$13,$F$13))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>
        <f>RAND()*$G$12</f>
        <v/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</row>
    <row r="931">
      <c r="L931" s="15" t="n">
        <v>929</v>
      </c>
      <c r="M931" s="15">
        <f>IF(L931&lt;$D$16,$D$13,IF(L931&lt;$E$16,$E$13,$F$13))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>
        <f>RAND()*$G$12</f>
        <v/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</row>
    <row r="932">
      <c r="L932" s="15" t="n">
        <v>930</v>
      </c>
      <c r="M932" s="15">
        <f>IF(L932&lt;$D$16,$D$13,IF(L932&lt;$E$16,$E$13,$F$13))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>
        <f>RAND()*$G$12</f>
        <v/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</row>
    <row r="933">
      <c r="L933" s="15" t="n">
        <v>931</v>
      </c>
      <c r="M933" s="15">
        <f>IF(L933&lt;$D$16,$D$13,IF(L933&lt;$E$16,$E$13,$F$13))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>
        <f>RAND()*$G$12</f>
        <v/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</row>
    <row r="934">
      <c r="L934" s="15" t="n">
        <v>932</v>
      </c>
      <c r="M934" s="15">
        <f>IF(L934&lt;$D$16,$D$13,IF(L934&lt;$E$16,$E$13,$F$13))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>
        <f>RAND()*$G$12</f>
        <v/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</row>
    <row r="935">
      <c r="L935" s="15" t="n">
        <v>933</v>
      </c>
      <c r="M935" s="15">
        <f>IF(L935&lt;$D$16,$D$13,IF(L935&lt;$E$16,$E$13,$F$13))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>
        <f>RAND()*$G$12</f>
        <v/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</row>
    <row r="936">
      <c r="L936" s="15" t="n">
        <v>934</v>
      </c>
      <c r="M936" s="15">
        <f>IF(L936&lt;$D$16,$D$13,IF(L936&lt;$E$16,$E$13,$F$13))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>
        <f>RAND()*$G$12</f>
        <v/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</row>
    <row r="937">
      <c r="L937" s="15" t="n">
        <v>935</v>
      </c>
      <c r="M937" s="15">
        <f>IF(L937&lt;$D$16,$D$13,IF(L937&lt;$E$16,$E$13,$F$13))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>
        <f>RAND()*$G$12</f>
        <v/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</row>
    <row r="938">
      <c r="L938" s="15" t="n">
        <v>936</v>
      </c>
      <c r="M938" s="15">
        <f>IF(L938&lt;$D$16,$D$13,IF(L938&lt;$E$16,$E$13,$F$13))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>
        <f>RAND()*$G$12</f>
        <v/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</row>
    <row r="939">
      <c r="L939" s="15" t="n">
        <v>937</v>
      </c>
      <c r="M939" s="15">
        <f>IF(L939&lt;$D$16,$D$13,IF(L939&lt;$E$16,$E$13,$F$13))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>
        <f>RAND()*$G$12</f>
        <v/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</row>
    <row r="940">
      <c r="L940" s="15" t="n">
        <v>938</v>
      </c>
      <c r="M940" s="15">
        <f>IF(L940&lt;$D$16,$D$13,IF(L940&lt;$E$16,$E$13,$F$13))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>
        <f>RAND()*$G$12</f>
        <v/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</row>
    <row r="941">
      <c r="L941" s="15" t="n">
        <v>939</v>
      </c>
      <c r="M941" s="15">
        <f>IF(L941&lt;$D$16,$D$13,IF(L941&lt;$E$16,$E$13,$F$13))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>
        <f>RAND()*$G$12</f>
        <v/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</row>
    <row r="942">
      <c r="L942" s="15" t="n">
        <v>940</v>
      </c>
      <c r="M942" s="15">
        <f>IF(L942&lt;$D$16,$D$13,IF(L942&lt;$E$16,$E$13,$F$13))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>
        <f>RAND()*$G$12</f>
        <v/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</row>
    <row r="943">
      <c r="L943" s="15" t="n">
        <v>941</v>
      </c>
      <c r="M943" s="15">
        <f>IF(L943&lt;$D$16,$D$13,IF(L943&lt;$E$16,$E$13,$F$13))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>
        <f>RAND()*$G$12</f>
        <v/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</row>
    <row r="944">
      <c r="L944" s="15" t="n">
        <v>942</v>
      </c>
      <c r="M944" s="15">
        <f>IF(L944&lt;$D$16,$D$13,IF(L944&lt;$E$16,$E$13,$F$13))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>
        <f>RAND()*$G$12</f>
        <v/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</row>
    <row r="945">
      <c r="L945" s="15" t="n">
        <v>943</v>
      </c>
      <c r="M945" s="15">
        <f>IF(L945&lt;$D$16,$D$13,IF(L945&lt;$E$16,$E$13,$F$13))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>
        <f>RAND()*$G$12</f>
        <v/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</row>
    <row r="946">
      <c r="L946" s="15" t="n">
        <v>944</v>
      </c>
      <c r="M946" s="15">
        <f>IF(L946&lt;$D$16,$D$13,IF(L946&lt;$E$16,$E$13,$F$13))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>
        <f>RAND()*$G$12</f>
        <v/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</row>
    <row r="947">
      <c r="L947" s="15" t="n">
        <v>945</v>
      </c>
      <c r="M947" s="15">
        <f>IF(L947&lt;$D$16,$D$13,IF(L947&lt;$E$16,$E$13,$F$13))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>
        <f>RAND()*$G$12</f>
        <v/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</row>
    <row r="948">
      <c r="L948" s="15" t="n">
        <v>946</v>
      </c>
      <c r="M948" s="15">
        <f>IF(L948&lt;$D$16,$D$13,IF(L948&lt;$E$16,$E$13,$F$13))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>
        <f>RAND()*$G$12</f>
        <v/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</row>
    <row r="949">
      <c r="L949" s="15" t="n">
        <v>947</v>
      </c>
      <c r="M949" s="15">
        <f>IF(L949&lt;$D$16,$D$13,IF(L949&lt;$E$16,$E$13,$F$13))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>
        <f>RAND()*$G$12</f>
        <v/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</row>
    <row r="950">
      <c r="L950" s="15" t="n">
        <v>948</v>
      </c>
      <c r="M950" s="15">
        <f>IF(L950&lt;$D$16,$D$13,IF(L950&lt;$E$16,$E$13,$F$13))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>
        <f>RAND()*$G$12</f>
        <v/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</row>
    <row r="951">
      <c r="L951" s="15" t="n">
        <v>949</v>
      </c>
      <c r="M951" s="15">
        <f>IF(L951&lt;$D$16,$D$13,IF(L951&lt;$E$16,$E$13,$F$13))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>
        <f>RAND()*$G$12</f>
        <v/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</row>
    <row r="952">
      <c r="L952" s="15" t="n">
        <v>950</v>
      </c>
      <c r="M952" s="15">
        <f>IF(L952&lt;$D$16,$D$13,IF(L952&lt;$E$16,$E$13,$F$13))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>
        <f>RAND()*$G$12</f>
        <v/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</row>
    <row r="953">
      <c r="L953" s="15" t="n">
        <v>951</v>
      </c>
      <c r="M953" s="15">
        <f>IF(L953&lt;$D$16,$D$13,IF(L953&lt;$E$16,$E$13,$F$13))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>
        <f>RAND()*$G$12</f>
        <v/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</row>
    <row r="954">
      <c r="L954" s="15" t="n">
        <v>952</v>
      </c>
      <c r="M954" s="15">
        <f>IF(L954&lt;$D$16,$D$13,IF(L954&lt;$E$16,$E$13,$F$13))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>
        <f>RAND()*$G$12</f>
        <v/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</row>
    <row r="955">
      <c r="L955" s="15" t="n">
        <v>953</v>
      </c>
      <c r="M955" s="15">
        <f>IF(L955&lt;$D$16,$D$13,IF(L955&lt;$E$16,$E$13,$F$13))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>
        <f>RAND()*$G$12</f>
        <v/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</row>
    <row r="956">
      <c r="L956" s="15" t="n">
        <v>954</v>
      </c>
      <c r="M956" s="15">
        <f>IF(L956&lt;$D$16,$D$13,IF(L956&lt;$E$16,$E$13,$F$13))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>
        <f>RAND()*$G$12</f>
        <v/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</row>
    <row r="957">
      <c r="L957" s="15" t="n">
        <v>955</v>
      </c>
      <c r="M957" s="15">
        <f>IF(L957&lt;$D$16,$D$13,IF(L957&lt;$E$16,$E$13,$F$13))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>
        <f>RAND()*$G$12</f>
        <v/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</row>
    <row r="958">
      <c r="L958" s="15" t="n">
        <v>956</v>
      </c>
      <c r="M958" s="15">
        <f>IF(L958&lt;$D$16,$D$13,IF(L958&lt;$E$16,$E$13,$F$13))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>
        <f>RAND()*$G$12</f>
        <v/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</row>
    <row r="959">
      <c r="L959" s="15" t="n">
        <v>957</v>
      </c>
      <c r="M959" s="15">
        <f>IF(L959&lt;$D$16,$D$13,IF(L959&lt;$E$16,$E$13,$F$13))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>
        <f>RAND()*$G$12</f>
        <v/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</row>
    <row r="960">
      <c r="L960" s="15" t="n">
        <v>958</v>
      </c>
      <c r="M960" s="15">
        <f>IF(L960&lt;$D$16,$D$13,IF(L960&lt;$E$16,$E$13,$F$13))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>
        <f>RAND()*$G$12</f>
        <v/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</row>
    <row r="961">
      <c r="L961" s="15" t="n">
        <v>959</v>
      </c>
      <c r="M961" s="15">
        <f>IF(L961&lt;$D$16,$D$13,IF(L961&lt;$E$16,$E$13,$F$13))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>
        <f>RAND()*$G$12</f>
        <v/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</row>
    <row r="962">
      <c r="L962" s="15" t="n">
        <v>960</v>
      </c>
      <c r="M962" s="15">
        <f>IF(L962&lt;$D$16,$D$13,IF(L962&lt;$E$16,$E$13,$F$13))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>
        <f>RAND()*$G$12</f>
        <v/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</row>
    <row r="963">
      <c r="L963" s="15" t="n">
        <v>961</v>
      </c>
      <c r="M963" s="15">
        <f>IF(L963&lt;$D$16,$D$13,IF(L963&lt;$E$16,$E$13,$F$13))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>
        <f>RAND()*$G$12</f>
        <v/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</row>
    <row r="964">
      <c r="L964" s="15" t="n">
        <v>962</v>
      </c>
      <c r="M964" s="15">
        <f>IF(L964&lt;$D$16,$D$13,IF(L964&lt;$E$16,$E$13,$F$13))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>
        <f>RAND()*$G$12</f>
        <v/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</row>
    <row r="965">
      <c r="L965" s="15" t="n">
        <v>963</v>
      </c>
      <c r="M965" s="15">
        <f>IF(L965&lt;$D$16,$D$13,IF(L965&lt;$E$16,$E$13,$F$13))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>
        <f>RAND()*$G$12</f>
        <v/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</row>
    <row r="966">
      <c r="L966" s="15" t="n">
        <v>964</v>
      </c>
      <c r="M966" s="15">
        <f>IF(L966&lt;$D$16,$D$13,IF(L966&lt;$E$16,$E$13,$F$13))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>
        <f>RAND()*$G$12</f>
        <v/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</row>
    <row r="967">
      <c r="L967" s="15" t="n">
        <v>965</v>
      </c>
      <c r="M967" s="15">
        <f>IF(L967&lt;$D$16,$D$13,IF(L967&lt;$E$16,$E$13,$F$13))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>
        <f>RAND()*$G$12</f>
        <v/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</row>
    <row r="968">
      <c r="L968" s="15" t="n">
        <v>966</v>
      </c>
      <c r="M968" s="15">
        <f>IF(L968&lt;$D$16,$D$13,IF(L968&lt;$E$16,$E$13,$F$13))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>
        <f>RAND()*$G$12</f>
        <v/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</row>
    <row r="969">
      <c r="L969" s="15" t="n">
        <v>967</v>
      </c>
      <c r="M969" s="15">
        <f>IF(L969&lt;$D$16,$D$13,IF(L969&lt;$E$16,$E$13,$F$13))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>
        <f>RAND()*$G$12</f>
        <v/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</row>
    <row r="970">
      <c r="L970" s="15" t="n">
        <v>968</v>
      </c>
      <c r="M970" s="15">
        <f>IF(L970&lt;$D$16,$D$13,IF(L970&lt;$E$16,$E$13,$F$13))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>
        <f>RAND()*$G$12</f>
        <v/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</row>
    <row r="971">
      <c r="L971" s="15" t="n">
        <v>969</v>
      </c>
      <c r="M971" s="15">
        <f>IF(L971&lt;$D$16,$D$13,IF(L971&lt;$E$16,$E$13,$F$13))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>
        <f>RAND()*$G$12</f>
        <v/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</row>
    <row r="972">
      <c r="L972" s="15" t="n">
        <v>970</v>
      </c>
      <c r="M972" s="15">
        <f>IF(L972&lt;$D$16,$D$13,IF(L972&lt;$E$16,$E$13,$F$13))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>
        <f>RAND()*$G$12</f>
        <v/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</row>
    <row r="973">
      <c r="L973" s="15" t="n">
        <v>971</v>
      </c>
      <c r="M973" s="15">
        <f>IF(L973&lt;$D$16,$D$13,IF(L973&lt;$E$16,$E$13,$F$13))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>
        <f>RAND()*$G$12</f>
        <v/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</row>
    <row r="974">
      <c r="L974" s="15" t="n">
        <v>972</v>
      </c>
      <c r="M974" s="15">
        <f>IF(L974&lt;$D$16,$D$13,IF(L974&lt;$E$16,$E$13,$F$13))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>
        <f>RAND()*$G$12</f>
        <v/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</row>
    <row r="975">
      <c r="L975" s="15" t="n">
        <v>973</v>
      </c>
      <c r="M975" s="15">
        <f>IF(L975&lt;$D$16,$D$13,IF(L975&lt;$E$16,$E$13,$F$13))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>
        <f>RAND()*$G$12</f>
        <v/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</row>
    <row r="976">
      <c r="L976" s="15" t="n">
        <v>974</v>
      </c>
      <c r="M976" s="15">
        <f>IF(L976&lt;$D$16,$D$13,IF(L976&lt;$E$16,$E$13,$F$13))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>
        <f>RAND()*$G$12</f>
        <v/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</row>
    <row r="977">
      <c r="L977" s="15" t="n">
        <v>975</v>
      </c>
      <c r="M977" s="15">
        <f>IF(L977&lt;$D$16,$D$13,IF(L977&lt;$E$16,$E$13,$F$13))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>
        <f>RAND()*$G$12</f>
        <v/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</row>
    <row r="978">
      <c r="L978" s="15" t="n">
        <v>976</v>
      </c>
      <c r="M978" s="15">
        <f>IF(L978&lt;$D$16,$D$13,IF(L978&lt;$E$16,$E$13,$F$13))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>
        <f>RAND()*$G$12</f>
        <v/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</row>
    <row r="979">
      <c r="L979" s="15" t="n">
        <v>977</v>
      </c>
      <c r="M979" s="15">
        <f>IF(L979&lt;$D$16,$D$13,IF(L979&lt;$E$16,$E$13,$F$13))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>
        <f>RAND()*$G$12</f>
        <v/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</row>
    <row r="980">
      <c r="L980" s="15" t="n">
        <v>978</v>
      </c>
      <c r="M980" s="15">
        <f>IF(L980&lt;$D$16,$D$13,IF(L980&lt;$E$16,$E$13,$F$13))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>
        <f>RAND()*$G$12</f>
        <v/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</row>
    <row r="981">
      <c r="L981" s="15" t="n">
        <v>979</v>
      </c>
      <c r="M981" s="15">
        <f>IF(L981&lt;$D$16,$D$13,IF(L981&lt;$E$16,$E$13,$F$13))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>
        <f>RAND()*$G$12</f>
        <v/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</row>
    <row r="982">
      <c r="L982" s="15" t="n">
        <v>980</v>
      </c>
      <c r="M982" s="15">
        <f>IF(L982&lt;$D$16,$D$13,IF(L982&lt;$E$16,$E$13,$F$13))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>
        <f>RAND()*$G$12</f>
        <v/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</row>
    <row r="983">
      <c r="L983" s="15" t="n">
        <v>981</v>
      </c>
      <c r="M983" s="15">
        <f>IF(L983&lt;$D$16,$D$13,IF(L983&lt;$E$16,$E$13,$F$13))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>
        <f>RAND()*$G$12</f>
        <v/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</row>
    <row r="984">
      <c r="L984" s="15" t="n">
        <v>982</v>
      </c>
      <c r="M984" s="15">
        <f>IF(L984&lt;$D$16,$D$13,IF(L984&lt;$E$16,$E$13,$F$13))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>
        <f>RAND()*$G$12</f>
        <v/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</row>
    <row r="985">
      <c r="L985" s="15" t="n">
        <v>983</v>
      </c>
      <c r="M985" s="15">
        <f>IF(L985&lt;$D$16,$D$13,IF(L985&lt;$E$16,$E$13,$F$13))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>
        <f>RAND()*$G$12</f>
        <v/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</row>
    <row r="986">
      <c r="L986" s="15" t="n">
        <v>984</v>
      </c>
      <c r="M986" s="15">
        <f>IF(L986&lt;$D$16,$D$13,IF(L986&lt;$E$16,$E$13,$F$13))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>
        <f>RAND()*$G$12</f>
        <v/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</row>
    <row r="987">
      <c r="L987" s="15" t="n">
        <v>985</v>
      </c>
      <c r="M987" s="15">
        <f>IF(L987&lt;$D$16,$D$13,IF(L987&lt;$E$16,$E$13,$F$13))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>
        <f>RAND()*$G$12</f>
        <v/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</row>
    <row r="988">
      <c r="L988" s="15" t="n">
        <v>986</v>
      </c>
      <c r="M988" s="15">
        <f>IF(L988&lt;$D$16,$D$13,IF(L988&lt;$E$16,$E$13,$F$13))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>
        <f>RAND()*$G$12</f>
        <v/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</row>
    <row r="989">
      <c r="L989" s="15" t="n">
        <v>987</v>
      </c>
      <c r="M989" s="15">
        <f>IF(L989&lt;$D$16,$D$13,IF(L989&lt;$E$16,$E$13,$F$13))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>
        <f>RAND()*$G$12</f>
        <v/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</row>
    <row r="990">
      <c r="L990" s="15" t="n">
        <v>988</v>
      </c>
      <c r="M990" s="15">
        <f>IF(L990&lt;$D$16,$D$13,IF(L990&lt;$E$16,$E$13,$F$13))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>
        <f>RAND()*$G$12</f>
        <v/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</row>
    <row r="991">
      <c r="L991" s="15" t="n">
        <v>989</v>
      </c>
      <c r="M991" s="15">
        <f>IF(L991&lt;$D$16,$D$13,IF(L991&lt;$E$16,$E$13,$F$13))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>
        <f>RAND()*$G$12</f>
        <v/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</row>
    <row r="992">
      <c r="L992" s="15" t="n">
        <v>990</v>
      </c>
      <c r="M992" s="15">
        <f>IF(L992&lt;$D$16,$D$13,IF(L992&lt;$E$16,$E$13,$F$13))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>
        <f>RAND()*$G$12</f>
        <v/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</row>
    <row r="993">
      <c r="L993" s="15" t="n">
        <v>991</v>
      </c>
      <c r="M993" s="15">
        <f>IF(L993&lt;$D$16,$D$13,IF(L993&lt;$E$16,$E$13,$F$13))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>
        <f>RAND()*$G$12</f>
        <v/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</row>
    <row r="994">
      <c r="L994" s="15" t="n">
        <v>992</v>
      </c>
      <c r="M994" s="15">
        <f>IF(L994&lt;$D$16,$D$13,IF(L994&lt;$E$16,$E$13,$F$13))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>
        <f>RAND()*$G$12</f>
        <v/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</row>
    <row r="995">
      <c r="L995" s="15" t="n">
        <v>993</v>
      </c>
      <c r="M995" s="15">
        <f>IF(L995&lt;$D$16,$D$13,IF(L995&lt;$E$16,$E$13,$F$13))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>
        <f>RAND()*$G$12</f>
        <v/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</row>
    <row r="996">
      <c r="L996" s="15" t="n">
        <v>994</v>
      </c>
      <c r="M996" s="15">
        <f>IF(L996&lt;$D$16,$D$13,IF(L996&lt;$E$16,$E$13,$F$13))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>
        <f>RAND()*$G$12</f>
        <v/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</row>
    <row r="997">
      <c r="L997" s="15" t="n">
        <v>995</v>
      </c>
      <c r="M997" s="15">
        <f>IF(L997&lt;$D$16,$D$13,IF(L997&lt;$E$16,$E$13,$F$13))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>
        <f>RAND()*$G$12</f>
        <v/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</row>
    <row r="998">
      <c r="L998" s="15" t="n">
        <v>996</v>
      </c>
      <c r="M998" s="15">
        <f>IF(L998&lt;$D$16,$D$13,IF(L998&lt;$E$16,$E$13,$F$13))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>
        <f>RAND()*$G$12</f>
        <v/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</row>
    <row r="999">
      <c r="L999" s="15" t="n">
        <v>997</v>
      </c>
      <c r="M999" s="15">
        <f>IF(L999&lt;$D$16,$D$13,IF(L999&lt;$E$16,$E$13,$F$13))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>
        <f>RAND()*$G$12</f>
        <v/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</row>
    <row r="1000">
      <c r="L1000" s="15" t="n">
        <v>998</v>
      </c>
      <c r="M1000" s="15">
        <f>IF(L1000&lt;$D$16,$D$13,IF(L1000&lt;$E$16,$E$13,$F$13))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>
        <f>RAND()*$G$12</f>
        <v/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</row>
    <row r="1001">
      <c r="L1001" s="15" t="n">
        <v>999</v>
      </c>
      <c r="M1001" s="15">
        <f>IF(L1001&lt;$D$16,$D$13,IF(L1001&lt;$E$16,$E$13,$F$13))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>
        <f>RAND()*$G$12</f>
        <v/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</row>
    <row r="1002">
      <c r="L1002" s="15" t="n">
        <v>1000</v>
      </c>
      <c r="M1002" s="15">
        <f>IF(L1002&lt;$D$16,$D$13,IF(L1002&lt;$E$16,$E$13,$F$13))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>
        <f>RAND()*$G$12</f>
        <v/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</row>
  </sheetData>
  <mergeCells count="2">
    <mergeCell ref="A1:B1"/>
    <mergeCell ref="A7:B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2"/>
  <sheetViews>
    <sheetView zoomScale="70" zoomScaleNormal="70" workbookViewId="0">
      <selection activeCell="I17" sqref="I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7"/>
    <col width="10.44140625" bestFit="1" customWidth="1" style="15" min="8" max="8"/>
    <col width="9.109375" customWidth="1" style="15" min="9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3"/>
    <col width="10.44140625" bestFit="1" customWidth="1" style="15" min="34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  <c r="AC1" s="15" t="inlineStr">
        <is>
          <t>I2</t>
        </is>
      </c>
      <c r="AD1" s="15" t="inlineStr">
        <is>
          <t>I3</t>
        </is>
      </c>
      <c r="AE1" s="15" t="inlineStr">
        <is>
          <t>I4</t>
        </is>
      </c>
      <c r="AF1" s="15" t="inlineStr">
        <is>
          <t>сумма I2</t>
        </is>
      </c>
      <c r="AG1" s="15" t="inlineStr">
        <is>
          <t>сумма I3</t>
        </is>
      </c>
      <c r="AH1" s="15" t="inlineStr">
        <is>
          <t>сумма I4</t>
        </is>
      </c>
    </row>
    <row r="2">
      <c r="A2" s="19" t="inlineStr">
        <is>
          <t>K</t>
        </is>
      </c>
      <c r="B2" s="38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IF(L2&lt;$D$16,$D$12,IF(L2&lt;$E$16,$E$12,$F$13))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$D$12</f>
        <v/>
      </c>
      <c r="T2" s="15" t="n">
        <v>0</v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  <c r="AC2" s="15">
        <f>N2^2</f>
        <v/>
      </c>
      <c r="AD2" s="15">
        <f>ABS(N2)</f>
        <v/>
      </c>
      <c r="AE2" s="15">
        <f>IF(M2&gt;0, ABS(N2)*(L2-$D$16),0)</f>
        <v/>
      </c>
      <c r="AF2" s="15">
        <f>SUM(AC2:AC1002)</f>
        <v/>
      </c>
      <c r="AG2" s="15">
        <f>SUM(AD2:AD1002)</f>
        <v/>
      </c>
      <c r="AH2" s="15">
        <f>SUM(AE2:AE1002)</f>
        <v/>
      </c>
    </row>
    <row r="3">
      <c r="A3" s="19" t="inlineStr">
        <is>
          <t>tau</t>
        </is>
      </c>
      <c r="B3" s="39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IF(L3&lt;$D$16,$D$12,IF(L3&lt;$E$16,$E$12,$F$13))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$D$12</f>
        <v/>
      </c>
      <c r="T3" s="15" t="n">
        <v>0</v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AB2-E12</f>
        <v/>
      </c>
      <c r="AC3" s="15">
        <f>N3^2</f>
        <v/>
      </c>
      <c r="AD3" s="15">
        <f>ABS(N3)</f>
        <v/>
      </c>
      <c r="AE3" s="15">
        <f>IF(M3&gt;0, ABS(N3)*(L3-$D$16),0)</f>
        <v/>
      </c>
    </row>
    <row r="4" ht="15" customHeight="1" thickBot="1">
      <c r="A4" s="19" t="inlineStr">
        <is>
          <t>T1</t>
        </is>
      </c>
      <c r="B4" s="39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IF(L4&lt;$D$16,$D$12,IF(L4&lt;$E$16,$E$12,$F$13))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$D$12</f>
        <v/>
      </c>
      <c r="T4" s="15" t="n">
        <v>0</v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  <c r="AC4" s="15">
        <f>N4^2</f>
        <v/>
      </c>
      <c r="AD4" s="15">
        <f>ABS(N4)</f>
        <v/>
      </c>
      <c r="AE4" s="15">
        <f>IF(M4&gt;0, ABS(N4)*(L4-$D$16),0)</f>
        <v/>
      </c>
    </row>
    <row r="5" ht="15" customHeight="1" thickBot="1">
      <c r="A5" s="23" t="inlineStr">
        <is>
          <t>T2</t>
        </is>
      </c>
      <c r="B5" s="40" t="n">
        <v>13</v>
      </c>
      <c r="L5" s="15" t="n">
        <v>3</v>
      </c>
      <c r="M5" s="15">
        <f>IF(L5&lt;$D$16,$D$12,IF(L5&lt;$E$16,$E$12,$F$13))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$D$12</f>
        <v/>
      </c>
      <c r="T5" s="15" t="n">
        <v>0</v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  <c r="AC5" s="15">
        <f>N5^2</f>
        <v/>
      </c>
      <c r="AD5" s="15">
        <f>ABS(N5)</f>
        <v/>
      </c>
      <c r="AE5" s="15">
        <f>IF(M5&gt;0, ABS(N5)*(L5-$D$16),0)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IF(L6&lt;$D$16,$D$12,IF(L6&lt;$E$16,$E$12,$F$13))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$D$12</f>
        <v/>
      </c>
      <c r="T6" s="15" t="n">
        <v>0</v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  <c r="AC6" s="15">
        <f>N6^2</f>
        <v/>
      </c>
      <c r="AD6" s="15">
        <f>ABS(N6)</f>
        <v/>
      </c>
      <c r="AE6" s="15">
        <f>IF(M6&gt;0, ABS(N6)*(L6-$D$16),0)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IF(L7&lt;$D$16,$D$12,IF(L7&lt;$E$16,$E$12,$F$13))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$D$12</f>
        <v/>
      </c>
      <c r="T7" s="15" t="n">
        <v>0</v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  <c r="AC7" s="15">
        <f>N7^2</f>
        <v/>
      </c>
      <c r="AD7" s="15">
        <f>ABS(N7)</f>
        <v/>
      </c>
      <c r="AE7" s="15">
        <f>IF(M7&gt;0, ABS(N7)*(L7-$D$16),0)</f>
        <v/>
      </c>
    </row>
    <row r="8">
      <c r="A8" s="19" t="inlineStr">
        <is>
          <t>kr</t>
        </is>
      </c>
      <c r="B8" s="20" t="n">
        <v>0.22803</v>
      </c>
      <c r="E8" s="20" t="n">
        <v>0.18</v>
      </c>
      <c r="G8" s="20" t="n">
        <v>0.22803</v>
      </c>
      <c r="L8" s="15" t="n">
        <v>6</v>
      </c>
      <c r="M8" s="15">
        <f>IF(L8&lt;$D$16,$D$12,IF(L8&lt;$E$16,$E$12,$F$13))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$D$12</f>
        <v/>
      </c>
      <c r="T8" s="15" t="n">
        <v>0</v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  <c r="AC8" s="15">
        <f>N8^2</f>
        <v/>
      </c>
      <c r="AD8" s="15">
        <f>ABS(N8)</f>
        <v/>
      </c>
      <c r="AE8" s="15">
        <f>IF(M8&gt;0, ABS(N8)*(L8-$D$16),0)</f>
        <v/>
      </c>
    </row>
    <row r="9">
      <c r="A9" s="19" t="inlineStr">
        <is>
          <t>Ti</t>
        </is>
      </c>
      <c r="B9" s="20" t="n">
        <v>36.184</v>
      </c>
      <c r="E9" s="20" t="n">
        <v>27.5</v>
      </c>
      <c r="G9" s="20" t="n">
        <v>36.184</v>
      </c>
      <c r="L9" s="15" t="n">
        <v>7</v>
      </c>
      <c r="M9" s="15">
        <f>IF(L9&lt;$D$16,$D$12,IF(L9&lt;$E$16,$E$12,$F$13))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$D$12</f>
        <v/>
      </c>
      <c r="T9" s="15" t="n">
        <v>0</v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  <c r="AC9" s="15">
        <f>N9^2</f>
        <v/>
      </c>
      <c r="AD9" s="15">
        <f>ABS(N9)</f>
        <v/>
      </c>
      <c r="AE9" s="15">
        <f>IF(M9&gt;0, ABS(N9)*(L9-$D$16),0)</f>
        <v/>
      </c>
    </row>
    <row r="10" ht="15" customHeight="1" thickBot="1">
      <c r="A10" s="23" t="inlineStr">
        <is>
          <t>Td</t>
        </is>
      </c>
      <c r="B10" s="24" t="n">
        <v>11.157</v>
      </c>
      <c r="E10" s="24" t="n">
        <v>10</v>
      </c>
      <c r="G10" s="24" t="n">
        <v>11.157</v>
      </c>
      <c r="L10" s="15" t="n">
        <v>8</v>
      </c>
      <c r="M10" s="15">
        <f>IF(L10&lt;$D$16,$D$12,IF(L10&lt;$E$16,$E$12,$F$13))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$D$12</f>
        <v/>
      </c>
      <c r="T10" s="15" t="n">
        <v>0</v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  <c r="AC10" s="15">
        <f>N10^2</f>
        <v/>
      </c>
      <c r="AD10" s="15">
        <f>ABS(N10)</f>
        <v/>
      </c>
      <c r="AE10" s="15">
        <f>IF(M10&gt;0, ABS(N10)*(L10-$D$16),0)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IF(L11&lt;$D$16,$D$12,IF(L11&lt;$E$16,$E$12,$F$13))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$D$12</f>
        <v/>
      </c>
      <c r="T11" s="15" t="n">
        <v>0</v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  <c r="AC11" s="15">
        <f>N11^2</f>
        <v/>
      </c>
      <c r="AD11" s="15">
        <f>ABS(N11)</f>
        <v/>
      </c>
      <c r="AE11" s="15">
        <f>IF(M11&gt;0, ABS(N11)*(L11-$D$16),0)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16</v>
      </c>
      <c r="L12" s="15" t="n">
        <v>10</v>
      </c>
      <c r="M12" s="15">
        <f>IF(L12&lt;$D$16,$D$12,IF(L12&lt;$E$16,$E$12,$F$13))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$D$12</f>
        <v/>
      </c>
      <c r="T12" s="15" t="n">
        <v>0</v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  <c r="AC12" s="15">
        <f>N12^2</f>
        <v/>
      </c>
      <c r="AD12" s="15">
        <f>ABS(N12)</f>
        <v/>
      </c>
      <c r="AE12" s="15">
        <f>IF(M12&gt;0, ABS(N12)*(L12-$D$16),0)</f>
        <v/>
      </c>
    </row>
    <row r="13">
      <c r="A13" s="15">
        <f>B3+E1</f>
        <v/>
      </c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IF(L13&lt;$D$16,$D$12,IF(L13&lt;$E$16,$E$12,$F$13))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$D$12</f>
        <v/>
      </c>
      <c r="T13" s="15" t="n">
        <v>0</v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  <c r="AC13" s="15">
        <f>N13^2</f>
        <v/>
      </c>
      <c r="AD13" s="15">
        <f>ABS(N13)</f>
        <v/>
      </c>
      <c r="AE13" s="15">
        <f>IF(M13&gt;0, ABS(N13)*(L13-$D$16),0)</f>
        <v/>
      </c>
    </row>
    <row r="14">
      <c r="A14" s="15">
        <f>B3+2*E1</f>
        <v/>
      </c>
      <c r="L14" s="15" t="n">
        <v>12</v>
      </c>
      <c r="M14" s="15">
        <f>IF(L14&lt;$D$16,$D$12,IF(L14&lt;$E$16,$E$12,$F$13))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$D$12</f>
        <v/>
      </c>
      <c r="T14" s="15" t="n">
        <v>0</v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  <c r="AC14" s="15">
        <f>N14^2</f>
        <v/>
      </c>
      <c r="AD14" s="15">
        <f>ABS(N14)</f>
        <v/>
      </c>
      <c r="AE14" s="15">
        <f>IF(M14&gt;0, ABS(N14)*(L14-$D$16),0)</f>
        <v/>
      </c>
    </row>
    <row r="15">
      <c r="L15" s="15" t="n">
        <v>13</v>
      </c>
      <c r="M15" s="15">
        <f>IF(L15&lt;$D$16,$D$12,IF(L15&lt;$E$16,$E$12,$F$13))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$D$12</f>
        <v/>
      </c>
      <c r="T15" s="15" t="n">
        <v>0</v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  <c r="AC15" s="15">
        <f>N15^2</f>
        <v/>
      </c>
      <c r="AD15" s="15">
        <f>ABS(N15)</f>
        <v/>
      </c>
      <c r="AE15" s="15">
        <f>IF(M15&gt;0, ABS(N15)*(L15-$D$16),0)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IF(L16&lt;$D$16,$D$12,IF(L16&lt;$E$16,$E$12,$F$13))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$D$12</f>
        <v/>
      </c>
      <c r="T16" s="15" t="n">
        <v>0</v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  <c r="AC16" s="15">
        <f>N16^2</f>
        <v/>
      </c>
      <c r="AD16" s="15">
        <f>ABS(N16)</f>
        <v/>
      </c>
      <c r="AE16" s="15">
        <f>IF(M16&gt;0, ABS(N16)*(L16-$D$16),0)</f>
        <v/>
      </c>
    </row>
    <row r="17">
      <c r="L17" s="15" t="n">
        <v>15</v>
      </c>
      <c r="M17" s="15">
        <f>IF(L17&lt;$D$16,$D$12,IF(L17&lt;$E$16,$E$12,$F$13))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$D$12</f>
        <v/>
      </c>
      <c r="T17" s="15" t="n">
        <v>0</v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  <c r="AC17" s="15">
        <f>N17^2</f>
        <v/>
      </c>
      <c r="AD17" s="15">
        <f>ABS(N17)</f>
        <v/>
      </c>
      <c r="AE17" s="15">
        <f>IF(M17&gt;0, ABS(N17)*(L17-$D$16),0)</f>
        <v/>
      </c>
    </row>
    <row r="18">
      <c r="L18" s="15" t="n">
        <v>16</v>
      </c>
      <c r="M18" s="15">
        <f>IF(L18&lt;$D$16,$D$12,IF(L18&lt;$E$16,$E$12,$F$13))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$D$12</f>
        <v/>
      </c>
      <c r="T18" s="15" t="n">
        <v>0</v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  <c r="AC18" s="15">
        <f>N18^2</f>
        <v/>
      </c>
      <c r="AD18" s="15">
        <f>ABS(N18)</f>
        <v/>
      </c>
      <c r="AE18" s="15">
        <f>IF(M18&gt;0, ABS(N18)*(L18-$D$16),0)</f>
        <v/>
      </c>
    </row>
    <row r="19">
      <c r="L19" s="15" t="n">
        <v>17</v>
      </c>
      <c r="M19" s="15">
        <f>IF(L19&lt;$D$16,$D$12,IF(L19&lt;$E$16,$E$12,$F$13))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$D$12</f>
        <v/>
      </c>
      <c r="T19" s="15" t="n">
        <v>0</v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  <c r="AC19" s="15">
        <f>N19^2</f>
        <v/>
      </c>
      <c r="AD19" s="15">
        <f>ABS(N19)</f>
        <v/>
      </c>
      <c r="AE19" s="15">
        <f>IF(M19&gt;0, ABS(N19)*(L19-$D$16),0)</f>
        <v/>
      </c>
    </row>
    <row r="20">
      <c r="B20" s="15" t="inlineStr">
        <is>
          <t>n</t>
        </is>
      </c>
      <c r="C20" s="15" t="inlineStr">
        <is>
          <t>Δ</t>
        </is>
      </c>
      <c r="D20" s="15" t="inlineStr">
        <is>
          <t>tрег</t>
        </is>
      </c>
      <c r="E20" s="30" t="inlineStr">
        <is>
          <t>σ, %</t>
        </is>
      </c>
      <c r="F20" s="31">
        <f>AF1</f>
        <v/>
      </c>
      <c r="G20" s="31">
        <f>AG1</f>
        <v/>
      </c>
      <c r="H20" s="31">
        <f>AH1</f>
        <v/>
      </c>
      <c r="L20" s="15" t="n">
        <v>18</v>
      </c>
      <c r="M20" s="15">
        <f>IF(L20&lt;$D$16,$D$12,IF(L20&lt;$E$16,$E$12,$F$13))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$D$12</f>
        <v/>
      </c>
      <c r="T20" s="15" t="n">
        <v>0</v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  <c r="AC20" s="15">
        <f>N20^2</f>
        <v/>
      </c>
      <c r="AD20" s="15">
        <f>ABS(N20)</f>
        <v/>
      </c>
      <c r="AE20" s="15">
        <f>IF(M20&gt;0, ABS(N20)*(L20-$D$16),0)</f>
        <v/>
      </c>
    </row>
    <row r="21">
      <c r="B21" s="15" t="n">
        <v>8</v>
      </c>
      <c r="D21" s="15" t="inlineStr">
        <is>
          <t>-</t>
        </is>
      </c>
      <c r="E21" s="15" t="n">
        <v>5.686</v>
      </c>
      <c r="F21" s="15" t="n">
        <v>195.879</v>
      </c>
      <c r="G21" s="15" t="n">
        <v>362.686</v>
      </c>
      <c r="H21" s="15" t="inlineStr">
        <is>
          <t>-</t>
        </is>
      </c>
      <c r="L21" s="15" t="n">
        <v>19</v>
      </c>
      <c r="M21" s="15">
        <f>IF(L21&lt;$D$16,$D$12,IF(L21&lt;$E$16,$E$12,$F$13))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$D$12</f>
        <v/>
      </c>
      <c r="T21" s="15" t="n">
        <v>0</v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  <c r="AC21" s="15">
        <f>N21^2</f>
        <v/>
      </c>
      <c r="AD21" s="15">
        <f>ABS(N21)</f>
        <v/>
      </c>
      <c r="AE21" s="15">
        <f>IF(M21&gt;0, ABS(N21)*(L21-$D$16),0)</f>
        <v/>
      </c>
    </row>
    <row r="22">
      <c r="B22" s="15" t="n">
        <v>12</v>
      </c>
      <c r="D22" s="15" t="n">
        <v>130</v>
      </c>
      <c r="E22" s="15" t="n">
        <v>0.745</v>
      </c>
      <c r="F22" s="15" t="n">
        <v>34.036</v>
      </c>
      <c r="G22" s="15" t="n">
        <v>57.073</v>
      </c>
      <c r="H22" s="15" t="n">
        <v>9530.273999999999</v>
      </c>
      <c r="L22" s="15" t="n">
        <v>20</v>
      </c>
      <c r="M22" s="15">
        <f>IF(L22&lt;$D$16,$D$12,IF(L22&lt;$E$16,$E$12,$F$13))</f>
        <v/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$D$12</f>
        <v/>
      </c>
      <c r="T22" s="15" t="n">
        <v>0</v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  <c r="AC22" s="15">
        <f>N22^2</f>
        <v/>
      </c>
      <c r="AD22" s="15">
        <f>ABS(N22)</f>
        <v/>
      </c>
      <c r="AE22" s="15">
        <f>IF(M22&gt;0, ABS(N22)*(L22-$D$16),0)</f>
        <v/>
      </c>
    </row>
    <row r="23">
      <c r="B23" s="15" t="n">
        <v>16</v>
      </c>
      <c r="D23" s="15" t="n">
        <v>133</v>
      </c>
      <c r="E23" s="15" t="n">
        <v>1.154</v>
      </c>
      <c r="F23" s="15" t="n">
        <v>33.227</v>
      </c>
      <c r="G23" s="15" t="n">
        <v>43.022</v>
      </c>
      <c r="H23" s="15" t="n">
        <v>1614.437</v>
      </c>
      <c r="L23" s="15" t="n">
        <v>21</v>
      </c>
      <c r="M23" s="15">
        <f>IF(L23&lt;$D$16,$D$12,IF(L23&lt;$E$16,$E$12,$F$13))</f>
        <v/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$D$12</f>
        <v/>
      </c>
      <c r="T23" s="15" t="n">
        <v>0</v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  <c r="AC23" s="15">
        <f>N23^2</f>
        <v/>
      </c>
      <c r="AD23" s="15">
        <f>ABS(N23)</f>
        <v/>
      </c>
      <c r="AE23" s="15">
        <f>IF(M23&gt;0, ABS(N23)*(L23-$D$16),0)</f>
        <v/>
      </c>
    </row>
    <row r="24">
      <c r="B24" s="15" t="n">
        <v>32</v>
      </c>
      <c r="D24" s="15" t="n">
        <v>133</v>
      </c>
      <c r="E24" s="15" t="n">
        <v>1.175</v>
      </c>
      <c r="F24" s="15" t="n">
        <v>33.205</v>
      </c>
      <c r="G24" s="15" t="n">
        <v>42.182</v>
      </c>
      <c r="H24" s="15" t="n">
        <v>1112.166</v>
      </c>
      <c r="L24" s="15" t="n">
        <v>22</v>
      </c>
      <c r="M24" s="15">
        <f>IF(L24&lt;$D$16,$D$12,IF(L24&lt;$E$16,$E$12,$F$13))</f>
        <v/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$D$12</f>
        <v/>
      </c>
      <c r="T24" s="15" t="n">
        <v>0</v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  <c r="AC24" s="15">
        <f>N24^2</f>
        <v/>
      </c>
      <c r="AD24" s="15">
        <f>ABS(N24)</f>
        <v/>
      </c>
      <c r="AE24" s="15">
        <f>IF(M24&gt;0, ABS(N24)*(L24-$D$16),0)</f>
        <v/>
      </c>
    </row>
    <row r="25">
      <c r="L25" s="15" t="n">
        <v>23</v>
      </c>
      <c r="M25" s="15">
        <f>IF(L25&lt;$D$16,$D$12,IF(L25&lt;$E$16,$E$12,$F$13))</f>
        <v/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$D$12</f>
        <v/>
      </c>
      <c r="T25" s="15" t="n">
        <v>0</v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  <c r="AC25" s="15">
        <f>N25^2</f>
        <v/>
      </c>
      <c r="AD25" s="15">
        <f>ABS(N25)</f>
        <v/>
      </c>
      <c r="AE25" s="15">
        <f>IF(M25&gt;0, ABS(N25)*(L25-$D$16),0)</f>
        <v/>
      </c>
    </row>
    <row r="26">
      <c r="L26" s="15" t="n">
        <v>24</v>
      </c>
      <c r="M26" s="15">
        <f>IF(L26&lt;$D$16,$D$12,IF(L26&lt;$E$16,$E$12,$F$13))</f>
        <v/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$D$12</f>
        <v/>
      </c>
      <c r="T26" s="15" t="n">
        <v>0</v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  <c r="AC26" s="15">
        <f>N26^2</f>
        <v/>
      </c>
      <c r="AD26" s="15">
        <f>ABS(N26)</f>
        <v/>
      </c>
      <c r="AE26" s="15">
        <f>IF(M26&gt;0, ABS(N26)*(L26-$D$16),0)</f>
        <v/>
      </c>
    </row>
    <row r="27" ht="18" customHeight="1">
      <c r="A27" s="32" t="inlineStr">
        <is>
          <t xml:space="preserve">Tц, с </t>
        </is>
      </c>
      <c r="B27" s="33" t="inlineStr">
        <is>
          <t xml:space="preserve">1 </t>
        </is>
      </c>
      <c r="C27" s="33" t="inlineStr">
        <is>
          <t xml:space="preserve">2 </t>
        </is>
      </c>
      <c r="D27" s="33" t="inlineStr">
        <is>
          <t xml:space="preserve">3 </t>
        </is>
      </c>
      <c r="E27" s="33" t="inlineStr">
        <is>
          <t xml:space="preserve">4 </t>
        </is>
      </c>
      <c r="F27" s="33" t="inlineStr">
        <is>
          <t xml:space="preserve">5 </t>
        </is>
      </c>
      <c r="G27" s="34" t="inlineStr">
        <is>
          <t xml:space="preserve">6 </t>
        </is>
      </c>
      <c r="H27" s="34" t="n">
        <v>7</v>
      </c>
      <c r="I27" s="34" t="n">
        <v>8</v>
      </c>
      <c r="J27" s="34" t="n">
        <v>9</v>
      </c>
      <c r="K27" s="34" t="n">
        <v>10</v>
      </c>
      <c r="L27" s="15" t="n">
        <v>25</v>
      </c>
      <c r="M27" s="15">
        <f>IF(L27&lt;$D$16,$D$12,IF(L27&lt;$E$16,$E$12,$F$13))</f>
        <v/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$D$12</f>
        <v/>
      </c>
      <c r="T27" s="15" t="n">
        <v>0</v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  <c r="AC27" s="15">
        <f>N27^2</f>
        <v/>
      </c>
      <c r="AD27" s="15">
        <f>ABS(N27)</f>
        <v/>
      </c>
      <c r="AE27" s="15">
        <f>IF(M27&gt;0, ABS(N27)*(L27-$D$16),0)</f>
        <v/>
      </c>
    </row>
    <row r="28" ht="18.6" customHeight="1" thickBot="1">
      <c r="A28" s="35" t="inlineStr">
        <is>
          <t xml:space="preserve">Tрег, с </t>
        </is>
      </c>
      <c r="B28" s="15" t="n">
        <v>127</v>
      </c>
      <c r="C28" s="15" t="n">
        <v>129</v>
      </c>
      <c r="D28" s="15" t="n">
        <v>133</v>
      </c>
      <c r="E28" s="15" t="n">
        <v>132</v>
      </c>
      <c r="F28" s="15" t="n">
        <v>134</v>
      </c>
      <c r="G28" s="15" t="n">
        <v>137</v>
      </c>
      <c r="H28" s="15" t="n">
        <v>138</v>
      </c>
      <c r="I28" s="15" t="n">
        <v>168</v>
      </c>
      <c r="J28" s="15" t="n">
        <v>179</v>
      </c>
      <c r="K28" s="15" t="n">
        <v>178</v>
      </c>
      <c r="L28" s="15" t="n">
        <v>26</v>
      </c>
      <c r="M28" s="15">
        <f>IF(L28&lt;$D$16,$D$12,IF(L28&lt;$E$16,$E$12,$F$13))</f>
        <v/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$D$12</f>
        <v/>
      </c>
      <c r="T28" s="15" t="n">
        <v>0</v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  <c r="AC28" s="15">
        <f>N28^2</f>
        <v/>
      </c>
      <c r="AD28" s="15">
        <f>ABS(N28)</f>
        <v/>
      </c>
      <c r="AE28" s="15">
        <f>IF(M28&gt;0, ABS(N28)*(L28-$D$16),0)</f>
        <v/>
      </c>
    </row>
    <row r="29" ht="18.6" customHeight="1" thickBot="1">
      <c r="A29" s="36" t="inlineStr">
        <is>
          <t xml:space="preserve">σ, % </t>
        </is>
      </c>
      <c r="B29" s="15" t="n">
        <v>0.727</v>
      </c>
      <c r="C29" s="15" t="n">
        <v>0.925</v>
      </c>
      <c r="D29" s="15">
        <f>E23</f>
        <v/>
      </c>
      <c r="E29" s="15" t="n">
        <v>1.383</v>
      </c>
      <c r="F29" s="15" t="n">
        <v>1.627</v>
      </c>
      <c r="G29" s="15" t="n">
        <v>1.856</v>
      </c>
      <c r="H29" s="15" t="n">
        <v>2.116</v>
      </c>
      <c r="I29" s="15" t="n">
        <v>2.345</v>
      </c>
      <c r="J29" s="15" t="n">
        <v>2.573</v>
      </c>
      <c r="K29" s="15" t="n">
        <v>2.833</v>
      </c>
      <c r="L29" s="15" t="n">
        <v>27</v>
      </c>
      <c r="M29" s="15">
        <f>IF(L29&lt;$D$16,$D$12,IF(L29&lt;$E$16,$E$12,$F$13))</f>
        <v/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$D$12</f>
        <v/>
      </c>
      <c r="T29" s="15" t="n">
        <v>0</v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  <c r="AC29" s="15">
        <f>N29^2</f>
        <v/>
      </c>
      <c r="AD29" s="15">
        <f>ABS(N29)</f>
        <v/>
      </c>
      <c r="AE29" s="15">
        <f>IF(M29&gt;0, ABS(N29)*(L29-$D$16),0)</f>
        <v/>
      </c>
    </row>
    <row r="30" ht="18" customHeight="1">
      <c r="A30" s="37" t="inlineStr">
        <is>
          <t xml:space="preserve">I2 </t>
        </is>
      </c>
      <c r="B30" s="15" t="n">
        <v>30.717</v>
      </c>
      <c r="C30" s="15" t="n">
        <v>30.953</v>
      </c>
      <c r="D30" s="15">
        <f>F23</f>
        <v/>
      </c>
      <c r="E30" s="15" t="n">
        <v>31.542</v>
      </c>
      <c r="F30" s="15" t="n">
        <v>31.895</v>
      </c>
      <c r="G30" s="15" t="n">
        <v>34.302</v>
      </c>
      <c r="H30" s="15" t="n">
        <v>34.738</v>
      </c>
      <c r="I30" s="15" t="n">
        <v>33.239</v>
      </c>
      <c r="J30" s="15" t="n">
        <v>38.732</v>
      </c>
      <c r="K30" s="15" t="n">
        <v>34.326</v>
      </c>
      <c r="L30" s="15" t="n">
        <v>28</v>
      </c>
      <c r="M30" s="15">
        <f>IF(L30&lt;$D$16,$D$12,IF(L30&lt;$E$16,$E$12,$F$13))</f>
        <v/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$D$12</f>
        <v/>
      </c>
      <c r="T30" s="15" t="n">
        <v>0</v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  <c r="AC30" s="15">
        <f>N30^2</f>
        <v/>
      </c>
      <c r="AD30" s="15">
        <f>ABS(N30)</f>
        <v/>
      </c>
      <c r="AE30" s="15">
        <f>IF(M30&gt;0, ABS(N30)*(L30-$D$16),0)</f>
        <v/>
      </c>
    </row>
    <row r="31" ht="18" customHeight="1">
      <c r="A31" s="37" t="inlineStr">
        <is>
          <t xml:space="preserve">I3 </t>
        </is>
      </c>
      <c r="B31" s="15" t="n">
        <v>39.961</v>
      </c>
      <c r="C31" s="15" t="n">
        <v>40.361</v>
      </c>
      <c r="D31" s="15">
        <f>G23</f>
        <v/>
      </c>
      <c r="E31" s="15" t="n">
        <v>41.907</v>
      </c>
      <c r="F31" s="15" t="n">
        <v>43.187</v>
      </c>
      <c r="G31" s="15" t="n">
        <v>46.472</v>
      </c>
      <c r="H31" s="15" t="n">
        <v>47.893</v>
      </c>
      <c r="I31" s="15" t="n">
        <v>47.675</v>
      </c>
      <c r="J31" s="15" t="n">
        <v>54.423</v>
      </c>
      <c r="K31" s="15" t="n">
        <v>51.269</v>
      </c>
      <c r="L31" s="15" t="n">
        <v>29</v>
      </c>
      <c r="M31" s="15">
        <f>IF(L31&lt;$D$16,$D$12,IF(L31&lt;$E$16,$E$12,$F$13))</f>
        <v/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$D$12</f>
        <v/>
      </c>
      <c r="T31" s="15" t="n">
        <v>0</v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  <c r="AC31" s="15">
        <f>N31^2</f>
        <v/>
      </c>
      <c r="AD31" s="15">
        <f>ABS(N31)</f>
        <v/>
      </c>
      <c r="AE31" s="15">
        <f>IF(M31&gt;0, ABS(N31)*(L31-$D$16),0)</f>
        <v/>
      </c>
    </row>
    <row r="32" ht="18" customHeight="1">
      <c r="A32" s="37" t="inlineStr">
        <is>
          <t>I4</t>
        </is>
      </c>
      <c r="B32" s="15" t="n">
        <v>1442.344</v>
      </c>
      <c r="C32" s="15" t="n">
        <v>1463.629</v>
      </c>
      <c r="D32" s="15">
        <f>H23</f>
        <v/>
      </c>
      <c r="E32" s="15" t="n">
        <v>1597.102</v>
      </c>
      <c r="F32" s="15" t="n">
        <v>1743.987</v>
      </c>
      <c r="G32" s="15" t="n">
        <v>1931.309</v>
      </c>
      <c r="H32" s="15" t="n">
        <v>2047.454</v>
      </c>
      <c r="I32" s="15" t="n">
        <v>2174.085</v>
      </c>
      <c r="J32" s="15" t="n">
        <v>2662.408</v>
      </c>
      <c r="K32" s="15" t="n">
        <v>2586.51</v>
      </c>
      <c r="L32" s="15" t="n">
        <v>30</v>
      </c>
      <c r="M32" s="15">
        <f>IF(L32&lt;$D$16,$D$12,IF(L32&lt;$E$16,$E$12,$F$13))</f>
        <v/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$D$12</f>
        <v/>
      </c>
      <c r="T32" s="15" t="n">
        <v>0</v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  <c r="AC32" s="15">
        <f>N32^2</f>
        <v/>
      </c>
      <c r="AD32" s="15">
        <f>ABS(N32)</f>
        <v/>
      </c>
      <c r="AE32" s="15">
        <f>IF(M32&gt;0, ABS(N32)*(L32-$D$16),0)</f>
        <v/>
      </c>
    </row>
    <row r="33">
      <c r="L33" s="15" t="n">
        <v>31</v>
      </c>
      <c r="M33" s="15">
        <f>IF(L33&lt;$D$16,$D$12,IF(L33&lt;$E$16,$E$12,$F$13))</f>
        <v/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$D$12</f>
        <v/>
      </c>
      <c r="T33" s="15" t="n">
        <v>0</v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  <c r="AC33" s="15">
        <f>N33^2</f>
        <v/>
      </c>
      <c r="AD33" s="15">
        <f>ABS(N33)</f>
        <v/>
      </c>
      <c r="AE33" s="15">
        <f>IF(M33&gt;0, ABS(N33)*(L33-$D$16),0)</f>
        <v/>
      </c>
    </row>
    <row r="34">
      <c r="L34" s="15" t="n">
        <v>32</v>
      </c>
      <c r="M34" s="15">
        <f>IF(L34&lt;$D$16,$D$12,IF(L34&lt;$E$16,$E$12,$F$13))</f>
        <v/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$D$12</f>
        <v/>
      </c>
      <c r="T34" s="15" t="n">
        <v>0</v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  <c r="AC34" s="15">
        <f>N34^2</f>
        <v/>
      </c>
      <c r="AD34" s="15">
        <f>ABS(N34)</f>
        <v/>
      </c>
      <c r="AE34" s="15">
        <f>IF(M34&gt;0, ABS(N34)*(L34-$D$16),0)</f>
        <v/>
      </c>
    </row>
    <row r="35">
      <c r="A35" s="15" t="inlineStr">
        <is>
          <t>%</t>
        </is>
      </c>
      <c r="B35">
        <f>-20</f>
        <v/>
      </c>
      <c r="C35" t="n">
        <v>0</v>
      </c>
      <c r="D35" t="n">
        <v>20</v>
      </c>
      <c r="L35" s="15" t="n">
        <v>33</v>
      </c>
      <c r="M35" s="15">
        <f>IF(L35&lt;$D$16,$D$12,IF(L35&lt;$E$16,$E$12,$F$13))</f>
        <v/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$D$12</f>
        <v/>
      </c>
      <c r="T35" s="15" t="n">
        <v>0</v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  <c r="AC35" s="15">
        <f>N35^2</f>
        <v/>
      </c>
      <c r="AD35" s="15">
        <f>ABS(N35)</f>
        <v/>
      </c>
      <c r="AE35" s="15">
        <f>IF(M35&gt;0, ABS(N35)*(L35-$D$16),0)</f>
        <v/>
      </c>
    </row>
    <row r="36" ht="18.6" customHeight="1" thickBot="1">
      <c r="A36" s="35" t="inlineStr">
        <is>
          <t xml:space="preserve">Tрег, с </t>
        </is>
      </c>
      <c r="B36" s="15" t="n">
        <v>164</v>
      </c>
      <c r="C36" s="15">
        <f>D28</f>
        <v/>
      </c>
      <c r="D36" s="15" t="n">
        <v>133</v>
      </c>
      <c r="L36" s="15" t="n">
        <v>34</v>
      </c>
      <c r="M36" s="15">
        <f>IF(L36&lt;$D$16,$D$12,IF(L36&lt;$E$16,$E$12,$F$13))</f>
        <v/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$D$12</f>
        <v/>
      </c>
      <c r="T36" s="15" t="n">
        <v>0</v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  <c r="AC36" s="15">
        <f>N36^2</f>
        <v/>
      </c>
      <c r="AD36" s="15">
        <f>ABS(N36)</f>
        <v/>
      </c>
      <c r="AE36" s="15">
        <f>IF(M36&gt;0, ABS(N36)*(L36-$D$16),0)</f>
        <v/>
      </c>
    </row>
    <row r="37" ht="18.6" customHeight="1" thickBot="1">
      <c r="A37" s="36" t="inlineStr">
        <is>
          <t xml:space="preserve">σ, % </t>
        </is>
      </c>
      <c r="B37" s="15" t="n">
        <v>0</v>
      </c>
      <c r="C37" s="15">
        <f>D29</f>
        <v/>
      </c>
      <c r="D37" s="15" t="n">
        <v>1.154</v>
      </c>
      <c r="L37" s="15" t="n">
        <v>35</v>
      </c>
      <c r="M37" s="15">
        <f>IF(L37&lt;$D$16,$D$12,IF(L37&lt;$E$16,$E$12,$F$13))</f>
        <v/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$D$12</f>
        <v/>
      </c>
      <c r="T37" s="15" t="n">
        <v>0</v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  <c r="AC37" s="15">
        <f>N37^2</f>
        <v/>
      </c>
      <c r="AD37" s="15">
        <f>ABS(N37)</f>
        <v/>
      </c>
      <c r="AE37" s="15">
        <f>IF(M37&gt;0, ABS(N37)*(L37-$D$16),0)</f>
        <v/>
      </c>
    </row>
    <row r="38" ht="18" customHeight="1">
      <c r="A38" s="37" t="inlineStr">
        <is>
          <t xml:space="preserve">I2 </t>
        </is>
      </c>
      <c r="B38" s="15" t="n">
        <v>33.731</v>
      </c>
      <c r="C38" s="15">
        <f>D30</f>
        <v/>
      </c>
      <c r="D38" s="15" t="n">
        <v>33.227</v>
      </c>
      <c r="L38" s="15" t="n">
        <v>36</v>
      </c>
      <c r="M38" s="15">
        <f>IF(L38&lt;$D$16,$D$12,IF(L38&lt;$E$16,$E$12,$F$13))</f>
        <v/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$D$12</f>
        <v/>
      </c>
      <c r="T38" s="15" t="n">
        <v>0</v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  <c r="AC38" s="15">
        <f>N38^2</f>
        <v/>
      </c>
      <c r="AD38" s="15">
        <f>ABS(N38)</f>
        <v/>
      </c>
      <c r="AE38" s="15">
        <f>IF(M38&gt;0, ABS(N38)*(L38-$D$16),0)</f>
        <v/>
      </c>
    </row>
    <row r="39" ht="18" customHeight="1">
      <c r="A39" s="37" t="inlineStr">
        <is>
          <t xml:space="preserve">I3 </t>
        </is>
      </c>
      <c r="B39" s="15" t="n">
        <v>51.231</v>
      </c>
      <c r="C39" s="15">
        <f>D31</f>
        <v/>
      </c>
      <c r="D39" s="15" t="n">
        <v>43.022</v>
      </c>
      <c r="L39" s="15" t="n">
        <v>37</v>
      </c>
      <c r="M39" s="15">
        <f>IF(L39&lt;$D$16,$D$12,IF(L39&lt;$E$16,$E$12,$F$13))</f>
        <v/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$D$12</f>
        <v/>
      </c>
      <c r="T39" s="15" t="n">
        <v>0</v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  <c r="AC39" s="15">
        <f>N39^2</f>
        <v/>
      </c>
      <c r="AD39" s="15">
        <f>ABS(N39)</f>
        <v/>
      </c>
      <c r="AE39" s="15">
        <f>IF(M39&gt;0, ABS(N39)*(L39-$D$16),0)</f>
        <v/>
      </c>
    </row>
    <row r="40" ht="18.6" customHeight="1" thickBot="1">
      <c r="A40" s="37" t="inlineStr">
        <is>
          <t>I4</t>
        </is>
      </c>
      <c r="B40" s="15" t="n">
        <v>2357.889</v>
      </c>
      <c r="C40" s="15">
        <f>D32</f>
        <v/>
      </c>
      <c r="D40" s="15" t="n">
        <v>1614.437</v>
      </c>
      <c r="L40" s="15" t="n">
        <v>38</v>
      </c>
      <c r="M40" s="15">
        <f>IF(L40&lt;$D$16,$D$12,IF(L40&lt;$E$16,$E$12,$F$13))</f>
        <v/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$D$12</f>
        <v/>
      </c>
      <c r="T40" s="15" t="n">
        <v>0</v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  <c r="AC40" s="15">
        <f>N40^2</f>
        <v/>
      </c>
      <c r="AD40" s="15">
        <f>ABS(N40)</f>
        <v/>
      </c>
      <c r="AE40" s="15">
        <f>IF(M40&gt;0, ABS(N40)*(L40-$D$16),0)</f>
        <v/>
      </c>
    </row>
    <row r="41">
      <c r="B41" s="38" t="n">
        <v>3.2</v>
      </c>
      <c r="C41" s="38" t="n">
        <v>4</v>
      </c>
      <c r="D41" s="38" t="n">
        <v>4.8</v>
      </c>
      <c r="L41" s="15" t="n">
        <v>39</v>
      </c>
      <c r="M41" s="15">
        <f>IF(L41&lt;$D$16,$D$12,IF(L41&lt;$E$16,$E$12,$F$13))</f>
        <v/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$D$12</f>
        <v/>
      </c>
      <c r="T41" s="15" t="n">
        <v>0</v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  <c r="AC41" s="15">
        <f>N41^2</f>
        <v/>
      </c>
      <c r="AD41" s="15">
        <f>ABS(N41)</f>
        <v/>
      </c>
      <c r="AE41" s="15">
        <f>IF(M41&gt;0, ABS(N41)*(L41-$D$16),0)</f>
        <v/>
      </c>
    </row>
    <row r="42">
      <c r="B42" s="39" t="n">
        <v>32</v>
      </c>
      <c r="C42" s="39" t="n">
        <v>40</v>
      </c>
      <c r="D42" s="39" t="n">
        <v>48</v>
      </c>
      <c r="L42" s="15" t="n">
        <v>40</v>
      </c>
      <c r="M42" s="15">
        <f>IF(L42&lt;$D$16,$D$12,IF(L42&lt;$E$16,$E$12,$F$13))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$D$12</f>
        <v/>
      </c>
      <c r="T42" s="15" t="n">
        <v>0</v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  <c r="AC42" s="15">
        <f>N42^2</f>
        <v/>
      </c>
      <c r="AD42" s="15">
        <f>ABS(N42)</f>
        <v/>
      </c>
      <c r="AE42" s="15">
        <f>IF(M42&gt;0, ABS(N42)*(L42-$D$16),0)</f>
        <v/>
      </c>
    </row>
    <row r="43">
      <c r="B43" s="39" t="n">
        <v>13.6</v>
      </c>
      <c r="C43" s="39" t="n">
        <v>17</v>
      </c>
      <c r="D43" s="39" t="n">
        <v>20.4</v>
      </c>
      <c r="L43" s="15" t="n">
        <v>41</v>
      </c>
      <c r="M43" s="15">
        <f>IF(L43&lt;$D$16,$D$12,IF(L43&lt;$E$16,$E$12,$F$13))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$D$12</f>
        <v/>
      </c>
      <c r="T43" s="15" t="n">
        <v>0</v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  <c r="AC43" s="15">
        <f>N43^2</f>
        <v/>
      </c>
      <c r="AD43" s="15">
        <f>ABS(N43)</f>
        <v/>
      </c>
      <c r="AE43" s="15">
        <f>IF(M43&gt;0, ABS(N43)*(L43-$D$16),0)</f>
        <v/>
      </c>
    </row>
    <row r="44" ht="15" customHeight="1" thickBot="1">
      <c r="B44" s="40" t="n">
        <v>10.4</v>
      </c>
      <c r="C44" s="40" t="n">
        <v>13</v>
      </c>
      <c r="D44" s="40" t="n">
        <v>15.6</v>
      </c>
      <c r="L44" s="15" t="n">
        <v>42</v>
      </c>
      <c r="M44" s="15">
        <f>IF(L44&lt;$D$16,$D$12,IF(L44&lt;$E$16,$E$12,$F$13))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 t="n">
        <v>0</v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  <c r="AC44" s="15">
        <f>N44^2</f>
        <v/>
      </c>
      <c r="AD44" s="15">
        <f>ABS(N44)</f>
        <v/>
      </c>
      <c r="AE44" s="15">
        <f>IF(M44&gt;0, ABS(N44)*(L44-$D$16),0)</f>
        <v/>
      </c>
    </row>
    <row r="45">
      <c r="L45" s="15" t="n">
        <v>43</v>
      </c>
      <c r="M45" s="15">
        <f>IF(L45&lt;$D$16,$D$12,IF(L45&lt;$E$16,$E$12,$F$13))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 t="n">
        <v>0</v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  <c r="AC45" s="15">
        <f>N45^2</f>
        <v/>
      </c>
      <c r="AD45" s="15">
        <f>ABS(N45)</f>
        <v/>
      </c>
      <c r="AE45" s="15">
        <f>IF(M45&gt;0, ABS(N45)*(L45-$D$16),0)</f>
        <v/>
      </c>
    </row>
    <row r="46">
      <c r="L46" s="15" t="n">
        <v>44</v>
      </c>
      <c r="M46" s="15">
        <f>IF(L46&lt;$D$16,$D$12,IF(L46&lt;$E$16,$E$12,$F$13))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 t="n">
        <v>0</v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  <c r="AC46" s="15">
        <f>N46^2</f>
        <v/>
      </c>
      <c r="AD46" s="15">
        <f>ABS(N46)</f>
        <v/>
      </c>
      <c r="AE46" s="15">
        <f>IF(M46&gt;0, ABS(N46)*(L46-$D$16),0)</f>
        <v/>
      </c>
    </row>
    <row r="47">
      <c r="L47" s="15" t="n">
        <v>45</v>
      </c>
      <c r="M47" s="15">
        <f>IF(L47&lt;$D$16,$D$12,IF(L47&lt;$E$16,$E$12,$F$13))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 t="n">
        <v>0</v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  <c r="AC47" s="15">
        <f>N47^2</f>
        <v/>
      </c>
      <c r="AD47" s="15">
        <f>ABS(N47)</f>
        <v/>
      </c>
      <c r="AE47" s="15">
        <f>IF(M47&gt;0, ABS(N47)*(L47-$D$16),0)</f>
        <v/>
      </c>
    </row>
    <row r="48">
      <c r="L48" s="15" t="n">
        <v>46</v>
      </c>
      <c r="M48" s="15">
        <f>IF(L48&lt;$D$16,$D$12,IF(L48&lt;$E$16,$E$12,$F$13))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 t="n">
        <v>0</v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  <c r="AC48" s="15">
        <f>N48^2</f>
        <v/>
      </c>
      <c r="AD48" s="15">
        <f>ABS(N48)</f>
        <v/>
      </c>
      <c r="AE48" s="15">
        <f>IF(M48&gt;0, ABS(N48)*(L48-$D$16),0)</f>
        <v/>
      </c>
    </row>
    <row r="49">
      <c r="L49" s="15" t="n">
        <v>47</v>
      </c>
      <c r="M49" s="15">
        <f>IF(L49&lt;$D$16,$D$12,IF(L49&lt;$E$16,$E$12,$F$13))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 t="n">
        <v>0</v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  <c r="AC49" s="15">
        <f>N49^2</f>
        <v/>
      </c>
      <c r="AD49" s="15">
        <f>ABS(N49)</f>
        <v/>
      </c>
      <c r="AE49" s="15">
        <f>IF(M49&gt;0, ABS(N49)*(L49-$D$16),0)</f>
        <v/>
      </c>
    </row>
    <row r="50">
      <c r="L50" s="15" t="n">
        <v>48</v>
      </c>
      <c r="M50" s="15">
        <f>IF(L50&lt;$D$16,$D$12,IF(L50&lt;$E$16,$E$12,$F$13))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 t="n">
        <v>0</v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  <c r="AC50" s="15">
        <f>N50^2</f>
        <v/>
      </c>
      <c r="AD50" s="15">
        <f>ABS(N50)</f>
        <v/>
      </c>
      <c r="AE50" s="15">
        <f>IF(M50&gt;0, ABS(N50)*(L50-$D$16),0)</f>
        <v/>
      </c>
    </row>
    <row r="51">
      <c r="L51" s="15" t="n">
        <v>49</v>
      </c>
      <c r="M51" s="15">
        <f>IF(L51&lt;$D$16,$D$12,IF(L51&lt;$E$16,$E$12,$F$13))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 t="n">
        <v>0</v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  <c r="AC51" s="15">
        <f>N51^2</f>
        <v/>
      </c>
      <c r="AD51" s="15">
        <f>ABS(N51)</f>
        <v/>
      </c>
      <c r="AE51" s="15">
        <f>IF(M51&gt;0, ABS(N51)*(L51-$D$16),0)</f>
        <v/>
      </c>
    </row>
    <row r="52">
      <c r="L52" s="15" t="n">
        <v>50</v>
      </c>
      <c r="M52" s="15">
        <f>IF(L52&lt;$D$16,$D$12,IF(L52&lt;$E$16,$E$12,$F$13))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 t="n">
        <v>0</v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  <c r="AC52" s="15">
        <f>N52^2</f>
        <v/>
      </c>
      <c r="AD52" s="15">
        <f>ABS(N52)</f>
        <v/>
      </c>
      <c r="AE52" s="15">
        <f>IF(M52&gt;0, ABS(N52)*(L52-$D$16),0)</f>
        <v/>
      </c>
    </row>
    <row r="53">
      <c r="L53" s="15" t="n">
        <v>51</v>
      </c>
      <c r="M53" s="15">
        <f>IF(L53&lt;$D$16,$D$12,IF(L53&lt;$E$16,$E$12,$F$13))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 t="n">
        <v>0</v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  <c r="AC53" s="15">
        <f>N53^2</f>
        <v/>
      </c>
      <c r="AD53" s="15">
        <f>ABS(N53)</f>
        <v/>
      </c>
      <c r="AE53" s="15">
        <f>IF(M53&gt;0, ABS(N53)*(L53-$D$16),0)</f>
        <v/>
      </c>
    </row>
    <row r="54">
      <c r="L54" s="15" t="n">
        <v>52</v>
      </c>
      <c r="M54" s="15">
        <f>IF(L54&lt;$D$16,$D$12,IF(L54&lt;$E$16,$E$12,$F$13))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 t="n">
        <v>0</v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  <c r="AC54" s="15">
        <f>N54^2</f>
        <v/>
      </c>
      <c r="AD54" s="15">
        <f>ABS(N54)</f>
        <v/>
      </c>
      <c r="AE54" s="15">
        <f>IF(M54&gt;0, ABS(N54)*(L54-$D$16),0)</f>
        <v/>
      </c>
    </row>
    <row r="55">
      <c r="L55" s="15" t="n">
        <v>53</v>
      </c>
      <c r="M55" s="15">
        <f>IF(L55&lt;$D$16,$D$12,IF(L55&lt;$E$16,$E$12,$F$13))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 t="n">
        <v>0</v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  <c r="AC55" s="15">
        <f>N55^2</f>
        <v/>
      </c>
      <c r="AD55" s="15">
        <f>ABS(N55)</f>
        <v/>
      </c>
      <c r="AE55" s="15">
        <f>IF(M55&gt;0, ABS(N55)*(L55-$D$16),0)</f>
        <v/>
      </c>
    </row>
    <row r="56">
      <c r="L56" s="15" t="n">
        <v>54</v>
      </c>
      <c r="M56" s="15">
        <f>IF(L56&lt;$D$16,$D$12,IF(L56&lt;$E$16,$E$12,$F$13))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 t="n">
        <v>0</v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  <c r="AC56" s="15">
        <f>N56^2</f>
        <v/>
      </c>
      <c r="AD56" s="15">
        <f>ABS(N56)</f>
        <v/>
      </c>
      <c r="AE56" s="15">
        <f>IF(M56&gt;0, ABS(N56)*(L56-$D$16),0)</f>
        <v/>
      </c>
    </row>
    <row r="57">
      <c r="L57" s="15" t="n">
        <v>55</v>
      </c>
      <c r="M57" s="15">
        <f>IF(L57&lt;$D$16,$D$12,IF(L57&lt;$E$16,$E$12,$F$13))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 t="n">
        <v>0</v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  <c r="AC57" s="15">
        <f>N57^2</f>
        <v/>
      </c>
      <c r="AD57" s="15">
        <f>ABS(N57)</f>
        <v/>
      </c>
      <c r="AE57" s="15">
        <f>IF(M57&gt;0, ABS(N57)*(L57-$D$16),0)</f>
        <v/>
      </c>
    </row>
    <row r="58">
      <c r="L58" s="15" t="n">
        <v>56</v>
      </c>
      <c r="M58" s="15">
        <f>IF(L58&lt;$D$16,$D$12,IF(L58&lt;$E$16,$E$12,$F$13))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 t="n">
        <v>0</v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  <c r="AC58" s="15">
        <f>N58^2</f>
        <v/>
      </c>
      <c r="AD58" s="15">
        <f>ABS(N58)</f>
        <v/>
      </c>
      <c r="AE58" s="15">
        <f>IF(M58&gt;0, ABS(N58)*(L58-$D$16),0)</f>
        <v/>
      </c>
    </row>
    <row r="59">
      <c r="L59" s="15" t="n">
        <v>57</v>
      </c>
      <c r="M59" s="15">
        <f>IF(L59&lt;$D$16,$D$12,IF(L59&lt;$E$16,$E$12,$F$13))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 t="n">
        <v>0</v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  <c r="AC59" s="15">
        <f>N59^2</f>
        <v/>
      </c>
      <c r="AD59" s="15">
        <f>ABS(N59)</f>
        <v/>
      </c>
      <c r="AE59" s="15">
        <f>IF(M59&gt;0, ABS(N59)*(L59-$D$16),0)</f>
        <v/>
      </c>
    </row>
    <row r="60">
      <c r="L60" s="15" t="n">
        <v>58</v>
      </c>
      <c r="M60" s="15">
        <f>IF(L60&lt;$D$16,$D$12,IF(L60&lt;$E$16,$E$12,$F$13))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 t="n">
        <v>0</v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  <c r="AC60" s="15">
        <f>N60^2</f>
        <v/>
      </c>
      <c r="AD60" s="15">
        <f>ABS(N60)</f>
        <v/>
      </c>
      <c r="AE60" s="15">
        <f>IF(M60&gt;0, ABS(N60)*(L60-$D$16),0)</f>
        <v/>
      </c>
    </row>
    <row r="61">
      <c r="L61" s="15" t="n">
        <v>59</v>
      </c>
      <c r="M61" s="15">
        <f>IF(L61&lt;$D$16,$D$12,IF(L61&lt;$E$16,$E$12,$F$13))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 t="n">
        <v>0</v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  <c r="AC61" s="15">
        <f>N61^2</f>
        <v/>
      </c>
      <c r="AD61" s="15">
        <f>ABS(N61)</f>
        <v/>
      </c>
      <c r="AE61" s="15">
        <f>IF(M61&gt;0, ABS(N61)*(L61-$D$16),0)</f>
        <v/>
      </c>
    </row>
    <row r="62">
      <c r="L62" s="15" t="n">
        <v>60</v>
      </c>
      <c r="M62" s="15">
        <f>IF(L62&lt;$D$16,$D$12,IF(L62&lt;$E$16,$E$12,$F$13))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 t="n">
        <v>0</v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  <c r="AC62" s="15">
        <f>N62^2</f>
        <v/>
      </c>
      <c r="AD62" s="15">
        <f>ABS(N62)</f>
        <v/>
      </c>
      <c r="AE62" s="15">
        <f>IF(M62&gt;0, ABS(N62)*(L62-$D$16),0)</f>
        <v/>
      </c>
    </row>
    <row r="63">
      <c r="L63" s="15" t="n">
        <v>61</v>
      </c>
      <c r="M63" s="15">
        <f>IF(L63&lt;$D$16,$D$12,IF(L63&lt;$E$16,$E$12,$F$13))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 t="n">
        <v>0</v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  <c r="AC63" s="15">
        <f>N63^2</f>
        <v/>
      </c>
      <c r="AD63" s="15">
        <f>ABS(N63)</f>
        <v/>
      </c>
      <c r="AE63" s="15">
        <f>IF(M63&gt;0, ABS(N63)*(L63-$D$16),0)</f>
        <v/>
      </c>
    </row>
    <row r="64">
      <c r="L64" s="15" t="n">
        <v>62</v>
      </c>
      <c r="M64" s="15">
        <f>IF(L64&lt;$D$16,$D$12,IF(L64&lt;$E$16,$E$12,$F$13))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 t="n">
        <v>0</v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  <c r="AC64" s="15">
        <f>N64^2</f>
        <v/>
      </c>
      <c r="AD64" s="15">
        <f>ABS(N64)</f>
        <v/>
      </c>
      <c r="AE64" s="15">
        <f>IF(M64&gt;0, ABS(N64)*(L64-$D$16),0)</f>
        <v/>
      </c>
    </row>
    <row r="65">
      <c r="L65" s="15" t="n">
        <v>63</v>
      </c>
      <c r="M65" s="15">
        <f>IF(L65&lt;$D$16,$D$12,IF(L65&lt;$E$16,$E$12,$F$13))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 t="n">
        <v>0</v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  <c r="AC65" s="15">
        <f>N65^2</f>
        <v/>
      </c>
      <c r="AD65" s="15">
        <f>ABS(N65)</f>
        <v/>
      </c>
      <c r="AE65" s="15">
        <f>IF(M65&gt;0, ABS(N65)*(L65-$D$16),0)</f>
        <v/>
      </c>
    </row>
    <row r="66">
      <c r="L66" s="15" t="n">
        <v>64</v>
      </c>
      <c r="M66" s="15">
        <f>IF(L66&lt;$D$16,$D$12,IF(L66&lt;$E$16,$E$12,$F$13))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 t="n">
        <v>0</v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  <c r="AC66" s="15">
        <f>N66^2</f>
        <v/>
      </c>
      <c r="AD66" s="15">
        <f>ABS(N66)</f>
        <v/>
      </c>
      <c r="AE66" s="15">
        <f>IF(M66&gt;0, ABS(N66)*(L66-$D$16),0)</f>
        <v/>
      </c>
    </row>
    <row r="67">
      <c r="L67" s="15" t="n">
        <v>65</v>
      </c>
      <c r="M67" s="15">
        <f>IF(L67&lt;$D$16,$D$12,IF(L67&lt;$E$16,$E$12,$F$13))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 t="n">
        <v>0</v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  <c r="AC67" s="15">
        <f>N67^2</f>
        <v/>
      </c>
      <c r="AD67" s="15">
        <f>ABS(N67)</f>
        <v/>
      </c>
      <c r="AE67" s="15">
        <f>IF(M67&gt;0, ABS(N67)*(L67-$D$16),0)</f>
        <v/>
      </c>
    </row>
    <row r="68">
      <c r="L68" s="15" t="n">
        <v>66</v>
      </c>
      <c r="M68" s="15">
        <f>IF(L68&lt;$D$16,$D$12,IF(L68&lt;$E$16,$E$12,$F$13))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 t="n">
        <v>0</v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  <c r="AC68" s="15">
        <f>N68^2</f>
        <v/>
      </c>
      <c r="AD68" s="15">
        <f>ABS(N68)</f>
        <v/>
      </c>
      <c r="AE68" s="15">
        <f>IF(M68&gt;0, ABS(N68)*(L68-$D$16),0)</f>
        <v/>
      </c>
    </row>
    <row r="69">
      <c r="L69" s="15" t="n">
        <v>67</v>
      </c>
      <c r="M69" s="15">
        <f>IF(L69&lt;$D$16,$D$12,IF(L69&lt;$E$16,$E$12,$F$13))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 t="n">
        <v>0</v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  <c r="AC69" s="15">
        <f>N69^2</f>
        <v/>
      </c>
      <c r="AD69" s="15">
        <f>ABS(N69)</f>
        <v/>
      </c>
      <c r="AE69" s="15">
        <f>IF(M69&gt;0, ABS(N69)*(L69-$D$16),0)</f>
        <v/>
      </c>
    </row>
    <row r="70">
      <c r="L70" s="15" t="n">
        <v>68</v>
      </c>
      <c r="M70" s="15">
        <f>IF(L70&lt;$D$16,$D$12,IF(L70&lt;$E$16,$E$12,$F$13))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 t="n">
        <v>0</v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  <c r="AC70" s="15">
        <f>N70^2</f>
        <v/>
      </c>
      <c r="AD70" s="15">
        <f>ABS(N70)</f>
        <v/>
      </c>
      <c r="AE70" s="15">
        <f>IF(M70&gt;0, ABS(N70)*(L70-$D$16),0)</f>
        <v/>
      </c>
    </row>
    <row r="71">
      <c r="L71" s="15" t="n">
        <v>69</v>
      </c>
      <c r="M71" s="15">
        <f>IF(L71&lt;$D$16,$D$12,IF(L71&lt;$E$16,$E$12,$F$13))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 t="n">
        <v>0</v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  <c r="AC71" s="15">
        <f>N71^2</f>
        <v/>
      </c>
      <c r="AD71" s="15">
        <f>ABS(N71)</f>
        <v/>
      </c>
      <c r="AE71" s="15">
        <f>IF(M71&gt;0, ABS(N71)*(L71-$D$16),0)</f>
        <v/>
      </c>
    </row>
    <row r="72">
      <c r="L72" s="15" t="n">
        <v>70</v>
      </c>
      <c r="M72" s="15">
        <f>IF(L72&lt;$D$16,$D$12,IF(L72&lt;$E$16,$E$12,$F$13))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 t="n">
        <v>0</v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  <c r="AC72" s="15">
        <f>N72^2</f>
        <v/>
      </c>
      <c r="AD72" s="15">
        <f>ABS(N72)</f>
        <v/>
      </c>
      <c r="AE72" s="15">
        <f>IF(M72&gt;0, ABS(N72)*(L72-$D$16),0)</f>
        <v/>
      </c>
    </row>
    <row r="73">
      <c r="L73" s="15" t="n">
        <v>71</v>
      </c>
      <c r="M73" s="15">
        <f>IF(L73&lt;$D$16,$D$12,IF(L73&lt;$E$16,$E$12,$F$13))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 t="n">
        <v>0</v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  <c r="AC73" s="15">
        <f>N73^2</f>
        <v/>
      </c>
      <c r="AD73" s="15">
        <f>ABS(N73)</f>
        <v/>
      </c>
      <c r="AE73" s="15">
        <f>IF(M73&gt;0, ABS(N73)*(L73-$D$16),0)</f>
        <v/>
      </c>
    </row>
    <row r="74">
      <c r="L74" s="15" t="n">
        <v>72</v>
      </c>
      <c r="M74" s="15">
        <f>IF(L74&lt;$D$16,$D$12,IF(L74&lt;$E$16,$E$12,$F$13))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 t="n">
        <v>0</v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  <c r="AC74" s="15">
        <f>N74^2</f>
        <v/>
      </c>
      <c r="AD74" s="15">
        <f>ABS(N74)</f>
        <v/>
      </c>
      <c r="AE74" s="15">
        <f>IF(M74&gt;0, ABS(N74)*(L74-$D$16),0)</f>
        <v/>
      </c>
    </row>
    <row r="75">
      <c r="L75" s="15" t="n">
        <v>73</v>
      </c>
      <c r="M75" s="15">
        <f>IF(L75&lt;$D$16,$D$12,IF(L75&lt;$E$16,$E$12,$F$13))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 t="n">
        <v>0</v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  <c r="AC75" s="15">
        <f>N75^2</f>
        <v/>
      </c>
      <c r="AD75" s="15">
        <f>ABS(N75)</f>
        <v/>
      </c>
      <c r="AE75" s="15">
        <f>IF(M75&gt;0, ABS(N75)*(L75-$D$16),0)</f>
        <v/>
      </c>
    </row>
    <row r="76">
      <c r="L76" s="15" t="n">
        <v>74</v>
      </c>
      <c r="M76" s="15">
        <f>IF(L76&lt;$D$16,$D$12,IF(L76&lt;$E$16,$E$12,$F$13))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 t="n">
        <v>0</v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  <c r="AC76" s="15">
        <f>N76^2</f>
        <v/>
      </c>
      <c r="AD76" s="15">
        <f>ABS(N76)</f>
        <v/>
      </c>
      <c r="AE76" s="15">
        <f>IF(M76&gt;0, ABS(N76)*(L76-$D$16),0)</f>
        <v/>
      </c>
    </row>
    <row r="77">
      <c r="L77" s="15" t="n">
        <v>75</v>
      </c>
      <c r="M77" s="15">
        <f>IF(L77&lt;$D$16,$D$12,IF(L77&lt;$E$16,$E$12,$F$13))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 t="n">
        <v>0</v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  <c r="AC77" s="15">
        <f>N77^2</f>
        <v/>
      </c>
      <c r="AD77" s="15">
        <f>ABS(N77)</f>
        <v/>
      </c>
      <c r="AE77" s="15">
        <f>IF(M77&gt;0, ABS(N77)*(L77-$D$16),0)</f>
        <v/>
      </c>
    </row>
    <row r="78">
      <c r="L78" s="15" t="n">
        <v>76</v>
      </c>
      <c r="M78" s="15">
        <f>IF(L78&lt;$D$16,$D$12,IF(L78&lt;$E$16,$E$12,$F$13))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 t="n">
        <v>0</v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  <c r="AC78" s="15">
        <f>N78^2</f>
        <v/>
      </c>
      <c r="AD78" s="15">
        <f>ABS(N78)</f>
        <v/>
      </c>
      <c r="AE78" s="15">
        <f>IF(M78&gt;0, ABS(N78)*(L78-$D$16),0)</f>
        <v/>
      </c>
    </row>
    <row r="79">
      <c r="L79" s="15" t="n">
        <v>77</v>
      </c>
      <c r="M79" s="15">
        <f>IF(L79&lt;$D$16,$D$12,IF(L79&lt;$E$16,$E$12,$F$13))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 t="n">
        <v>0</v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  <c r="AC79" s="15">
        <f>N79^2</f>
        <v/>
      </c>
      <c r="AD79" s="15">
        <f>ABS(N79)</f>
        <v/>
      </c>
      <c r="AE79" s="15">
        <f>IF(M79&gt;0, ABS(N79)*(L79-$D$16),0)</f>
        <v/>
      </c>
    </row>
    <row r="80">
      <c r="L80" s="15" t="n">
        <v>78</v>
      </c>
      <c r="M80" s="15">
        <f>IF(L80&lt;$D$16,$D$12,IF(L80&lt;$E$16,$E$12,$F$13))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 t="n">
        <v>0</v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  <c r="AC80" s="15">
        <f>N80^2</f>
        <v/>
      </c>
      <c r="AD80" s="15">
        <f>ABS(N80)</f>
        <v/>
      </c>
      <c r="AE80" s="15">
        <f>IF(M80&gt;0, ABS(N80)*(L80-$D$16),0)</f>
        <v/>
      </c>
    </row>
    <row r="81">
      <c r="L81" s="15" t="n">
        <v>79</v>
      </c>
      <c r="M81" s="15">
        <f>IF(L81&lt;$D$16,$D$12,IF(L81&lt;$E$16,$E$12,$F$13))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 t="n">
        <v>0</v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  <c r="AC81" s="15">
        <f>N81^2</f>
        <v/>
      </c>
      <c r="AD81" s="15">
        <f>ABS(N81)</f>
        <v/>
      </c>
      <c r="AE81" s="15">
        <f>IF(M81&gt;0, ABS(N81)*(L81-$D$16),0)</f>
        <v/>
      </c>
    </row>
    <row r="82">
      <c r="L82" s="15" t="n">
        <v>80</v>
      </c>
      <c r="M82" s="15">
        <f>IF(L82&lt;$D$16,$D$12,IF(L82&lt;$E$16,$E$12,$F$13))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 t="n">
        <v>0</v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  <c r="AC82" s="15">
        <f>N82^2</f>
        <v/>
      </c>
      <c r="AD82" s="15">
        <f>ABS(N82)</f>
        <v/>
      </c>
      <c r="AE82" s="15">
        <f>IF(M82&gt;0, ABS(N82)*(L82-$D$16),0)</f>
        <v/>
      </c>
    </row>
    <row r="83">
      <c r="L83" s="15" t="n">
        <v>81</v>
      </c>
      <c r="M83" s="15">
        <f>IF(L83&lt;$D$16,$D$12,IF(L83&lt;$E$16,$E$12,$F$13))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 t="n">
        <v>0</v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  <c r="AC83" s="15">
        <f>N83^2</f>
        <v/>
      </c>
      <c r="AD83" s="15">
        <f>ABS(N83)</f>
        <v/>
      </c>
      <c r="AE83" s="15">
        <f>IF(M83&gt;0, ABS(N83)*(L83-$D$16),0)</f>
        <v/>
      </c>
    </row>
    <row r="84">
      <c r="L84" s="15" t="n">
        <v>82</v>
      </c>
      <c r="M84" s="15">
        <f>IF(L84&lt;$D$16,$D$12,IF(L84&lt;$E$16,$E$12,$F$13))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 t="n">
        <v>0</v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  <c r="AC84" s="15">
        <f>N84^2</f>
        <v/>
      </c>
      <c r="AD84" s="15">
        <f>ABS(N84)</f>
        <v/>
      </c>
      <c r="AE84" s="15">
        <f>IF(M84&gt;0, ABS(N84)*(L84-$D$16),0)</f>
        <v/>
      </c>
    </row>
    <row r="85">
      <c r="L85" s="15" t="n">
        <v>83</v>
      </c>
      <c r="M85" s="15">
        <f>IF(L85&lt;$D$16,$D$12,IF(L85&lt;$E$16,$E$12,$F$13))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 t="n">
        <v>0</v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  <c r="AC85" s="15">
        <f>N85^2</f>
        <v/>
      </c>
      <c r="AD85" s="15">
        <f>ABS(N85)</f>
        <v/>
      </c>
      <c r="AE85" s="15">
        <f>IF(M85&gt;0, ABS(N85)*(L85-$D$16),0)</f>
        <v/>
      </c>
    </row>
    <row r="86">
      <c r="L86" s="15" t="n">
        <v>84</v>
      </c>
      <c r="M86" s="15">
        <f>IF(L86&lt;$D$16,$D$12,IF(L86&lt;$E$16,$E$12,$F$13))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 t="n">
        <v>0</v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  <c r="AC86" s="15">
        <f>N86^2</f>
        <v/>
      </c>
      <c r="AD86" s="15">
        <f>ABS(N86)</f>
        <v/>
      </c>
      <c r="AE86" s="15">
        <f>IF(M86&gt;0, ABS(N86)*(L86-$D$16),0)</f>
        <v/>
      </c>
    </row>
    <row r="87">
      <c r="L87" s="15" t="n">
        <v>85</v>
      </c>
      <c r="M87" s="15">
        <f>IF(L87&lt;$D$16,$D$12,IF(L87&lt;$E$16,$E$12,$F$13))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 t="n">
        <v>0</v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  <c r="AC87" s="15">
        <f>N87^2</f>
        <v/>
      </c>
      <c r="AD87" s="15">
        <f>ABS(N87)</f>
        <v/>
      </c>
      <c r="AE87" s="15">
        <f>IF(M87&gt;0, ABS(N87)*(L87-$D$16),0)</f>
        <v/>
      </c>
    </row>
    <row r="88">
      <c r="L88" s="15" t="n">
        <v>86</v>
      </c>
      <c r="M88" s="15">
        <f>IF(L88&lt;$D$16,$D$12,IF(L88&lt;$E$16,$E$12,$F$13))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 t="n">
        <v>0</v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  <c r="AC88" s="15">
        <f>N88^2</f>
        <v/>
      </c>
      <c r="AD88" s="15">
        <f>ABS(N88)</f>
        <v/>
      </c>
      <c r="AE88" s="15">
        <f>IF(M88&gt;0, ABS(N88)*(L88-$D$16),0)</f>
        <v/>
      </c>
    </row>
    <row r="89">
      <c r="L89" s="15" t="n">
        <v>87</v>
      </c>
      <c r="M89" s="15">
        <f>IF(L89&lt;$D$16,$D$12,IF(L89&lt;$E$16,$E$12,$F$13))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 t="n">
        <v>0</v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  <c r="AC89" s="15">
        <f>N89^2</f>
        <v/>
      </c>
      <c r="AD89" s="15">
        <f>ABS(N89)</f>
        <v/>
      </c>
      <c r="AE89" s="15">
        <f>IF(M89&gt;0, ABS(N89)*(L89-$D$16),0)</f>
        <v/>
      </c>
    </row>
    <row r="90">
      <c r="L90" s="15" t="n">
        <v>88</v>
      </c>
      <c r="M90" s="15">
        <f>IF(L90&lt;$D$16,$D$12,IF(L90&lt;$E$16,$E$12,$F$13))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 t="n">
        <v>0</v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  <c r="AC90" s="15">
        <f>N90^2</f>
        <v/>
      </c>
      <c r="AD90" s="15">
        <f>ABS(N90)</f>
        <v/>
      </c>
      <c r="AE90" s="15">
        <f>IF(M90&gt;0, ABS(N90)*(L90-$D$16),0)</f>
        <v/>
      </c>
    </row>
    <row r="91">
      <c r="L91" s="27" t="n">
        <v>89</v>
      </c>
      <c r="M91" s="15">
        <f>IF(L91&lt;$D$16,$D$12,IF(L91&lt;$E$16,$E$12,$F$13))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 t="n">
        <v>0</v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15">
        <f>N91^2</f>
        <v/>
      </c>
      <c r="AD91" s="15">
        <f>ABS(N91)</f>
        <v/>
      </c>
      <c r="AE91" s="15">
        <f>IF(M91&gt;0, ABS(N91)*(L91-$D$16),0)</f>
        <v/>
      </c>
    </row>
    <row r="92">
      <c r="L92" s="15" t="n">
        <v>90</v>
      </c>
      <c r="M92" s="15">
        <f>IF(L92&lt;$D$16,$D$12,IF(L92&lt;$E$16,$E$12,$F$13))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 t="n">
        <v>0</v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  <c r="AC92" s="15">
        <f>N92^2</f>
        <v/>
      </c>
      <c r="AD92" s="15">
        <f>ABS(N92)</f>
        <v/>
      </c>
      <c r="AE92" s="15">
        <f>IF(M92&gt;0, ABS(N92)*(L92-$D$16),0)</f>
        <v/>
      </c>
    </row>
    <row r="93">
      <c r="L93" s="15" t="n">
        <v>91</v>
      </c>
      <c r="M93" s="15">
        <f>IF(L93&lt;$D$16,$D$12,IF(L93&lt;$E$16,$E$12,$F$13))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 t="n">
        <v>0</v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  <c r="AC93" s="15">
        <f>N93^2</f>
        <v/>
      </c>
      <c r="AD93" s="15">
        <f>ABS(N93)</f>
        <v/>
      </c>
      <c r="AE93" s="15">
        <f>IF(M93&gt;0, ABS(N93)*(L93-$D$16),0)</f>
        <v/>
      </c>
    </row>
    <row r="94">
      <c r="L94" s="15" t="n">
        <v>92</v>
      </c>
      <c r="M94" s="15">
        <f>IF(L94&lt;$D$16,$D$12,IF(L94&lt;$E$16,$E$12,$F$13))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 t="n">
        <v>0</v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  <c r="AC94" s="15">
        <f>N94^2</f>
        <v/>
      </c>
      <c r="AD94" s="15">
        <f>ABS(N94)</f>
        <v/>
      </c>
      <c r="AE94" s="15">
        <f>IF(M94&gt;0, ABS(N94)*(L94-$D$16),0)</f>
        <v/>
      </c>
    </row>
    <row r="95">
      <c r="L95" s="15" t="n">
        <v>93</v>
      </c>
      <c r="M95" s="15">
        <f>IF(L95&lt;$D$16,$D$12,IF(L95&lt;$E$16,$E$12,$F$13))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 t="n">
        <v>0</v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  <c r="AC95" s="15">
        <f>N95^2</f>
        <v/>
      </c>
      <c r="AD95" s="15">
        <f>ABS(N95)</f>
        <v/>
      </c>
      <c r="AE95" s="15">
        <f>IF(M95&gt;0, ABS(N95)*(L95-$D$16),0)</f>
        <v/>
      </c>
    </row>
    <row r="96">
      <c r="L96" s="15" t="n">
        <v>94</v>
      </c>
      <c r="M96" s="15">
        <f>IF(L96&lt;$D$16,$D$12,IF(L96&lt;$E$16,$E$12,$F$13))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 t="n">
        <v>0</v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  <c r="AC96" s="15">
        <f>N96^2</f>
        <v/>
      </c>
      <c r="AD96" s="15">
        <f>ABS(N96)</f>
        <v/>
      </c>
      <c r="AE96" s="15">
        <f>IF(M96&gt;0, ABS(N96)*(L96-$D$16),0)</f>
        <v/>
      </c>
    </row>
    <row r="97">
      <c r="L97" s="15" t="n">
        <v>95</v>
      </c>
      <c r="M97" s="15">
        <f>IF(L97&lt;$D$16,$D$12,IF(L97&lt;$E$16,$E$12,$F$13))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 t="n">
        <v>0</v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  <c r="AC97" s="15">
        <f>N97^2</f>
        <v/>
      </c>
      <c r="AD97" s="15">
        <f>ABS(N97)</f>
        <v/>
      </c>
      <c r="AE97" s="15">
        <f>IF(M97&gt;0, ABS(N97)*(L97-$D$16),0)</f>
        <v/>
      </c>
    </row>
    <row r="98">
      <c r="L98" s="15" t="n">
        <v>96</v>
      </c>
      <c r="M98" s="15">
        <f>IF(L98&lt;$D$16,$D$12,IF(L98&lt;$E$16,$E$12,$F$13))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 t="n">
        <v>0</v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  <c r="AC98" s="15">
        <f>N98^2</f>
        <v/>
      </c>
      <c r="AD98" s="15">
        <f>ABS(N98)</f>
        <v/>
      </c>
      <c r="AE98" s="15">
        <f>IF(M98&gt;0, ABS(N98)*(L98-$D$16),0)</f>
        <v/>
      </c>
    </row>
    <row r="99">
      <c r="L99" s="15" t="n">
        <v>97</v>
      </c>
      <c r="M99" s="15">
        <f>IF(L99&lt;$D$16,$D$12,IF(L99&lt;$E$16,$E$12,$F$13))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 t="n">
        <v>0</v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  <c r="AC99" s="15">
        <f>N99^2</f>
        <v/>
      </c>
      <c r="AD99" s="15">
        <f>ABS(N99)</f>
        <v/>
      </c>
      <c r="AE99" s="15">
        <f>IF(M99&gt;0, ABS(N99)*(L99-$D$16),0)</f>
        <v/>
      </c>
    </row>
    <row r="100">
      <c r="L100" s="15" t="n">
        <v>98</v>
      </c>
      <c r="M100" s="15">
        <f>IF(L100&lt;$D$16,$D$12,IF(L100&lt;$E$16,$E$12,$F$13))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 t="n">
        <v>0</v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  <c r="AC100" s="15">
        <f>N100^2</f>
        <v/>
      </c>
      <c r="AD100" s="15">
        <f>ABS(N100)</f>
        <v/>
      </c>
      <c r="AE100" s="15">
        <f>IF(M100&gt;0, ABS(N100)*(L100-$D$16),0)</f>
        <v/>
      </c>
    </row>
    <row r="101">
      <c r="L101" s="15" t="n">
        <v>99</v>
      </c>
      <c r="M101" s="15">
        <f>IF(L101&lt;$D$16,$D$12,IF(L101&lt;$E$16,$E$12,$F$13))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 t="n">
        <v>0</v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  <c r="AC101" s="15">
        <f>N101^2</f>
        <v/>
      </c>
      <c r="AD101" s="15">
        <f>ABS(N101)</f>
        <v/>
      </c>
      <c r="AE101" s="15">
        <f>IF(M101&gt;0, ABS(N101)*(L101-$D$16),0)</f>
        <v/>
      </c>
    </row>
    <row r="102">
      <c r="L102" s="15" t="n">
        <v>100</v>
      </c>
      <c r="M102" s="15">
        <f>IF(L102&lt;$D$16,$D$12,IF(L102&lt;$E$16,$E$12,$F$13))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 t="n">
        <v>0</v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  <c r="AC102" s="15">
        <f>N102^2</f>
        <v/>
      </c>
      <c r="AD102" s="15">
        <f>ABS(N102)</f>
        <v/>
      </c>
      <c r="AE102" s="15">
        <f>IF(M102&gt;0, ABS(N102)*(L102-$D$16),0)</f>
        <v/>
      </c>
    </row>
    <row r="103">
      <c r="L103" s="15" t="n">
        <v>101</v>
      </c>
      <c r="M103" s="15">
        <f>IF(L103&lt;$D$16,$D$12,IF(L103&lt;$E$16,$E$12,$F$13))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 t="n">
        <v>0</v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  <c r="AC103" s="15">
        <f>N103^2</f>
        <v/>
      </c>
      <c r="AD103" s="15">
        <f>ABS(N103)</f>
        <v/>
      </c>
      <c r="AE103" s="15">
        <f>IF(M103&gt;0, ABS(N103)*(L103-$D$16),0)</f>
        <v/>
      </c>
    </row>
    <row r="104">
      <c r="L104" s="15" t="n">
        <v>102</v>
      </c>
      <c r="M104" s="15">
        <f>IF(L104&lt;$D$16,$D$12,IF(L104&lt;$E$16,$E$12,$F$13))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 t="n">
        <v>0</v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  <c r="AC104" s="15">
        <f>N104^2</f>
        <v/>
      </c>
      <c r="AD104" s="15">
        <f>ABS(N104)</f>
        <v/>
      </c>
      <c r="AE104" s="15">
        <f>IF(M104&gt;0, ABS(N104)*(L104-$D$16),0)</f>
        <v/>
      </c>
    </row>
    <row r="105">
      <c r="L105" s="15" t="n">
        <v>103</v>
      </c>
      <c r="M105" s="15">
        <f>IF(L105&lt;$D$16,$D$12,IF(L105&lt;$E$16,$E$12,$F$13))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 t="n">
        <v>0</v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  <c r="AC105" s="15">
        <f>N105^2</f>
        <v/>
      </c>
      <c r="AD105" s="15">
        <f>ABS(N105)</f>
        <v/>
      </c>
      <c r="AE105" s="15">
        <f>IF(M105&gt;0, ABS(N105)*(L105-$D$16),0)</f>
        <v/>
      </c>
    </row>
    <row r="106">
      <c r="L106" s="15" t="n">
        <v>104</v>
      </c>
      <c r="M106" s="15">
        <f>IF(L106&lt;$D$16,$D$12,IF(L106&lt;$E$16,$E$12,$F$13))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 t="n">
        <v>0</v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  <c r="AC106" s="15">
        <f>N106^2</f>
        <v/>
      </c>
      <c r="AD106" s="15">
        <f>ABS(N106)</f>
        <v/>
      </c>
      <c r="AE106" s="15">
        <f>IF(M106&gt;0, ABS(N106)*(L106-$D$16),0)</f>
        <v/>
      </c>
    </row>
    <row r="107">
      <c r="L107" s="15" t="n">
        <v>105</v>
      </c>
      <c r="M107" s="15">
        <f>IF(L107&lt;$D$16,$D$12,IF(L107&lt;$E$16,$E$12,$F$13))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 t="n">
        <v>0</v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  <c r="AC107" s="15">
        <f>N107^2</f>
        <v/>
      </c>
      <c r="AD107" s="15">
        <f>ABS(N107)</f>
        <v/>
      </c>
      <c r="AE107" s="15">
        <f>IF(M107&gt;0, ABS(N107)*(L107-$D$16),0)</f>
        <v/>
      </c>
    </row>
    <row r="108">
      <c r="L108" s="15" t="n">
        <v>106</v>
      </c>
      <c r="M108" s="15">
        <f>IF(L108&lt;$D$16,$D$12,IF(L108&lt;$E$16,$E$12,$F$13))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 t="n">
        <v>0</v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  <c r="AC108" s="15">
        <f>N108^2</f>
        <v/>
      </c>
      <c r="AD108" s="15">
        <f>ABS(N108)</f>
        <v/>
      </c>
      <c r="AE108" s="15">
        <f>IF(M108&gt;0, ABS(N108)*(L108-$D$16),0)</f>
        <v/>
      </c>
    </row>
    <row r="109">
      <c r="L109" s="15" t="n">
        <v>107</v>
      </c>
      <c r="M109" s="15">
        <f>IF(L109&lt;$D$16,$D$12,IF(L109&lt;$E$16,$E$12,$F$13))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 t="n">
        <v>0</v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  <c r="AC109" s="15">
        <f>N109^2</f>
        <v/>
      </c>
      <c r="AD109" s="15">
        <f>ABS(N109)</f>
        <v/>
      </c>
      <c r="AE109" s="15">
        <f>IF(M109&gt;0, ABS(N109)*(L109-$D$16),0)</f>
        <v/>
      </c>
    </row>
    <row r="110">
      <c r="L110" s="15" t="n">
        <v>108</v>
      </c>
      <c r="M110" s="15">
        <f>IF(L110&lt;$D$16,$D$12,IF(L110&lt;$E$16,$E$12,$F$13))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 t="n">
        <v>0</v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  <c r="AC110" s="15">
        <f>N110^2</f>
        <v/>
      </c>
      <c r="AD110" s="15">
        <f>ABS(N110)</f>
        <v/>
      </c>
      <c r="AE110" s="15">
        <f>IF(M110&gt;0, ABS(N110)*(L110-$D$16),0)</f>
        <v/>
      </c>
    </row>
    <row r="111">
      <c r="L111" s="15" t="n">
        <v>109</v>
      </c>
      <c r="M111" s="15">
        <f>IF(L111&lt;$D$16,$D$12,IF(L111&lt;$E$16,$E$12,$F$13))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 t="n">
        <v>0</v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  <c r="AC111" s="15">
        <f>N111^2</f>
        <v/>
      </c>
      <c r="AD111" s="15">
        <f>ABS(N111)</f>
        <v/>
      </c>
      <c r="AE111" s="15">
        <f>IF(M111&gt;0, ABS(N111)*(L111-$D$16),0)</f>
        <v/>
      </c>
    </row>
    <row r="112">
      <c r="L112" s="15" t="n">
        <v>110</v>
      </c>
      <c r="M112" s="15">
        <f>IF(L112&lt;$D$16,$D$12,IF(L112&lt;$E$16,$E$12,$F$13))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 t="n">
        <v>0</v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  <c r="AC112" s="15">
        <f>N112^2</f>
        <v/>
      </c>
      <c r="AD112" s="15">
        <f>ABS(N112)</f>
        <v/>
      </c>
      <c r="AE112" s="15">
        <f>IF(M112&gt;0, ABS(N112)*(L112-$D$16),0)</f>
        <v/>
      </c>
    </row>
    <row r="113">
      <c r="L113" s="15" t="n">
        <v>111</v>
      </c>
      <c r="M113" s="15">
        <f>IF(L113&lt;$D$16,$D$12,IF(L113&lt;$E$16,$E$12,$F$13))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 t="n">
        <v>0</v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  <c r="AC113" s="15">
        <f>N113^2</f>
        <v/>
      </c>
      <c r="AD113" s="15">
        <f>ABS(N113)</f>
        <v/>
      </c>
      <c r="AE113" s="15">
        <f>IF(M113&gt;0, ABS(N113)*(L113-$D$16),0)</f>
        <v/>
      </c>
    </row>
    <row r="114">
      <c r="L114" s="15" t="n">
        <v>112</v>
      </c>
      <c r="M114" s="15">
        <f>IF(L114&lt;$D$16,$D$12,IF(L114&lt;$E$16,$E$12,$F$13))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 t="n">
        <v>0</v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  <c r="AC114" s="15">
        <f>N114^2</f>
        <v/>
      </c>
      <c r="AD114" s="15">
        <f>ABS(N114)</f>
        <v/>
      </c>
      <c r="AE114" s="15">
        <f>IF(M114&gt;0, ABS(N114)*(L114-$D$16),0)</f>
        <v/>
      </c>
    </row>
    <row r="115">
      <c r="L115" s="15" t="n">
        <v>113</v>
      </c>
      <c r="M115" s="15">
        <f>IF(L115&lt;$D$16,$D$12,IF(L115&lt;$E$16,$E$12,$F$13))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 t="n">
        <v>0</v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  <c r="AC115" s="15">
        <f>N115^2</f>
        <v/>
      </c>
      <c r="AD115" s="15">
        <f>ABS(N115)</f>
        <v/>
      </c>
      <c r="AE115" s="15">
        <f>IF(M115&gt;0, ABS(N115)*(L115-$D$16),0)</f>
        <v/>
      </c>
    </row>
    <row r="116">
      <c r="L116" s="15" t="n">
        <v>114</v>
      </c>
      <c r="M116" s="15">
        <f>IF(L116&lt;$D$16,$D$12,IF(L116&lt;$E$16,$E$12,$F$13))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 t="n">
        <v>0</v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  <c r="AC116" s="15">
        <f>N116^2</f>
        <v/>
      </c>
      <c r="AD116" s="15">
        <f>ABS(N116)</f>
        <v/>
      </c>
      <c r="AE116" s="15">
        <f>IF(M116&gt;0, ABS(N116)*(L116-$D$16),0)</f>
        <v/>
      </c>
    </row>
    <row r="117">
      <c r="L117" s="15" t="n">
        <v>115</v>
      </c>
      <c r="M117" s="15">
        <f>IF(L117&lt;$D$16,$D$12,IF(L117&lt;$E$16,$E$12,$F$13))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 t="n">
        <v>0</v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  <c r="AC117" s="15">
        <f>N117^2</f>
        <v/>
      </c>
      <c r="AD117" s="15">
        <f>ABS(N117)</f>
        <v/>
      </c>
      <c r="AE117" s="15">
        <f>IF(M117&gt;0, ABS(N117)*(L117-$D$16),0)</f>
        <v/>
      </c>
    </row>
    <row r="118">
      <c r="L118" s="15" t="n">
        <v>116</v>
      </c>
      <c r="M118" s="15">
        <f>IF(L118&lt;$D$16,$D$12,IF(L118&lt;$E$16,$E$12,$F$13))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 t="n">
        <v>0</v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  <c r="AC118" s="15">
        <f>N118^2</f>
        <v/>
      </c>
      <c r="AD118" s="15">
        <f>ABS(N118)</f>
        <v/>
      </c>
      <c r="AE118" s="15">
        <f>IF(M118&gt;0, ABS(N118)*(L118-$D$16),0)</f>
        <v/>
      </c>
    </row>
    <row r="119">
      <c r="L119" s="15" t="n">
        <v>117</v>
      </c>
      <c r="M119" s="15">
        <f>IF(L119&lt;$D$16,$D$12,IF(L119&lt;$E$16,$E$12,$F$13))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 t="n">
        <v>0</v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  <c r="AC119" s="15">
        <f>N119^2</f>
        <v/>
      </c>
      <c r="AD119" s="15">
        <f>ABS(N119)</f>
        <v/>
      </c>
      <c r="AE119" s="15">
        <f>IF(M119&gt;0, ABS(N119)*(L119-$D$16),0)</f>
        <v/>
      </c>
    </row>
    <row r="120">
      <c r="L120" s="15" t="n">
        <v>118</v>
      </c>
      <c r="M120" s="15">
        <f>IF(L120&lt;$D$16,$D$12,IF(L120&lt;$E$16,$E$12,$F$13))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 t="n">
        <v>0</v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  <c r="AC120" s="15">
        <f>N120^2</f>
        <v/>
      </c>
      <c r="AD120" s="15">
        <f>ABS(N120)</f>
        <v/>
      </c>
      <c r="AE120" s="15">
        <f>IF(M120&gt;0, ABS(N120)*(L120-$D$16),0)</f>
        <v/>
      </c>
    </row>
    <row r="121">
      <c r="L121" s="15" t="n">
        <v>119</v>
      </c>
      <c r="M121" s="15">
        <f>IF(L121&lt;$D$16,$D$12,IF(L121&lt;$E$16,$E$12,$F$13))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 t="n">
        <v>0</v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  <c r="AC121" s="15">
        <f>N121^2</f>
        <v/>
      </c>
      <c r="AD121" s="15">
        <f>ABS(N121)</f>
        <v/>
      </c>
      <c r="AE121" s="15">
        <f>IF(M121&gt;0, ABS(N121)*(L121-$D$16),0)</f>
        <v/>
      </c>
    </row>
    <row r="122">
      <c r="L122" s="15" t="n">
        <v>120</v>
      </c>
      <c r="M122" s="15">
        <f>IF(L122&lt;$D$16,$D$12,IF(L122&lt;$E$16,$E$12,$F$13))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 t="n">
        <v>0</v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  <c r="AC122" s="15">
        <f>N122^2</f>
        <v/>
      </c>
      <c r="AD122" s="15">
        <f>ABS(N122)</f>
        <v/>
      </c>
      <c r="AE122" s="15">
        <f>IF(M122&gt;0, ABS(N122)*(L122-$D$16),0)</f>
        <v/>
      </c>
    </row>
    <row r="123">
      <c r="L123" s="15" t="n">
        <v>121</v>
      </c>
      <c r="M123" s="15">
        <f>IF(L123&lt;$D$16,$D$12,IF(L123&lt;$E$16,$E$12,$F$13))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 t="n">
        <v>0</v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  <c r="AC123" s="15">
        <f>N123^2</f>
        <v/>
      </c>
      <c r="AD123" s="15">
        <f>ABS(N123)</f>
        <v/>
      </c>
      <c r="AE123" s="15">
        <f>IF(M123&gt;0, ABS(N123)*(L123-$D$16),0)</f>
        <v/>
      </c>
    </row>
    <row r="124">
      <c r="L124" s="15" t="n">
        <v>122</v>
      </c>
      <c r="M124" s="15">
        <f>IF(L124&lt;$D$16,$D$12,IF(L124&lt;$E$16,$E$12,$F$13))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 t="n">
        <v>0</v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  <c r="AC124" s="15">
        <f>N124^2</f>
        <v/>
      </c>
      <c r="AD124" s="15">
        <f>ABS(N124)</f>
        <v/>
      </c>
      <c r="AE124" s="15">
        <f>IF(M124&gt;0, ABS(N124)*(L124-$D$16),0)</f>
        <v/>
      </c>
    </row>
    <row r="125">
      <c r="L125" s="15" t="n">
        <v>123</v>
      </c>
      <c r="M125" s="15">
        <f>IF(L125&lt;$D$16,$D$12,IF(L125&lt;$E$16,$E$12,$F$13))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 t="n">
        <v>0</v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  <c r="AC125" s="15">
        <f>N125^2</f>
        <v/>
      </c>
      <c r="AD125" s="15">
        <f>ABS(N125)</f>
        <v/>
      </c>
      <c r="AE125" s="15">
        <f>IF(M125&gt;0, ABS(N125)*(L125-$D$16),0)</f>
        <v/>
      </c>
    </row>
    <row r="126">
      <c r="L126" s="15" t="n">
        <v>124</v>
      </c>
      <c r="M126" s="15">
        <f>IF(L126&lt;$D$16,$D$12,IF(L126&lt;$E$16,$E$12,$F$13))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 t="n">
        <v>0</v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  <c r="AC126" s="15">
        <f>N126^2</f>
        <v/>
      </c>
      <c r="AD126" s="15">
        <f>ABS(N126)</f>
        <v/>
      </c>
      <c r="AE126" s="15">
        <f>IF(M126&gt;0, ABS(N126)*(L126-$D$16),0)</f>
        <v/>
      </c>
    </row>
    <row r="127">
      <c r="L127" s="15" t="n">
        <v>125</v>
      </c>
      <c r="M127" s="15">
        <f>IF(L127&lt;$D$16,$D$12,IF(L127&lt;$E$16,$E$12,$F$13))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 t="n">
        <v>0</v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  <c r="AC127" s="15">
        <f>N127^2</f>
        <v/>
      </c>
      <c r="AD127" s="15">
        <f>ABS(N127)</f>
        <v/>
      </c>
      <c r="AE127" s="15">
        <f>IF(M127&gt;0, ABS(N127)*(L127-$D$16),0)</f>
        <v/>
      </c>
    </row>
    <row r="128">
      <c r="L128" s="15" t="n">
        <v>126</v>
      </c>
      <c r="M128" s="15">
        <f>IF(L128&lt;$D$16,$D$12,IF(L128&lt;$E$16,$E$12,$F$13))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 t="n">
        <v>0</v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  <c r="AC128" s="15">
        <f>N128^2</f>
        <v/>
      </c>
      <c r="AD128" s="15">
        <f>ABS(N128)</f>
        <v/>
      </c>
      <c r="AE128" s="15">
        <f>IF(M128&gt;0, ABS(N128)*(L128-$D$16),0)</f>
        <v/>
      </c>
    </row>
    <row r="129">
      <c r="L129" s="15" t="n">
        <v>127</v>
      </c>
      <c r="M129" s="15">
        <f>IF(L129&lt;$D$16,$D$12,IF(L129&lt;$E$16,$E$12,$F$13))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 t="n">
        <v>0</v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  <c r="AC129" s="15">
        <f>N129^2</f>
        <v/>
      </c>
      <c r="AD129" s="15">
        <f>ABS(N129)</f>
        <v/>
      </c>
      <c r="AE129" s="15">
        <f>IF(M129&gt;0, ABS(N129)*(L129-$D$16),0)</f>
        <v/>
      </c>
    </row>
    <row r="130">
      <c r="L130" s="15" t="n">
        <v>128</v>
      </c>
      <c r="M130" s="15">
        <f>IF(L130&lt;$D$16,$D$12,IF(L130&lt;$E$16,$E$12,$F$13))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 t="n">
        <v>0</v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  <c r="AC130" s="15">
        <f>N130^2</f>
        <v/>
      </c>
      <c r="AD130" s="15">
        <f>ABS(N130)</f>
        <v/>
      </c>
      <c r="AE130" s="15">
        <f>IF(M130&gt;0, ABS(N130)*(L130-$D$16),0)</f>
        <v/>
      </c>
    </row>
    <row r="131">
      <c r="L131" s="15" t="n">
        <v>129</v>
      </c>
      <c r="M131" s="15">
        <f>IF(L131&lt;$D$16,$D$12,IF(L131&lt;$E$16,$E$12,$F$13))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 t="n">
        <v>0</v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  <c r="AC131" s="15">
        <f>N131^2</f>
        <v/>
      </c>
      <c r="AD131" s="15">
        <f>ABS(N131)</f>
        <v/>
      </c>
      <c r="AE131" s="15">
        <f>IF(M131&gt;0, ABS(N131)*(L131-$D$16),0)</f>
        <v/>
      </c>
    </row>
    <row r="132">
      <c r="L132" s="15" t="n">
        <v>130</v>
      </c>
      <c r="M132" s="15">
        <f>IF(L132&lt;$D$16,$D$12,IF(L132&lt;$E$16,$E$12,$F$13))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 t="n">
        <v>0</v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  <c r="AC132" s="15">
        <f>N132^2</f>
        <v/>
      </c>
      <c r="AD132" s="15">
        <f>ABS(N132)</f>
        <v/>
      </c>
      <c r="AE132" s="15">
        <f>IF(M132&gt;0, ABS(N132)*(L132-$D$16),0)</f>
        <v/>
      </c>
    </row>
    <row r="133">
      <c r="L133" s="15" t="n">
        <v>131</v>
      </c>
      <c r="M133" s="15">
        <f>IF(L133&lt;$D$16,$D$12,IF(L133&lt;$E$16,$E$12,$F$13))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 t="n">
        <v>0</v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  <c r="AC133" s="15">
        <f>N133^2</f>
        <v/>
      </c>
      <c r="AD133" s="15">
        <f>ABS(N133)</f>
        <v/>
      </c>
      <c r="AE133" s="15">
        <f>IF(M133&gt;0, ABS(N133)*(L133-$D$16),0)</f>
        <v/>
      </c>
    </row>
    <row r="134">
      <c r="L134" s="15" t="n">
        <v>132</v>
      </c>
      <c r="M134" s="15">
        <f>IF(L134&lt;$D$16,$D$12,IF(L134&lt;$E$16,$E$12,$F$13))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 t="n">
        <v>0</v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  <c r="AC134" s="15">
        <f>N134^2</f>
        <v/>
      </c>
      <c r="AD134" s="15">
        <f>ABS(N134)</f>
        <v/>
      </c>
      <c r="AE134" s="15">
        <f>IF(M134&gt;0, ABS(N134)*(L134-$D$16),0)</f>
        <v/>
      </c>
    </row>
    <row r="135">
      <c r="L135" s="15" t="n">
        <v>133</v>
      </c>
      <c r="M135" s="15">
        <f>IF(L135&lt;$D$16,$D$12,IF(L135&lt;$E$16,$E$12,$F$13))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 t="n">
        <v>0</v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  <c r="AC135" s="15">
        <f>N135^2</f>
        <v/>
      </c>
      <c r="AD135" s="15">
        <f>ABS(N135)</f>
        <v/>
      </c>
      <c r="AE135" s="15">
        <f>IF(M135&gt;0, ABS(N135)*(L135-$D$16),0)</f>
        <v/>
      </c>
    </row>
    <row r="136">
      <c r="L136" s="15" t="n">
        <v>134</v>
      </c>
      <c r="M136" s="15">
        <f>IF(L136&lt;$D$16,$D$12,IF(L136&lt;$E$16,$E$12,$F$13))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 t="n">
        <v>0</v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  <c r="AC136" s="15">
        <f>N136^2</f>
        <v/>
      </c>
      <c r="AD136" s="15">
        <f>ABS(N136)</f>
        <v/>
      </c>
      <c r="AE136" s="15">
        <f>IF(M136&gt;0, ABS(N136)*(L136-$D$16),0)</f>
        <v/>
      </c>
    </row>
    <row r="137">
      <c r="L137" s="15" t="n">
        <v>135</v>
      </c>
      <c r="M137" s="15">
        <f>IF(L137&lt;$D$16,$D$12,IF(L137&lt;$E$16,$E$12,$F$13))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 t="n">
        <v>0</v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  <c r="AC137" s="15">
        <f>N137^2</f>
        <v/>
      </c>
      <c r="AD137" s="15">
        <f>ABS(N137)</f>
        <v/>
      </c>
      <c r="AE137" s="15">
        <f>IF(M137&gt;0, ABS(N137)*(L137-$D$16),0)</f>
        <v/>
      </c>
    </row>
    <row r="138">
      <c r="L138" s="15" t="n">
        <v>136</v>
      </c>
      <c r="M138" s="15">
        <f>IF(L138&lt;$D$16,$D$12,IF(L138&lt;$E$16,$E$12,$F$13))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 t="n">
        <v>0</v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  <c r="AC138" s="15">
        <f>N138^2</f>
        <v/>
      </c>
      <c r="AD138" s="15">
        <f>ABS(N138)</f>
        <v/>
      </c>
      <c r="AE138" s="15">
        <f>IF(M138&gt;0, ABS(N138)*(L138-$D$16),0)</f>
        <v/>
      </c>
    </row>
    <row r="139">
      <c r="L139" s="15" t="n">
        <v>137</v>
      </c>
      <c r="M139" s="15">
        <f>IF(L139&lt;$D$16,$D$12,IF(L139&lt;$E$16,$E$12,$F$13))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 t="n">
        <v>0</v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  <c r="AC139" s="15">
        <f>N139^2</f>
        <v/>
      </c>
      <c r="AD139" s="15">
        <f>ABS(N139)</f>
        <v/>
      </c>
      <c r="AE139" s="15">
        <f>IF(M139&gt;0, ABS(N139)*(L139-$D$16),0)</f>
        <v/>
      </c>
    </row>
    <row r="140">
      <c r="L140" s="15" t="n">
        <v>138</v>
      </c>
      <c r="M140" s="15">
        <f>IF(L140&lt;$D$16,$D$12,IF(L140&lt;$E$16,$E$12,$F$13))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 t="n">
        <v>0</v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  <c r="AC140" s="15">
        <f>N140^2</f>
        <v/>
      </c>
      <c r="AD140" s="15">
        <f>ABS(N140)</f>
        <v/>
      </c>
      <c r="AE140" s="15">
        <f>IF(M140&gt;0, ABS(N140)*(L140-$D$16),0)</f>
        <v/>
      </c>
    </row>
    <row r="141">
      <c r="L141" s="15" t="n">
        <v>139</v>
      </c>
      <c r="M141" s="15">
        <f>IF(L141&lt;$D$16,$D$12,IF(L141&lt;$E$16,$E$12,$F$13))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 t="n">
        <v>0</v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  <c r="AC141" s="15">
        <f>N141^2</f>
        <v/>
      </c>
      <c r="AD141" s="15">
        <f>ABS(N141)</f>
        <v/>
      </c>
      <c r="AE141" s="15">
        <f>IF(M141&gt;0, ABS(N141)*(L141-$D$16),0)</f>
        <v/>
      </c>
    </row>
    <row r="142">
      <c r="L142" s="15" t="n">
        <v>140</v>
      </c>
      <c r="M142" s="15">
        <f>IF(L142&lt;$D$16,$D$12,IF(L142&lt;$E$16,$E$12,$F$13))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 t="n">
        <v>0</v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  <c r="AC142" s="15">
        <f>N142^2</f>
        <v/>
      </c>
      <c r="AD142" s="15">
        <f>ABS(N142)</f>
        <v/>
      </c>
      <c r="AE142" s="15">
        <f>IF(M142&gt;0, ABS(N142)*(L142-$D$16),0)</f>
        <v/>
      </c>
    </row>
    <row r="143">
      <c r="L143" s="15" t="n">
        <v>141</v>
      </c>
      <c r="M143" s="15">
        <f>IF(L143&lt;$D$16,$D$12,IF(L143&lt;$E$16,$E$12,$F$13))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 t="n">
        <v>0</v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  <c r="AC143" s="15">
        <f>N143^2</f>
        <v/>
      </c>
      <c r="AD143" s="15">
        <f>ABS(N143)</f>
        <v/>
      </c>
      <c r="AE143" s="15">
        <f>IF(M143&gt;0, ABS(N143)*(L143-$D$16),0)</f>
        <v/>
      </c>
    </row>
    <row r="144">
      <c r="L144" s="15" t="n">
        <v>142</v>
      </c>
      <c r="M144" s="15">
        <f>IF(L144&lt;$D$16,$D$12,IF(L144&lt;$E$16,$E$12,$F$13))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 t="n">
        <v>0</v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  <c r="AC144" s="15">
        <f>N144^2</f>
        <v/>
      </c>
      <c r="AD144" s="15">
        <f>ABS(N144)</f>
        <v/>
      </c>
      <c r="AE144" s="15">
        <f>IF(M144&gt;0, ABS(N144)*(L144-$D$16),0)</f>
        <v/>
      </c>
    </row>
    <row r="145">
      <c r="L145" s="15" t="n">
        <v>143</v>
      </c>
      <c r="M145" s="15">
        <f>IF(L145&lt;$D$16,$D$12,IF(L145&lt;$E$16,$E$12,$F$13))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 t="n">
        <v>0</v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  <c r="AC145" s="15">
        <f>N145^2</f>
        <v/>
      </c>
      <c r="AD145" s="15">
        <f>ABS(N145)</f>
        <v/>
      </c>
      <c r="AE145" s="15">
        <f>IF(M145&gt;0, ABS(N145)*(L145-$D$16),0)</f>
        <v/>
      </c>
    </row>
    <row r="146">
      <c r="L146" s="15" t="n">
        <v>144</v>
      </c>
      <c r="M146" s="15">
        <f>IF(L146&lt;$D$16,$D$12,IF(L146&lt;$E$16,$E$12,$F$13))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 t="n">
        <v>0</v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  <c r="AC146" s="15">
        <f>N146^2</f>
        <v/>
      </c>
      <c r="AD146" s="15">
        <f>ABS(N146)</f>
        <v/>
      </c>
      <c r="AE146" s="15">
        <f>IF(M146&gt;0, ABS(N146)*(L146-$D$16),0)</f>
        <v/>
      </c>
    </row>
    <row r="147">
      <c r="L147" s="15" t="n">
        <v>145</v>
      </c>
      <c r="M147" s="15">
        <f>IF(L147&lt;$D$16,$D$12,IF(L147&lt;$E$16,$E$12,$F$13))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 t="n">
        <v>0</v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  <c r="AC147" s="15">
        <f>N147^2</f>
        <v/>
      </c>
      <c r="AD147" s="15">
        <f>ABS(N147)</f>
        <v/>
      </c>
      <c r="AE147" s="15">
        <f>IF(M147&gt;0, ABS(N147)*(L147-$D$16),0)</f>
        <v/>
      </c>
    </row>
    <row r="148">
      <c r="L148" s="15" t="n">
        <v>146</v>
      </c>
      <c r="M148" s="15">
        <f>IF(L148&lt;$D$16,$D$12,IF(L148&lt;$E$16,$E$12,$F$13))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 t="n">
        <v>0</v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  <c r="AC148" s="15">
        <f>N148^2</f>
        <v/>
      </c>
      <c r="AD148" s="15">
        <f>ABS(N148)</f>
        <v/>
      </c>
      <c r="AE148" s="15">
        <f>IF(M148&gt;0, ABS(N148)*(L148-$D$16),0)</f>
        <v/>
      </c>
    </row>
    <row r="149">
      <c r="L149" s="15" t="n">
        <v>147</v>
      </c>
      <c r="M149" s="15">
        <f>IF(L149&lt;$D$16,$D$12,IF(L149&lt;$E$16,$E$12,$F$13))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 t="n">
        <v>0</v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  <c r="AC149" s="15">
        <f>N149^2</f>
        <v/>
      </c>
      <c r="AD149" s="15">
        <f>ABS(N149)</f>
        <v/>
      </c>
      <c r="AE149" s="15">
        <f>IF(M149&gt;0, ABS(N149)*(L149-$D$16),0)</f>
        <v/>
      </c>
    </row>
    <row r="150">
      <c r="L150" s="15" t="n">
        <v>148</v>
      </c>
      <c r="M150" s="15">
        <f>IF(L150&lt;$D$16,$D$12,IF(L150&lt;$E$16,$E$12,$F$13))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 t="n">
        <v>0</v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  <c r="AC150" s="15">
        <f>N150^2</f>
        <v/>
      </c>
      <c r="AD150" s="15">
        <f>ABS(N150)</f>
        <v/>
      </c>
      <c r="AE150" s="15">
        <f>IF(M150&gt;0, ABS(N150)*(L150-$D$16),0)</f>
        <v/>
      </c>
    </row>
    <row r="151">
      <c r="L151" s="15" t="n">
        <v>149</v>
      </c>
      <c r="M151" s="15">
        <f>IF(L151&lt;$D$16,$D$12,IF(L151&lt;$E$16,$E$12,$F$13))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 t="n">
        <v>0</v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  <c r="AC151" s="15">
        <f>N151^2</f>
        <v/>
      </c>
      <c r="AD151" s="15">
        <f>ABS(N151)</f>
        <v/>
      </c>
      <c r="AE151" s="15">
        <f>IF(M151&gt;0, ABS(N151)*(L151-$D$16),0)</f>
        <v/>
      </c>
    </row>
    <row r="152">
      <c r="L152" s="15" t="n">
        <v>150</v>
      </c>
      <c r="M152" s="15">
        <f>IF(L152&lt;$D$16,$D$12,IF(L152&lt;$E$16,$E$12,$F$13))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 t="n">
        <v>0</v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  <c r="AC152" s="15">
        <f>N152^2</f>
        <v/>
      </c>
      <c r="AD152" s="15">
        <f>ABS(N152)</f>
        <v/>
      </c>
      <c r="AE152" s="15">
        <f>IF(M152&gt;0, ABS(N152)*(L152-$D$16),0)</f>
        <v/>
      </c>
    </row>
    <row r="153">
      <c r="L153" s="15" t="n">
        <v>151</v>
      </c>
      <c r="M153" s="15">
        <f>IF(L153&lt;$D$16,$D$12,IF(L153&lt;$E$16,$E$12,$F$13))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 t="n">
        <v>0</v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  <c r="AC153" s="15">
        <f>N153^2</f>
        <v/>
      </c>
      <c r="AD153" s="15">
        <f>ABS(N153)</f>
        <v/>
      </c>
      <c r="AE153" s="15">
        <f>IF(M153&gt;0, ABS(N153)*(L153-$D$16),0)</f>
        <v/>
      </c>
    </row>
    <row r="154">
      <c r="L154" s="15" t="n">
        <v>152</v>
      </c>
      <c r="M154" s="15">
        <f>IF(L154&lt;$D$16,$D$12,IF(L154&lt;$E$16,$E$12,$F$13))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 t="n">
        <v>0</v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  <c r="AC154" s="15">
        <f>N154^2</f>
        <v/>
      </c>
      <c r="AD154" s="15">
        <f>ABS(N154)</f>
        <v/>
      </c>
      <c r="AE154" s="15">
        <f>IF(M154&gt;0, ABS(N154)*(L154-$D$16),0)</f>
        <v/>
      </c>
    </row>
    <row r="155">
      <c r="L155" s="15" t="n">
        <v>153</v>
      </c>
      <c r="M155" s="15">
        <f>IF(L155&lt;$D$16,$D$12,IF(L155&lt;$E$16,$E$12,$F$13))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 t="n">
        <v>0</v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  <c r="AC155" s="15">
        <f>N155^2</f>
        <v/>
      </c>
      <c r="AD155" s="15">
        <f>ABS(N155)</f>
        <v/>
      </c>
      <c r="AE155" s="15">
        <f>IF(M155&gt;0, ABS(N155)*(L155-$D$16),0)</f>
        <v/>
      </c>
    </row>
    <row r="156">
      <c r="L156" s="15" t="n">
        <v>154</v>
      </c>
      <c r="M156" s="15">
        <f>IF(L156&lt;$D$16,$D$12,IF(L156&lt;$E$16,$E$12,$F$13))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 t="n">
        <v>0</v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  <c r="AC156" s="15">
        <f>N156^2</f>
        <v/>
      </c>
      <c r="AD156" s="15">
        <f>ABS(N156)</f>
        <v/>
      </c>
      <c r="AE156" s="15">
        <f>IF(M156&gt;0, ABS(N156)*(L156-$D$16),0)</f>
        <v/>
      </c>
    </row>
    <row r="157">
      <c r="L157" s="15" t="n">
        <v>155</v>
      </c>
      <c r="M157" s="15">
        <f>IF(L157&lt;$D$16,$D$12,IF(L157&lt;$E$16,$E$12,$F$13))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 t="n">
        <v>0</v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  <c r="AC157" s="15">
        <f>N157^2</f>
        <v/>
      </c>
      <c r="AD157" s="15">
        <f>ABS(N157)</f>
        <v/>
      </c>
      <c r="AE157" s="15">
        <f>IF(M157&gt;0, ABS(N157)*(L157-$D$16),0)</f>
        <v/>
      </c>
    </row>
    <row r="158">
      <c r="L158" s="15" t="n">
        <v>156</v>
      </c>
      <c r="M158" s="15">
        <f>IF(L158&lt;$D$16,$D$12,IF(L158&lt;$E$16,$E$12,$F$13))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 t="n">
        <v>0</v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  <c r="AC158" s="15">
        <f>N158^2</f>
        <v/>
      </c>
      <c r="AD158" s="15">
        <f>ABS(N158)</f>
        <v/>
      </c>
      <c r="AE158" s="15">
        <f>IF(M158&gt;0, ABS(N158)*(L158-$D$16),0)</f>
        <v/>
      </c>
    </row>
    <row r="159">
      <c r="L159" s="15" t="n">
        <v>157</v>
      </c>
      <c r="M159" s="15">
        <f>IF(L159&lt;$D$16,$D$12,IF(L159&lt;$E$16,$E$12,$F$13))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 t="n">
        <v>0</v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  <c r="AC159" s="15">
        <f>N159^2</f>
        <v/>
      </c>
      <c r="AD159" s="15">
        <f>ABS(N159)</f>
        <v/>
      </c>
      <c r="AE159" s="15">
        <f>IF(M159&gt;0, ABS(N159)*(L159-$D$16),0)</f>
        <v/>
      </c>
    </row>
    <row r="160">
      <c r="L160" s="15" t="n">
        <v>158</v>
      </c>
      <c r="M160" s="15">
        <f>IF(L160&lt;$D$16,$D$12,IF(L160&lt;$E$16,$E$12,$F$13))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 t="n">
        <v>0</v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  <c r="AC160" s="15">
        <f>N160^2</f>
        <v/>
      </c>
      <c r="AD160" s="15">
        <f>ABS(N160)</f>
        <v/>
      </c>
      <c r="AE160" s="15">
        <f>IF(M160&gt;0, ABS(N160)*(L160-$D$16),0)</f>
        <v/>
      </c>
    </row>
    <row r="161">
      <c r="L161" s="15" t="n">
        <v>159</v>
      </c>
      <c r="M161" s="15">
        <f>IF(L161&lt;$D$16,$D$12,IF(L161&lt;$E$16,$E$12,$F$13))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 t="n">
        <v>0</v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  <c r="AC161" s="15">
        <f>N161^2</f>
        <v/>
      </c>
      <c r="AD161" s="15">
        <f>ABS(N161)</f>
        <v/>
      </c>
      <c r="AE161" s="15">
        <f>IF(M161&gt;0, ABS(N161)*(L161-$D$16),0)</f>
        <v/>
      </c>
    </row>
    <row r="162">
      <c r="L162" s="15" t="n">
        <v>160</v>
      </c>
      <c r="M162" s="15">
        <f>IF(L162&lt;$D$16,$D$12,IF(L162&lt;$E$16,$E$12,$F$13))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 t="n">
        <v>0</v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  <c r="AC162" s="15">
        <f>N162^2</f>
        <v/>
      </c>
      <c r="AD162" s="15">
        <f>ABS(N162)</f>
        <v/>
      </c>
      <c r="AE162" s="15">
        <f>IF(M162&gt;0, ABS(N162)*(L162-$D$16),0)</f>
        <v/>
      </c>
    </row>
    <row r="163">
      <c r="L163" s="15" t="n">
        <v>161</v>
      </c>
      <c r="M163" s="15">
        <f>IF(L163&lt;$D$16,$D$12,IF(L163&lt;$E$16,$E$12,$F$13))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 t="n">
        <v>0</v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  <c r="AC163" s="15">
        <f>N163^2</f>
        <v/>
      </c>
      <c r="AD163" s="15">
        <f>ABS(N163)</f>
        <v/>
      </c>
      <c r="AE163" s="15">
        <f>IF(M163&gt;0, ABS(N163)*(L163-$D$16),0)</f>
        <v/>
      </c>
    </row>
    <row r="164">
      <c r="L164" s="15" t="n">
        <v>162</v>
      </c>
      <c r="M164" s="15">
        <f>IF(L164&lt;$D$16,$D$12,IF(L164&lt;$E$16,$E$12,$F$13))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 t="n">
        <v>0</v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  <c r="AC164" s="15">
        <f>N164^2</f>
        <v/>
      </c>
      <c r="AD164" s="15">
        <f>ABS(N164)</f>
        <v/>
      </c>
      <c r="AE164" s="15">
        <f>IF(M164&gt;0, ABS(N164)*(L164-$D$16),0)</f>
        <v/>
      </c>
    </row>
    <row r="165">
      <c r="L165" s="15" t="n">
        <v>163</v>
      </c>
      <c r="M165" s="15">
        <f>IF(L165&lt;$D$16,$D$12,IF(L165&lt;$E$16,$E$12,$F$13))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 t="n">
        <v>0</v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  <c r="AC165" s="15">
        <f>N165^2</f>
        <v/>
      </c>
      <c r="AD165" s="15">
        <f>ABS(N165)</f>
        <v/>
      </c>
      <c r="AE165" s="15">
        <f>IF(M165&gt;0, ABS(N165)*(L165-$D$16),0)</f>
        <v/>
      </c>
    </row>
    <row r="166">
      <c r="L166" s="15" t="n">
        <v>164</v>
      </c>
      <c r="M166" s="15">
        <f>IF(L166&lt;$D$16,$D$12,IF(L166&lt;$E$16,$E$12,$F$13))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 t="n">
        <v>0</v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  <c r="AC166" s="15">
        <f>N166^2</f>
        <v/>
      </c>
      <c r="AD166" s="15">
        <f>ABS(N166)</f>
        <v/>
      </c>
      <c r="AE166" s="15">
        <f>IF(M166&gt;0, ABS(N166)*(L166-$D$16),0)</f>
        <v/>
      </c>
    </row>
    <row r="167">
      <c r="L167" s="15" t="n">
        <v>165</v>
      </c>
      <c r="M167" s="15">
        <f>IF(L167&lt;$D$16,$D$12,IF(L167&lt;$E$16,$E$12,$F$13))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 t="n">
        <v>0</v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  <c r="AC167" s="15">
        <f>N167^2</f>
        <v/>
      </c>
      <c r="AD167" s="15">
        <f>ABS(N167)</f>
        <v/>
      </c>
      <c r="AE167" s="15">
        <f>IF(M167&gt;0, ABS(N167)*(L167-$D$16),0)</f>
        <v/>
      </c>
    </row>
    <row r="168">
      <c r="L168" s="15" t="n">
        <v>166</v>
      </c>
      <c r="M168" s="15">
        <f>IF(L168&lt;$D$16,$D$12,IF(L168&lt;$E$16,$E$12,$F$13))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 t="n">
        <v>0</v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  <c r="AC168" s="15">
        <f>N168^2</f>
        <v/>
      </c>
      <c r="AD168" s="15">
        <f>ABS(N168)</f>
        <v/>
      </c>
      <c r="AE168" s="15">
        <f>IF(M168&gt;0, ABS(N168)*(L168-$D$16),0)</f>
        <v/>
      </c>
    </row>
    <row r="169">
      <c r="L169" s="15" t="n">
        <v>167</v>
      </c>
      <c r="M169" s="15">
        <f>IF(L169&lt;$D$16,$D$12,IF(L169&lt;$E$16,$E$12,$F$13))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 t="n">
        <v>0</v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  <c r="AC169" s="15">
        <f>N169^2</f>
        <v/>
      </c>
      <c r="AD169" s="15">
        <f>ABS(N169)</f>
        <v/>
      </c>
      <c r="AE169" s="15">
        <f>IF(M169&gt;0, ABS(N169)*(L169-$D$16),0)</f>
        <v/>
      </c>
    </row>
    <row r="170">
      <c r="L170" s="15" t="n">
        <v>168</v>
      </c>
      <c r="M170" s="15">
        <f>IF(L170&lt;$D$16,$D$12,IF(L170&lt;$E$16,$E$12,$F$13))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 t="n">
        <v>0</v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  <c r="AC170" s="15">
        <f>N170^2</f>
        <v/>
      </c>
      <c r="AD170" s="15">
        <f>ABS(N170)</f>
        <v/>
      </c>
      <c r="AE170" s="15">
        <f>IF(M170&gt;0, ABS(N170)*(L170-$D$16),0)</f>
        <v/>
      </c>
    </row>
    <row r="171">
      <c r="L171" s="15" t="n">
        <v>169</v>
      </c>
      <c r="M171" s="15">
        <f>IF(L171&lt;$D$16,$D$12,IF(L171&lt;$E$16,$E$12,$F$13))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 t="n">
        <v>0</v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  <c r="AC171" s="15">
        <f>N171^2</f>
        <v/>
      </c>
      <c r="AD171" s="15">
        <f>ABS(N171)</f>
        <v/>
      </c>
      <c r="AE171" s="15">
        <f>IF(M171&gt;0, ABS(N171)*(L171-$D$16),0)</f>
        <v/>
      </c>
    </row>
    <row r="172">
      <c r="L172" s="15" t="n">
        <v>170</v>
      </c>
      <c r="M172" s="15">
        <f>IF(L172&lt;$D$16,$D$12,IF(L172&lt;$E$16,$E$12,$F$13))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 t="n">
        <v>0</v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  <c r="AC172" s="15">
        <f>N172^2</f>
        <v/>
      </c>
      <c r="AD172" s="15">
        <f>ABS(N172)</f>
        <v/>
      </c>
      <c r="AE172" s="15">
        <f>IF(M172&gt;0, ABS(N172)*(L172-$D$16),0)</f>
        <v/>
      </c>
    </row>
    <row r="173">
      <c r="L173" s="15" t="n">
        <v>171</v>
      </c>
      <c r="M173" s="15">
        <f>IF(L173&lt;$D$16,$D$12,IF(L173&lt;$E$16,$E$12,$F$13))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 t="n">
        <v>0</v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  <c r="AC173" s="15">
        <f>N173^2</f>
        <v/>
      </c>
      <c r="AD173" s="15">
        <f>ABS(N173)</f>
        <v/>
      </c>
      <c r="AE173" s="15">
        <f>IF(M173&gt;0, ABS(N173)*(L173-$D$16),0)</f>
        <v/>
      </c>
    </row>
    <row r="174">
      <c r="L174" s="15" t="n">
        <v>172</v>
      </c>
      <c r="M174" s="15">
        <f>IF(L174&lt;$D$16,$D$12,IF(L174&lt;$E$16,$E$12,$F$13))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 t="n">
        <v>0</v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  <c r="AC174" s="15">
        <f>N174^2</f>
        <v/>
      </c>
      <c r="AD174" s="15">
        <f>ABS(N174)</f>
        <v/>
      </c>
      <c r="AE174" s="15">
        <f>IF(M174&gt;0, ABS(N174)*(L174-$D$16),0)</f>
        <v/>
      </c>
    </row>
    <row r="175">
      <c r="L175" s="15" t="n">
        <v>173</v>
      </c>
      <c r="M175" s="15">
        <f>IF(L175&lt;$D$16,$D$12,IF(L175&lt;$E$16,$E$12,$F$13))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 t="n">
        <v>0</v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  <c r="AC175" s="15">
        <f>N175^2</f>
        <v/>
      </c>
      <c r="AD175" s="15">
        <f>ABS(N175)</f>
        <v/>
      </c>
      <c r="AE175" s="15">
        <f>IF(M175&gt;0, ABS(N175)*(L175-$D$16),0)</f>
        <v/>
      </c>
    </row>
    <row r="176">
      <c r="L176" s="15" t="n">
        <v>174</v>
      </c>
      <c r="M176" s="15">
        <f>IF(L176&lt;$D$16,$D$12,IF(L176&lt;$E$16,$E$12,$F$13))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 t="n">
        <v>0</v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  <c r="AC176" s="15">
        <f>N176^2</f>
        <v/>
      </c>
      <c r="AD176" s="15">
        <f>ABS(N176)</f>
        <v/>
      </c>
      <c r="AE176" s="15">
        <f>IF(M176&gt;0, ABS(N176)*(L176-$D$16),0)</f>
        <v/>
      </c>
    </row>
    <row r="177">
      <c r="L177" s="15" t="n">
        <v>175</v>
      </c>
      <c r="M177" s="15">
        <f>IF(L177&lt;$D$16,$D$12,IF(L177&lt;$E$16,$E$12,$F$13))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 t="n">
        <v>0</v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  <c r="AC177" s="15">
        <f>N177^2</f>
        <v/>
      </c>
      <c r="AD177" s="15">
        <f>ABS(N177)</f>
        <v/>
      </c>
      <c r="AE177" s="15">
        <f>IF(M177&gt;0, ABS(N177)*(L177-$D$16),0)</f>
        <v/>
      </c>
    </row>
    <row r="178">
      <c r="L178" s="15" t="n">
        <v>176</v>
      </c>
      <c r="M178" s="15">
        <f>IF(L178&lt;$D$16,$D$12,IF(L178&lt;$E$16,$E$12,$F$13))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 t="n">
        <v>0</v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  <c r="AC178" s="15">
        <f>N178^2</f>
        <v/>
      </c>
      <c r="AD178" s="15">
        <f>ABS(N178)</f>
        <v/>
      </c>
      <c r="AE178" s="15">
        <f>IF(M178&gt;0, ABS(N178)*(L178-$D$16),0)</f>
        <v/>
      </c>
    </row>
    <row r="179">
      <c r="L179" s="15" t="n">
        <v>177</v>
      </c>
      <c r="M179" s="15">
        <f>IF(L179&lt;$D$16,$D$12,IF(L179&lt;$E$16,$E$12,$F$13))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 t="n">
        <v>0</v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  <c r="AC179" s="15">
        <f>N179^2</f>
        <v/>
      </c>
      <c r="AD179" s="15">
        <f>ABS(N179)</f>
        <v/>
      </c>
      <c r="AE179" s="15">
        <f>IF(M179&gt;0, ABS(N179)*(L179-$D$16),0)</f>
        <v/>
      </c>
    </row>
    <row r="180">
      <c r="L180" s="15" t="n">
        <v>178</v>
      </c>
      <c r="M180" s="15">
        <f>IF(L180&lt;$D$16,$D$12,IF(L180&lt;$E$16,$E$12,$F$13))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 t="n">
        <v>0</v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  <c r="AC180" s="15">
        <f>N180^2</f>
        <v/>
      </c>
      <c r="AD180" s="15">
        <f>ABS(N180)</f>
        <v/>
      </c>
      <c r="AE180" s="15">
        <f>IF(M180&gt;0, ABS(N180)*(L180-$D$16),0)</f>
        <v/>
      </c>
    </row>
    <row r="181">
      <c r="L181" s="15" t="n">
        <v>179</v>
      </c>
      <c r="M181" s="15">
        <f>IF(L181&lt;$D$16,$D$12,IF(L181&lt;$E$16,$E$12,$F$13))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 t="n">
        <v>0</v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  <c r="AC181" s="15">
        <f>N181^2</f>
        <v/>
      </c>
      <c r="AD181" s="15">
        <f>ABS(N181)</f>
        <v/>
      </c>
      <c r="AE181" s="15">
        <f>IF(M181&gt;0, ABS(N181)*(L181-$D$16),0)</f>
        <v/>
      </c>
    </row>
    <row r="182">
      <c r="L182" s="15" t="n">
        <v>180</v>
      </c>
      <c r="M182" s="15">
        <f>IF(L182&lt;$D$16,$D$12,IF(L182&lt;$E$16,$E$12,$F$13))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 t="n">
        <v>0</v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  <c r="AC182" s="15">
        <f>N182^2</f>
        <v/>
      </c>
      <c r="AD182" s="15">
        <f>ABS(N182)</f>
        <v/>
      </c>
      <c r="AE182" s="15">
        <f>IF(M182&gt;0, ABS(N182)*(L182-$D$16),0)</f>
        <v/>
      </c>
    </row>
    <row r="183">
      <c r="L183" s="15" t="n">
        <v>181</v>
      </c>
      <c r="M183" s="15">
        <f>IF(L183&lt;$D$16,$D$12,IF(L183&lt;$E$16,$E$12,$F$13))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 t="n">
        <v>0</v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  <c r="AC183" s="15">
        <f>N183^2</f>
        <v/>
      </c>
      <c r="AD183" s="15">
        <f>ABS(N183)</f>
        <v/>
      </c>
      <c r="AE183" s="15">
        <f>IF(M183&gt;0, ABS(N183)*(L183-$D$16),0)</f>
        <v/>
      </c>
    </row>
    <row r="184">
      <c r="L184" s="15" t="n">
        <v>182</v>
      </c>
      <c r="M184" s="15">
        <f>IF(L184&lt;$D$16,$D$12,IF(L184&lt;$E$16,$E$12,$F$13))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 t="n">
        <v>0</v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  <c r="AC184" s="15">
        <f>N184^2</f>
        <v/>
      </c>
      <c r="AD184" s="15">
        <f>ABS(N184)</f>
        <v/>
      </c>
      <c r="AE184" s="15">
        <f>IF(M184&gt;0, ABS(N184)*(L184-$D$16),0)</f>
        <v/>
      </c>
    </row>
    <row r="185">
      <c r="L185" s="15" t="n">
        <v>183</v>
      </c>
      <c r="M185" s="15">
        <f>IF(L185&lt;$D$16,$D$12,IF(L185&lt;$E$16,$E$12,$F$13))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 t="n">
        <v>0</v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  <c r="AC185" s="15">
        <f>N185^2</f>
        <v/>
      </c>
      <c r="AD185" s="15">
        <f>ABS(N185)</f>
        <v/>
      </c>
      <c r="AE185" s="15">
        <f>IF(M185&gt;0, ABS(N185)*(L185-$D$16),0)</f>
        <v/>
      </c>
    </row>
    <row r="186">
      <c r="L186" s="15" t="n">
        <v>184</v>
      </c>
      <c r="M186" s="15">
        <f>IF(L186&lt;$D$16,$D$12,IF(L186&lt;$E$16,$E$12,$F$13))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 t="n">
        <v>0</v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  <c r="AC186" s="15">
        <f>N186^2</f>
        <v/>
      </c>
      <c r="AD186" s="15">
        <f>ABS(N186)</f>
        <v/>
      </c>
      <c r="AE186" s="15">
        <f>IF(M186&gt;0, ABS(N186)*(L186-$D$16),0)</f>
        <v/>
      </c>
    </row>
    <row r="187">
      <c r="L187" s="15" t="n">
        <v>185</v>
      </c>
      <c r="M187" s="15">
        <f>IF(L187&lt;$D$16,$D$12,IF(L187&lt;$E$16,$E$12,$F$13))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 t="n">
        <v>0</v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  <c r="AC187" s="15">
        <f>N187^2</f>
        <v/>
      </c>
      <c r="AD187" s="15">
        <f>ABS(N187)</f>
        <v/>
      </c>
      <c r="AE187" s="15">
        <f>IF(M187&gt;0, ABS(N187)*(L187-$D$16),0)</f>
        <v/>
      </c>
    </row>
    <row r="188">
      <c r="L188" s="15" t="n">
        <v>186</v>
      </c>
      <c r="M188" s="15">
        <f>IF(L188&lt;$D$16,$D$12,IF(L188&lt;$E$16,$E$12,$F$13))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 t="n">
        <v>0</v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  <c r="AC188" s="15">
        <f>N188^2</f>
        <v/>
      </c>
      <c r="AD188" s="15">
        <f>ABS(N188)</f>
        <v/>
      </c>
      <c r="AE188" s="15">
        <f>IF(M188&gt;0, ABS(N188)*(L188-$D$16),0)</f>
        <v/>
      </c>
    </row>
    <row r="189">
      <c r="L189" s="15" t="n">
        <v>187</v>
      </c>
      <c r="M189" s="15">
        <f>IF(L189&lt;$D$16,$D$12,IF(L189&lt;$E$16,$E$12,$F$13))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 t="n">
        <v>0</v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  <c r="AC189" s="15">
        <f>N189^2</f>
        <v/>
      </c>
      <c r="AD189" s="15">
        <f>ABS(N189)</f>
        <v/>
      </c>
      <c r="AE189" s="15">
        <f>IF(M189&gt;0, ABS(N189)*(L189-$D$16),0)</f>
        <v/>
      </c>
    </row>
    <row r="190">
      <c r="L190" s="15" t="n">
        <v>188</v>
      </c>
      <c r="M190" s="15">
        <f>IF(L190&lt;$D$16,$D$12,IF(L190&lt;$E$16,$E$12,$F$13))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 t="n">
        <v>0</v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  <c r="AC190" s="15">
        <f>N190^2</f>
        <v/>
      </c>
      <c r="AD190" s="15">
        <f>ABS(N190)</f>
        <v/>
      </c>
      <c r="AE190" s="15">
        <f>IF(M190&gt;0, ABS(N190)*(L190-$D$16),0)</f>
        <v/>
      </c>
    </row>
    <row r="191">
      <c r="L191" s="15" t="n">
        <v>189</v>
      </c>
      <c r="M191" s="15">
        <f>IF(L191&lt;$D$16,$D$12,IF(L191&lt;$E$16,$E$12,$F$13))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 t="n">
        <v>0</v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  <c r="AC191" s="15">
        <f>N191^2</f>
        <v/>
      </c>
      <c r="AD191" s="15">
        <f>ABS(N191)</f>
        <v/>
      </c>
      <c r="AE191" s="15">
        <f>IF(M191&gt;0, ABS(N191)*(L191-$D$16),0)</f>
        <v/>
      </c>
    </row>
    <row r="192">
      <c r="L192" s="15" t="n">
        <v>190</v>
      </c>
      <c r="M192" s="15">
        <f>IF(L192&lt;$D$16,$D$12,IF(L192&lt;$E$16,$E$12,$F$13))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 t="n">
        <v>0</v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  <c r="AC192" s="15">
        <f>N192^2</f>
        <v/>
      </c>
      <c r="AD192" s="15">
        <f>ABS(N192)</f>
        <v/>
      </c>
      <c r="AE192" s="15">
        <f>IF(M192&gt;0, ABS(N192)*(L192-$D$16),0)</f>
        <v/>
      </c>
    </row>
    <row r="193">
      <c r="L193" s="15" t="n">
        <v>191</v>
      </c>
      <c r="M193" s="15">
        <f>IF(L193&lt;$D$16,$D$12,IF(L193&lt;$E$16,$E$12,$F$13))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 t="n">
        <v>0</v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  <c r="AC193" s="15">
        <f>N193^2</f>
        <v/>
      </c>
      <c r="AD193" s="15">
        <f>ABS(N193)</f>
        <v/>
      </c>
      <c r="AE193" s="15">
        <f>IF(M193&gt;0, ABS(N193)*(L193-$D$16),0)</f>
        <v/>
      </c>
    </row>
    <row r="194">
      <c r="L194" s="15" t="n">
        <v>192</v>
      </c>
      <c r="M194" s="15">
        <f>IF(L194&lt;$D$16,$D$12,IF(L194&lt;$E$16,$E$12,$F$13))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 t="n">
        <v>0</v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  <c r="AC194" s="15">
        <f>N194^2</f>
        <v/>
      </c>
      <c r="AD194" s="15">
        <f>ABS(N194)</f>
        <v/>
      </c>
      <c r="AE194" s="15">
        <f>IF(M194&gt;0, ABS(N194)*(L194-$D$16),0)</f>
        <v/>
      </c>
    </row>
    <row r="195">
      <c r="L195" s="15" t="n">
        <v>193</v>
      </c>
      <c r="M195" s="15">
        <f>IF(L195&lt;$D$16,$D$12,IF(L195&lt;$E$16,$E$12,$F$13))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 t="n">
        <v>0</v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  <c r="AC195" s="15">
        <f>N195^2</f>
        <v/>
      </c>
      <c r="AD195" s="15">
        <f>ABS(N195)</f>
        <v/>
      </c>
      <c r="AE195" s="15">
        <f>IF(M195&gt;0, ABS(N195)*(L195-$D$16),0)</f>
        <v/>
      </c>
    </row>
    <row r="196">
      <c r="L196" s="15" t="n">
        <v>194</v>
      </c>
      <c r="M196" s="15">
        <f>IF(L196&lt;$D$16,$D$12,IF(L196&lt;$E$16,$E$12,$F$13))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 t="n">
        <v>0</v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  <c r="AC196" s="15">
        <f>N196^2</f>
        <v/>
      </c>
      <c r="AD196" s="15">
        <f>ABS(N196)</f>
        <v/>
      </c>
      <c r="AE196" s="15">
        <f>IF(M196&gt;0, ABS(N196)*(L196-$D$16),0)</f>
        <v/>
      </c>
    </row>
    <row r="197">
      <c r="L197" s="15" t="n">
        <v>195</v>
      </c>
      <c r="M197" s="15">
        <f>IF(L197&lt;$D$16,$D$12,IF(L197&lt;$E$16,$E$12,$F$13))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 t="n">
        <v>0</v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  <c r="AC197" s="15">
        <f>N197^2</f>
        <v/>
      </c>
      <c r="AD197" s="15">
        <f>ABS(N197)</f>
        <v/>
      </c>
      <c r="AE197" s="15">
        <f>IF(M197&gt;0, ABS(N197)*(L197-$D$16),0)</f>
        <v/>
      </c>
    </row>
    <row r="198">
      <c r="L198" s="15" t="n">
        <v>196</v>
      </c>
      <c r="M198" s="15">
        <f>IF(L198&lt;$D$16,$D$12,IF(L198&lt;$E$16,$E$12,$F$13))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 t="n">
        <v>0</v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  <c r="AC198" s="15">
        <f>N198^2</f>
        <v/>
      </c>
      <c r="AD198" s="15">
        <f>ABS(N198)</f>
        <v/>
      </c>
      <c r="AE198" s="15">
        <f>IF(M198&gt;0, ABS(N198)*(L198-$D$16),0)</f>
        <v/>
      </c>
    </row>
    <row r="199">
      <c r="L199" s="15" t="n">
        <v>197</v>
      </c>
      <c r="M199" s="15">
        <f>IF(L199&lt;$D$16,$D$12,IF(L199&lt;$E$16,$E$12,$F$13))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 t="n">
        <v>0</v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  <c r="AC199" s="15">
        <f>N199^2</f>
        <v/>
      </c>
      <c r="AD199" s="15">
        <f>ABS(N199)</f>
        <v/>
      </c>
      <c r="AE199" s="15">
        <f>IF(M199&gt;0, ABS(N199)*(L199-$D$16),0)</f>
        <v/>
      </c>
    </row>
    <row r="200">
      <c r="L200" s="15" t="n">
        <v>198</v>
      </c>
      <c r="M200" s="15">
        <f>IF(L200&lt;$D$16,$D$12,IF(L200&lt;$E$16,$E$12,$F$13))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 t="n">
        <v>0</v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  <c r="AC200" s="15">
        <f>N200^2</f>
        <v/>
      </c>
      <c r="AD200" s="15">
        <f>ABS(N200)</f>
        <v/>
      </c>
      <c r="AE200" s="15">
        <f>IF(M200&gt;0, ABS(N200)*(L200-$D$16),0)</f>
        <v/>
      </c>
    </row>
    <row r="201">
      <c r="L201" s="15" t="n">
        <v>199</v>
      </c>
      <c r="M201" s="15">
        <f>IF(L201&lt;$D$16,$D$12,IF(L201&lt;$E$16,$E$12,$F$13))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 t="n">
        <v>0</v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  <c r="AC201" s="15">
        <f>N201^2</f>
        <v/>
      </c>
      <c r="AD201" s="15">
        <f>ABS(N201)</f>
        <v/>
      </c>
      <c r="AE201" s="15">
        <f>IF(M201&gt;0, ABS(N201)*(L201-$D$16),0)</f>
        <v/>
      </c>
    </row>
    <row r="202">
      <c r="L202" s="15" t="n">
        <v>200</v>
      </c>
      <c r="M202" s="15">
        <f>IF(L202&lt;$D$16,$D$12,IF(L202&lt;$E$16,$E$12,$F$13))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 t="n">
        <v>0</v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  <c r="AC202" s="15">
        <f>N202^2</f>
        <v/>
      </c>
      <c r="AD202" s="15">
        <f>ABS(N202)</f>
        <v/>
      </c>
      <c r="AE202" s="15">
        <f>IF(M202&gt;0, ABS(N202)*(L202-$D$16),0)</f>
        <v/>
      </c>
    </row>
    <row r="203">
      <c r="L203" s="15" t="n">
        <v>201</v>
      </c>
      <c r="M203" s="15">
        <f>IF(L203&lt;$D$16,$D$12,IF(L203&lt;$E$16,$E$12,$F$13))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 t="n">
        <v>0</v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  <c r="AC203" s="15">
        <f>N203^2</f>
        <v/>
      </c>
      <c r="AD203" s="15">
        <f>ABS(N203)</f>
        <v/>
      </c>
      <c r="AE203" s="15">
        <f>IF(M203&gt;0, ABS(N203)*(L203-$D$16),0)</f>
        <v/>
      </c>
    </row>
    <row r="204">
      <c r="L204" s="15" t="n">
        <v>202</v>
      </c>
      <c r="M204" s="15">
        <f>IF(L204&lt;$D$16,$D$12,IF(L204&lt;$E$16,$E$12,$F$13))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 t="n">
        <v>0</v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  <c r="AC204" s="15">
        <f>N204^2</f>
        <v/>
      </c>
      <c r="AD204" s="15">
        <f>ABS(N204)</f>
        <v/>
      </c>
      <c r="AE204" s="15">
        <f>IF(M204&gt;0, ABS(N204)*(L204-$D$16),0)</f>
        <v/>
      </c>
    </row>
    <row r="205">
      <c r="L205" s="15" t="n">
        <v>203</v>
      </c>
      <c r="M205" s="15">
        <f>IF(L205&lt;$D$16,$D$12,IF(L205&lt;$E$16,$E$12,$F$13))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 t="n">
        <v>0</v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  <c r="AC205" s="15">
        <f>N205^2</f>
        <v/>
      </c>
      <c r="AD205" s="15">
        <f>ABS(N205)</f>
        <v/>
      </c>
      <c r="AE205" s="15">
        <f>IF(M205&gt;0, ABS(N205)*(L205-$D$16),0)</f>
        <v/>
      </c>
    </row>
    <row r="206">
      <c r="L206" s="15" t="n">
        <v>204</v>
      </c>
      <c r="M206" s="15">
        <f>IF(L206&lt;$D$16,$D$12,IF(L206&lt;$E$16,$E$12,$F$13))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 t="n">
        <v>0</v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  <c r="AC206" s="15">
        <f>N206^2</f>
        <v/>
      </c>
      <c r="AD206" s="15">
        <f>ABS(N206)</f>
        <v/>
      </c>
      <c r="AE206" s="15">
        <f>IF(M206&gt;0, ABS(N206)*(L206-$D$16),0)</f>
        <v/>
      </c>
    </row>
    <row r="207">
      <c r="L207" s="15" t="n">
        <v>205</v>
      </c>
      <c r="M207" s="15">
        <f>IF(L207&lt;$D$16,$D$12,IF(L207&lt;$E$16,$E$12,$F$13))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 t="n">
        <v>0</v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  <c r="AC207" s="15">
        <f>N207^2</f>
        <v/>
      </c>
      <c r="AD207" s="15">
        <f>ABS(N207)</f>
        <v/>
      </c>
      <c r="AE207" s="15">
        <f>IF(M207&gt;0, ABS(N207)*(L207-$D$16),0)</f>
        <v/>
      </c>
    </row>
    <row r="208">
      <c r="L208" s="15" t="n">
        <v>206</v>
      </c>
      <c r="M208" s="15">
        <f>IF(L208&lt;$D$16,$D$12,IF(L208&lt;$E$16,$E$12,$F$13))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 t="n">
        <v>0</v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  <c r="AC208" s="15">
        <f>N208^2</f>
        <v/>
      </c>
      <c r="AD208" s="15">
        <f>ABS(N208)</f>
        <v/>
      </c>
      <c r="AE208" s="15">
        <f>IF(M208&gt;0, ABS(N208)*(L208-$D$16),0)</f>
        <v/>
      </c>
    </row>
    <row r="209">
      <c r="L209" s="15" t="n">
        <v>207</v>
      </c>
      <c r="M209" s="15">
        <f>IF(L209&lt;$D$16,$D$12,IF(L209&lt;$E$16,$E$12,$F$13))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 t="n">
        <v>0</v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  <c r="AC209" s="15">
        <f>N209^2</f>
        <v/>
      </c>
      <c r="AD209" s="15">
        <f>ABS(N209)</f>
        <v/>
      </c>
      <c r="AE209" s="15">
        <f>IF(M209&gt;0, ABS(N209)*(L209-$D$16),0)</f>
        <v/>
      </c>
    </row>
    <row r="210">
      <c r="L210" s="15" t="n">
        <v>208</v>
      </c>
      <c r="M210" s="15">
        <f>IF(L210&lt;$D$16,$D$12,IF(L210&lt;$E$16,$E$12,$F$13))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 t="n">
        <v>0</v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  <c r="AC210" s="15">
        <f>N210^2</f>
        <v/>
      </c>
      <c r="AD210" s="15">
        <f>ABS(N210)</f>
        <v/>
      </c>
      <c r="AE210" s="15">
        <f>IF(M210&gt;0, ABS(N210)*(L210-$D$16),0)</f>
        <v/>
      </c>
    </row>
    <row r="211">
      <c r="L211" s="15" t="n">
        <v>209</v>
      </c>
      <c r="M211" s="15">
        <f>IF(L211&lt;$D$16,$D$12,IF(L211&lt;$E$16,$E$12,$F$13))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 t="n">
        <v>0</v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  <c r="AC211" s="15">
        <f>N211^2</f>
        <v/>
      </c>
      <c r="AD211" s="15">
        <f>ABS(N211)</f>
        <v/>
      </c>
      <c r="AE211" s="15">
        <f>IF(M211&gt;0, ABS(N211)*(L211-$D$16),0)</f>
        <v/>
      </c>
    </row>
    <row r="212">
      <c r="L212" s="15" t="n">
        <v>210</v>
      </c>
      <c r="M212" s="15">
        <f>IF(L212&lt;$D$16,$D$12,IF(L212&lt;$E$16,$E$12,$F$13))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 t="n">
        <v>0</v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  <c r="AC212" s="15">
        <f>N212^2</f>
        <v/>
      </c>
      <c r="AD212" s="15">
        <f>ABS(N212)</f>
        <v/>
      </c>
      <c r="AE212" s="15">
        <f>IF(M212&gt;0, ABS(N212)*(L212-$D$16),0)</f>
        <v/>
      </c>
    </row>
    <row r="213">
      <c r="L213" s="15" t="n">
        <v>211</v>
      </c>
      <c r="M213" s="15">
        <f>IF(L213&lt;$D$16,$D$12,IF(L213&lt;$E$16,$E$12,$F$13))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 t="n">
        <v>0</v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  <c r="AC213" s="15">
        <f>N213^2</f>
        <v/>
      </c>
      <c r="AD213" s="15">
        <f>ABS(N213)</f>
        <v/>
      </c>
      <c r="AE213" s="15">
        <f>IF(M213&gt;0, ABS(N213)*(L213-$D$16),0)</f>
        <v/>
      </c>
    </row>
    <row r="214">
      <c r="L214" s="15" t="n">
        <v>212</v>
      </c>
      <c r="M214" s="15">
        <f>IF(L214&lt;$D$16,$D$12,IF(L214&lt;$E$16,$E$12,$F$13))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 t="n">
        <v>0</v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  <c r="AC214" s="15">
        <f>N214^2</f>
        <v/>
      </c>
      <c r="AD214" s="15">
        <f>ABS(N214)</f>
        <v/>
      </c>
      <c r="AE214" s="15">
        <f>IF(M214&gt;0, ABS(N214)*(L214-$D$16),0)</f>
        <v/>
      </c>
    </row>
    <row r="215">
      <c r="L215" s="15" t="n">
        <v>213</v>
      </c>
      <c r="M215" s="15">
        <f>IF(L215&lt;$D$16,$D$12,IF(L215&lt;$E$16,$E$12,$F$13))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 t="n">
        <v>0</v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  <c r="AC215" s="15">
        <f>N215^2</f>
        <v/>
      </c>
      <c r="AD215" s="15">
        <f>ABS(N215)</f>
        <v/>
      </c>
      <c r="AE215" s="15">
        <f>IF(M215&gt;0, ABS(N215)*(L215-$D$16),0)</f>
        <v/>
      </c>
    </row>
    <row r="216">
      <c r="L216" s="15" t="n">
        <v>214</v>
      </c>
      <c r="M216" s="15">
        <f>IF(L216&lt;$D$16,$D$12,IF(L216&lt;$E$16,$E$12,$F$13))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 t="n">
        <v>0</v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  <c r="AC216" s="15">
        <f>N216^2</f>
        <v/>
      </c>
      <c r="AD216" s="15">
        <f>ABS(N216)</f>
        <v/>
      </c>
      <c r="AE216" s="15">
        <f>IF(M216&gt;0, ABS(N216)*(L216-$D$16),0)</f>
        <v/>
      </c>
    </row>
    <row r="217">
      <c r="L217" s="15" t="n">
        <v>215</v>
      </c>
      <c r="M217" s="15">
        <f>IF(L217&lt;$D$16,$D$12,IF(L217&lt;$E$16,$E$12,$F$13))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 t="n">
        <v>0</v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  <c r="AC217" s="15">
        <f>N217^2</f>
        <v/>
      </c>
      <c r="AD217" s="15">
        <f>ABS(N217)</f>
        <v/>
      </c>
      <c r="AE217" s="15">
        <f>IF(M217&gt;0, ABS(N217)*(L217-$D$16),0)</f>
        <v/>
      </c>
    </row>
    <row r="218">
      <c r="L218" s="15" t="n">
        <v>216</v>
      </c>
      <c r="M218" s="15">
        <f>IF(L218&lt;$D$16,$D$12,IF(L218&lt;$E$16,$E$12,$F$13))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 t="n">
        <v>0</v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  <c r="AC218" s="15">
        <f>N218^2</f>
        <v/>
      </c>
      <c r="AD218" s="15">
        <f>ABS(N218)</f>
        <v/>
      </c>
      <c r="AE218" s="15">
        <f>IF(M218&gt;0, ABS(N218)*(L218-$D$16),0)</f>
        <v/>
      </c>
    </row>
    <row r="219">
      <c r="L219" s="15" t="n">
        <v>217</v>
      </c>
      <c r="M219" s="15">
        <f>IF(L219&lt;$D$16,$D$12,IF(L219&lt;$E$16,$E$12,$F$13))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 t="n">
        <v>0</v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  <c r="AC219" s="15">
        <f>N219^2</f>
        <v/>
      </c>
      <c r="AD219" s="15">
        <f>ABS(N219)</f>
        <v/>
      </c>
      <c r="AE219" s="15">
        <f>IF(M219&gt;0, ABS(N219)*(L219-$D$16),0)</f>
        <v/>
      </c>
    </row>
    <row r="220">
      <c r="L220" s="15" t="n">
        <v>218</v>
      </c>
      <c r="M220" s="15">
        <f>IF(L220&lt;$D$16,$D$12,IF(L220&lt;$E$16,$E$12,$F$13))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 t="n">
        <v>0</v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  <c r="AC220" s="15">
        <f>N220^2</f>
        <v/>
      </c>
      <c r="AD220" s="15">
        <f>ABS(N220)</f>
        <v/>
      </c>
      <c r="AE220" s="15">
        <f>IF(M220&gt;0, ABS(N220)*(L220-$D$16),0)</f>
        <v/>
      </c>
    </row>
    <row r="221">
      <c r="L221" s="15" t="n">
        <v>219</v>
      </c>
      <c r="M221" s="15">
        <f>IF(L221&lt;$D$16,$D$12,IF(L221&lt;$E$16,$E$12,$F$13))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 t="n">
        <v>0</v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  <c r="AC221" s="15">
        <f>N221^2</f>
        <v/>
      </c>
      <c r="AD221" s="15">
        <f>ABS(N221)</f>
        <v/>
      </c>
      <c r="AE221" s="15">
        <f>IF(M221&gt;0, ABS(N221)*(L221-$D$16),0)</f>
        <v/>
      </c>
    </row>
    <row r="222">
      <c r="L222" s="15" t="n">
        <v>220</v>
      </c>
      <c r="M222" s="15">
        <f>IF(L222&lt;$D$16,$D$12,IF(L222&lt;$E$16,$E$12,$F$13))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 t="n">
        <v>0</v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  <c r="AC222" s="15">
        <f>N222^2</f>
        <v/>
      </c>
      <c r="AD222" s="15">
        <f>ABS(N222)</f>
        <v/>
      </c>
      <c r="AE222" s="15">
        <f>IF(M222&gt;0, ABS(N222)*(L222-$D$16),0)</f>
        <v/>
      </c>
    </row>
    <row r="223">
      <c r="L223" s="15" t="n">
        <v>221</v>
      </c>
      <c r="M223" s="15">
        <f>IF(L223&lt;$D$16,$D$12,IF(L223&lt;$E$16,$E$12,$F$13))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 t="n">
        <v>0</v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  <c r="AC223" s="15">
        <f>N223^2</f>
        <v/>
      </c>
      <c r="AD223" s="15">
        <f>ABS(N223)</f>
        <v/>
      </c>
      <c r="AE223" s="15">
        <f>IF(M223&gt;0, ABS(N223)*(L223-$D$16),0)</f>
        <v/>
      </c>
    </row>
    <row r="224">
      <c r="L224" s="15" t="n">
        <v>222</v>
      </c>
      <c r="M224" s="15">
        <f>IF(L224&lt;$D$16,$D$12,IF(L224&lt;$E$16,$E$12,$F$13))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 t="n">
        <v>0</v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  <c r="AC224" s="15">
        <f>N224^2</f>
        <v/>
      </c>
      <c r="AD224" s="15">
        <f>ABS(N224)</f>
        <v/>
      </c>
      <c r="AE224" s="15">
        <f>IF(M224&gt;0, ABS(N224)*(L224-$D$16),0)</f>
        <v/>
      </c>
    </row>
    <row r="225">
      <c r="L225" s="15" t="n">
        <v>223</v>
      </c>
      <c r="M225" s="15">
        <f>IF(L225&lt;$D$16,$D$12,IF(L225&lt;$E$16,$E$12,$F$13))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 t="n">
        <v>0</v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  <c r="AC225" s="15">
        <f>N225^2</f>
        <v/>
      </c>
      <c r="AD225" s="15">
        <f>ABS(N225)</f>
        <v/>
      </c>
      <c r="AE225" s="15">
        <f>IF(M225&gt;0, ABS(N225)*(L225-$D$16),0)</f>
        <v/>
      </c>
    </row>
    <row r="226">
      <c r="L226" s="15" t="n">
        <v>224</v>
      </c>
      <c r="M226" s="15">
        <f>IF(L226&lt;$D$16,$D$12,IF(L226&lt;$E$16,$E$12,$F$13))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 t="n">
        <v>0</v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  <c r="AC226" s="15">
        <f>N226^2</f>
        <v/>
      </c>
      <c r="AD226" s="15">
        <f>ABS(N226)</f>
        <v/>
      </c>
      <c r="AE226" s="15">
        <f>IF(M226&gt;0, ABS(N226)*(L226-$D$16),0)</f>
        <v/>
      </c>
    </row>
    <row r="227">
      <c r="L227" s="15" t="n">
        <v>225</v>
      </c>
      <c r="M227" s="15">
        <f>IF(L227&lt;$D$16,$D$12,IF(L227&lt;$E$16,$E$12,$F$13))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 t="n">
        <v>0</v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  <c r="AC227" s="15">
        <f>N227^2</f>
        <v/>
      </c>
      <c r="AD227" s="15">
        <f>ABS(N227)</f>
        <v/>
      </c>
      <c r="AE227" s="15">
        <f>IF(M227&gt;0, ABS(N227)*(L227-$D$16),0)</f>
        <v/>
      </c>
    </row>
    <row r="228">
      <c r="L228" s="15" t="n">
        <v>226</v>
      </c>
      <c r="M228" s="15">
        <f>IF(L228&lt;$D$16,$D$12,IF(L228&lt;$E$16,$E$12,$F$13))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 t="n">
        <v>0</v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  <c r="AC228" s="15">
        <f>N228^2</f>
        <v/>
      </c>
      <c r="AD228" s="15">
        <f>ABS(N228)</f>
        <v/>
      </c>
      <c r="AE228" s="15">
        <f>IF(M228&gt;0, ABS(N228)*(L228-$D$16),0)</f>
        <v/>
      </c>
    </row>
    <row r="229">
      <c r="L229" s="15" t="n">
        <v>227</v>
      </c>
      <c r="M229" s="15">
        <f>IF(L229&lt;$D$16,$D$12,IF(L229&lt;$E$16,$E$12,$F$13))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 t="n">
        <v>0</v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  <c r="AC229" s="15">
        <f>N229^2</f>
        <v/>
      </c>
      <c r="AD229" s="15">
        <f>ABS(N229)</f>
        <v/>
      </c>
      <c r="AE229" s="15">
        <f>IF(M229&gt;0, ABS(N229)*(L229-$D$16),0)</f>
        <v/>
      </c>
    </row>
    <row r="230">
      <c r="L230" s="15" t="n">
        <v>228</v>
      </c>
      <c r="M230" s="15">
        <f>IF(L230&lt;$D$16,$D$12,IF(L230&lt;$E$16,$E$12,$F$13))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 t="n">
        <v>0</v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  <c r="AC230" s="15">
        <f>N230^2</f>
        <v/>
      </c>
      <c r="AD230" s="15">
        <f>ABS(N230)</f>
        <v/>
      </c>
      <c r="AE230" s="15">
        <f>IF(M230&gt;0, ABS(N230)*(L230-$D$16),0)</f>
        <v/>
      </c>
    </row>
    <row r="231">
      <c r="L231" s="15" t="n">
        <v>229</v>
      </c>
      <c r="M231" s="15">
        <f>IF(L231&lt;$D$16,$D$12,IF(L231&lt;$E$16,$E$12,$F$13))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 t="n">
        <v>0</v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  <c r="AC231" s="15">
        <f>N231^2</f>
        <v/>
      </c>
      <c r="AD231" s="15">
        <f>ABS(N231)</f>
        <v/>
      </c>
      <c r="AE231" s="15">
        <f>IF(M231&gt;0, ABS(N231)*(L231-$D$16),0)</f>
        <v/>
      </c>
    </row>
    <row r="232">
      <c r="L232" s="15" t="n">
        <v>230</v>
      </c>
      <c r="M232" s="15">
        <f>IF(L232&lt;$D$16,$D$12,IF(L232&lt;$E$16,$E$12,$F$13))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 t="n">
        <v>0</v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  <c r="AC232" s="15">
        <f>N232^2</f>
        <v/>
      </c>
      <c r="AD232" s="15">
        <f>ABS(N232)</f>
        <v/>
      </c>
      <c r="AE232" s="15">
        <f>IF(M232&gt;0, ABS(N232)*(L232-$D$16),0)</f>
        <v/>
      </c>
    </row>
    <row r="233">
      <c r="L233" s="15" t="n">
        <v>231</v>
      </c>
      <c r="M233" s="15">
        <f>IF(L233&lt;$D$16,$D$12,IF(L233&lt;$E$16,$E$12,$F$13))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 t="n">
        <v>0</v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  <c r="AC233" s="15">
        <f>N233^2</f>
        <v/>
      </c>
      <c r="AD233" s="15">
        <f>ABS(N233)</f>
        <v/>
      </c>
      <c r="AE233" s="15">
        <f>IF(M233&gt;0, ABS(N233)*(L233-$D$16),0)</f>
        <v/>
      </c>
    </row>
    <row r="234">
      <c r="L234" s="15" t="n">
        <v>232</v>
      </c>
      <c r="M234" s="15">
        <f>IF(L234&lt;$D$16,$D$12,IF(L234&lt;$E$16,$E$12,$F$13))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 t="n">
        <v>0</v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  <c r="AC234" s="15">
        <f>N234^2</f>
        <v/>
      </c>
      <c r="AD234" s="15">
        <f>ABS(N234)</f>
        <v/>
      </c>
      <c r="AE234" s="15">
        <f>IF(M234&gt;0, ABS(N234)*(L234-$D$16),0)</f>
        <v/>
      </c>
    </row>
    <row r="235">
      <c r="L235" s="15" t="n">
        <v>233</v>
      </c>
      <c r="M235" s="15">
        <f>IF(L235&lt;$D$16,$D$12,IF(L235&lt;$E$16,$E$12,$F$13))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 t="n">
        <v>0</v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  <c r="AC235" s="15">
        <f>N235^2</f>
        <v/>
      </c>
      <c r="AD235" s="15">
        <f>ABS(N235)</f>
        <v/>
      </c>
      <c r="AE235" s="15">
        <f>IF(M235&gt;0, ABS(N235)*(L235-$D$16),0)</f>
        <v/>
      </c>
    </row>
    <row r="236">
      <c r="L236" s="15" t="n">
        <v>234</v>
      </c>
      <c r="M236" s="15">
        <f>IF(L236&lt;$D$16,$D$12,IF(L236&lt;$E$16,$E$12,$F$13))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 t="n">
        <v>0</v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  <c r="AC236" s="15">
        <f>N236^2</f>
        <v/>
      </c>
      <c r="AD236" s="15">
        <f>ABS(N236)</f>
        <v/>
      </c>
      <c r="AE236" s="15">
        <f>IF(M236&gt;0, ABS(N236)*(L236-$D$16),0)</f>
        <v/>
      </c>
    </row>
    <row r="237">
      <c r="L237" s="15" t="n">
        <v>235</v>
      </c>
      <c r="M237" s="15">
        <f>IF(L237&lt;$D$16,$D$12,IF(L237&lt;$E$16,$E$12,$F$13))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 t="n">
        <v>0</v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  <c r="AC237" s="15">
        <f>N237^2</f>
        <v/>
      </c>
      <c r="AD237" s="15">
        <f>ABS(N237)</f>
        <v/>
      </c>
      <c r="AE237" s="15">
        <f>IF(M237&gt;0, ABS(N237)*(L237-$D$16),0)</f>
        <v/>
      </c>
    </row>
    <row r="238">
      <c r="L238" s="15" t="n">
        <v>236</v>
      </c>
      <c r="M238" s="15">
        <f>IF(L238&lt;$D$16,$D$12,IF(L238&lt;$E$16,$E$12,$F$13))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 t="n">
        <v>0</v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  <c r="AC238" s="15">
        <f>N238^2</f>
        <v/>
      </c>
      <c r="AD238" s="15">
        <f>ABS(N238)</f>
        <v/>
      </c>
      <c r="AE238" s="15">
        <f>IF(M238&gt;0, ABS(N238)*(L238-$D$16),0)</f>
        <v/>
      </c>
    </row>
    <row r="239">
      <c r="L239" s="15" t="n">
        <v>237</v>
      </c>
      <c r="M239" s="15">
        <f>IF(L239&lt;$D$16,$D$12,IF(L239&lt;$E$16,$E$12,$F$13))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 t="n">
        <v>0</v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  <c r="AC239" s="15">
        <f>N239^2</f>
        <v/>
      </c>
      <c r="AD239" s="15">
        <f>ABS(N239)</f>
        <v/>
      </c>
      <c r="AE239" s="15">
        <f>IF(M239&gt;0, ABS(N239)*(L239-$D$16),0)</f>
        <v/>
      </c>
    </row>
    <row r="240">
      <c r="L240" s="15" t="n">
        <v>238</v>
      </c>
      <c r="M240" s="15">
        <f>IF(L240&lt;$D$16,$D$12,IF(L240&lt;$E$16,$E$12,$F$13))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 t="n">
        <v>0</v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  <c r="AC240" s="15">
        <f>N240^2</f>
        <v/>
      </c>
      <c r="AD240" s="15">
        <f>ABS(N240)</f>
        <v/>
      </c>
      <c r="AE240" s="15">
        <f>IF(M240&gt;0, ABS(N240)*(L240-$D$16),0)</f>
        <v/>
      </c>
    </row>
    <row r="241">
      <c r="L241" s="15" t="n">
        <v>239</v>
      </c>
      <c r="M241" s="15">
        <f>IF(L241&lt;$D$16,$D$12,IF(L241&lt;$E$16,$E$12,$F$13))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 t="n">
        <v>0</v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  <c r="AC241" s="15">
        <f>N241^2</f>
        <v/>
      </c>
      <c r="AD241" s="15">
        <f>ABS(N241)</f>
        <v/>
      </c>
      <c r="AE241" s="15">
        <f>IF(M241&gt;0, ABS(N241)*(L241-$D$16),0)</f>
        <v/>
      </c>
    </row>
    <row r="242">
      <c r="L242" s="15" t="n">
        <v>240</v>
      </c>
      <c r="M242" s="15">
        <f>IF(L242&lt;$D$16,$D$12,IF(L242&lt;$E$16,$E$12,$F$13))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 t="n">
        <v>0</v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  <c r="AC242" s="15">
        <f>N242^2</f>
        <v/>
      </c>
      <c r="AD242" s="15">
        <f>ABS(N242)</f>
        <v/>
      </c>
      <c r="AE242" s="15">
        <f>IF(M242&gt;0, ABS(N242)*(L242-$D$16),0)</f>
        <v/>
      </c>
    </row>
    <row r="243">
      <c r="L243" s="15" t="n">
        <v>241</v>
      </c>
      <c r="M243" s="15">
        <f>IF(L243&lt;$D$16,$D$12,IF(L243&lt;$E$16,$E$12,$F$13))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 t="n">
        <v>0</v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  <c r="AC243" s="15">
        <f>N243^2</f>
        <v/>
      </c>
      <c r="AD243" s="15">
        <f>ABS(N243)</f>
        <v/>
      </c>
      <c r="AE243" s="15">
        <f>IF(M243&gt;0, ABS(N243)*(L243-$D$16),0)</f>
        <v/>
      </c>
    </row>
    <row r="244">
      <c r="L244" s="15" t="n">
        <v>242</v>
      </c>
      <c r="M244" s="15">
        <f>IF(L244&lt;$D$16,$D$12,IF(L244&lt;$E$16,$E$12,$F$13))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 t="n">
        <v>0</v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  <c r="AC244" s="15">
        <f>N244^2</f>
        <v/>
      </c>
      <c r="AD244" s="15">
        <f>ABS(N244)</f>
        <v/>
      </c>
      <c r="AE244" s="15">
        <f>IF(M244&gt;0, ABS(N244)*(L244-$D$16),0)</f>
        <v/>
      </c>
    </row>
    <row r="245">
      <c r="L245" s="15" t="n">
        <v>243</v>
      </c>
      <c r="M245" s="15">
        <f>IF(L245&lt;$D$16,$D$12,IF(L245&lt;$E$16,$E$12,$F$13))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 t="n">
        <v>0</v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  <c r="AC245" s="15">
        <f>N245^2</f>
        <v/>
      </c>
      <c r="AD245" s="15">
        <f>ABS(N245)</f>
        <v/>
      </c>
      <c r="AE245" s="15">
        <f>IF(M245&gt;0, ABS(N245)*(L245-$D$16),0)</f>
        <v/>
      </c>
    </row>
    <row r="246">
      <c r="L246" s="15" t="n">
        <v>244</v>
      </c>
      <c r="M246" s="15">
        <f>IF(L246&lt;$D$16,$D$12,IF(L246&lt;$E$16,$E$12,$F$13))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 t="n">
        <v>0</v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  <c r="AC246" s="15">
        <f>N246^2</f>
        <v/>
      </c>
      <c r="AD246" s="15">
        <f>ABS(N246)</f>
        <v/>
      </c>
      <c r="AE246" s="15">
        <f>IF(M246&gt;0, ABS(N246)*(L246-$D$16),0)</f>
        <v/>
      </c>
    </row>
    <row r="247">
      <c r="L247" s="15" t="n">
        <v>245</v>
      </c>
      <c r="M247" s="15">
        <f>IF(L247&lt;$D$16,$D$12,IF(L247&lt;$E$16,$E$12,$F$13))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 t="n">
        <v>0</v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  <c r="AC247" s="15">
        <f>N247^2</f>
        <v/>
      </c>
      <c r="AD247" s="15">
        <f>ABS(N247)</f>
        <v/>
      </c>
      <c r="AE247" s="15">
        <f>IF(M247&gt;0, ABS(N247)*(L247-$D$16),0)</f>
        <v/>
      </c>
    </row>
    <row r="248">
      <c r="L248" s="15" t="n">
        <v>246</v>
      </c>
      <c r="M248" s="15">
        <f>IF(L248&lt;$D$16,$D$12,IF(L248&lt;$E$16,$E$12,$F$13))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 t="n">
        <v>0</v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  <c r="AC248" s="15">
        <f>N248^2</f>
        <v/>
      </c>
      <c r="AD248" s="15">
        <f>ABS(N248)</f>
        <v/>
      </c>
      <c r="AE248" s="15">
        <f>IF(M248&gt;0, ABS(N248)*(L248-$D$16),0)</f>
        <v/>
      </c>
    </row>
    <row r="249">
      <c r="L249" s="15" t="n">
        <v>247</v>
      </c>
      <c r="M249" s="15">
        <f>IF(L249&lt;$D$16,$D$12,IF(L249&lt;$E$16,$E$12,$F$13))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 t="n">
        <v>0</v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  <c r="AC249" s="15">
        <f>N249^2</f>
        <v/>
      </c>
      <c r="AD249" s="15">
        <f>ABS(N249)</f>
        <v/>
      </c>
      <c r="AE249" s="15">
        <f>IF(M249&gt;0, ABS(N249)*(L249-$D$16),0)</f>
        <v/>
      </c>
    </row>
    <row r="250">
      <c r="L250" s="15" t="n">
        <v>248</v>
      </c>
      <c r="M250" s="15">
        <f>IF(L250&lt;$D$16,$D$12,IF(L250&lt;$E$16,$E$12,$F$13))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 t="n">
        <v>0</v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  <c r="AC250" s="15">
        <f>N250^2</f>
        <v/>
      </c>
      <c r="AD250" s="15">
        <f>ABS(N250)</f>
        <v/>
      </c>
      <c r="AE250" s="15">
        <f>IF(M250&gt;0, ABS(N250)*(L250-$D$16),0)</f>
        <v/>
      </c>
    </row>
    <row r="251">
      <c r="L251" s="15" t="n">
        <v>249</v>
      </c>
      <c r="M251" s="15">
        <f>IF(L251&lt;$D$16,$D$12,IF(L251&lt;$E$16,$E$12,$F$13))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 t="n">
        <v>0</v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  <c r="AC251" s="15">
        <f>N251^2</f>
        <v/>
      </c>
      <c r="AD251" s="15">
        <f>ABS(N251)</f>
        <v/>
      </c>
      <c r="AE251" s="15">
        <f>IF(M251&gt;0, ABS(N251)*(L251-$D$16),0)</f>
        <v/>
      </c>
    </row>
    <row r="252">
      <c r="L252" s="15" t="n">
        <v>250</v>
      </c>
      <c r="M252" s="15">
        <f>IF(L252&lt;$D$16,$D$12,IF(L252&lt;$E$16,$E$12,$F$13))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 t="n">
        <v>0</v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  <c r="AC252" s="15">
        <f>N252^2</f>
        <v/>
      </c>
      <c r="AD252" s="15">
        <f>ABS(N252)</f>
        <v/>
      </c>
      <c r="AE252" s="15">
        <f>IF(M252&gt;0, ABS(N252)*(L252-$D$16),0)</f>
        <v/>
      </c>
    </row>
    <row r="253">
      <c r="L253" s="15" t="n">
        <v>251</v>
      </c>
      <c r="M253" s="15">
        <f>IF(L253&lt;$D$16,$D$12,IF(L253&lt;$E$16,$E$12,$F$13))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 t="n">
        <v>0</v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  <c r="AC253" s="15">
        <f>N253^2</f>
        <v/>
      </c>
      <c r="AD253" s="15">
        <f>ABS(N253)</f>
        <v/>
      </c>
      <c r="AE253" s="15">
        <f>IF(M253&gt;0, ABS(N253)*(L253-$D$16),0)</f>
        <v/>
      </c>
    </row>
    <row r="254">
      <c r="L254" s="15" t="n">
        <v>252</v>
      </c>
      <c r="M254" s="15">
        <f>IF(L254&lt;$D$16,$D$12,IF(L254&lt;$E$16,$E$12,$F$13))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 t="n">
        <v>0</v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  <c r="AC254" s="15">
        <f>N254^2</f>
        <v/>
      </c>
      <c r="AD254" s="15">
        <f>ABS(N254)</f>
        <v/>
      </c>
      <c r="AE254" s="15">
        <f>IF(M254&gt;0, ABS(N254)*(L254-$D$16),0)</f>
        <v/>
      </c>
    </row>
    <row r="255">
      <c r="L255" s="15" t="n">
        <v>253</v>
      </c>
      <c r="M255" s="15">
        <f>IF(L255&lt;$D$16,$D$12,IF(L255&lt;$E$16,$E$12,$F$13))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 t="n">
        <v>0</v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  <c r="AC255" s="15">
        <f>N255^2</f>
        <v/>
      </c>
      <c r="AD255" s="15">
        <f>ABS(N255)</f>
        <v/>
      </c>
      <c r="AE255" s="15">
        <f>IF(M255&gt;0, ABS(N255)*(L255-$D$16),0)</f>
        <v/>
      </c>
    </row>
    <row r="256">
      <c r="L256" s="15" t="n">
        <v>254</v>
      </c>
      <c r="M256" s="15">
        <f>IF(L256&lt;$D$16,$D$12,IF(L256&lt;$E$16,$E$12,$F$13))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 t="n">
        <v>0</v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  <c r="AC256" s="15">
        <f>N256^2</f>
        <v/>
      </c>
      <c r="AD256" s="15">
        <f>ABS(N256)</f>
        <v/>
      </c>
      <c r="AE256" s="15">
        <f>IF(M256&gt;0, ABS(N256)*(L256-$D$16),0)</f>
        <v/>
      </c>
    </row>
    <row r="257">
      <c r="L257" s="15" t="n">
        <v>255</v>
      </c>
      <c r="M257" s="15">
        <f>IF(L257&lt;$D$16,$D$12,IF(L257&lt;$E$16,$E$12,$F$13))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 t="n">
        <v>0</v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  <c r="AC257" s="15">
        <f>N257^2</f>
        <v/>
      </c>
      <c r="AD257" s="15">
        <f>ABS(N257)</f>
        <v/>
      </c>
      <c r="AE257" s="15">
        <f>IF(M257&gt;0, ABS(N257)*(L257-$D$16),0)</f>
        <v/>
      </c>
    </row>
    <row r="258">
      <c r="L258" s="15" t="n">
        <v>256</v>
      </c>
      <c r="M258" s="15">
        <f>IF(L258&lt;$D$16,$D$12,IF(L258&lt;$E$16,$E$12,$F$13))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 t="n">
        <v>0</v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  <c r="AC258" s="15">
        <f>N258^2</f>
        <v/>
      </c>
      <c r="AD258" s="15">
        <f>ABS(N258)</f>
        <v/>
      </c>
      <c r="AE258" s="15">
        <f>IF(M258&gt;0, ABS(N258)*(L258-$D$16),0)</f>
        <v/>
      </c>
    </row>
    <row r="259">
      <c r="L259" s="15" t="n">
        <v>257</v>
      </c>
      <c r="M259" s="15">
        <f>IF(L259&lt;$D$16,$D$12,IF(L259&lt;$E$16,$E$12,$F$13))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 t="n">
        <v>0</v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  <c r="AC259" s="15">
        <f>N259^2</f>
        <v/>
      </c>
      <c r="AD259" s="15">
        <f>ABS(N259)</f>
        <v/>
      </c>
      <c r="AE259" s="15">
        <f>IF(M259&gt;0, ABS(N259)*(L259-$D$16),0)</f>
        <v/>
      </c>
    </row>
    <row r="260">
      <c r="L260" s="15" t="n">
        <v>258</v>
      </c>
      <c r="M260" s="15">
        <f>IF(L260&lt;$D$16,$D$12,IF(L260&lt;$E$16,$E$12,$F$13))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 t="n">
        <v>0</v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  <c r="AC260" s="15">
        <f>N260^2</f>
        <v/>
      </c>
      <c r="AD260" s="15">
        <f>ABS(N260)</f>
        <v/>
      </c>
      <c r="AE260" s="15">
        <f>IF(M260&gt;0, ABS(N260)*(L260-$D$16),0)</f>
        <v/>
      </c>
    </row>
    <row r="261">
      <c r="L261" s="15" t="n">
        <v>259</v>
      </c>
      <c r="M261" s="15">
        <f>IF(L261&lt;$D$16,$D$12,IF(L261&lt;$E$16,$E$12,$F$13))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 t="n">
        <v>0</v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  <c r="AC261" s="15">
        <f>N261^2</f>
        <v/>
      </c>
      <c r="AD261" s="15">
        <f>ABS(N261)</f>
        <v/>
      </c>
      <c r="AE261" s="15">
        <f>IF(M261&gt;0, ABS(N261)*(L261-$D$16),0)</f>
        <v/>
      </c>
    </row>
    <row r="262">
      <c r="L262" s="15" t="n">
        <v>260</v>
      </c>
      <c r="M262" s="15">
        <f>IF(L262&lt;$D$16,$D$12,IF(L262&lt;$E$16,$E$12,$F$13))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 t="n">
        <v>0</v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  <c r="AC262" s="15">
        <f>N262^2</f>
        <v/>
      </c>
      <c r="AD262" s="15">
        <f>ABS(N262)</f>
        <v/>
      </c>
      <c r="AE262" s="15">
        <f>IF(M262&gt;0, ABS(N262)*(L262-$D$16),0)</f>
        <v/>
      </c>
    </row>
    <row r="263">
      <c r="L263" s="15" t="n">
        <v>261</v>
      </c>
      <c r="M263" s="15">
        <f>IF(L263&lt;$D$16,$D$12,IF(L263&lt;$E$16,$E$12,$F$13))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 t="n">
        <v>0</v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  <c r="AC263" s="15">
        <f>N263^2</f>
        <v/>
      </c>
      <c r="AD263" s="15">
        <f>ABS(N263)</f>
        <v/>
      </c>
      <c r="AE263" s="15">
        <f>IF(M263&gt;0, ABS(N263)*(L263-$D$16),0)</f>
        <v/>
      </c>
    </row>
    <row r="264">
      <c r="L264" s="15" t="n">
        <v>262</v>
      </c>
      <c r="M264" s="15">
        <f>IF(L264&lt;$D$16,$D$12,IF(L264&lt;$E$16,$E$12,$F$13))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 t="n">
        <v>0</v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  <c r="AC264" s="15">
        <f>N264^2</f>
        <v/>
      </c>
      <c r="AD264" s="15">
        <f>ABS(N264)</f>
        <v/>
      </c>
      <c r="AE264" s="15">
        <f>IF(M264&gt;0, ABS(N264)*(L264-$D$16),0)</f>
        <v/>
      </c>
    </row>
    <row r="265">
      <c r="L265" s="15" t="n">
        <v>263</v>
      </c>
      <c r="M265" s="15">
        <f>IF(L265&lt;$D$16,$D$12,IF(L265&lt;$E$16,$E$12,$F$13))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 t="n">
        <v>0</v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  <c r="AC265" s="15">
        <f>N265^2</f>
        <v/>
      </c>
      <c r="AD265" s="15">
        <f>ABS(N265)</f>
        <v/>
      </c>
      <c r="AE265" s="15">
        <f>IF(M265&gt;0, ABS(N265)*(L265-$D$16),0)</f>
        <v/>
      </c>
    </row>
    <row r="266">
      <c r="L266" s="15" t="n">
        <v>264</v>
      </c>
      <c r="M266" s="15">
        <f>IF(L266&lt;$D$16,$D$12,IF(L266&lt;$E$16,$E$12,$F$13))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 t="n">
        <v>0</v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  <c r="AC266" s="15">
        <f>N266^2</f>
        <v/>
      </c>
      <c r="AD266" s="15">
        <f>ABS(N266)</f>
        <v/>
      </c>
      <c r="AE266" s="15">
        <f>IF(M266&gt;0, ABS(N266)*(L266-$D$16),0)</f>
        <v/>
      </c>
    </row>
    <row r="267">
      <c r="L267" s="15" t="n">
        <v>265</v>
      </c>
      <c r="M267" s="15">
        <f>IF(L267&lt;$D$16,$D$12,IF(L267&lt;$E$16,$E$12,$F$13))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 t="n">
        <v>0</v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  <c r="AC267" s="15">
        <f>N267^2</f>
        <v/>
      </c>
      <c r="AD267" s="15">
        <f>ABS(N267)</f>
        <v/>
      </c>
      <c r="AE267" s="15">
        <f>IF(M267&gt;0, ABS(N267)*(L267-$D$16),0)</f>
        <v/>
      </c>
    </row>
    <row r="268">
      <c r="L268" s="15" t="n">
        <v>266</v>
      </c>
      <c r="M268" s="15">
        <f>IF(L268&lt;$D$16,$D$12,IF(L268&lt;$E$16,$E$12,$F$13))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 t="n">
        <v>0</v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  <c r="AC268" s="15">
        <f>N268^2</f>
        <v/>
      </c>
      <c r="AD268" s="15">
        <f>ABS(N268)</f>
        <v/>
      </c>
      <c r="AE268" s="15">
        <f>IF(M268&gt;0, ABS(N268)*(L268-$D$16),0)</f>
        <v/>
      </c>
    </row>
    <row r="269">
      <c r="L269" s="15" t="n">
        <v>267</v>
      </c>
      <c r="M269" s="15">
        <f>IF(L269&lt;$D$16,$D$12,IF(L269&lt;$E$16,$E$12,$F$13))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 t="n">
        <v>0</v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  <c r="AC269" s="15">
        <f>N269^2</f>
        <v/>
      </c>
      <c r="AD269" s="15">
        <f>ABS(N269)</f>
        <v/>
      </c>
      <c r="AE269" s="15">
        <f>IF(M269&gt;0, ABS(N269)*(L269-$D$16),0)</f>
        <v/>
      </c>
    </row>
    <row r="270">
      <c r="L270" s="15" t="n">
        <v>268</v>
      </c>
      <c r="M270" s="15">
        <f>IF(L270&lt;$D$16,$D$12,IF(L270&lt;$E$16,$E$12,$F$13))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 t="n">
        <v>0</v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  <c r="AC270" s="15">
        <f>N270^2</f>
        <v/>
      </c>
      <c r="AD270" s="15">
        <f>ABS(N270)</f>
        <v/>
      </c>
      <c r="AE270" s="15">
        <f>IF(M270&gt;0, ABS(N270)*(L270-$D$16),0)</f>
        <v/>
      </c>
    </row>
    <row r="271">
      <c r="L271" s="15" t="n">
        <v>269</v>
      </c>
      <c r="M271" s="15">
        <f>IF(L271&lt;$D$16,$D$12,IF(L271&lt;$E$16,$E$12,$F$13))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 t="n">
        <v>0</v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  <c r="AC271" s="15">
        <f>N271^2</f>
        <v/>
      </c>
      <c r="AD271" s="15">
        <f>ABS(N271)</f>
        <v/>
      </c>
      <c r="AE271" s="15">
        <f>IF(M271&gt;0, ABS(N271)*(L271-$D$16),0)</f>
        <v/>
      </c>
    </row>
    <row r="272">
      <c r="L272" s="15" t="n">
        <v>270</v>
      </c>
      <c r="M272" s="15">
        <f>IF(L272&lt;$D$16,$D$12,IF(L272&lt;$E$16,$E$12,$F$13))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 t="n">
        <v>0</v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  <c r="AC272" s="15">
        <f>N272^2</f>
        <v/>
      </c>
      <c r="AD272" s="15">
        <f>ABS(N272)</f>
        <v/>
      </c>
      <c r="AE272" s="15">
        <f>IF(M272&gt;0, ABS(N272)*(L272-$D$16),0)</f>
        <v/>
      </c>
    </row>
    <row r="273">
      <c r="L273" s="15" t="n">
        <v>271</v>
      </c>
      <c r="M273" s="15">
        <f>IF(L273&lt;$D$16,$D$12,IF(L273&lt;$E$16,$E$12,$F$13))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 t="n">
        <v>0</v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  <c r="AC273" s="15">
        <f>N273^2</f>
        <v/>
      </c>
      <c r="AD273" s="15">
        <f>ABS(N273)</f>
        <v/>
      </c>
      <c r="AE273" s="15">
        <f>IF(M273&gt;0, ABS(N273)*(L273-$D$16),0)</f>
        <v/>
      </c>
    </row>
    <row r="274">
      <c r="L274" s="15" t="n">
        <v>272</v>
      </c>
      <c r="M274" s="15">
        <f>IF(L274&lt;$D$16,$D$12,IF(L274&lt;$E$16,$E$12,$F$13))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 t="n">
        <v>0</v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  <c r="AC274" s="15">
        <f>N274^2</f>
        <v/>
      </c>
      <c r="AD274" s="15">
        <f>ABS(N274)</f>
        <v/>
      </c>
      <c r="AE274" s="15">
        <f>IF(M274&gt;0, ABS(N274)*(L274-$D$16),0)</f>
        <v/>
      </c>
    </row>
    <row r="275">
      <c r="L275" s="15" t="n">
        <v>273</v>
      </c>
      <c r="M275" s="15">
        <f>IF(L275&lt;$D$16,$D$12,IF(L275&lt;$E$16,$E$12,$F$13))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 t="n">
        <v>0</v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  <c r="AC275" s="15">
        <f>N275^2</f>
        <v/>
      </c>
      <c r="AD275" s="15">
        <f>ABS(N275)</f>
        <v/>
      </c>
      <c r="AE275" s="15">
        <f>IF(M275&gt;0, ABS(N275)*(L275-$D$16),0)</f>
        <v/>
      </c>
    </row>
    <row r="276">
      <c r="L276" s="15" t="n">
        <v>274</v>
      </c>
      <c r="M276" s="15">
        <f>IF(L276&lt;$D$16,$D$12,IF(L276&lt;$E$16,$E$12,$F$13))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 t="n">
        <v>0</v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  <c r="AC276" s="15">
        <f>N276^2</f>
        <v/>
      </c>
      <c r="AD276" s="15">
        <f>ABS(N276)</f>
        <v/>
      </c>
      <c r="AE276" s="15">
        <f>IF(M276&gt;0, ABS(N276)*(L276-$D$16),0)</f>
        <v/>
      </c>
    </row>
    <row r="277">
      <c r="L277" s="15" t="n">
        <v>275</v>
      </c>
      <c r="M277" s="15">
        <f>IF(L277&lt;$D$16,$D$12,IF(L277&lt;$E$16,$E$12,$F$13))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 t="n">
        <v>0</v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  <c r="AC277" s="15">
        <f>N277^2</f>
        <v/>
      </c>
      <c r="AD277" s="15">
        <f>ABS(N277)</f>
        <v/>
      </c>
      <c r="AE277" s="15">
        <f>IF(M277&gt;0, ABS(N277)*(L277-$D$16),0)</f>
        <v/>
      </c>
    </row>
    <row r="278">
      <c r="L278" s="15" t="n">
        <v>276</v>
      </c>
      <c r="M278" s="15">
        <f>IF(L278&lt;$D$16,$D$12,IF(L278&lt;$E$16,$E$12,$F$13))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 t="n">
        <v>0</v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  <c r="AC278" s="15">
        <f>N278^2</f>
        <v/>
      </c>
      <c r="AD278" s="15">
        <f>ABS(N278)</f>
        <v/>
      </c>
      <c r="AE278" s="15">
        <f>IF(M278&gt;0, ABS(N278)*(L278-$D$16),0)</f>
        <v/>
      </c>
    </row>
    <row r="279">
      <c r="L279" s="15" t="n">
        <v>277</v>
      </c>
      <c r="M279" s="15">
        <f>IF(L279&lt;$D$16,$D$12,IF(L279&lt;$E$16,$E$12,$F$13))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 t="n">
        <v>0</v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  <c r="AC279" s="15">
        <f>N279^2</f>
        <v/>
      </c>
      <c r="AD279" s="15">
        <f>ABS(N279)</f>
        <v/>
      </c>
      <c r="AE279" s="15">
        <f>IF(M279&gt;0, ABS(N279)*(L279-$D$16),0)</f>
        <v/>
      </c>
    </row>
    <row r="280">
      <c r="L280" s="15" t="n">
        <v>278</v>
      </c>
      <c r="M280" s="15">
        <f>IF(L280&lt;$D$16,$D$12,IF(L280&lt;$E$16,$E$12,$F$13))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 t="n">
        <v>0</v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  <c r="AC280" s="15">
        <f>N280^2</f>
        <v/>
      </c>
      <c r="AD280" s="15">
        <f>ABS(N280)</f>
        <v/>
      </c>
      <c r="AE280" s="15">
        <f>IF(M280&gt;0, ABS(N280)*(L280-$D$16),0)</f>
        <v/>
      </c>
    </row>
    <row r="281">
      <c r="L281" s="15" t="n">
        <v>279</v>
      </c>
      <c r="M281" s="15">
        <f>IF(L281&lt;$D$16,$D$12,IF(L281&lt;$E$16,$E$12,$F$13))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 t="n">
        <v>0</v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  <c r="AC281" s="15">
        <f>N281^2</f>
        <v/>
      </c>
      <c r="AD281" s="15">
        <f>ABS(N281)</f>
        <v/>
      </c>
      <c r="AE281" s="15">
        <f>IF(M281&gt;0, ABS(N281)*(L281-$D$16),0)</f>
        <v/>
      </c>
    </row>
    <row r="282">
      <c r="L282" s="15" t="n">
        <v>280</v>
      </c>
      <c r="M282" s="15">
        <f>IF(L282&lt;$D$16,$D$12,IF(L282&lt;$E$16,$E$12,$F$13))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 t="n">
        <v>0</v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  <c r="AC282" s="15">
        <f>N282^2</f>
        <v/>
      </c>
      <c r="AD282" s="15">
        <f>ABS(N282)</f>
        <v/>
      </c>
      <c r="AE282" s="15">
        <f>IF(M282&gt;0, ABS(N282)*(L282-$D$16),0)</f>
        <v/>
      </c>
    </row>
    <row r="283">
      <c r="L283" s="15" t="n">
        <v>281</v>
      </c>
      <c r="M283" s="15">
        <f>IF(L283&lt;$D$16,$D$12,IF(L283&lt;$E$16,$E$12,$F$13))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 t="n">
        <v>0</v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  <c r="AC283" s="15">
        <f>N283^2</f>
        <v/>
      </c>
      <c r="AD283" s="15">
        <f>ABS(N283)</f>
        <v/>
      </c>
      <c r="AE283" s="15">
        <f>IF(M283&gt;0, ABS(N283)*(L283-$D$16),0)</f>
        <v/>
      </c>
    </row>
    <row r="284">
      <c r="L284" s="15" t="n">
        <v>282</v>
      </c>
      <c r="M284" s="15">
        <f>IF(L284&lt;$D$16,$D$12,IF(L284&lt;$E$16,$E$12,$F$13))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 t="n">
        <v>0</v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  <c r="AC284" s="15">
        <f>N284^2</f>
        <v/>
      </c>
      <c r="AD284" s="15">
        <f>ABS(N284)</f>
        <v/>
      </c>
      <c r="AE284" s="15">
        <f>IF(M284&gt;0, ABS(N284)*(L284-$D$16),0)</f>
        <v/>
      </c>
    </row>
    <row r="285">
      <c r="L285" s="15" t="n">
        <v>283</v>
      </c>
      <c r="M285" s="15">
        <f>IF(L285&lt;$D$16,$D$12,IF(L285&lt;$E$16,$E$12,$F$13))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 t="n">
        <v>0</v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  <c r="AC285" s="15">
        <f>N285^2</f>
        <v/>
      </c>
      <c r="AD285" s="15">
        <f>ABS(N285)</f>
        <v/>
      </c>
      <c r="AE285" s="15">
        <f>IF(M285&gt;0, ABS(N285)*(L285-$D$16),0)</f>
        <v/>
      </c>
    </row>
    <row r="286">
      <c r="L286" s="15" t="n">
        <v>284</v>
      </c>
      <c r="M286" s="15">
        <f>IF(L286&lt;$D$16,$D$12,IF(L286&lt;$E$16,$E$12,$F$13))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 t="n">
        <v>0</v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  <c r="AC286" s="15">
        <f>N286^2</f>
        <v/>
      </c>
      <c r="AD286" s="15">
        <f>ABS(N286)</f>
        <v/>
      </c>
      <c r="AE286" s="15">
        <f>IF(M286&gt;0, ABS(N286)*(L286-$D$16),0)</f>
        <v/>
      </c>
    </row>
    <row r="287">
      <c r="L287" s="15" t="n">
        <v>285</v>
      </c>
      <c r="M287" s="15">
        <f>IF(L287&lt;$D$16,$D$12,IF(L287&lt;$E$16,$E$12,$F$13))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 t="n">
        <v>0</v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  <c r="AC287" s="15">
        <f>N287^2</f>
        <v/>
      </c>
      <c r="AD287" s="15">
        <f>ABS(N287)</f>
        <v/>
      </c>
      <c r="AE287" s="15">
        <f>IF(M287&gt;0, ABS(N287)*(L287-$D$16),0)</f>
        <v/>
      </c>
    </row>
    <row r="288">
      <c r="L288" s="15" t="n">
        <v>286</v>
      </c>
      <c r="M288" s="15">
        <f>IF(L288&lt;$D$16,$D$12,IF(L288&lt;$E$16,$E$12,$F$13))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 t="n">
        <v>0</v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  <c r="AC288" s="15">
        <f>N288^2</f>
        <v/>
      </c>
      <c r="AD288" s="15">
        <f>ABS(N288)</f>
        <v/>
      </c>
      <c r="AE288" s="15">
        <f>IF(M288&gt;0, ABS(N288)*(L288-$D$16),0)</f>
        <v/>
      </c>
    </row>
    <row r="289">
      <c r="L289" s="15" t="n">
        <v>287</v>
      </c>
      <c r="M289" s="15">
        <f>IF(L289&lt;$D$16,$D$12,IF(L289&lt;$E$16,$E$12,$F$13))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 t="n">
        <v>0</v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  <c r="AC289" s="15">
        <f>N289^2</f>
        <v/>
      </c>
      <c r="AD289" s="15">
        <f>ABS(N289)</f>
        <v/>
      </c>
      <c r="AE289" s="15">
        <f>IF(M289&gt;0, ABS(N289)*(L289-$D$16),0)</f>
        <v/>
      </c>
    </row>
    <row r="290">
      <c r="L290" s="15" t="n">
        <v>288</v>
      </c>
      <c r="M290" s="15">
        <f>IF(L290&lt;$D$16,$D$12,IF(L290&lt;$E$16,$E$12,$F$13))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 t="n">
        <v>0</v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  <c r="AC290" s="15">
        <f>N290^2</f>
        <v/>
      </c>
      <c r="AD290" s="15">
        <f>ABS(N290)</f>
        <v/>
      </c>
      <c r="AE290" s="15">
        <f>IF(M290&gt;0, ABS(N290)*(L290-$D$16),0)</f>
        <v/>
      </c>
    </row>
    <row r="291">
      <c r="L291" s="15" t="n">
        <v>289</v>
      </c>
      <c r="M291" s="15">
        <f>IF(L291&lt;$D$16,$D$12,IF(L291&lt;$E$16,$E$12,$F$13))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 t="n">
        <v>0</v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  <c r="AC291" s="15">
        <f>N291^2</f>
        <v/>
      </c>
      <c r="AD291" s="15">
        <f>ABS(N291)</f>
        <v/>
      </c>
      <c r="AE291" s="15">
        <f>IF(M291&gt;0, ABS(N291)*(L291-$D$16),0)</f>
        <v/>
      </c>
    </row>
    <row r="292">
      <c r="L292" s="15" t="n">
        <v>290</v>
      </c>
      <c r="M292" s="15">
        <f>IF(L292&lt;$D$16,$D$12,IF(L292&lt;$E$16,$E$12,$F$13))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 t="n">
        <v>0</v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  <c r="AC292" s="15">
        <f>N292^2</f>
        <v/>
      </c>
      <c r="AD292" s="15">
        <f>ABS(N292)</f>
        <v/>
      </c>
      <c r="AE292" s="15">
        <f>IF(M292&gt;0, ABS(N292)*(L292-$D$16),0)</f>
        <v/>
      </c>
    </row>
    <row r="293">
      <c r="L293" s="15" t="n">
        <v>291</v>
      </c>
      <c r="M293" s="15">
        <f>IF(L293&lt;$D$16,$D$12,IF(L293&lt;$E$16,$E$12,$F$13))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 t="n">
        <v>0</v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  <c r="AC293" s="15">
        <f>N293^2</f>
        <v/>
      </c>
      <c r="AD293" s="15">
        <f>ABS(N293)</f>
        <v/>
      </c>
      <c r="AE293" s="15">
        <f>IF(M293&gt;0, ABS(N293)*(L293-$D$16),0)</f>
        <v/>
      </c>
    </row>
    <row r="294">
      <c r="L294" s="15" t="n">
        <v>292</v>
      </c>
      <c r="M294" s="15">
        <f>IF(L294&lt;$D$16,$D$12,IF(L294&lt;$E$16,$E$12,$F$13))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 t="n">
        <v>0</v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  <c r="AC294" s="15">
        <f>N294^2</f>
        <v/>
      </c>
      <c r="AD294" s="15">
        <f>ABS(N294)</f>
        <v/>
      </c>
      <c r="AE294" s="15">
        <f>IF(M294&gt;0, ABS(N294)*(L294-$D$16),0)</f>
        <v/>
      </c>
    </row>
    <row r="295">
      <c r="L295" s="15" t="n">
        <v>293</v>
      </c>
      <c r="M295" s="15">
        <f>IF(L295&lt;$D$16,$D$12,IF(L295&lt;$E$16,$E$12,$F$13))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 t="n">
        <v>0</v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  <c r="AC295" s="15">
        <f>N295^2</f>
        <v/>
      </c>
      <c r="AD295" s="15">
        <f>ABS(N295)</f>
        <v/>
      </c>
      <c r="AE295" s="15">
        <f>IF(M295&gt;0, ABS(N295)*(L295-$D$16),0)</f>
        <v/>
      </c>
    </row>
    <row r="296">
      <c r="L296" s="15" t="n">
        <v>294</v>
      </c>
      <c r="M296" s="15">
        <f>IF(L296&lt;$D$16,$D$12,IF(L296&lt;$E$16,$E$12,$F$13))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 t="n">
        <v>0</v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  <c r="AC296" s="15">
        <f>N296^2</f>
        <v/>
      </c>
      <c r="AD296" s="15">
        <f>ABS(N296)</f>
        <v/>
      </c>
      <c r="AE296" s="15">
        <f>IF(M296&gt;0, ABS(N296)*(L296-$D$16),0)</f>
        <v/>
      </c>
    </row>
    <row r="297">
      <c r="L297" s="15" t="n">
        <v>295</v>
      </c>
      <c r="M297" s="15">
        <f>IF(L297&lt;$D$16,$D$12,IF(L297&lt;$E$16,$E$12,$F$13))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 t="n">
        <v>0</v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  <c r="AC297" s="15">
        <f>N297^2</f>
        <v/>
      </c>
      <c r="AD297" s="15">
        <f>ABS(N297)</f>
        <v/>
      </c>
      <c r="AE297" s="15">
        <f>IF(M297&gt;0, ABS(N297)*(L297-$D$16),0)</f>
        <v/>
      </c>
    </row>
    <row r="298">
      <c r="L298" s="15" t="n">
        <v>296</v>
      </c>
      <c r="M298" s="15">
        <f>IF(L298&lt;$D$16,$D$12,IF(L298&lt;$E$16,$E$12,$F$13))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 t="n">
        <v>0</v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  <c r="AC298" s="15">
        <f>N298^2</f>
        <v/>
      </c>
      <c r="AD298" s="15">
        <f>ABS(N298)</f>
        <v/>
      </c>
      <c r="AE298" s="15">
        <f>IF(M298&gt;0, ABS(N298)*(L298-$D$16),0)</f>
        <v/>
      </c>
    </row>
    <row r="299">
      <c r="L299" s="15" t="n">
        <v>297</v>
      </c>
      <c r="M299" s="15">
        <f>IF(L299&lt;$D$16,$D$12,IF(L299&lt;$E$16,$E$12,$F$13))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 t="n">
        <v>0</v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  <c r="AC299" s="15">
        <f>N299^2</f>
        <v/>
      </c>
      <c r="AD299" s="15">
        <f>ABS(N299)</f>
        <v/>
      </c>
      <c r="AE299" s="15">
        <f>IF(M299&gt;0, ABS(N299)*(L299-$D$16),0)</f>
        <v/>
      </c>
    </row>
    <row r="300">
      <c r="L300" s="15" t="n">
        <v>298</v>
      </c>
      <c r="M300" s="15">
        <f>IF(L300&lt;$D$16,$D$12,IF(L300&lt;$E$16,$E$12,$F$13))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 t="n">
        <v>0</v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  <c r="AC300" s="15">
        <f>N300^2</f>
        <v/>
      </c>
      <c r="AD300" s="15">
        <f>ABS(N300)</f>
        <v/>
      </c>
      <c r="AE300" s="15">
        <f>IF(M300&gt;0, ABS(N300)*(L300-$D$16),0)</f>
        <v/>
      </c>
    </row>
    <row r="301">
      <c r="L301" s="15" t="n">
        <v>299</v>
      </c>
      <c r="M301" s="15">
        <f>IF(L301&lt;$D$16,$D$12,IF(L301&lt;$E$16,$E$12,$F$13))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 t="n">
        <v>0</v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  <c r="AC301" s="15">
        <f>N301^2</f>
        <v/>
      </c>
      <c r="AD301" s="15">
        <f>ABS(N301)</f>
        <v/>
      </c>
      <c r="AE301" s="15">
        <f>IF(M301&gt;0, ABS(N301)*(L301-$D$16),0)</f>
        <v/>
      </c>
    </row>
    <row r="302">
      <c r="L302" s="15" t="n">
        <v>300</v>
      </c>
      <c r="M302" s="15">
        <f>IF(L302&lt;$D$16,$D$12,IF(L302&lt;$E$16,$E$12,$F$13))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 t="n">
        <v>0</v>
      </c>
      <c r="R302" s="15">
        <f>P302+Q302</f>
        <v/>
      </c>
      <c r="S302" s="15">
        <f>$I$1*S301-$I$2*S300+$I$3*R281+$I$4*R280</f>
        <v/>
      </c>
      <c r="T302" s="15" t="n">
        <v>0</v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  <c r="AC302" s="15">
        <f>N302^2</f>
        <v/>
      </c>
      <c r="AD302" s="15">
        <f>ABS(N302)</f>
        <v/>
      </c>
      <c r="AE302" s="15">
        <f>IF(M302&gt;0, ABS(N302)*(L302-$D$16),0)</f>
        <v/>
      </c>
    </row>
    <row r="303">
      <c r="L303" s="15" t="n">
        <v>301</v>
      </c>
      <c r="M303" s="15">
        <f>IF(L303&lt;$D$16,$D$12,IF(L303&lt;$E$16,$E$12,$F$13))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 t="n">
        <v>0</v>
      </c>
      <c r="R303" s="15">
        <f>P303+Q303</f>
        <v/>
      </c>
      <c r="S303" s="15">
        <f>$I$1*S302-$I$2*S301+$I$3*R282+$I$4*R281</f>
        <v/>
      </c>
      <c r="T303" s="15" t="n">
        <v>0</v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  <c r="AC303" s="15">
        <f>N303^2</f>
        <v/>
      </c>
      <c r="AD303" s="15">
        <f>ABS(N303)</f>
        <v/>
      </c>
      <c r="AE303" s="15">
        <f>IF(M303&gt;0, ABS(N303)*(L303-$D$16),0)</f>
        <v/>
      </c>
    </row>
    <row r="304">
      <c r="L304" s="15" t="n">
        <v>302</v>
      </c>
      <c r="M304" s="15">
        <f>IF(L304&lt;$D$16,$D$12,IF(L304&lt;$E$16,$E$12,$F$13))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 t="n">
        <v>0</v>
      </c>
      <c r="R304" s="15">
        <f>P304+Q304</f>
        <v/>
      </c>
      <c r="S304" s="15">
        <f>$I$1*S303-$I$2*S302+$I$3*R283+$I$4*R282</f>
        <v/>
      </c>
      <c r="T304" s="15" t="n">
        <v>0</v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  <c r="AC304" s="15">
        <f>N304^2</f>
        <v/>
      </c>
      <c r="AD304" s="15">
        <f>ABS(N304)</f>
        <v/>
      </c>
      <c r="AE304" s="15">
        <f>IF(M304&gt;0, ABS(N304)*(L304-$D$16),0)</f>
        <v/>
      </c>
    </row>
    <row r="305">
      <c r="L305" s="15" t="n">
        <v>303</v>
      </c>
      <c r="M305" s="15">
        <f>IF(L305&lt;$D$16,$D$12,IF(L305&lt;$E$16,$E$12,$F$13))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 t="n">
        <v>0</v>
      </c>
      <c r="R305" s="15">
        <f>P305+Q305</f>
        <v/>
      </c>
      <c r="S305" s="15">
        <f>$I$1*S304-$I$2*S303+$I$3*R284+$I$4*R283</f>
        <v/>
      </c>
      <c r="T305" s="15" t="n">
        <v>0</v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  <c r="AC305" s="15">
        <f>N305^2</f>
        <v/>
      </c>
      <c r="AD305" s="15">
        <f>ABS(N305)</f>
        <v/>
      </c>
      <c r="AE305" s="15">
        <f>IF(M305&gt;0, ABS(N305)*(L305-$D$16),0)</f>
        <v/>
      </c>
    </row>
    <row r="306">
      <c r="L306" s="15" t="n">
        <v>304</v>
      </c>
      <c r="M306" s="15">
        <f>IF(L306&lt;$D$16,$D$12,IF(L306&lt;$E$16,$E$12,$F$13))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 t="n">
        <v>0</v>
      </c>
      <c r="R306" s="15">
        <f>P306+Q306</f>
        <v/>
      </c>
      <c r="S306" s="15">
        <f>$I$1*S305-$I$2*S304+$I$3*R285+$I$4*R284</f>
        <v/>
      </c>
      <c r="T306" s="15" t="n">
        <v>0</v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  <c r="AC306" s="15">
        <f>N306^2</f>
        <v/>
      </c>
      <c r="AD306" s="15">
        <f>ABS(N306)</f>
        <v/>
      </c>
      <c r="AE306" s="15">
        <f>IF(M306&gt;0, ABS(N306)*(L306-$D$16),0)</f>
        <v/>
      </c>
    </row>
    <row r="307">
      <c r="L307" s="15" t="n">
        <v>305</v>
      </c>
      <c r="M307" s="15">
        <f>IF(L307&lt;$D$16,$D$12,IF(L307&lt;$E$16,$E$12,$F$13))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 t="n">
        <v>0</v>
      </c>
      <c r="R307" s="15">
        <f>P307+Q307</f>
        <v/>
      </c>
      <c r="S307" s="15">
        <f>$I$1*S306-$I$2*S305+$I$3*R286+$I$4*R285</f>
        <v/>
      </c>
      <c r="T307" s="15" t="n">
        <v>0</v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  <c r="AC307" s="15">
        <f>N307^2</f>
        <v/>
      </c>
      <c r="AD307" s="15">
        <f>ABS(N307)</f>
        <v/>
      </c>
      <c r="AE307" s="15">
        <f>IF(M307&gt;0, ABS(N307)*(L307-$D$16),0)</f>
        <v/>
      </c>
    </row>
    <row r="308">
      <c r="L308" s="15" t="n">
        <v>306</v>
      </c>
      <c r="M308" s="15">
        <f>IF(L308&lt;$D$16,$D$12,IF(L308&lt;$E$16,$E$12,$F$13))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 t="n">
        <v>0</v>
      </c>
      <c r="R308" s="15">
        <f>P308+Q308</f>
        <v/>
      </c>
      <c r="S308" s="15">
        <f>$I$1*S307-$I$2*S306+$I$3*R287+$I$4*R286</f>
        <v/>
      </c>
      <c r="T308" s="15" t="n">
        <v>0</v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  <c r="AC308" s="15">
        <f>N308^2</f>
        <v/>
      </c>
      <c r="AD308" s="15">
        <f>ABS(N308)</f>
        <v/>
      </c>
      <c r="AE308" s="15">
        <f>IF(M308&gt;0, ABS(N308)*(L308-$D$16),0)</f>
        <v/>
      </c>
    </row>
    <row r="309">
      <c r="L309" s="15" t="n">
        <v>307</v>
      </c>
      <c r="M309" s="15">
        <f>IF(L309&lt;$D$16,$D$12,IF(L309&lt;$E$16,$E$12,$F$13))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 t="n">
        <v>0</v>
      </c>
      <c r="R309" s="15">
        <f>P309+Q309</f>
        <v/>
      </c>
      <c r="S309" s="15">
        <f>$I$1*S308-$I$2*S307+$I$3*R288+$I$4*R287</f>
        <v/>
      </c>
      <c r="T309" s="15" t="n">
        <v>0</v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  <c r="AC309" s="15">
        <f>N309^2</f>
        <v/>
      </c>
      <c r="AD309" s="15">
        <f>ABS(N309)</f>
        <v/>
      </c>
      <c r="AE309" s="15">
        <f>IF(M309&gt;0, ABS(N309)*(L309-$D$16),0)</f>
        <v/>
      </c>
    </row>
    <row r="310">
      <c r="L310" s="15" t="n">
        <v>308</v>
      </c>
      <c r="M310" s="15">
        <f>IF(L310&lt;$D$16,$D$12,IF(L310&lt;$E$16,$E$12,$F$13))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 t="n">
        <v>0</v>
      </c>
      <c r="R310" s="15">
        <f>P310+Q310</f>
        <v/>
      </c>
      <c r="S310" s="15">
        <f>$I$1*S309-$I$2*S308+$I$3*R289+$I$4*R288</f>
        <v/>
      </c>
      <c r="T310" s="15" t="n">
        <v>0</v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  <c r="AC310" s="15">
        <f>N310^2</f>
        <v/>
      </c>
      <c r="AD310" s="15">
        <f>ABS(N310)</f>
        <v/>
      </c>
      <c r="AE310" s="15">
        <f>IF(M310&gt;0, ABS(N310)*(L310-$D$16),0)</f>
        <v/>
      </c>
    </row>
    <row r="311">
      <c r="L311" s="15" t="n">
        <v>309</v>
      </c>
      <c r="M311" s="15">
        <f>IF(L311&lt;$D$16,$D$12,IF(L311&lt;$E$16,$E$12,$F$13))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 t="n">
        <v>0</v>
      </c>
      <c r="R311" s="15">
        <f>P311+Q311</f>
        <v/>
      </c>
      <c r="S311" s="15">
        <f>$I$1*S310-$I$2*S309+$I$3*R290+$I$4*R289</f>
        <v/>
      </c>
      <c r="T311" s="15" t="n">
        <v>0</v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  <c r="AC311" s="15">
        <f>N311^2</f>
        <v/>
      </c>
      <c r="AD311" s="15">
        <f>ABS(N311)</f>
        <v/>
      </c>
      <c r="AE311" s="15">
        <f>IF(M311&gt;0, ABS(N311)*(L311-$D$16),0)</f>
        <v/>
      </c>
    </row>
    <row r="312">
      <c r="L312" s="15" t="n">
        <v>310</v>
      </c>
      <c r="M312" s="15">
        <f>IF(L312&lt;$D$16,$D$12,IF(L312&lt;$E$16,$E$12,$F$13))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 t="n">
        <v>0</v>
      </c>
      <c r="R312" s="15">
        <f>P312+Q312</f>
        <v/>
      </c>
      <c r="S312" s="15">
        <f>$I$1*S311-$I$2*S310+$I$3*R291+$I$4*R290</f>
        <v/>
      </c>
      <c r="T312" s="15" t="n">
        <v>0</v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  <c r="AC312" s="15">
        <f>N312^2</f>
        <v/>
      </c>
      <c r="AD312" s="15">
        <f>ABS(N312)</f>
        <v/>
      </c>
      <c r="AE312" s="15">
        <f>IF(M312&gt;0, ABS(N312)*(L312-$D$16),0)</f>
        <v/>
      </c>
    </row>
    <row r="313">
      <c r="L313" s="15" t="n">
        <v>311</v>
      </c>
      <c r="M313" s="15">
        <f>IF(L313&lt;$D$16,$D$12,IF(L313&lt;$E$16,$E$12,$F$13))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 t="n">
        <v>0</v>
      </c>
      <c r="R313" s="15">
        <f>P313+Q313</f>
        <v/>
      </c>
      <c r="S313" s="15">
        <f>$I$1*S312-$I$2*S311+$I$3*R292+$I$4*R291</f>
        <v/>
      </c>
      <c r="T313" s="15" t="n">
        <v>0</v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  <c r="AC313" s="15">
        <f>N313^2</f>
        <v/>
      </c>
      <c r="AD313" s="15">
        <f>ABS(N313)</f>
        <v/>
      </c>
      <c r="AE313" s="15">
        <f>IF(M313&gt;0, ABS(N313)*(L313-$D$16),0)</f>
        <v/>
      </c>
    </row>
    <row r="314">
      <c r="L314" s="15" t="n">
        <v>312</v>
      </c>
      <c r="M314" s="15">
        <f>IF(L314&lt;$D$16,$D$12,IF(L314&lt;$E$16,$E$12,$F$13))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 t="n">
        <v>0</v>
      </c>
      <c r="R314" s="15">
        <f>P314+Q314</f>
        <v/>
      </c>
      <c r="S314" s="15">
        <f>$I$1*S313-$I$2*S312+$I$3*R293+$I$4*R292</f>
        <v/>
      </c>
      <c r="T314" s="15" t="n">
        <v>0</v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  <c r="AC314" s="15">
        <f>N314^2</f>
        <v/>
      </c>
      <c r="AD314" s="15">
        <f>ABS(N314)</f>
        <v/>
      </c>
      <c r="AE314" s="15">
        <f>IF(M314&gt;0, ABS(N314)*(L314-$D$16),0)</f>
        <v/>
      </c>
    </row>
    <row r="315">
      <c r="L315" s="15" t="n">
        <v>313</v>
      </c>
      <c r="M315" s="15">
        <f>IF(L315&lt;$D$16,$D$12,IF(L315&lt;$E$16,$E$12,$F$13))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 t="n">
        <v>0</v>
      </c>
      <c r="R315" s="15">
        <f>P315+Q315</f>
        <v/>
      </c>
      <c r="S315" s="15">
        <f>$I$1*S314-$I$2*S313+$I$3*R294+$I$4*R293</f>
        <v/>
      </c>
      <c r="T315" s="15" t="n">
        <v>0</v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  <c r="AC315" s="15">
        <f>N315^2</f>
        <v/>
      </c>
      <c r="AD315" s="15">
        <f>ABS(N315)</f>
        <v/>
      </c>
      <c r="AE315" s="15">
        <f>IF(M315&gt;0, ABS(N315)*(L315-$D$16),0)</f>
        <v/>
      </c>
    </row>
    <row r="316">
      <c r="L316" s="15" t="n">
        <v>314</v>
      </c>
      <c r="M316" s="15">
        <f>IF(L316&lt;$D$16,$D$12,IF(L316&lt;$E$16,$E$12,$F$13))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 t="n">
        <v>0</v>
      </c>
      <c r="R316" s="15">
        <f>P316+Q316</f>
        <v/>
      </c>
      <c r="S316" s="15">
        <f>$I$1*S315-$I$2*S314+$I$3*R295+$I$4*R294</f>
        <v/>
      </c>
      <c r="T316" s="15" t="n">
        <v>0</v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  <c r="AC316" s="15">
        <f>N316^2</f>
        <v/>
      </c>
      <c r="AD316" s="15">
        <f>ABS(N316)</f>
        <v/>
      </c>
      <c r="AE316" s="15">
        <f>IF(M316&gt;0, ABS(N316)*(L316-$D$16),0)</f>
        <v/>
      </c>
    </row>
    <row r="317">
      <c r="L317" s="15" t="n">
        <v>315</v>
      </c>
      <c r="M317" s="15">
        <f>IF(L317&lt;$D$16,$D$12,IF(L317&lt;$E$16,$E$12,$F$13))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 t="n">
        <v>0</v>
      </c>
      <c r="R317" s="15">
        <f>P317+Q317</f>
        <v/>
      </c>
      <c r="S317" s="15">
        <f>$I$1*S316-$I$2*S315+$I$3*R296+$I$4*R295</f>
        <v/>
      </c>
      <c r="T317" s="15" t="n">
        <v>0</v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  <c r="AC317" s="15">
        <f>N317^2</f>
        <v/>
      </c>
      <c r="AD317" s="15">
        <f>ABS(N317)</f>
        <v/>
      </c>
      <c r="AE317" s="15">
        <f>IF(M317&gt;0, ABS(N317)*(L317-$D$16),0)</f>
        <v/>
      </c>
    </row>
    <row r="318">
      <c r="L318" s="15" t="n">
        <v>316</v>
      </c>
      <c r="M318" s="15">
        <f>IF(L318&lt;$D$16,$D$12,IF(L318&lt;$E$16,$E$12,$F$13))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 t="n">
        <v>0</v>
      </c>
      <c r="R318" s="15">
        <f>P318+Q318</f>
        <v/>
      </c>
      <c r="S318" s="15">
        <f>$I$1*S317-$I$2*S316+$I$3*R297+$I$4*R296</f>
        <v/>
      </c>
      <c r="T318" s="15" t="n">
        <v>0</v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  <c r="AC318" s="15">
        <f>N318^2</f>
        <v/>
      </c>
      <c r="AD318" s="15">
        <f>ABS(N318)</f>
        <v/>
      </c>
      <c r="AE318" s="15">
        <f>IF(M318&gt;0, ABS(N318)*(L318-$D$16),0)</f>
        <v/>
      </c>
    </row>
    <row r="319">
      <c r="L319" s="15" t="n">
        <v>317</v>
      </c>
      <c r="M319" s="15">
        <f>IF(L319&lt;$D$16,$D$12,IF(L319&lt;$E$16,$E$12,$F$13))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 t="n">
        <v>0</v>
      </c>
      <c r="R319" s="15">
        <f>P319+Q319</f>
        <v/>
      </c>
      <c r="S319" s="15">
        <f>$I$1*S318-$I$2*S317+$I$3*R298+$I$4*R297</f>
        <v/>
      </c>
      <c r="T319" s="15" t="n">
        <v>0</v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  <c r="AC319" s="15">
        <f>N319^2</f>
        <v/>
      </c>
      <c r="AD319" s="15">
        <f>ABS(N319)</f>
        <v/>
      </c>
      <c r="AE319" s="15">
        <f>IF(M319&gt;0, ABS(N319)*(L319-$D$16),0)</f>
        <v/>
      </c>
    </row>
    <row r="320">
      <c r="L320" s="15" t="n">
        <v>318</v>
      </c>
      <c r="M320" s="15">
        <f>IF(L320&lt;$D$16,$D$12,IF(L320&lt;$E$16,$E$12,$F$13))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 t="n">
        <v>0</v>
      </c>
      <c r="R320" s="15">
        <f>P320+Q320</f>
        <v/>
      </c>
      <c r="S320" s="15">
        <f>$I$1*S319-$I$2*S318+$I$3*R299+$I$4*R298</f>
        <v/>
      </c>
      <c r="T320" s="15" t="n">
        <v>0</v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  <c r="AC320" s="15">
        <f>N320^2</f>
        <v/>
      </c>
      <c r="AD320" s="15">
        <f>ABS(N320)</f>
        <v/>
      </c>
      <c r="AE320" s="15">
        <f>IF(M320&gt;0, ABS(N320)*(L320-$D$16),0)</f>
        <v/>
      </c>
    </row>
    <row r="321">
      <c r="L321" s="15" t="n">
        <v>319</v>
      </c>
      <c r="M321" s="15">
        <f>IF(L321&lt;$D$16,$D$12,IF(L321&lt;$E$16,$E$12,$F$13))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 t="n">
        <v>0</v>
      </c>
      <c r="R321" s="15">
        <f>P321+Q321</f>
        <v/>
      </c>
      <c r="S321" s="15">
        <f>$I$1*S320-$I$2*S319+$I$3*R300+$I$4*R299</f>
        <v/>
      </c>
      <c r="T321" s="15" t="n">
        <v>0</v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  <c r="AC321" s="15">
        <f>N321^2</f>
        <v/>
      </c>
      <c r="AD321" s="15">
        <f>ABS(N321)</f>
        <v/>
      </c>
      <c r="AE321" s="15">
        <f>IF(M321&gt;0, ABS(N321)*(L321-$D$16),0)</f>
        <v/>
      </c>
    </row>
    <row r="322">
      <c r="L322" s="15" t="n">
        <v>320</v>
      </c>
      <c r="M322" s="15">
        <f>IF(L322&lt;$D$16,$D$12,IF(L322&lt;$E$16,$E$12,$F$13))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 t="n">
        <v>0</v>
      </c>
      <c r="R322" s="15">
        <f>P322+Q322</f>
        <v/>
      </c>
      <c r="S322" s="15">
        <f>$I$1*S321-$I$2*S320+$I$3*R301+$I$4*R300</f>
        <v/>
      </c>
      <c r="T322" s="15" t="n">
        <v>0</v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  <c r="AC322" s="15">
        <f>N322^2</f>
        <v/>
      </c>
      <c r="AD322" s="15">
        <f>ABS(N322)</f>
        <v/>
      </c>
      <c r="AE322" s="15">
        <f>IF(M322&gt;0, ABS(N322)*(L322-$D$16),0)</f>
        <v/>
      </c>
    </row>
    <row r="323">
      <c r="L323" s="15" t="n">
        <v>321</v>
      </c>
      <c r="M323" s="15">
        <f>IF(L323&lt;$D$16,$D$12,IF(L323&lt;$E$16,$E$12,$F$13))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 t="n">
        <v>0</v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  <c r="AC323" s="15">
        <f>N323^2</f>
        <v/>
      </c>
      <c r="AD323" s="15">
        <f>ABS(N323)</f>
        <v/>
      </c>
      <c r="AE323" s="15">
        <f>IF(M323&gt;0, ABS(N323)*(L323-$D$16),0)</f>
        <v/>
      </c>
    </row>
    <row r="324">
      <c r="L324" s="15" t="n">
        <v>322</v>
      </c>
      <c r="M324" s="15">
        <f>IF(L324&lt;$D$16,$D$12,IF(L324&lt;$E$16,$E$12,$F$13))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 t="n">
        <v>0</v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  <c r="AC324" s="15">
        <f>N324^2</f>
        <v/>
      </c>
      <c r="AD324" s="15">
        <f>ABS(N324)</f>
        <v/>
      </c>
      <c r="AE324" s="15">
        <f>IF(M324&gt;0, ABS(N324)*(L324-$D$16),0)</f>
        <v/>
      </c>
    </row>
    <row r="325">
      <c r="L325" s="15" t="n">
        <v>323</v>
      </c>
      <c r="M325" s="15">
        <f>IF(L325&lt;$D$16,$D$12,IF(L325&lt;$E$16,$E$12,$F$13))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 t="n">
        <v>0</v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  <c r="AC325" s="15">
        <f>N325^2</f>
        <v/>
      </c>
      <c r="AD325" s="15">
        <f>ABS(N325)</f>
        <v/>
      </c>
      <c r="AE325" s="15">
        <f>IF(M325&gt;0, ABS(N325)*(L325-$D$16),0)</f>
        <v/>
      </c>
    </row>
    <row r="326">
      <c r="L326" s="15" t="n">
        <v>324</v>
      </c>
      <c r="M326" s="15">
        <f>IF(L326&lt;$D$16,$D$12,IF(L326&lt;$E$16,$E$12,$F$13))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 t="n">
        <v>0</v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  <c r="AC326" s="15">
        <f>N326^2</f>
        <v/>
      </c>
      <c r="AD326" s="15">
        <f>ABS(N326)</f>
        <v/>
      </c>
      <c r="AE326" s="15">
        <f>IF(M326&gt;0, ABS(N326)*(L326-$D$16),0)</f>
        <v/>
      </c>
    </row>
    <row r="327">
      <c r="L327" s="15" t="n">
        <v>325</v>
      </c>
      <c r="M327" s="15">
        <f>IF(L327&lt;$D$16,$D$12,IF(L327&lt;$E$16,$E$12,$F$13))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 t="n">
        <v>0</v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  <c r="AC327" s="15">
        <f>N327^2</f>
        <v/>
      </c>
      <c r="AD327" s="15">
        <f>ABS(N327)</f>
        <v/>
      </c>
      <c r="AE327" s="15">
        <f>IF(M327&gt;0, ABS(N327)*(L327-$D$16),0)</f>
        <v/>
      </c>
    </row>
    <row r="328">
      <c r="L328" s="15" t="n">
        <v>326</v>
      </c>
      <c r="M328" s="15">
        <f>IF(L328&lt;$D$16,$D$12,IF(L328&lt;$E$16,$E$12,$F$13))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 t="n">
        <v>0</v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  <c r="AC328" s="15">
        <f>N328^2</f>
        <v/>
      </c>
      <c r="AD328" s="15">
        <f>ABS(N328)</f>
        <v/>
      </c>
      <c r="AE328" s="15">
        <f>IF(M328&gt;0, ABS(N328)*(L328-$D$16),0)</f>
        <v/>
      </c>
    </row>
    <row r="329">
      <c r="L329" s="15" t="n">
        <v>327</v>
      </c>
      <c r="M329" s="15">
        <f>IF(L329&lt;$D$16,$D$12,IF(L329&lt;$E$16,$E$12,$F$13))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 t="n">
        <v>0</v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  <c r="AC329" s="15">
        <f>N329^2</f>
        <v/>
      </c>
      <c r="AD329" s="15">
        <f>ABS(N329)</f>
        <v/>
      </c>
      <c r="AE329" s="15">
        <f>IF(M329&gt;0, ABS(N329)*(L329-$D$16),0)</f>
        <v/>
      </c>
    </row>
    <row r="330">
      <c r="L330" s="15" t="n">
        <v>328</v>
      </c>
      <c r="M330" s="15">
        <f>IF(L330&lt;$D$16,$D$12,IF(L330&lt;$E$16,$E$12,$F$13))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 t="n">
        <v>0</v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  <c r="AC330" s="15">
        <f>N330^2</f>
        <v/>
      </c>
      <c r="AD330" s="15">
        <f>ABS(N330)</f>
        <v/>
      </c>
      <c r="AE330" s="15">
        <f>IF(M330&gt;0, ABS(N330)*(L330-$D$16),0)</f>
        <v/>
      </c>
    </row>
    <row r="331">
      <c r="L331" s="15" t="n">
        <v>329</v>
      </c>
      <c r="M331" s="15">
        <f>IF(L331&lt;$D$16,$D$12,IF(L331&lt;$E$16,$E$12,$F$13))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 t="n">
        <v>0</v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  <c r="AC331" s="15">
        <f>N331^2</f>
        <v/>
      </c>
      <c r="AD331" s="15">
        <f>ABS(N331)</f>
        <v/>
      </c>
      <c r="AE331" s="15">
        <f>IF(M331&gt;0, ABS(N331)*(L331-$D$16),0)</f>
        <v/>
      </c>
    </row>
    <row r="332">
      <c r="L332" s="15" t="n">
        <v>330</v>
      </c>
      <c r="M332" s="15">
        <f>IF(L332&lt;$D$16,$D$12,IF(L332&lt;$E$16,$E$12,$F$13))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 t="n">
        <v>0</v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  <c r="AC332" s="15">
        <f>N332^2</f>
        <v/>
      </c>
      <c r="AD332" s="15">
        <f>ABS(N332)</f>
        <v/>
      </c>
      <c r="AE332" s="15">
        <f>IF(M332&gt;0, ABS(N332)*(L332-$D$16),0)</f>
        <v/>
      </c>
    </row>
    <row r="333" ht="13.8" customHeight="1">
      <c r="L333" s="15" t="n">
        <v>331</v>
      </c>
      <c r="M333" s="15">
        <f>IF(L333&lt;$D$16,$D$12,IF(L333&lt;$E$16,$E$12,$F$13))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 t="n">
        <v>0</v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  <c r="AC333" s="15">
        <f>N333^2</f>
        <v/>
      </c>
      <c r="AD333" s="15">
        <f>ABS(N333)</f>
        <v/>
      </c>
      <c r="AE333" s="15">
        <f>IF(M333&gt;0, ABS(N333)*(L333-$D$16),0)</f>
        <v/>
      </c>
    </row>
    <row r="334">
      <c r="L334" s="15" t="n">
        <v>332</v>
      </c>
      <c r="M334" s="15">
        <f>IF(L334&lt;$D$16,$D$12,IF(L334&lt;$E$16,$E$12,$F$13))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 t="n">
        <v>0</v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  <c r="AC334" s="15">
        <f>N334^2</f>
        <v/>
      </c>
      <c r="AD334" s="15">
        <f>ABS(N334)</f>
        <v/>
      </c>
      <c r="AE334" s="15">
        <f>IF(M334&gt;0, ABS(N334)*(L334-$D$16),0)</f>
        <v/>
      </c>
    </row>
    <row r="335">
      <c r="L335" s="15" t="n">
        <v>333</v>
      </c>
      <c r="M335" s="15">
        <f>IF(L335&lt;$D$16,$D$12,IF(L335&lt;$E$16,$E$12,$F$13))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 t="n">
        <v>0</v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  <c r="AC335" s="15">
        <f>N335^2</f>
        <v/>
      </c>
      <c r="AD335" s="15">
        <f>ABS(N335)</f>
        <v/>
      </c>
      <c r="AE335" s="15">
        <f>IF(M335&gt;0, ABS(N335)*(L335-$D$16),0)</f>
        <v/>
      </c>
    </row>
    <row r="336">
      <c r="L336" s="15" t="n">
        <v>334</v>
      </c>
      <c r="M336" s="15">
        <f>IF(L336&lt;$D$16,$D$12,IF(L336&lt;$E$16,$E$12,$F$13))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 t="n">
        <v>0</v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  <c r="AC336" s="15">
        <f>N336^2</f>
        <v/>
      </c>
      <c r="AD336" s="15">
        <f>ABS(N336)</f>
        <v/>
      </c>
      <c r="AE336" s="15">
        <f>IF(M336&gt;0, ABS(N336)*(L336-$D$16),0)</f>
        <v/>
      </c>
    </row>
    <row r="337">
      <c r="L337" s="15" t="n">
        <v>335</v>
      </c>
      <c r="M337" s="15">
        <f>IF(L337&lt;$D$16,$D$12,IF(L337&lt;$E$16,$E$12,$F$13))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 t="n">
        <v>0</v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  <c r="AC337" s="15">
        <f>N337^2</f>
        <v/>
      </c>
      <c r="AD337" s="15">
        <f>ABS(N337)</f>
        <v/>
      </c>
      <c r="AE337" s="15">
        <f>IF(M337&gt;0, ABS(N337)*(L337-$D$16),0)</f>
        <v/>
      </c>
    </row>
    <row r="338">
      <c r="L338" s="15" t="n">
        <v>336</v>
      </c>
      <c r="M338" s="15">
        <f>IF(L338&lt;$D$16,$D$12,IF(L338&lt;$E$16,$E$12,$F$13))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 t="n">
        <v>0</v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  <c r="AC338" s="15">
        <f>N338^2</f>
        <v/>
      </c>
      <c r="AD338" s="15">
        <f>ABS(N338)</f>
        <v/>
      </c>
      <c r="AE338" s="15">
        <f>IF(M338&gt;0, ABS(N338)*(L338-$D$16),0)</f>
        <v/>
      </c>
    </row>
    <row r="339">
      <c r="L339" s="15" t="n">
        <v>337</v>
      </c>
      <c r="M339" s="15">
        <f>IF(L339&lt;$D$16,$D$12,IF(L339&lt;$E$16,$E$12,$F$13))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 t="n">
        <v>0</v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  <c r="AC339" s="15">
        <f>N339^2</f>
        <v/>
      </c>
      <c r="AD339" s="15">
        <f>ABS(N339)</f>
        <v/>
      </c>
      <c r="AE339" s="15">
        <f>IF(M339&gt;0, ABS(N339)*(L339-$D$16),0)</f>
        <v/>
      </c>
    </row>
    <row r="340">
      <c r="L340" s="15" t="n">
        <v>338</v>
      </c>
      <c r="M340" s="15">
        <f>IF(L340&lt;$D$16,$D$12,IF(L340&lt;$E$16,$E$12,$F$13))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 t="n">
        <v>0</v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  <c r="AC340" s="15">
        <f>N340^2</f>
        <v/>
      </c>
      <c r="AD340" s="15">
        <f>ABS(N340)</f>
        <v/>
      </c>
      <c r="AE340" s="15">
        <f>IF(M340&gt;0, ABS(N340)*(L340-$D$16),0)</f>
        <v/>
      </c>
    </row>
    <row r="341">
      <c r="L341" s="15" t="n">
        <v>339</v>
      </c>
      <c r="M341" s="15">
        <f>IF(L341&lt;$D$16,$D$12,IF(L341&lt;$E$16,$E$12,$F$13))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 t="n">
        <v>0</v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  <c r="AC341" s="15">
        <f>N341^2</f>
        <v/>
      </c>
      <c r="AD341" s="15">
        <f>ABS(N341)</f>
        <v/>
      </c>
      <c r="AE341" s="15">
        <f>IF(M341&gt;0, ABS(N341)*(L341-$D$16),0)</f>
        <v/>
      </c>
    </row>
    <row r="342">
      <c r="L342" s="15" t="n">
        <v>340</v>
      </c>
      <c r="M342" s="15">
        <f>IF(L342&lt;$D$16,$D$12,IF(L342&lt;$E$16,$E$12,$F$13))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 t="n">
        <v>0</v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  <c r="AC342" s="15">
        <f>N342^2</f>
        <v/>
      </c>
      <c r="AD342" s="15">
        <f>ABS(N342)</f>
        <v/>
      </c>
      <c r="AE342" s="15">
        <f>IF(M342&gt;0, ABS(N342)*(L342-$D$16),0)</f>
        <v/>
      </c>
    </row>
    <row r="343">
      <c r="L343" s="15" t="n">
        <v>341</v>
      </c>
      <c r="M343" s="15">
        <f>IF(L343&lt;$D$16,$D$12,IF(L343&lt;$E$16,$E$12,$F$13))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 t="n">
        <v>0</v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  <c r="AC343" s="15">
        <f>N343^2</f>
        <v/>
      </c>
      <c r="AD343" s="15">
        <f>ABS(N343)</f>
        <v/>
      </c>
      <c r="AE343" s="15">
        <f>IF(M343&gt;0, ABS(N343)*(L343-$D$16),0)</f>
        <v/>
      </c>
    </row>
    <row r="344">
      <c r="L344" s="15" t="n">
        <v>342</v>
      </c>
      <c r="M344" s="15">
        <f>IF(L344&lt;$D$16,$D$12,IF(L344&lt;$E$16,$E$12,$F$13))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 t="n">
        <v>0</v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  <c r="AC344" s="15">
        <f>N344^2</f>
        <v/>
      </c>
      <c r="AD344" s="15">
        <f>ABS(N344)</f>
        <v/>
      </c>
      <c r="AE344" s="15">
        <f>IF(M344&gt;0, ABS(N344)*(L344-$D$16),0)</f>
        <v/>
      </c>
    </row>
    <row r="345">
      <c r="L345" s="15" t="n">
        <v>343</v>
      </c>
      <c r="M345" s="15">
        <f>IF(L345&lt;$D$16,$D$12,IF(L345&lt;$E$16,$E$12,$F$13))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 t="n">
        <v>0</v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  <c r="AC345" s="15">
        <f>N345^2</f>
        <v/>
      </c>
      <c r="AD345" s="15">
        <f>ABS(N345)</f>
        <v/>
      </c>
      <c r="AE345" s="15">
        <f>IF(M345&gt;0, ABS(N345)*(L345-$D$16),0)</f>
        <v/>
      </c>
    </row>
    <row r="346">
      <c r="L346" s="15" t="n">
        <v>344</v>
      </c>
      <c r="M346" s="15">
        <f>IF(L346&lt;$D$16,$D$12,IF(L346&lt;$E$16,$E$12,$F$13))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 t="n">
        <v>0</v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  <c r="AC346" s="15">
        <f>N346^2</f>
        <v/>
      </c>
      <c r="AD346" s="15">
        <f>ABS(N346)</f>
        <v/>
      </c>
      <c r="AE346" s="15">
        <f>IF(M346&gt;0, ABS(N346)*(L346-$D$16),0)</f>
        <v/>
      </c>
    </row>
    <row r="347">
      <c r="L347" s="15" t="n">
        <v>345</v>
      </c>
      <c r="M347" s="15">
        <f>IF(L347&lt;$D$16,$D$12,IF(L347&lt;$E$16,$E$12,$F$13))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 t="n">
        <v>0</v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  <c r="AC347" s="15">
        <f>N347^2</f>
        <v/>
      </c>
      <c r="AD347" s="15">
        <f>ABS(N347)</f>
        <v/>
      </c>
      <c r="AE347" s="15">
        <f>IF(M347&gt;0, ABS(N347)*(L347-$D$16),0)</f>
        <v/>
      </c>
    </row>
    <row r="348">
      <c r="L348" s="15" t="n">
        <v>346</v>
      </c>
      <c r="M348" s="15">
        <f>IF(L348&lt;$D$16,$D$12,IF(L348&lt;$E$16,$E$12,$F$13))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 t="n">
        <v>0</v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  <c r="AC348" s="15">
        <f>N348^2</f>
        <v/>
      </c>
      <c r="AD348" s="15">
        <f>ABS(N348)</f>
        <v/>
      </c>
      <c r="AE348" s="15">
        <f>IF(M348&gt;0, ABS(N348)*(L348-$D$16),0)</f>
        <v/>
      </c>
    </row>
    <row r="349">
      <c r="L349" s="15" t="n">
        <v>347</v>
      </c>
      <c r="M349" s="15">
        <f>IF(L349&lt;$D$16,$D$12,IF(L349&lt;$E$16,$E$12,$F$13))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 t="n">
        <v>0</v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  <c r="AC349" s="15">
        <f>N349^2</f>
        <v/>
      </c>
      <c r="AD349" s="15">
        <f>ABS(N349)</f>
        <v/>
      </c>
      <c r="AE349" s="15">
        <f>IF(M349&gt;0, ABS(N349)*(L349-$D$16),0)</f>
        <v/>
      </c>
    </row>
    <row r="350">
      <c r="L350" s="15" t="n">
        <v>348</v>
      </c>
      <c r="M350" s="15">
        <f>IF(L350&lt;$D$16,$D$12,IF(L350&lt;$E$16,$E$12,$F$13))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 t="n">
        <v>0</v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  <c r="AC350" s="15">
        <f>N350^2</f>
        <v/>
      </c>
      <c r="AD350" s="15">
        <f>ABS(N350)</f>
        <v/>
      </c>
      <c r="AE350" s="15">
        <f>IF(M350&gt;0, ABS(N350)*(L350-$D$16),0)</f>
        <v/>
      </c>
    </row>
    <row r="351">
      <c r="L351" s="15" t="n">
        <v>349</v>
      </c>
      <c r="M351" s="15">
        <f>IF(L351&lt;$D$16,$D$12,IF(L351&lt;$E$16,$E$12,$F$13))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 t="n">
        <v>0</v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  <c r="AC351" s="15">
        <f>N351^2</f>
        <v/>
      </c>
      <c r="AD351" s="15">
        <f>ABS(N351)</f>
        <v/>
      </c>
      <c r="AE351" s="15">
        <f>IF(M351&gt;0, ABS(N351)*(L351-$D$16),0)</f>
        <v/>
      </c>
    </row>
    <row r="352">
      <c r="L352" s="15" t="n">
        <v>350</v>
      </c>
      <c r="M352" s="15">
        <f>IF(L352&lt;$D$16,$D$12,IF(L352&lt;$E$16,$E$12,$F$13))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 t="n">
        <v>0</v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  <c r="AC352" s="15">
        <f>N352^2</f>
        <v/>
      </c>
      <c r="AD352" s="15">
        <f>ABS(N352)</f>
        <v/>
      </c>
      <c r="AE352" s="15">
        <f>IF(M352&gt;0, ABS(N352)*(L352-$D$16),0)</f>
        <v/>
      </c>
    </row>
    <row r="353">
      <c r="L353" s="15" t="n">
        <v>351</v>
      </c>
      <c r="M353" s="15">
        <f>IF(L353&lt;$D$16,$D$12,IF(L353&lt;$E$16,$E$12,$F$13))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 t="n">
        <v>0</v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  <c r="AC353" s="15">
        <f>N353^2</f>
        <v/>
      </c>
      <c r="AD353" s="15">
        <f>ABS(N353)</f>
        <v/>
      </c>
      <c r="AE353" s="15">
        <f>IF(M353&gt;0, ABS(N353)*(L353-$D$16),0)</f>
        <v/>
      </c>
    </row>
    <row r="354">
      <c r="L354" s="15" t="n">
        <v>352</v>
      </c>
      <c r="M354" s="15">
        <f>IF(L354&lt;$D$16,$D$12,IF(L354&lt;$E$16,$E$12,$F$13))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 t="n">
        <v>0</v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  <c r="AC354" s="15">
        <f>N354^2</f>
        <v/>
      </c>
      <c r="AD354" s="15">
        <f>ABS(N354)</f>
        <v/>
      </c>
      <c r="AE354" s="15">
        <f>IF(M354&gt;0, ABS(N354)*(L354-$D$16),0)</f>
        <v/>
      </c>
    </row>
    <row r="355">
      <c r="L355" s="15" t="n">
        <v>353</v>
      </c>
      <c r="M355" s="15">
        <f>IF(L355&lt;$D$16,$D$12,IF(L355&lt;$E$16,$E$12,$F$13))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 t="n">
        <v>0</v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  <c r="AC355" s="15">
        <f>N355^2</f>
        <v/>
      </c>
      <c r="AD355" s="15">
        <f>ABS(N355)</f>
        <v/>
      </c>
      <c r="AE355" s="15">
        <f>IF(M355&gt;0, ABS(N355)*(L355-$D$16),0)</f>
        <v/>
      </c>
    </row>
    <row r="356">
      <c r="L356" s="15" t="n">
        <v>354</v>
      </c>
      <c r="M356" s="15">
        <f>IF(L356&lt;$D$16,$D$12,IF(L356&lt;$E$16,$E$12,$F$13))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 t="n">
        <v>0</v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  <c r="AC356" s="15">
        <f>N356^2</f>
        <v/>
      </c>
      <c r="AD356" s="15">
        <f>ABS(N356)</f>
        <v/>
      </c>
      <c r="AE356" s="15">
        <f>IF(M356&gt;0, ABS(N356)*(L356-$D$16),0)</f>
        <v/>
      </c>
    </row>
    <row r="357">
      <c r="L357" s="15" t="n">
        <v>355</v>
      </c>
      <c r="M357" s="15">
        <f>IF(L357&lt;$D$16,$D$12,IF(L357&lt;$E$16,$E$12,$F$13))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 t="n">
        <v>0</v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  <c r="AC357" s="15">
        <f>N357^2</f>
        <v/>
      </c>
      <c r="AD357" s="15">
        <f>ABS(N357)</f>
        <v/>
      </c>
      <c r="AE357" s="15">
        <f>IF(M357&gt;0, ABS(N357)*(L357-$D$16),0)</f>
        <v/>
      </c>
    </row>
    <row r="358">
      <c r="L358" s="15" t="n">
        <v>356</v>
      </c>
      <c r="M358" s="15">
        <f>IF(L358&lt;$D$16,$D$12,IF(L358&lt;$E$16,$E$12,$F$13))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 t="n">
        <v>0</v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  <c r="AC358" s="15">
        <f>N358^2</f>
        <v/>
      </c>
      <c r="AD358" s="15">
        <f>ABS(N358)</f>
        <v/>
      </c>
      <c r="AE358" s="15">
        <f>IF(M358&gt;0, ABS(N358)*(L358-$D$16),0)</f>
        <v/>
      </c>
    </row>
    <row r="359">
      <c r="L359" s="15" t="n">
        <v>357</v>
      </c>
      <c r="M359" s="15">
        <f>IF(L359&lt;$D$16,$D$12,IF(L359&lt;$E$16,$E$12,$F$13))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 t="n">
        <v>0</v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  <c r="AC359" s="15">
        <f>N359^2</f>
        <v/>
      </c>
      <c r="AD359" s="15">
        <f>ABS(N359)</f>
        <v/>
      </c>
      <c r="AE359" s="15">
        <f>IF(M359&gt;0, ABS(N359)*(L359-$D$16),0)</f>
        <v/>
      </c>
    </row>
    <row r="360">
      <c r="L360" s="15" t="n">
        <v>358</v>
      </c>
      <c r="M360" s="15">
        <f>IF(L360&lt;$D$16,$D$12,IF(L360&lt;$E$16,$E$12,$F$13))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 t="n">
        <v>0</v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  <c r="AC360" s="15">
        <f>N360^2</f>
        <v/>
      </c>
      <c r="AD360" s="15">
        <f>ABS(N360)</f>
        <v/>
      </c>
      <c r="AE360" s="15">
        <f>IF(M360&gt;0, ABS(N360)*(L360-$D$16),0)</f>
        <v/>
      </c>
    </row>
    <row r="361">
      <c r="L361" s="15" t="n">
        <v>359</v>
      </c>
      <c r="M361" s="15">
        <f>IF(L361&lt;$D$16,$D$12,IF(L361&lt;$E$16,$E$12,$F$13))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 t="n">
        <v>0</v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  <c r="AC361" s="15">
        <f>N361^2</f>
        <v/>
      </c>
      <c r="AD361" s="15">
        <f>ABS(N361)</f>
        <v/>
      </c>
      <c r="AE361" s="15">
        <f>IF(M361&gt;0, ABS(N361)*(L361-$D$16),0)</f>
        <v/>
      </c>
    </row>
    <row r="362">
      <c r="L362" s="15" t="n">
        <v>360</v>
      </c>
      <c r="M362" s="15">
        <f>IF(L362&lt;$D$16,$D$12,IF(L362&lt;$E$16,$E$12,$F$13))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 t="n">
        <v>0</v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  <c r="AC362" s="15">
        <f>N362^2</f>
        <v/>
      </c>
      <c r="AD362" s="15">
        <f>ABS(N362)</f>
        <v/>
      </c>
      <c r="AE362" s="15">
        <f>IF(M362&gt;0, ABS(N362)*(L362-$D$16),0)</f>
        <v/>
      </c>
    </row>
    <row r="363">
      <c r="L363" s="15" t="n">
        <v>361</v>
      </c>
      <c r="M363" s="15">
        <f>IF(L363&lt;$D$16,$D$12,IF(L363&lt;$E$16,$E$12,$F$13))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 t="n">
        <v>0</v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  <c r="AC363" s="15">
        <f>N363^2</f>
        <v/>
      </c>
      <c r="AD363" s="15">
        <f>ABS(N363)</f>
        <v/>
      </c>
      <c r="AE363" s="15">
        <f>IF(M363&gt;0, ABS(N363)*(L363-$D$16),0)</f>
        <v/>
      </c>
    </row>
    <row r="364">
      <c r="L364" s="15" t="n">
        <v>362</v>
      </c>
      <c r="M364" s="15">
        <f>IF(L364&lt;$D$16,$D$12,IF(L364&lt;$E$16,$E$12,$F$13))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 t="n">
        <v>0</v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  <c r="AC364" s="15">
        <f>N364^2</f>
        <v/>
      </c>
      <c r="AD364" s="15">
        <f>ABS(N364)</f>
        <v/>
      </c>
      <c r="AE364" s="15">
        <f>IF(M364&gt;0, ABS(N364)*(L364-$D$16),0)</f>
        <v/>
      </c>
    </row>
    <row r="365">
      <c r="L365" s="15" t="n">
        <v>363</v>
      </c>
      <c r="M365" s="15">
        <f>IF(L365&lt;$D$16,$D$12,IF(L365&lt;$E$16,$E$12,$F$13))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 t="n">
        <v>0</v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  <c r="AC365" s="15">
        <f>N365^2</f>
        <v/>
      </c>
      <c r="AD365" s="15">
        <f>ABS(N365)</f>
        <v/>
      </c>
      <c r="AE365" s="15">
        <f>IF(M365&gt;0, ABS(N365)*(L365-$D$16),0)</f>
        <v/>
      </c>
    </row>
    <row r="366">
      <c r="L366" s="15" t="n">
        <v>364</v>
      </c>
      <c r="M366" s="15">
        <f>IF(L366&lt;$D$16,$D$12,IF(L366&lt;$E$16,$E$12,$F$13))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 t="n">
        <v>0</v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  <c r="AC366" s="15">
        <f>N366^2</f>
        <v/>
      </c>
      <c r="AD366" s="15">
        <f>ABS(N366)</f>
        <v/>
      </c>
      <c r="AE366" s="15">
        <f>IF(M366&gt;0, ABS(N366)*(L366-$D$16),0)</f>
        <v/>
      </c>
    </row>
    <row r="367">
      <c r="L367" s="15" t="n">
        <v>365</v>
      </c>
      <c r="M367" s="15">
        <f>IF(L367&lt;$D$16,$D$12,IF(L367&lt;$E$16,$E$12,$F$13))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 t="n">
        <v>0</v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  <c r="AC367" s="15">
        <f>N367^2</f>
        <v/>
      </c>
      <c r="AD367" s="15">
        <f>ABS(N367)</f>
        <v/>
      </c>
      <c r="AE367" s="15">
        <f>IF(M367&gt;0, ABS(N367)*(L367-$D$16),0)</f>
        <v/>
      </c>
    </row>
    <row r="368">
      <c r="L368" s="15" t="n">
        <v>366</v>
      </c>
      <c r="M368" s="15">
        <f>IF(L368&lt;$D$16,$D$12,IF(L368&lt;$E$16,$E$12,$F$13))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 t="n">
        <v>0</v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  <c r="AC368" s="15">
        <f>N368^2</f>
        <v/>
      </c>
      <c r="AD368" s="15">
        <f>ABS(N368)</f>
        <v/>
      </c>
      <c r="AE368" s="15">
        <f>IF(M368&gt;0, ABS(N368)*(L368-$D$16),0)</f>
        <v/>
      </c>
    </row>
    <row r="369">
      <c r="L369" s="15" t="n">
        <v>367</v>
      </c>
      <c r="M369" s="15">
        <f>IF(L369&lt;$D$16,$D$12,IF(L369&lt;$E$16,$E$12,$F$13))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 t="n">
        <v>0</v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  <c r="AC369" s="15">
        <f>N369^2</f>
        <v/>
      </c>
      <c r="AD369" s="15">
        <f>ABS(N369)</f>
        <v/>
      </c>
      <c r="AE369" s="15">
        <f>IF(M369&gt;0, ABS(N369)*(L369-$D$16),0)</f>
        <v/>
      </c>
    </row>
    <row r="370">
      <c r="L370" s="15" t="n">
        <v>368</v>
      </c>
      <c r="M370" s="15">
        <f>IF(L370&lt;$D$16,$D$12,IF(L370&lt;$E$16,$E$12,$F$13))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 t="n">
        <v>0</v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  <c r="AC370" s="15">
        <f>N370^2</f>
        <v/>
      </c>
      <c r="AD370" s="15">
        <f>ABS(N370)</f>
        <v/>
      </c>
      <c r="AE370" s="15">
        <f>IF(M370&gt;0, ABS(N370)*(L370-$D$16),0)</f>
        <v/>
      </c>
    </row>
    <row r="371">
      <c r="L371" s="15" t="n">
        <v>369</v>
      </c>
      <c r="M371" s="15">
        <f>IF(L371&lt;$D$16,$D$12,IF(L371&lt;$E$16,$E$12,$F$13))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 t="n">
        <v>0</v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  <c r="AC371" s="15">
        <f>N371^2</f>
        <v/>
      </c>
      <c r="AD371" s="15">
        <f>ABS(N371)</f>
        <v/>
      </c>
      <c r="AE371" s="15">
        <f>IF(M371&gt;0, ABS(N371)*(L371-$D$16),0)</f>
        <v/>
      </c>
    </row>
    <row r="372">
      <c r="L372" s="15" t="n">
        <v>370</v>
      </c>
      <c r="M372" s="15">
        <f>IF(L372&lt;$D$16,$D$12,IF(L372&lt;$E$16,$E$12,$F$13))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 t="n">
        <v>0</v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  <c r="AC372" s="15">
        <f>N372^2</f>
        <v/>
      </c>
      <c r="AD372" s="15">
        <f>ABS(N372)</f>
        <v/>
      </c>
      <c r="AE372" s="15">
        <f>IF(M372&gt;0, ABS(N372)*(L372-$D$16),0)</f>
        <v/>
      </c>
    </row>
    <row r="373">
      <c r="L373" s="15" t="n">
        <v>371</v>
      </c>
      <c r="M373" s="15">
        <f>IF(L373&lt;$D$16,$D$12,IF(L373&lt;$E$16,$E$12,$F$13))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 t="n">
        <v>0</v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  <c r="AC373" s="15">
        <f>N373^2</f>
        <v/>
      </c>
      <c r="AD373" s="15">
        <f>ABS(N373)</f>
        <v/>
      </c>
      <c r="AE373" s="15">
        <f>IF(M373&gt;0, ABS(N373)*(L373-$D$16),0)</f>
        <v/>
      </c>
    </row>
    <row r="374">
      <c r="L374" s="15" t="n">
        <v>372</v>
      </c>
      <c r="M374" s="15">
        <f>IF(L374&lt;$D$16,$D$12,IF(L374&lt;$E$16,$E$12,$F$13))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 t="n">
        <v>0</v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  <c r="AC374" s="15">
        <f>N374^2</f>
        <v/>
      </c>
      <c r="AD374" s="15">
        <f>ABS(N374)</f>
        <v/>
      </c>
      <c r="AE374" s="15">
        <f>IF(M374&gt;0, ABS(N374)*(L374-$D$16),0)</f>
        <v/>
      </c>
    </row>
    <row r="375">
      <c r="L375" s="15" t="n">
        <v>373</v>
      </c>
      <c r="M375" s="15">
        <f>IF(L375&lt;$D$16,$D$12,IF(L375&lt;$E$16,$E$12,$F$13))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 t="n">
        <v>0</v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  <c r="AC375" s="15">
        <f>N375^2</f>
        <v/>
      </c>
      <c r="AD375" s="15">
        <f>ABS(N375)</f>
        <v/>
      </c>
      <c r="AE375" s="15">
        <f>IF(M375&gt;0, ABS(N375)*(L375-$D$16),0)</f>
        <v/>
      </c>
    </row>
    <row r="376">
      <c r="L376" s="15" t="n">
        <v>374</v>
      </c>
      <c r="M376" s="15">
        <f>IF(L376&lt;$D$16,$D$12,IF(L376&lt;$E$16,$E$12,$F$13))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 t="n">
        <v>0</v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  <c r="AC376" s="15">
        <f>N376^2</f>
        <v/>
      </c>
      <c r="AD376" s="15">
        <f>ABS(N376)</f>
        <v/>
      </c>
      <c r="AE376" s="15">
        <f>IF(M376&gt;0, ABS(N376)*(L376-$D$16),0)</f>
        <v/>
      </c>
    </row>
    <row r="377">
      <c r="L377" s="15" t="n">
        <v>375</v>
      </c>
      <c r="M377" s="15">
        <f>IF(L377&lt;$D$16,$D$12,IF(L377&lt;$E$16,$E$12,$F$13))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 t="n">
        <v>0</v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  <c r="AC377" s="15">
        <f>N377^2</f>
        <v/>
      </c>
      <c r="AD377" s="15">
        <f>ABS(N377)</f>
        <v/>
      </c>
      <c r="AE377" s="15">
        <f>IF(M377&gt;0, ABS(N377)*(L377-$D$16),0)</f>
        <v/>
      </c>
    </row>
    <row r="378">
      <c r="L378" s="15" t="n">
        <v>376</v>
      </c>
      <c r="M378" s="15">
        <f>IF(L378&lt;$D$16,$D$12,IF(L378&lt;$E$16,$E$12,$F$13))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 t="n">
        <v>0</v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  <c r="AC378" s="15">
        <f>N378^2</f>
        <v/>
      </c>
      <c r="AD378" s="15">
        <f>ABS(N378)</f>
        <v/>
      </c>
      <c r="AE378" s="15">
        <f>IF(M378&gt;0, ABS(N378)*(L378-$D$16),0)</f>
        <v/>
      </c>
    </row>
    <row r="379">
      <c r="L379" s="15" t="n">
        <v>377</v>
      </c>
      <c r="M379" s="15">
        <f>IF(L379&lt;$D$16,$D$12,IF(L379&lt;$E$16,$E$12,$F$13))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 t="n">
        <v>0</v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  <c r="AC379" s="15">
        <f>N379^2</f>
        <v/>
      </c>
      <c r="AD379" s="15">
        <f>ABS(N379)</f>
        <v/>
      </c>
      <c r="AE379" s="15">
        <f>IF(M379&gt;0, ABS(N379)*(L379-$D$16),0)</f>
        <v/>
      </c>
    </row>
    <row r="380">
      <c r="L380" s="15" t="n">
        <v>378</v>
      </c>
      <c r="M380" s="15">
        <f>IF(L380&lt;$D$16,$D$12,IF(L380&lt;$E$16,$E$12,$F$13))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 t="n">
        <v>0</v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  <c r="AC380" s="15">
        <f>N380^2</f>
        <v/>
      </c>
      <c r="AD380" s="15">
        <f>ABS(N380)</f>
        <v/>
      </c>
      <c r="AE380" s="15">
        <f>IF(M380&gt;0, ABS(N380)*(L380-$D$16),0)</f>
        <v/>
      </c>
    </row>
    <row r="381">
      <c r="L381" s="15" t="n">
        <v>379</v>
      </c>
      <c r="M381" s="15">
        <f>IF(L381&lt;$D$16,$D$12,IF(L381&lt;$E$16,$E$12,$F$13))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 t="n">
        <v>0</v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  <c r="AC381" s="15">
        <f>N381^2</f>
        <v/>
      </c>
      <c r="AD381" s="15">
        <f>ABS(N381)</f>
        <v/>
      </c>
      <c r="AE381" s="15">
        <f>IF(M381&gt;0, ABS(N381)*(L381-$D$16),0)</f>
        <v/>
      </c>
    </row>
    <row r="382">
      <c r="L382" s="15" t="n">
        <v>380</v>
      </c>
      <c r="M382" s="15">
        <f>IF(L382&lt;$D$16,$D$12,IF(L382&lt;$E$16,$E$12,$F$13))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 t="n">
        <v>0</v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  <c r="AC382" s="15">
        <f>N382^2</f>
        <v/>
      </c>
      <c r="AD382" s="15">
        <f>ABS(N382)</f>
        <v/>
      </c>
      <c r="AE382" s="15">
        <f>IF(M382&gt;0, ABS(N382)*(L382-$D$16),0)</f>
        <v/>
      </c>
    </row>
    <row r="383">
      <c r="L383" s="15" t="n">
        <v>381</v>
      </c>
      <c r="M383" s="15">
        <f>IF(L383&lt;$D$16,$D$12,IF(L383&lt;$E$16,$E$12,$F$13))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 t="n">
        <v>0</v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  <c r="AC383" s="15">
        <f>N383^2</f>
        <v/>
      </c>
      <c r="AD383" s="15">
        <f>ABS(N383)</f>
        <v/>
      </c>
      <c r="AE383" s="15">
        <f>IF(M383&gt;0, ABS(N383)*(L383-$D$16),0)</f>
        <v/>
      </c>
    </row>
    <row r="384">
      <c r="L384" s="15" t="n">
        <v>382</v>
      </c>
      <c r="M384" s="15">
        <f>IF(L384&lt;$D$16,$D$12,IF(L384&lt;$E$16,$E$12,$F$13))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 t="n">
        <v>0</v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  <c r="AC384" s="15">
        <f>N384^2</f>
        <v/>
      </c>
      <c r="AD384" s="15">
        <f>ABS(N384)</f>
        <v/>
      </c>
      <c r="AE384" s="15">
        <f>IF(M384&gt;0, ABS(N384)*(L384-$D$16),0)</f>
        <v/>
      </c>
    </row>
    <row r="385">
      <c r="L385" s="15" t="n">
        <v>383</v>
      </c>
      <c r="M385" s="15">
        <f>IF(L385&lt;$D$16,$D$12,IF(L385&lt;$E$16,$E$12,$F$13))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 t="n">
        <v>0</v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  <c r="AC385" s="15">
        <f>N385^2</f>
        <v/>
      </c>
      <c r="AD385" s="15">
        <f>ABS(N385)</f>
        <v/>
      </c>
      <c r="AE385" s="15">
        <f>IF(M385&gt;0, ABS(N385)*(L385-$D$16),0)</f>
        <v/>
      </c>
    </row>
    <row r="386">
      <c r="L386" s="15" t="n">
        <v>384</v>
      </c>
      <c r="M386" s="15">
        <f>IF(L386&lt;$D$16,$D$12,IF(L386&lt;$E$16,$E$12,$F$13))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 t="n">
        <v>0</v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  <c r="AC386" s="15">
        <f>N386^2</f>
        <v/>
      </c>
      <c r="AD386" s="15">
        <f>ABS(N386)</f>
        <v/>
      </c>
      <c r="AE386" s="15">
        <f>IF(M386&gt;0, ABS(N386)*(L386-$D$16),0)</f>
        <v/>
      </c>
    </row>
    <row r="387">
      <c r="L387" s="15" t="n">
        <v>385</v>
      </c>
      <c r="M387" s="15">
        <f>IF(L387&lt;$D$16,$D$12,IF(L387&lt;$E$16,$E$12,$F$13))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 t="n">
        <v>0</v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  <c r="AC387" s="15">
        <f>N387^2</f>
        <v/>
      </c>
      <c r="AD387" s="15">
        <f>ABS(N387)</f>
        <v/>
      </c>
      <c r="AE387" s="15">
        <f>IF(M387&gt;0, ABS(N387)*(L387-$D$16),0)</f>
        <v/>
      </c>
    </row>
    <row r="388">
      <c r="L388" s="15" t="n">
        <v>386</v>
      </c>
      <c r="M388" s="15">
        <f>IF(L388&lt;$D$16,$D$12,IF(L388&lt;$E$16,$E$12,$F$13))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 t="n">
        <v>0</v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  <c r="AC388" s="15">
        <f>N388^2</f>
        <v/>
      </c>
      <c r="AD388" s="15">
        <f>ABS(N388)</f>
        <v/>
      </c>
      <c r="AE388" s="15">
        <f>IF(M388&gt;0, ABS(N388)*(L388-$D$16),0)</f>
        <v/>
      </c>
    </row>
    <row r="389">
      <c r="L389" s="15" t="n">
        <v>387</v>
      </c>
      <c r="M389" s="15">
        <f>IF(L389&lt;$D$16,$D$12,IF(L389&lt;$E$16,$E$12,$F$13))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 t="n">
        <v>0</v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  <c r="AC389" s="15">
        <f>N389^2</f>
        <v/>
      </c>
      <c r="AD389" s="15">
        <f>ABS(N389)</f>
        <v/>
      </c>
      <c r="AE389" s="15">
        <f>IF(M389&gt;0, ABS(N389)*(L389-$D$16),0)</f>
        <v/>
      </c>
    </row>
    <row r="390">
      <c r="L390" s="15" t="n">
        <v>388</v>
      </c>
      <c r="M390" s="15">
        <f>IF(L390&lt;$D$16,$D$12,IF(L390&lt;$E$16,$E$12,$F$13))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 t="n">
        <v>0</v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  <c r="AC390" s="15">
        <f>N390^2</f>
        <v/>
      </c>
      <c r="AD390" s="15">
        <f>ABS(N390)</f>
        <v/>
      </c>
      <c r="AE390" s="15">
        <f>IF(M390&gt;0, ABS(N390)*(L390-$D$16),0)</f>
        <v/>
      </c>
    </row>
    <row r="391">
      <c r="L391" s="15" t="n">
        <v>389</v>
      </c>
      <c r="M391" s="15">
        <f>IF(L391&lt;$D$16,$D$12,IF(L391&lt;$E$16,$E$12,$F$13))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 t="n">
        <v>0</v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  <c r="AC391" s="15">
        <f>N391^2</f>
        <v/>
      </c>
      <c r="AD391" s="15">
        <f>ABS(N391)</f>
        <v/>
      </c>
      <c r="AE391" s="15">
        <f>IF(M391&gt;0, ABS(N391)*(L391-$D$16),0)</f>
        <v/>
      </c>
    </row>
    <row r="392">
      <c r="L392" s="15" t="n">
        <v>390</v>
      </c>
      <c r="M392" s="15">
        <f>IF(L392&lt;$D$16,$D$12,IF(L392&lt;$E$16,$E$12,$F$13))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 t="n">
        <v>0</v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  <c r="AC392" s="15">
        <f>N392^2</f>
        <v/>
      </c>
      <c r="AD392" s="15">
        <f>ABS(N392)</f>
        <v/>
      </c>
      <c r="AE392" s="15">
        <f>IF(M392&gt;0, ABS(N392)*(L392-$D$16),0)</f>
        <v/>
      </c>
    </row>
    <row r="393">
      <c r="L393" s="15" t="n">
        <v>391</v>
      </c>
      <c r="M393" s="15">
        <f>IF(L393&lt;$D$16,$D$12,IF(L393&lt;$E$16,$E$12,$F$13))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 t="n">
        <v>0</v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  <c r="AC393" s="15">
        <f>N393^2</f>
        <v/>
      </c>
      <c r="AD393" s="15">
        <f>ABS(N393)</f>
        <v/>
      </c>
      <c r="AE393" s="15">
        <f>IF(M393&gt;0, ABS(N393)*(L393-$D$16),0)</f>
        <v/>
      </c>
    </row>
    <row r="394">
      <c r="L394" s="15" t="n">
        <v>392</v>
      </c>
      <c r="M394" s="15">
        <f>IF(L394&lt;$D$16,$D$12,IF(L394&lt;$E$16,$E$12,$F$13))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 t="n">
        <v>0</v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  <c r="AC394" s="15">
        <f>N394^2</f>
        <v/>
      </c>
      <c r="AD394" s="15">
        <f>ABS(N394)</f>
        <v/>
      </c>
      <c r="AE394" s="15">
        <f>IF(M394&gt;0, ABS(N394)*(L394-$D$16),0)</f>
        <v/>
      </c>
    </row>
    <row r="395">
      <c r="L395" s="15" t="n">
        <v>393</v>
      </c>
      <c r="M395" s="15">
        <f>IF(L395&lt;$D$16,$D$12,IF(L395&lt;$E$16,$E$12,$F$13))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 t="n">
        <v>0</v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  <c r="AC395" s="15">
        <f>N395^2</f>
        <v/>
      </c>
      <c r="AD395" s="15">
        <f>ABS(N395)</f>
        <v/>
      </c>
      <c r="AE395" s="15">
        <f>IF(M395&gt;0, ABS(N395)*(L395-$D$16),0)</f>
        <v/>
      </c>
    </row>
    <row r="396">
      <c r="L396" s="15" t="n">
        <v>394</v>
      </c>
      <c r="M396" s="15">
        <f>IF(L396&lt;$D$16,$D$12,IF(L396&lt;$E$16,$E$12,$F$13))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 t="n">
        <v>0</v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  <c r="AC396" s="15">
        <f>N396^2</f>
        <v/>
      </c>
      <c r="AD396" s="15">
        <f>ABS(N396)</f>
        <v/>
      </c>
      <c r="AE396" s="15">
        <f>IF(M396&gt;0, ABS(N396)*(L396-$D$16),0)</f>
        <v/>
      </c>
    </row>
    <row r="397">
      <c r="L397" s="15" t="n">
        <v>395</v>
      </c>
      <c r="M397" s="15">
        <f>IF(L397&lt;$D$16,$D$12,IF(L397&lt;$E$16,$E$12,$F$13))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 t="n">
        <v>0</v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  <c r="AC397" s="15">
        <f>N397^2</f>
        <v/>
      </c>
      <c r="AD397" s="15">
        <f>ABS(N397)</f>
        <v/>
      </c>
      <c r="AE397" s="15">
        <f>IF(M397&gt;0, ABS(N397)*(L397-$D$16),0)</f>
        <v/>
      </c>
    </row>
    <row r="398">
      <c r="L398" s="15" t="n">
        <v>396</v>
      </c>
      <c r="M398" s="15">
        <f>IF(L398&lt;$D$16,$D$12,IF(L398&lt;$E$16,$E$12,$F$13))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 t="n">
        <v>0</v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  <c r="AC398" s="15">
        <f>N398^2</f>
        <v/>
      </c>
      <c r="AD398" s="15">
        <f>ABS(N398)</f>
        <v/>
      </c>
      <c r="AE398" s="15">
        <f>IF(M398&gt;0, ABS(N398)*(L398-$D$16),0)</f>
        <v/>
      </c>
    </row>
    <row r="399">
      <c r="L399" s="15" t="n">
        <v>397</v>
      </c>
      <c r="M399" s="15">
        <f>IF(L399&lt;$D$16,$D$12,IF(L399&lt;$E$16,$E$12,$F$13))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 t="n">
        <v>0</v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  <c r="AC399" s="15">
        <f>N399^2</f>
        <v/>
      </c>
      <c r="AD399" s="15">
        <f>ABS(N399)</f>
        <v/>
      </c>
      <c r="AE399" s="15">
        <f>IF(M399&gt;0, ABS(N399)*(L399-$D$16),0)</f>
        <v/>
      </c>
    </row>
    <row r="400">
      <c r="L400" s="15" t="n">
        <v>398</v>
      </c>
      <c r="M400" s="15">
        <f>IF(L400&lt;$D$16,$D$12,IF(L400&lt;$E$16,$E$12,$F$13))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 t="n">
        <v>0</v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  <c r="AC400" s="15">
        <f>N400^2</f>
        <v/>
      </c>
      <c r="AD400" s="15">
        <f>ABS(N400)</f>
        <v/>
      </c>
      <c r="AE400" s="15">
        <f>IF(M400&gt;0, ABS(N400)*(L400-$D$16),0)</f>
        <v/>
      </c>
    </row>
    <row r="401">
      <c r="L401" s="15" t="n">
        <v>399</v>
      </c>
      <c r="M401" s="15">
        <f>IF(L401&lt;$D$16,$D$12,IF(L401&lt;$E$16,$E$12,$F$13))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 t="n">
        <v>0</v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  <c r="AC401" s="15">
        <f>N401^2</f>
        <v/>
      </c>
      <c r="AD401" s="15">
        <f>ABS(N401)</f>
        <v/>
      </c>
      <c r="AE401" s="15">
        <f>IF(M401&gt;0, ABS(N401)*(L401-$D$16),0)</f>
        <v/>
      </c>
    </row>
    <row r="402">
      <c r="L402" s="15" t="n">
        <v>400</v>
      </c>
      <c r="M402" s="15">
        <f>IF(L402&lt;$D$16,$D$12,IF(L402&lt;$E$16,$E$12,$F$13))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 t="n">
        <v>0</v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  <c r="AC402" s="15">
        <f>N402^2</f>
        <v/>
      </c>
      <c r="AD402" s="15">
        <f>ABS(N402)</f>
        <v/>
      </c>
      <c r="AE402" s="15">
        <f>IF(M402&gt;0, ABS(N402)*(L402-$D$16),0)</f>
        <v/>
      </c>
    </row>
    <row r="403">
      <c r="L403" s="15" t="n">
        <v>401</v>
      </c>
      <c r="M403" s="15">
        <f>IF(L403&lt;$D$16,$D$12,IF(L403&lt;$E$16,$E$12,$F$13))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 t="n">
        <v>0</v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  <c r="AC403" s="15">
        <f>N403^2</f>
        <v/>
      </c>
      <c r="AD403" s="15">
        <f>ABS(N403)</f>
        <v/>
      </c>
      <c r="AE403" s="15">
        <f>IF(M403&gt;0, ABS(N403)*(L403-$D$16),0)</f>
        <v/>
      </c>
    </row>
    <row r="404">
      <c r="L404" s="15" t="n">
        <v>402</v>
      </c>
      <c r="M404" s="15">
        <f>IF(L404&lt;$D$16,$D$12,IF(L404&lt;$E$16,$E$12,$F$13))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 t="n">
        <v>0</v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  <c r="AC404" s="15">
        <f>N404^2</f>
        <v/>
      </c>
      <c r="AD404" s="15">
        <f>ABS(N404)</f>
        <v/>
      </c>
      <c r="AE404" s="15">
        <f>IF(M404&gt;0, ABS(N404)*(L404-$D$16),0)</f>
        <v/>
      </c>
    </row>
    <row r="405">
      <c r="L405" s="15" t="n">
        <v>403</v>
      </c>
      <c r="M405" s="15">
        <f>IF(L405&lt;$D$16,$D$12,IF(L405&lt;$E$16,$E$12,$F$13))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 t="n">
        <v>0</v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  <c r="AC405" s="15">
        <f>N405^2</f>
        <v/>
      </c>
      <c r="AD405" s="15">
        <f>ABS(N405)</f>
        <v/>
      </c>
      <c r="AE405" s="15">
        <f>IF(M405&gt;0, ABS(N405)*(L405-$D$16),0)</f>
        <v/>
      </c>
    </row>
    <row r="406">
      <c r="L406" s="15" t="n">
        <v>404</v>
      </c>
      <c r="M406" s="15">
        <f>IF(L406&lt;$D$16,$D$12,IF(L406&lt;$E$16,$E$12,$F$13))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 t="n">
        <v>0</v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  <c r="AC406" s="15">
        <f>N406^2</f>
        <v/>
      </c>
      <c r="AD406" s="15">
        <f>ABS(N406)</f>
        <v/>
      </c>
      <c r="AE406" s="15">
        <f>IF(M406&gt;0, ABS(N406)*(L406-$D$16),0)</f>
        <v/>
      </c>
    </row>
    <row r="407">
      <c r="L407" s="15" t="n">
        <v>405</v>
      </c>
      <c r="M407" s="15">
        <f>IF(L407&lt;$D$16,$D$12,IF(L407&lt;$E$16,$E$12,$F$13))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 t="n">
        <v>0</v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  <c r="AC407" s="15">
        <f>N407^2</f>
        <v/>
      </c>
      <c r="AD407" s="15">
        <f>ABS(N407)</f>
        <v/>
      </c>
      <c r="AE407" s="15">
        <f>IF(M407&gt;0, ABS(N407)*(L407-$D$16),0)</f>
        <v/>
      </c>
    </row>
    <row r="408">
      <c r="L408" s="15" t="n">
        <v>406</v>
      </c>
      <c r="M408" s="15">
        <f>IF(L408&lt;$D$16,$D$12,IF(L408&lt;$E$16,$E$12,$F$13))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 t="n">
        <v>0</v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  <c r="AC408" s="15">
        <f>N408^2</f>
        <v/>
      </c>
      <c r="AD408" s="15">
        <f>ABS(N408)</f>
        <v/>
      </c>
      <c r="AE408" s="15">
        <f>IF(M408&gt;0, ABS(N408)*(L408-$D$16),0)</f>
        <v/>
      </c>
    </row>
    <row r="409">
      <c r="L409" s="15" t="n">
        <v>407</v>
      </c>
      <c r="M409" s="15">
        <f>IF(L409&lt;$D$16,$D$12,IF(L409&lt;$E$16,$E$12,$F$13))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 t="n">
        <v>0</v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  <c r="AC409" s="15">
        <f>N409^2</f>
        <v/>
      </c>
      <c r="AD409" s="15">
        <f>ABS(N409)</f>
        <v/>
      </c>
      <c r="AE409" s="15">
        <f>IF(M409&gt;0, ABS(N409)*(L409-$D$16),0)</f>
        <v/>
      </c>
    </row>
    <row r="410">
      <c r="L410" s="15" t="n">
        <v>408</v>
      </c>
      <c r="M410" s="15">
        <f>IF(L410&lt;$D$16,$D$12,IF(L410&lt;$E$16,$E$12,$F$13))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 t="n">
        <v>0</v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  <c r="AC410" s="15">
        <f>N410^2</f>
        <v/>
      </c>
      <c r="AD410" s="15">
        <f>ABS(N410)</f>
        <v/>
      </c>
      <c r="AE410" s="15">
        <f>IF(M410&gt;0, ABS(N410)*(L410-$D$16),0)</f>
        <v/>
      </c>
    </row>
    <row r="411">
      <c r="L411" s="15" t="n">
        <v>409</v>
      </c>
      <c r="M411" s="15">
        <f>IF(L411&lt;$D$16,$D$12,IF(L411&lt;$E$16,$E$12,$F$13))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 t="n">
        <v>0</v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  <c r="AC411" s="15">
        <f>N411^2</f>
        <v/>
      </c>
      <c r="AD411" s="15">
        <f>ABS(N411)</f>
        <v/>
      </c>
      <c r="AE411" s="15">
        <f>IF(M411&gt;0, ABS(N411)*(L411-$D$16),0)</f>
        <v/>
      </c>
    </row>
    <row r="412">
      <c r="L412" s="15" t="n">
        <v>410</v>
      </c>
      <c r="M412" s="15">
        <f>IF(L412&lt;$D$16,$D$12,IF(L412&lt;$E$16,$E$12,$F$13))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 t="n">
        <v>0</v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  <c r="AC412" s="15">
        <f>N412^2</f>
        <v/>
      </c>
      <c r="AD412" s="15">
        <f>ABS(N412)</f>
        <v/>
      </c>
      <c r="AE412" s="15">
        <f>IF(M412&gt;0, ABS(N412)*(L412-$D$16),0)</f>
        <v/>
      </c>
    </row>
    <row r="413">
      <c r="L413" s="15" t="n">
        <v>411</v>
      </c>
      <c r="M413" s="15">
        <f>IF(L413&lt;$D$16,$D$12,IF(L413&lt;$E$16,$E$12,$F$13))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 t="n">
        <v>0</v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  <c r="AC413" s="15">
        <f>N413^2</f>
        <v/>
      </c>
      <c r="AD413" s="15">
        <f>ABS(N413)</f>
        <v/>
      </c>
      <c r="AE413" s="15">
        <f>IF(M413&gt;0, ABS(N413)*(L413-$D$16),0)</f>
        <v/>
      </c>
    </row>
    <row r="414">
      <c r="L414" s="15" t="n">
        <v>412</v>
      </c>
      <c r="M414" s="15">
        <f>IF(L414&lt;$D$16,$D$12,IF(L414&lt;$E$16,$E$12,$F$13))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 t="n">
        <v>0</v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  <c r="AC414" s="15">
        <f>N414^2</f>
        <v/>
      </c>
      <c r="AD414" s="15">
        <f>ABS(N414)</f>
        <v/>
      </c>
      <c r="AE414" s="15">
        <f>IF(M414&gt;0, ABS(N414)*(L414-$D$16),0)</f>
        <v/>
      </c>
    </row>
    <row r="415">
      <c r="L415" s="15" t="n">
        <v>413</v>
      </c>
      <c r="M415" s="15">
        <f>IF(L415&lt;$D$16,$D$12,IF(L415&lt;$E$16,$E$12,$F$13))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 t="n">
        <v>0</v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  <c r="AC415" s="15">
        <f>N415^2</f>
        <v/>
      </c>
      <c r="AD415" s="15">
        <f>ABS(N415)</f>
        <v/>
      </c>
      <c r="AE415" s="15">
        <f>IF(M415&gt;0, ABS(N415)*(L415-$D$16),0)</f>
        <v/>
      </c>
    </row>
    <row r="416">
      <c r="L416" s="15" t="n">
        <v>414</v>
      </c>
      <c r="M416" s="15">
        <f>IF(L416&lt;$D$16,$D$12,IF(L416&lt;$E$16,$E$12,$F$13))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 t="n">
        <v>0</v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  <c r="AC416" s="15">
        <f>N416^2</f>
        <v/>
      </c>
      <c r="AD416" s="15">
        <f>ABS(N416)</f>
        <v/>
      </c>
      <c r="AE416" s="15">
        <f>IF(M416&gt;0, ABS(N416)*(L416-$D$16),0)</f>
        <v/>
      </c>
    </row>
    <row r="417">
      <c r="L417" s="15" t="n">
        <v>415</v>
      </c>
      <c r="M417" s="15">
        <f>IF(L417&lt;$D$16,$D$12,IF(L417&lt;$E$16,$E$12,$F$13))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 t="n">
        <v>0</v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  <c r="AC417" s="15">
        <f>N417^2</f>
        <v/>
      </c>
      <c r="AD417" s="15">
        <f>ABS(N417)</f>
        <v/>
      </c>
      <c r="AE417" s="15">
        <f>IF(M417&gt;0, ABS(N417)*(L417-$D$16),0)</f>
        <v/>
      </c>
    </row>
    <row r="418">
      <c r="L418" s="15" t="n">
        <v>416</v>
      </c>
      <c r="M418" s="15">
        <f>IF(L418&lt;$D$16,$D$12,IF(L418&lt;$E$16,$E$12,$F$13))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 t="n">
        <v>0</v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  <c r="AC418" s="15">
        <f>N418^2</f>
        <v/>
      </c>
      <c r="AD418" s="15">
        <f>ABS(N418)</f>
        <v/>
      </c>
      <c r="AE418" s="15">
        <f>IF(M418&gt;0, ABS(N418)*(L418-$D$16),0)</f>
        <v/>
      </c>
    </row>
    <row r="419">
      <c r="L419" s="15" t="n">
        <v>417</v>
      </c>
      <c r="M419" s="15">
        <f>IF(L419&lt;$D$16,$D$12,IF(L419&lt;$E$16,$E$12,$F$13))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 t="n">
        <v>0</v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  <c r="AC419" s="15">
        <f>N419^2</f>
        <v/>
      </c>
      <c r="AD419" s="15">
        <f>ABS(N419)</f>
        <v/>
      </c>
      <c r="AE419" s="15">
        <f>IF(M419&gt;0, ABS(N419)*(L419-$D$16),0)</f>
        <v/>
      </c>
    </row>
    <row r="420">
      <c r="L420" s="15" t="n">
        <v>418</v>
      </c>
      <c r="M420" s="15">
        <f>IF(L420&lt;$D$16,$D$12,IF(L420&lt;$E$16,$E$12,$F$13))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 t="n">
        <v>0</v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  <c r="AC420" s="15">
        <f>N420^2</f>
        <v/>
      </c>
      <c r="AD420" s="15">
        <f>ABS(N420)</f>
        <v/>
      </c>
      <c r="AE420" s="15">
        <f>IF(M420&gt;0, ABS(N420)*(L420-$D$16),0)</f>
        <v/>
      </c>
    </row>
    <row r="421">
      <c r="L421" s="15" t="n">
        <v>419</v>
      </c>
      <c r="M421" s="15">
        <f>IF(L421&lt;$D$16,$D$12,IF(L421&lt;$E$16,$E$12,$F$13))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 t="n">
        <v>0</v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  <c r="AC421" s="15">
        <f>N421^2</f>
        <v/>
      </c>
      <c r="AD421" s="15">
        <f>ABS(N421)</f>
        <v/>
      </c>
      <c r="AE421" s="15">
        <f>IF(M421&gt;0, ABS(N421)*(L421-$D$16),0)</f>
        <v/>
      </c>
    </row>
    <row r="422">
      <c r="L422" s="15" t="n">
        <v>420</v>
      </c>
      <c r="M422" s="15">
        <f>IF(L422&lt;$D$16,$D$12,IF(L422&lt;$E$16,$E$12,$F$13))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 t="n">
        <v>0</v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  <c r="AC422" s="15">
        <f>N422^2</f>
        <v/>
      </c>
      <c r="AD422" s="15">
        <f>ABS(N422)</f>
        <v/>
      </c>
      <c r="AE422" s="15">
        <f>IF(M422&gt;0, ABS(N422)*(L422-$D$16),0)</f>
        <v/>
      </c>
    </row>
    <row r="423">
      <c r="L423" s="15" t="n">
        <v>421</v>
      </c>
      <c r="M423" s="15">
        <f>IF(L423&lt;$D$16,$D$12,IF(L423&lt;$E$16,$E$12,$F$13))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 t="n">
        <v>0</v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  <c r="AC423" s="15">
        <f>N423^2</f>
        <v/>
      </c>
      <c r="AD423" s="15">
        <f>ABS(N423)</f>
        <v/>
      </c>
      <c r="AE423" s="15">
        <f>IF(M423&gt;0, ABS(N423)*(L423-$D$16),0)</f>
        <v/>
      </c>
    </row>
    <row r="424">
      <c r="L424" s="15" t="n">
        <v>422</v>
      </c>
      <c r="M424" s="15">
        <f>IF(L424&lt;$D$16,$D$12,IF(L424&lt;$E$16,$E$12,$F$13))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 t="n">
        <v>0</v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  <c r="AC424" s="15">
        <f>N424^2</f>
        <v/>
      </c>
      <c r="AD424" s="15">
        <f>ABS(N424)</f>
        <v/>
      </c>
      <c r="AE424" s="15">
        <f>IF(M424&gt;0, ABS(N424)*(L424-$D$16),0)</f>
        <v/>
      </c>
    </row>
    <row r="425">
      <c r="L425" s="15" t="n">
        <v>423</v>
      </c>
      <c r="M425" s="15">
        <f>IF(L425&lt;$D$16,$D$12,IF(L425&lt;$E$16,$E$12,$F$13))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 t="n">
        <v>0</v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  <c r="AC425" s="15">
        <f>N425^2</f>
        <v/>
      </c>
      <c r="AD425" s="15">
        <f>ABS(N425)</f>
        <v/>
      </c>
      <c r="AE425" s="15">
        <f>IF(M425&gt;0, ABS(N425)*(L425-$D$16),0)</f>
        <v/>
      </c>
    </row>
    <row r="426">
      <c r="L426" s="15" t="n">
        <v>424</v>
      </c>
      <c r="M426" s="15">
        <f>IF(L426&lt;$D$16,$D$12,IF(L426&lt;$E$16,$E$12,$F$13))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 t="n">
        <v>0</v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  <c r="AC426" s="15">
        <f>N426^2</f>
        <v/>
      </c>
      <c r="AD426" s="15">
        <f>ABS(N426)</f>
        <v/>
      </c>
      <c r="AE426" s="15">
        <f>IF(M426&gt;0, ABS(N426)*(L426-$D$16),0)</f>
        <v/>
      </c>
    </row>
    <row r="427">
      <c r="L427" s="15" t="n">
        <v>425</v>
      </c>
      <c r="M427" s="15">
        <f>IF(L427&lt;$D$16,$D$12,IF(L427&lt;$E$16,$E$12,$F$13))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 t="n">
        <v>0</v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  <c r="AC427" s="15">
        <f>N427^2</f>
        <v/>
      </c>
      <c r="AD427" s="15">
        <f>ABS(N427)</f>
        <v/>
      </c>
      <c r="AE427" s="15">
        <f>IF(M427&gt;0, ABS(N427)*(L427-$D$16),0)</f>
        <v/>
      </c>
    </row>
    <row r="428">
      <c r="L428" s="15" t="n">
        <v>426</v>
      </c>
      <c r="M428" s="15">
        <f>IF(L428&lt;$D$16,$D$12,IF(L428&lt;$E$16,$E$12,$F$13))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 t="n">
        <v>0</v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  <c r="AC428" s="15">
        <f>N428^2</f>
        <v/>
      </c>
      <c r="AD428" s="15">
        <f>ABS(N428)</f>
        <v/>
      </c>
      <c r="AE428" s="15">
        <f>IF(M428&gt;0, ABS(N428)*(L428-$D$16),0)</f>
        <v/>
      </c>
    </row>
    <row r="429">
      <c r="L429" s="15" t="n">
        <v>427</v>
      </c>
      <c r="M429" s="15">
        <f>IF(L429&lt;$D$16,$D$12,IF(L429&lt;$E$16,$E$12,$F$13))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 t="n">
        <v>0</v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  <c r="AC429" s="15">
        <f>N429^2</f>
        <v/>
      </c>
      <c r="AD429" s="15">
        <f>ABS(N429)</f>
        <v/>
      </c>
      <c r="AE429" s="15">
        <f>IF(M429&gt;0, ABS(N429)*(L429-$D$16),0)</f>
        <v/>
      </c>
    </row>
    <row r="430">
      <c r="L430" s="15" t="n">
        <v>428</v>
      </c>
      <c r="M430" s="15">
        <f>IF(L430&lt;$D$16,$D$12,IF(L430&lt;$E$16,$E$12,$F$13))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 t="n">
        <v>0</v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  <c r="AC430" s="15">
        <f>N430^2</f>
        <v/>
      </c>
      <c r="AD430" s="15">
        <f>ABS(N430)</f>
        <v/>
      </c>
      <c r="AE430" s="15">
        <f>IF(M430&gt;0, ABS(N430)*(L430-$D$16),0)</f>
        <v/>
      </c>
    </row>
    <row r="431">
      <c r="L431" s="15" t="n">
        <v>429</v>
      </c>
      <c r="M431" s="15">
        <f>IF(L431&lt;$D$16,$D$12,IF(L431&lt;$E$16,$E$12,$F$13))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 t="n">
        <v>0</v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  <c r="AC431" s="15">
        <f>N431^2</f>
        <v/>
      </c>
      <c r="AD431" s="15">
        <f>ABS(N431)</f>
        <v/>
      </c>
      <c r="AE431" s="15">
        <f>IF(M431&gt;0, ABS(N431)*(L431-$D$16),0)</f>
        <v/>
      </c>
    </row>
    <row r="432">
      <c r="L432" s="15" t="n">
        <v>430</v>
      </c>
      <c r="M432" s="15">
        <f>IF(L432&lt;$D$16,$D$12,IF(L432&lt;$E$16,$E$12,$F$13))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 t="n">
        <v>0</v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  <c r="AC432" s="15">
        <f>N432^2</f>
        <v/>
      </c>
      <c r="AD432" s="15">
        <f>ABS(N432)</f>
        <v/>
      </c>
      <c r="AE432" s="15">
        <f>IF(M432&gt;0, ABS(N432)*(L432-$D$16),0)</f>
        <v/>
      </c>
    </row>
    <row r="433">
      <c r="L433" s="15" t="n">
        <v>431</v>
      </c>
      <c r="M433" s="15">
        <f>IF(L433&lt;$D$16,$D$12,IF(L433&lt;$E$16,$E$12,$F$13))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 t="n">
        <v>0</v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  <c r="AC433" s="15">
        <f>N433^2</f>
        <v/>
      </c>
      <c r="AD433" s="15">
        <f>ABS(N433)</f>
        <v/>
      </c>
      <c r="AE433" s="15">
        <f>IF(M433&gt;0, ABS(N433)*(L433-$D$16),0)</f>
        <v/>
      </c>
    </row>
    <row r="434">
      <c r="L434" s="15" t="n">
        <v>432</v>
      </c>
      <c r="M434" s="15">
        <f>IF(L434&lt;$D$16,$D$12,IF(L434&lt;$E$16,$E$12,$F$13))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 t="n">
        <v>0</v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  <c r="AC434" s="15">
        <f>N434^2</f>
        <v/>
      </c>
      <c r="AD434" s="15">
        <f>ABS(N434)</f>
        <v/>
      </c>
      <c r="AE434" s="15">
        <f>IF(M434&gt;0, ABS(N434)*(L434-$D$16),0)</f>
        <v/>
      </c>
    </row>
    <row r="435">
      <c r="L435" s="15" t="n">
        <v>433</v>
      </c>
      <c r="M435" s="15">
        <f>IF(L435&lt;$D$16,$D$12,IF(L435&lt;$E$16,$E$12,$F$13))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 t="n">
        <v>0</v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  <c r="AC435" s="15">
        <f>N435^2</f>
        <v/>
      </c>
      <c r="AD435" s="15">
        <f>ABS(N435)</f>
        <v/>
      </c>
      <c r="AE435" s="15">
        <f>IF(M435&gt;0, ABS(N435)*(L435-$D$16),0)</f>
        <v/>
      </c>
    </row>
    <row r="436">
      <c r="L436" s="15" t="n">
        <v>434</v>
      </c>
      <c r="M436" s="15">
        <f>IF(L436&lt;$D$16,$D$12,IF(L436&lt;$E$16,$E$12,$F$13))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 t="n">
        <v>0</v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  <c r="AC436" s="15">
        <f>N436^2</f>
        <v/>
      </c>
      <c r="AD436" s="15">
        <f>ABS(N436)</f>
        <v/>
      </c>
      <c r="AE436" s="15">
        <f>IF(M436&gt;0, ABS(N436)*(L436-$D$16),0)</f>
        <v/>
      </c>
    </row>
    <row r="437">
      <c r="L437" s="15" t="n">
        <v>435</v>
      </c>
      <c r="M437" s="15">
        <f>IF(L437&lt;$D$16,$D$12,IF(L437&lt;$E$16,$E$12,$F$13))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 t="n">
        <v>0</v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  <c r="AC437" s="15">
        <f>N437^2</f>
        <v/>
      </c>
      <c r="AD437" s="15">
        <f>ABS(N437)</f>
        <v/>
      </c>
      <c r="AE437" s="15">
        <f>IF(M437&gt;0, ABS(N437)*(L437-$D$16),0)</f>
        <v/>
      </c>
    </row>
    <row r="438">
      <c r="L438" s="15" t="n">
        <v>436</v>
      </c>
      <c r="M438" s="15">
        <f>IF(L438&lt;$D$16,$D$12,IF(L438&lt;$E$16,$E$12,$F$13))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 t="n">
        <v>0</v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  <c r="AC438" s="15">
        <f>N438^2</f>
        <v/>
      </c>
      <c r="AD438" s="15">
        <f>ABS(N438)</f>
        <v/>
      </c>
      <c r="AE438" s="15">
        <f>IF(M438&gt;0, ABS(N438)*(L438-$D$16),0)</f>
        <v/>
      </c>
    </row>
    <row r="439">
      <c r="L439" s="15" t="n">
        <v>437</v>
      </c>
      <c r="M439" s="15">
        <f>IF(L439&lt;$D$16,$D$12,IF(L439&lt;$E$16,$E$12,$F$13))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 t="n">
        <v>0</v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  <c r="AC439" s="15">
        <f>N439^2</f>
        <v/>
      </c>
      <c r="AD439" s="15">
        <f>ABS(N439)</f>
        <v/>
      </c>
      <c r="AE439" s="15">
        <f>IF(M439&gt;0, ABS(N439)*(L439-$D$16),0)</f>
        <v/>
      </c>
    </row>
    <row r="440">
      <c r="L440" s="15" t="n">
        <v>438</v>
      </c>
      <c r="M440" s="15">
        <f>IF(L440&lt;$D$16,$D$12,IF(L440&lt;$E$16,$E$12,$F$13))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 t="n">
        <v>0</v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  <c r="AC440" s="15">
        <f>N440^2</f>
        <v/>
      </c>
      <c r="AD440" s="15">
        <f>ABS(N440)</f>
        <v/>
      </c>
      <c r="AE440" s="15">
        <f>IF(M440&gt;0, ABS(N440)*(L440-$D$16),0)</f>
        <v/>
      </c>
    </row>
    <row r="441">
      <c r="L441" s="15" t="n">
        <v>439</v>
      </c>
      <c r="M441" s="15">
        <f>IF(L441&lt;$D$16,$D$12,IF(L441&lt;$E$16,$E$12,$F$13))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 t="n">
        <v>0</v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  <c r="AC441" s="15">
        <f>N441^2</f>
        <v/>
      </c>
      <c r="AD441" s="15">
        <f>ABS(N441)</f>
        <v/>
      </c>
      <c r="AE441" s="15">
        <f>IF(M441&gt;0, ABS(N441)*(L441-$D$16),0)</f>
        <v/>
      </c>
    </row>
    <row r="442">
      <c r="L442" s="15" t="n">
        <v>440</v>
      </c>
      <c r="M442" s="15">
        <f>IF(L442&lt;$D$16,$D$12,IF(L442&lt;$E$16,$E$12,$F$13))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 t="n">
        <v>0</v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  <c r="AC442" s="15">
        <f>N442^2</f>
        <v/>
      </c>
      <c r="AD442" s="15">
        <f>ABS(N442)</f>
        <v/>
      </c>
      <c r="AE442" s="15">
        <f>IF(M442&gt;0, ABS(N442)*(L442-$D$16),0)</f>
        <v/>
      </c>
    </row>
    <row r="443">
      <c r="L443" s="15" t="n">
        <v>441</v>
      </c>
      <c r="M443" s="15">
        <f>IF(L443&lt;$D$16,$D$12,IF(L443&lt;$E$16,$E$12,$F$13))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 t="n">
        <v>0</v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  <c r="AC443" s="15">
        <f>N443^2</f>
        <v/>
      </c>
      <c r="AD443" s="15">
        <f>ABS(N443)</f>
        <v/>
      </c>
      <c r="AE443" s="15">
        <f>IF(M443&gt;0, ABS(N443)*(L443-$D$16),0)</f>
        <v/>
      </c>
    </row>
    <row r="444">
      <c r="L444" s="15" t="n">
        <v>442</v>
      </c>
      <c r="M444" s="15">
        <f>IF(L444&lt;$D$16,$D$12,IF(L444&lt;$E$16,$E$12,$F$13))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 t="n">
        <v>0</v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  <c r="AC444" s="15">
        <f>N444^2</f>
        <v/>
      </c>
      <c r="AD444" s="15">
        <f>ABS(N444)</f>
        <v/>
      </c>
      <c r="AE444" s="15">
        <f>IF(M444&gt;0, ABS(N444)*(L444-$D$16),0)</f>
        <v/>
      </c>
    </row>
    <row r="445">
      <c r="L445" s="15" t="n">
        <v>443</v>
      </c>
      <c r="M445" s="15">
        <f>IF(L445&lt;$D$16,$D$12,IF(L445&lt;$E$16,$E$12,$F$13))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 t="n">
        <v>0</v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  <c r="AC445" s="15">
        <f>N445^2</f>
        <v/>
      </c>
      <c r="AD445" s="15">
        <f>ABS(N445)</f>
        <v/>
      </c>
      <c r="AE445" s="15">
        <f>IF(M445&gt;0, ABS(N445)*(L445-$D$16),0)</f>
        <v/>
      </c>
    </row>
    <row r="446">
      <c r="L446" s="15" t="n">
        <v>444</v>
      </c>
      <c r="M446" s="15">
        <f>IF(L446&lt;$D$16,$D$12,IF(L446&lt;$E$16,$E$12,$F$13))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 t="n">
        <v>0</v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  <c r="AC446" s="15">
        <f>N446^2</f>
        <v/>
      </c>
      <c r="AD446" s="15">
        <f>ABS(N446)</f>
        <v/>
      </c>
      <c r="AE446" s="15">
        <f>IF(M446&gt;0, ABS(N446)*(L446-$D$16),0)</f>
        <v/>
      </c>
    </row>
    <row r="447">
      <c r="L447" s="15" t="n">
        <v>445</v>
      </c>
      <c r="M447" s="15">
        <f>IF(L447&lt;$D$16,$D$12,IF(L447&lt;$E$16,$E$12,$F$13))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 t="n">
        <v>0</v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  <c r="AC447" s="15">
        <f>N447^2</f>
        <v/>
      </c>
      <c r="AD447" s="15">
        <f>ABS(N447)</f>
        <v/>
      </c>
      <c r="AE447" s="15">
        <f>IF(M447&gt;0, ABS(N447)*(L447-$D$16),0)</f>
        <v/>
      </c>
    </row>
    <row r="448">
      <c r="L448" s="15" t="n">
        <v>446</v>
      </c>
      <c r="M448" s="15">
        <f>IF(L448&lt;$D$16,$D$12,IF(L448&lt;$E$16,$E$12,$F$13))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 t="n">
        <v>0</v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  <c r="AC448" s="15">
        <f>N448^2</f>
        <v/>
      </c>
      <c r="AD448" s="15">
        <f>ABS(N448)</f>
        <v/>
      </c>
      <c r="AE448" s="15">
        <f>IF(M448&gt;0, ABS(N448)*(L448-$D$16),0)</f>
        <v/>
      </c>
    </row>
    <row r="449">
      <c r="L449" s="15" t="n">
        <v>447</v>
      </c>
      <c r="M449" s="15">
        <f>IF(L449&lt;$D$16,$D$12,IF(L449&lt;$E$16,$E$12,$F$13))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 t="n">
        <v>0</v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  <c r="AC449" s="15">
        <f>N449^2</f>
        <v/>
      </c>
      <c r="AD449" s="15">
        <f>ABS(N449)</f>
        <v/>
      </c>
      <c r="AE449" s="15">
        <f>IF(M449&gt;0, ABS(N449)*(L449-$D$16),0)</f>
        <v/>
      </c>
    </row>
    <row r="450">
      <c r="L450" s="15" t="n">
        <v>448</v>
      </c>
      <c r="M450" s="15">
        <f>IF(L450&lt;$D$16,$D$12,IF(L450&lt;$E$16,$E$12,$F$13))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 t="n">
        <v>0</v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  <c r="AC450" s="15">
        <f>N450^2</f>
        <v/>
      </c>
      <c r="AD450" s="15">
        <f>ABS(N450)</f>
        <v/>
      </c>
      <c r="AE450" s="15">
        <f>IF(M450&gt;0, ABS(N450)*(L450-$D$16),0)</f>
        <v/>
      </c>
    </row>
    <row r="451">
      <c r="L451" s="15" t="n">
        <v>449</v>
      </c>
      <c r="M451" s="15">
        <f>IF(L451&lt;$D$16,$D$12,IF(L451&lt;$E$16,$E$12,$F$13))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 t="n">
        <v>0</v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  <c r="AC451" s="15">
        <f>N451^2</f>
        <v/>
      </c>
      <c r="AD451" s="15">
        <f>ABS(N451)</f>
        <v/>
      </c>
      <c r="AE451" s="15">
        <f>IF(M451&gt;0, ABS(N451)*(L451-$D$16),0)</f>
        <v/>
      </c>
    </row>
    <row r="452">
      <c r="L452" s="15" t="n">
        <v>450</v>
      </c>
      <c r="M452" s="15">
        <f>IF(L452&lt;$D$16,$D$12,IF(L452&lt;$E$16,$E$12,$F$13))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 t="n">
        <v>0</v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  <c r="AC452" s="15">
        <f>N452^2</f>
        <v/>
      </c>
      <c r="AD452" s="15">
        <f>ABS(N452)</f>
        <v/>
      </c>
      <c r="AE452" s="15">
        <f>IF(M452&gt;0, ABS(N452)*(L452-$D$16),0)</f>
        <v/>
      </c>
    </row>
    <row r="453">
      <c r="L453" s="15" t="n">
        <v>451</v>
      </c>
      <c r="M453" s="15">
        <f>IF(L453&lt;$D$16,$D$12,IF(L453&lt;$E$16,$E$12,$F$13))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 t="n">
        <v>0</v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  <c r="AC453" s="15">
        <f>N453^2</f>
        <v/>
      </c>
      <c r="AD453" s="15">
        <f>ABS(N453)</f>
        <v/>
      </c>
      <c r="AE453" s="15">
        <f>IF(M453&gt;0, ABS(N453)*(L453-$D$16),0)</f>
        <v/>
      </c>
    </row>
    <row r="454">
      <c r="L454" s="15" t="n">
        <v>452</v>
      </c>
      <c r="M454" s="15">
        <f>IF(L454&lt;$D$16,$D$12,IF(L454&lt;$E$16,$E$12,$F$13))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 t="n">
        <v>0</v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  <c r="AC454" s="15">
        <f>N454^2</f>
        <v/>
      </c>
      <c r="AD454" s="15">
        <f>ABS(N454)</f>
        <v/>
      </c>
      <c r="AE454" s="15">
        <f>IF(M454&gt;0, ABS(N454)*(L454-$D$16),0)</f>
        <v/>
      </c>
    </row>
    <row r="455">
      <c r="L455" s="15" t="n">
        <v>453</v>
      </c>
      <c r="M455" s="15">
        <f>IF(L455&lt;$D$16,$D$12,IF(L455&lt;$E$16,$E$12,$F$13))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 t="n">
        <v>0</v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  <c r="AC455" s="15">
        <f>N455^2</f>
        <v/>
      </c>
      <c r="AD455" s="15">
        <f>ABS(N455)</f>
        <v/>
      </c>
      <c r="AE455" s="15">
        <f>IF(M455&gt;0, ABS(N455)*(L455-$D$16),0)</f>
        <v/>
      </c>
    </row>
    <row r="456">
      <c r="L456" s="15" t="n">
        <v>454</v>
      </c>
      <c r="M456" s="15">
        <f>IF(L456&lt;$D$16,$D$12,IF(L456&lt;$E$16,$E$12,$F$13))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 t="n">
        <v>0</v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  <c r="AC456" s="15">
        <f>N456^2</f>
        <v/>
      </c>
      <c r="AD456" s="15">
        <f>ABS(N456)</f>
        <v/>
      </c>
      <c r="AE456" s="15">
        <f>IF(M456&gt;0, ABS(N456)*(L456-$D$16),0)</f>
        <v/>
      </c>
    </row>
    <row r="457">
      <c r="L457" s="15" t="n">
        <v>455</v>
      </c>
      <c r="M457" s="15">
        <f>IF(L457&lt;$D$16,$D$12,IF(L457&lt;$E$16,$E$12,$F$13))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 t="n">
        <v>0</v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  <c r="AC457" s="15">
        <f>N457^2</f>
        <v/>
      </c>
      <c r="AD457" s="15">
        <f>ABS(N457)</f>
        <v/>
      </c>
      <c r="AE457" s="15">
        <f>IF(M457&gt;0, ABS(N457)*(L457-$D$16),0)</f>
        <v/>
      </c>
    </row>
    <row r="458">
      <c r="L458" s="15" t="n">
        <v>456</v>
      </c>
      <c r="M458" s="15">
        <f>IF(L458&lt;$D$16,$D$12,IF(L458&lt;$E$16,$E$12,$F$13))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 t="n">
        <v>0</v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  <c r="AC458" s="15">
        <f>N458^2</f>
        <v/>
      </c>
      <c r="AD458" s="15">
        <f>ABS(N458)</f>
        <v/>
      </c>
      <c r="AE458" s="15">
        <f>IF(M458&gt;0, ABS(N458)*(L458-$D$16),0)</f>
        <v/>
      </c>
    </row>
    <row r="459">
      <c r="L459" s="15" t="n">
        <v>457</v>
      </c>
      <c r="M459" s="15">
        <f>IF(L459&lt;$D$16,$D$12,IF(L459&lt;$E$16,$E$12,$F$13))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 t="n">
        <v>0</v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  <c r="AC459" s="15">
        <f>N459^2</f>
        <v/>
      </c>
      <c r="AD459" s="15">
        <f>ABS(N459)</f>
        <v/>
      </c>
      <c r="AE459" s="15">
        <f>IF(M459&gt;0, ABS(N459)*(L459-$D$16),0)</f>
        <v/>
      </c>
    </row>
    <row r="460">
      <c r="L460" s="15" t="n">
        <v>458</v>
      </c>
      <c r="M460" s="15">
        <f>IF(L460&lt;$D$16,$D$12,IF(L460&lt;$E$16,$E$12,$F$13))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 t="n">
        <v>0</v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  <c r="AC460" s="15">
        <f>N460^2</f>
        <v/>
      </c>
      <c r="AD460" s="15">
        <f>ABS(N460)</f>
        <v/>
      </c>
      <c r="AE460" s="15">
        <f>IF(M460&gt;0, ABS(N460)*(L460-$D$16),0)</f>
        <v/>
      </c>
    </row>
    <row r="461">
      <c r="L461" s="15" t="n">
        <v>459</v>
      </c>
      <c r="M461" s="15">
        <f>IF(L461&lt;$D$16,$D$12,IF(L461&lt;$E$16,$E$12,$F$13))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 t="n">
        <v>0</v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  <c r="AC461" s="15">
        <f>N461^2</f>
        <v/>
      </c>
      <c r="AD461" s="15">
        <f>ABS(N461)</f>
        <v/>
      </c>
      <c r="AE461" s="15">
        <f>IF(M461&gt;0, ABS(N461)*(L461-$D$16),0)</f>
        <v/>
      </c>
    </row>
    <row r="462">
      <c r="L462" s="15" t="n">
        <v>460</v>
      </c>
      <c r="M462" s="15">
        <f>IF(L462&lt;$D$16,$D$12,IF(L462&lt;$E$16,$E$12,$F$13))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 t="n">
        <v>0</v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  <c r="AC462" s="15">
        <f>N462^2</f>
        <v/>
      </c>
      <c r="AD462" s="15">
        <f>ABS(N462)</f>
        <v/>
      </c>
      <c r="AE462" s="15">
        <f>IF(M462&gt;0, ABS(N462)*(L462-$D$16),0)</f>
        <v/>
      </c>
    </row>
    <row r="463">
      <c r="L463" s="15" t="n">
        <v>461</v>
      </c>
      <c r="M463" s="15">
        <f>IF(L463&lt;$D$16,$D$12,IF(L463&lt;$E$16,$E$12,$F$13))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 t="n">
        <v>0</v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  <c r="AC463" s="15">
        <f>N463^2</f>
        <v/>
      </c>
      <c r="AD463" s="15">
        <f>ABS(N463)</f>
        <v/>
      </c>
      <c r="AE463" s="15">
        <f>IF(M463&gt;0, ABS(N463)*(L463-$D$16),0)</f>
        <v/>
      </c>
    </row>
    <row r="464">
      <c r="L464" s="15" t="n">
        <v>462</v>
      </c>
      <c r="M464" s="15">
        <f>IF(L464&lt;$D$16,$D$12,IF(L464&lt;$E$16,$E$12,$F$13))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 t="n">
        <v>0</v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  <c r="AC464" s="15">
        <f>N464^2</f>
        <v/>
      </c>
      <c r="AD464" s="15">
        <f>ABS(N464)</f>
        <v/>
      </c>
      <c r="AE464" s="15">
        <f>IF(M464&gt;0, ABS(N464)*(L464-$D$16),0)</f>
        <v/>
      </c>
    </row>
    <row r="465">
      <c r="L465" s="15" t="n">
        <v>463</v>
      </c>
      <c r="M465" s="15">
        <f>IF(L465&lt;$D$16,$D$12,IF(L465&lt;$E$16,$E$12,$F$13))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 t="n">
        <v>0</v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  <c r="AC465" s="15">
        <f>N465^2</f>
        <v/>
      </c>
      <c r="AD465" s="15">
        <f>ABS(N465)</f>
        <v/>
      </c>
      <c r="AE465" s="15">
        <f>IF(M465&gt;0, ABS(N465)*(L465-$D$16),0)</f>
        <v/>
      </c>
    </row>
    <row r="466">
      <c r="L466" s="15" t="n">
        <v>464</v>
      </c>
      <c r="M466" s="15">
        <f>IF(L466&lt;$D$16,$D$12,IF(L466&lt;$E$16,$E$12,$F$13))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 t="n">
        <v>0</v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  <c r="AC466" s="15">
        <f>N466^2</f>
        <v/>
      </c>
      <c r="AD466" s="15">
        <f>ABS(N466)</f>
        <v/>
      </c>
      <c r="AE466" s="15">
        <f>IF(M466&gt;0, ABS(N466)*(L466-$D$16),0)</f>
        <v/>
      </c>
    </row>
    <row r="467">
      <c r="L467" s="15" t="n">
        <v>465</v>
      </c>
      <c r="M467" s="15">
        <f>IF(L467&lt;$D$16,$D$12,IF(L467&lt;$E$16,$E$12,$F$13))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 t="n">
        <v>0</v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  <c r="AC467" s="15">
        <f>N467^2</f>
        <v/>
      </c>
      <c r="AD467" s="15">
        <f>ABS(N467)</f>
        <v/>
      </c>
      <c r="AE467" s="15">
        <f>IF(M467&gt;0, ABS(N467)*(L467-$D$16),0)</f>
        <v/>
      </c>
    </row>
    <row r="468">
      <c r="L468" s="15" t="n">
        <v>466</v>
      </c>
      <c r="M468" s="15">
        <f>IF(L468&lt;$D$16,$D$12,IF(L468&lt;$E$16,$E$12,$F$13))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 t="n">
        <v>0</v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  <c r="AC468" s="15">
        <f>N468^2</f>
        <v/>
      </c>
      <c r="AD468" s="15">
        <f>ABS(N468)</f>
        <v/>
      </c>
      <c r="AE468" s="15">
        <f>IF(M468&gt;0, ABS(N468)*(L468-$D$16),0)</f>
        <v/>
      </c>
    </row>
    <row r="469">
      <c r="L469" s="15" t="n">
        <v>467</v>
      </c>
      <c r="M469" s="15">
        <f>IF(L469&lt;$D$16,$D$12,IF(L469&lt;$E$16,$E$12,$F$13))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 t="n">
        <v>0</v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  <c r="AC469" s="15">
        <f>N469^2</f>
        <v/>
      </c>
      <c r="AD469" s="15">
        <f>ABS(N469)</f>
        <v/>
      </c>
      <c r="AE469" s="15">
        <f>IF(M469&gt;0, ABS(N469)*(L469-$D$16),0)</f>
        <v/>
      </c>
    </row>
    <row r="470">
      <c r="L470" s="15" t="n">
        <v>468</v>
      </c>
      <c r="M470" s="15">
        <f>IF(L470&lt;$D$16,$D$12,IF(L470&lt;$E$16,$E$12,$F$13))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 t="n">
        <v>0</v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  <c r="AC470" s="15">
        <f>N470^2</f>
        <v/>
      </c>
      <c r="AD470" s="15">
        <f>ABS(N470)</f>
        <v/>
      </c>
      <c r="AE470" s="15">
        <f>IF(M470&gt;0, ABS(N470)*(L470-$D$16),0)</f>
        <v/>
      </c>
    </row>
    <row r="471">
      <c r="L471" s="15" t="n">
        <v>469</v>
      </c>
      <c r="M471" s="15">
        <f>IF(L471&lt;$D$16,$D$12,IF(L471&lt;$E$16,$E$12,$F$13))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 t="n">
        <v>0</v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  <c r="AC471" s="15">
        <f>N471^2</f>
        <v/>
      </c>
      <c r="AD471" s="15">
        <f>ABS(N471)</f>
        <v/>
      </c>
      <c r="AE471" s="15">
        <f>IF(M471&gt;0, ABS(N471)*(L471-$D$16),0)</f>
        <v/>
      </c>
    </row>
    <row r="472">
      <c r="L472" s="15" t="n">
        <v>470</v>
      </c>
      <c r="M472" s="15">
        <f>IF(L472&lt;$D$16,$D$12,IF(L472&lt;$E$16,$E$12,$F$13))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 t="n">
        <v>0</v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  <c r="AC472" s="15">
        <f>N472^2</f>
        <v/>
      </c>
      <c r="AD472" s="15">
        <f>ABS(N472)</f>
        <v/>
      </c>
      <c r="AE472" s="15">
        <f>IF(M472&gt;0, ABS(N472)*(L472-$D$16),0)</f>
        <v/>
      </c>
    </row>
    <row r="473">
      <c r="L473" s="15" t="n">
        <v>471</v>
      </c>
      <c r="M473" s="15">
        <f>IF(L473&lt;$D$16,$D$12,IF(L473&lt;$E$16,$E$12,$F$13))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 t="n">
        <v>0</v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  <c r="AC473" s="15">
        <f>N473^2</f>
        <v/>
      </c>
      <c r="AD473" s="15">
        <f>ABS(N473)</f>
        <v/>
      </c>
      <c r="AE473" s="15">
        <f>IF(M473&gt;0, ABS(N473)*(L473-$D$16),0)</f>
        <v/>
      </c>
    </row>
    <row r="474">
      <c r="L474" s="15" t="n">
        <v>472</v>
      </c>
      <c r="M474" s="15">
        <f>IF(L474&lt;$D$16,$D$12,IF(L474&lt;$E$16,$E$12,$F$13))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 t="n">
        <v>0</v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  <c r="AC474" s="15">
        <f>N474^2</f>
        <v/>
      </c>
      <c r="AD474" s="15">
        <f>ABS(N474)</f>
        <v/>
      </c>
      <c r="AE474" s="15">
        <f>IF(M474&gt;0, ABS(N474)*(L474-$D$16),0)</f>
        <v/>
      </c>
    </row>
    <row r="475">
      <c r="L475" s="15" t="n">
        <v>473</v>
      </c>
      <c r="M475" s="15">
        <f>IF(L475&lt;$D$16,$D$12,IF(L475&lt;$E$16,$E$12,$F$13))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 t="n">
        <v>0</v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  <c r="AC475" s="15">
        <f>N475^2</f>
        <v/>
      </c>
      <c r="AD475" s="15">
        <f>ABS(N475)</f>
        <v/>
      </c>
      <c r="AE475" s="15">
        <f>IF(M475&gt;0, ABS(N475)*(L475-$D$16),0)</f>
        <v/>
      </c>
    </row>
    <row r="476">
      <c r="L476" s="15" t="n">
        <v>474</v>
      </c>
      <c r="M476" s="15">
        <f>IF(L476&lt;$D$16,$D$12,IF(L476&lt;$E$16,$E$12,$F$13))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 t="n">
        <v>0</v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  <c r="AC476" s="15">
        <f>N476^2</f>
        <v/>
      </c>
      <c r="AD476" s="15">
        <f>ABS(N476)</f>
        <v/>
      </c>
      <c r="AE476" s="15">
        <f>IF(M476&gt;0, ABS(N476)*(L476-$D$16),0)</f>
        <v/>
      </c>
    </row>
    <row r="477">
      <c r="L477" s="15" t="n">
        <v>475</v>
      </c>
      <c r="M477" s="15">
        <f>IF(L477&lt;$D$16,$D$12,IF(L477&lt;$E$16,$E$12,$F$13))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 t="n">
        <v>0</v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  <c r="AC477" s="15">
        <f>N477^2</f>
        <v/>
      </c>
      <c r="AD477" s="15">
        <f>ABS(N477)</f>
        <v/>
      </c>
      <c r="AE477" s="15">
        <f>IF(M477&gt;0, ABS(N477)*(L477-$D$16),0)</f>
        <v/>
      </c>
    </row>
    <row r="478">
      <c r="L478" s="15" t="n">
        <v>476</v>
      </c>
      <c r="M478" s="15">
        <f>IF(L478&lt;$D$16,$D$12,IF(L478&lt;$E$16,$E$12,$F$13))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 t="n">
        <v>0</v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  <c r="AC478" s="15">
        <f>N478^2</f>
        <v/>
      </c>
      <c r="AD478" s="15">
        <f>ABS(N478)</f>
        <v/>
      </c>
      <c r="AE478" s="15">
        <f>IF(M478&gt;0, ABS(N478)*(L478-$D$16),0)</f>
        <v/>
      </c>
    </row>
    <row r="479">
      <c r="L479" s="15" t="n">
        <v>477</v>
      </c>
      <c r="M479" s="15">
        <f>IF(L479&lt;$D$16,$D$12,IF(L479&lt;$E$16,$E$12,$F$13))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 t="n">
        <v>0</v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  <c r="AC479" s="15">
        <f>N479^2</f>
        <v/>
      </c>
      <c r="AD479" s="15">
        <f>ABS(N479)</f>
        <v/>
      </c>
      <c r="AE479" s="15">
        <f>IF(M479&gt;0, ABS(N479)*(L479-$D$16),0)</f>
        <v/>
      </c>
    </row>
    <row r="480">
      <c r="L480" s="15" t="n">
        <v>478</v>
      </c>
      <c r="M480" s="15">
        <f>IF(L480&lt;$D$16,$D$12,IF(L480&lt;$E$16,$E$12,$F$13))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 t="n">
        <v>0</v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  <c r="AC480" s="15">
        <f>N480^2</f>
        <v/>
      </c>
      <c r="AD480" s="15">
        <f>ABS(N480)</f>
        <v/>
      </c>
      <c r="AE480" s="15">
        <f>IF(M480&gt;0, ABS(N480)*(L480-$D$16),0)</f>
        <v/>
      </c>
    </row>
    <row r="481">
      <c r="L481" s="15" t="n">
        <v>479</v>
      </c>
      <c r="M481" s="15">
        <f>IF(L481&lt;$D$16,$D$12,IF(L481&lt;$E$16,$E$12,$F$13))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 t="n">
        <v>0</v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  <c r="AC481" s="15">
        <f>N481^2</f>
        <v/>
      </c>
      <c r="AD481" s="15">
        <f>ABS(N481)</f>
        <v/>
      </c>
      <c r="AE481" s="15">
        <f>IF(M481&gt;0, ABS(N481)*(L481-$D$16),0)</f>
        <v/>
      </c>
    </row>
    <row r="482">
      <c r="L482" s="15" t="n">
        <v>480</v>
      </c>
      <c r="M482" s="15">
        <f>IF(L482&lt;$D$16,$D$12,IF(L482&lt;$E$16,$E$12,$F$13))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 t="n">
        <v>0</v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  <c r="AC482" s="15">
        <f>N482^2</f>
        <v/>
      </c>
      <c r="AD482" s="15">
        <f>ABS(N482)</f>
        <v/>
      </c>
      <c r="AE482" s="15">
        <f>IF(M482&gt;0, ABS(N482)*(L482-$D$16),0)</f>
        <v/>
      </c>
    </row>
    <row r="483">
      <c r="L483" s="15" t="n">
        <v>481</v>
      </c>
      <c r="M483" s="15">
        <f>IF(L483&lt;$D$16,$D$12,IF(L483&lt;$E$16,$E$12,$F$13))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 t="n">
        <v>0</v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  <c r="AC483" s="15">
        <f>N483^2</f>
        <v/>
      </c>
      <c r="AD483" s="15">
        <f>ABS(N483)</f>
        <v/>
      </c>
      <c r="AE483" s="15">
        <f>IF(M483&gt;0, ABS(N483)*(L483-$D$16),0)</f>
        <v/>
      </c>
    </row>
    <row r="484">
      <c r="L484" s="15" t="n">
        <v>482</v>
      </c>
      <c r="M484" s="15">
        <f>IF(L484&lt;$D$16,$D$12,IF(L484&lt;$E$16,$E$12,$F$13))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 t="n">
        <v>0</v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  <c r="AC484" s="15">
        <f>N484^2</f>
        <v/>
      </c>
      <c r="AD484" s="15">
        <f>ABS(N484)</f>
        <v/>
      </c>
      <c r="AE484" s="15">
        <f>IF(M484&gt;0, ABS(N484)*(L484-$D$16),0)</f>
        <v/>
      </c>
    </row>
    <row r="485">
      <c r="L485" s="15" t="n">
        <v>483</v>
      </c>
      <c r="M485" s="15">
        <f>IF(L485&lt;$D$16,$D$12,IF(L485&lt;$E$16,$E$12,$F$13))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 t="n">
        <v>0</v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  <c r="AC485" s="15">
        <f>N485^2</f>
        <v/>
      </c>
      <c r="AD485" s="15">
        <f>ABS(N485)</f>
        <v/>
      </c>
      <c r="AE485" s="15">
        <f>IF(M485&gt;0, ABS(N485)*(L485-$D$16),0)</f>
        <v/>
      </c>
    </row>
    <row r="486">
      <c r="L486" s="15" t="n">
        <v>484</v>
      </c>
      <c r="M486" s="15">
        <f>IF(L486&lt;$D$16,$D$12,IF(L486&lt;$E$16,$E$12,$F$13))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 t="n">
        <v>0</v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  <c r="AC486" s="15">
        <f>N486^2</f>
        <v/>
      </c>
      <c r="AD486" s="15">
        <f>ABS(N486)</f>
        <v/>
      </c>
      <c r="AE486" s="15">
        <f>IF(M486&gt;0, ABS(N486)*(L486-$D$16),0)</f>
        <v/>
      </c>
    </row>
    <row r="487">
      <c r="L487" s="15" t="n">
        <v>485</v>
      </c>
      <c r="M487" s="15">
        <f>IF(L487&lt;$D$16,$D$12,IF(L487&lt;$E$16,$E$12,$F$13))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 t="n">
        <v>0</v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  <c r="AC487" s="15">
        <f>N487^2</f>
        <v/>
      </c>
      <c r="AD487" s="15">
        <f>ABS(N487)</f>
        <v/>
      </c>
      <c r="AE487" s="15">
        <f>IF(M487&gt;0, ABS(N487)*(L487-$D$16),0)</f>
        <v/>
      </c>
    </row>
    <row r="488">
      <c r="L488" s="15" t="n">
        <v>486</v>
      </c>
      <c r="M488" s="15">
        <f>IF(L488&lt;$D$16,$D$12,IF(L488&lt;$E$16,$E$12,$F$13))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 t="n">
        <v>0</v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  <c r="AC488" s="15">
        <f>N488^2</f>
        <v/>
      </c>
      <c r="AD488" s="15">
        <f>ABS(N488)</f>
        <v/>
      </c>
      <c r="AE488" s="15">
        <f>IF(M488&gt;0, ABS(N488)*(L488-$D$16),0)</f>
        <v/>
      </c>
    </row>
    <row r="489">
      <c r="L489" s="15" t="n">
        <v>487</v>
      </c>
      <c r="M489" s="15">
        <f>IF(L489&lt;$D$16,$D$12,IF(L489&lt;$E$16,$E$12,$F$13))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 t="n">
        <v>0</v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  <c r="AC489" s="15">
        <f>N489^2</f>
        <v/>
      </c>
      <c r="AD489" s="15">
        <f>ABS(N489)</f>
        <v/>
      </c>
      <c r="AE489" s="15">
        <f>IF(M489&gt;0, ABS(N489)*(L489-$D$16),0)</f>
        <v/>
      </c>
    </row>
    <row r="490">
      <c r="L490" s="15" t="n">
        <v>488</v>
      </c>
      <c r="M490" s="15">
        <f>IF(L490&lt;$D$16,$D$12,IF(L490&lt;$E$16,$E$12,$F$13))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 t="n">
        <v>0</v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  <c r="AC490" s="15">
        <f>N490^2</f>
        <v/>
      </c>
      <c r="AD490" s="15">
        <f>ABS(N490)</f>
        <v/>
      </c>
      <c r="AE490" s="15">
        <f>IF(M490&gt;0, ABS(N490)*(L490-$D$16),0)</f>
        <v/>
      </c>
    </row>
    <row r="491">
      <c r="L491" s="15" t="n">
        <v>489</v>
      </c>
      <c r="M491" s="15">
        <f>IF(L491&lt;$D$16,$D$12,IF(L491&lt;$E$16,$E$12,$F$13))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 t="n">
        <v>0</v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  <c r="AC491" s="15">
        <f>N491^2</f>
        <v/>
      </c>
      <c r="AD491" s="15">
        <f>ABS(N491)</f>
        <v/>
      </c>
      <c r="AE491" s="15">
        <f>IF(M491&gt;0, ABS(N491)*(L491-$D$16),0)</f>
        <v/>
      </c>
    </row>
    <row r="492">
      <c r="L492" s="15" t="n">
        <v>490</v>
      </c>
      <c r="M492" s="15">
        <f>IF(L492&lt;$D$16,$D$12,IF(L492&lt;$E$16,$E$12,$F$13))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 t="n">
        <v>0</v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  <c r="AC492" s="15">
        <f>N492^2</f>
        <v/>
      </c>
      <c r="AD492" s="15">
        <f>ABS(N492)</f>
        <v/>
      </c>
      <c r="AE492" s="15">
        <f>IF(M492&gt;0, ABS(N492)*(L492-$D$16),0)</f>
        <v/>
      </c>
    </row>
    <row r="493">
      <c r="L493" s="15" t="n">
        <v>491</v>
      </c>
      <c r="M493" s="15">
        <f>IF(L493&lt;$D$16,$D$12,IF(L493&lt;$E$16,$E$12,$F$13))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 t="n">
        <v>0</v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  <c r="AC493" s="15">
        <f>N493^2</f>
        <v/>
      </c>
      <c r="AD493" s="15">
        <f>ABS(N493)</f>
        <v/>
      </c>
      <c r="AE493" s="15">
        <f>IF(M493&gt;0, ABS(N493)*(L493-$D$16),0)</f>
        <v/>
      </c>
    </row>
    <row r="494">
      <c r="L494" s="15" t="n">
        <v>492</v>
      </c>
      <c r="M494" s="15">
        <f>IF(L494&lt;$D$16,$D$12,IF(L494&lt;$E$16,$E$12,$F$13))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 t="n">
        <v>0</v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  <c r="AC494" s="15">
        <f>N494^2</f>
        <v/>
      </c>
      <c r="AD494" s="15">
        <f>ABS(N494)</f>
        <v/>
      </c>
      <c r="AE494" s="15">
        <f>IF(M494&gt;0, ABS(N494)*(L494-$D$16),0)</f>
        <v/>
      </c>
    </row>
    <row r="495">
      <c r="L495" s="15" t="n">
        <v>493</v>
      </c>
      <c r="M495" s="15">
        <f>IF(L495&lt;$D$16,$D$12,IF(L495&lt;$E$16,$E$12,$F$13))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 t="n">
        <v>0</v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  <c r="AC495" s="15">
        <f>N495^2</f>
        <v/>
      </c>
      <c r="AD495" s="15">
        <f>ABS(N495)</f>
        <v/>
      </c>
      <c r="AE495" s="15">
        <f>IF(M495&gt;0, ABS(N495)*(L495-$D$16),0)</f>
        <v/>
      </c>
    </row>
    <row r="496">
      <c r="L496" s="15" t="n">
        <v>494</v>
      </c>
      <c r="M496" s="15">
        <f>IF(L496&lt;$D$16,$D$12,IF(L496&lt;$E$16,$E$12,$F$13))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 t="n">
        <v>0</v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  <c r="AC496" s="15">
        <f>N496^2</f>
        <v/>
      </c>
      <c r="AD496" s="15">
        <f>ABS(N496)</f>
        <v/>
      </c>
      <c r="AE496" s="15">
        <f>IF(M496&gt;0, ABS(N496)*(L496-$D$16),0)</f>
        <v/>
      </c>
    </row>
    <row r="497">
      <c r="L497" s="15" t="n">
        <v>495</v>
      </c>
      <c r="M497" s="15">
        <f>IF(L497&lt;$D$16,$D$12,IF(L497&lt;$E$16,$E$12,$F$13))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 t="n">
        <v>0</v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  <c r="AC497" s="15">
        <f>N497^2</f>
        <v/>
      </c>
      <c r="AD497" s="15">
        <f>ABS(N497)</f>
        <v/>
      </c>
      <c r="AE497" s="15">
        <f>IF(M497&gt;0, ABS(N497)*(L497-$D$16),0)</f>
        <v/>
      </c>
    </row>
    <row r="498">
      <c r="L498" s="15" t="n">
        <v>496</v>
      </c>
      <c r="M498" s="15">
        <f>IF(L498&lt;$D$16,$D$12,IF(L498&lt;$E$16,$E$12,$F$13))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 t="n">
        <v>0</v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  <c r="AC498" s="15">
        <f>N498^2</f>
        <v/>
      </c>
      <c r="AD498" s="15">
        <f>ABS(N498)</f>
        <v/>
      </c>
      <c r="AE498" s="15">
        <f>IF(M498&gt;0, ABS(N498)*(L498-$D$16),0)</f>
        <v/>
      </c>
    </row>
    <row r="499">
      <c r="L499" s="15" t="n">
        <v>497</v>
      </c>
      <c r="M499" s="15">
        <f>IF(L499&lt;$D$16,$D$12,IF(L499&lt;$E$16,$E$12,$F$13))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 t="n">
        <v>0</v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  <c r="AC499" s="15">
        <f>N499^2</f>
        <v/>
      </c>
      <c r="AD499" s="15">
        <f>ABS(N499)</f>
        <v/>
      </c>
      <c r="AE499" s="15">
        <f>IF(M499&gt;0, ABS(N499)*(L499-$D$16),0)</f>
        <v/>
      </c>
    </row>
    <row r="500">
      <c r="L500" s="15" t="n">
        <v>498</v>
      </c>
      <c r="M500" s="15">
        <f>IF(L500&lt;$D$16,$D$12,IF(L500&lt;$E$16,$E$12,$F$13))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 t="n">
        <v>0</v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  <c r="AC500" s="15">
        <f>N500^2</f>
        <v/>
      </c>
      <c r="AD500" s="15">
        <f>ABS(N500)</f>
        <v/>
      </c>
      <c r="AE500" s="15">
        <f>IF(M500&gt;0, ABS(N500)*(L500-$D$16),0)</f>
        <v/>
      </c>
    </row>
    <row r="501">
      <c r="L501" s="15" t="n">
        <v>499</v>
      </c>
      <c r="M501" s="15">
        <f>IF(L501&lt;$D$16,$D$12,IF(L501&lt;$E$16,$E$12,$F$13))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 t="n">
        <v>0</v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  <c r="AC501" s="15">
        <f>N501^2</f>
        <v/>
      </c>
      <c r="AD501" s="15">
        <f>ABS(N501)</f>
        <v/>
      </c>
      <c r="AE501" s="15">
        <f>IF(M501&gt;0, ABS(N501)*(L501-$D$16),0)</f>
        <v/>
      </c>
    </row>
    <row r="502">
      <c r="L502" s="15" t="n">
        <v>500</v>
      </c>
      <c r="M502" s="15">
        <f>IF(L502&lt;$D$16,$D$12,IF(L502&lt;$E$16,$E$12,$F$13))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 t="n">
        <v>0</v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  <c r="AC502" s="15">
        <f>N502^2</f>
        <v/>
      </c>
      <c r="AD502" s="15">
        <f>ABS(N502)</f>
        <v/>
      </c>
      <c r="AE502" s="15">
        <f>IF(M502&gt;0, ABS(N502)*(L502-$D$16),0)</f>
        <v/>
      </c>
    </row>
    <row r="503">
      <c r="L503" s="15" t="n">
        <v>501</v>
      </c>
      <c r="M503" s="15">
        <f>IF(L503&lt;$D$16,$D$12,IF(L503&lt;$E$16,$E$12,$F$13))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 t="n">
        <v>0</v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  <c r="AC503" s="15">
        <f>N503^2</f>
        <v/>
      </c>
      <c r="AD503" s="15">
        <f>ABS(N503)</f>
        <v/>
      </c>
      <c r="AE503" s="15">
        <f>IF(M503&gt;0, ABS(N503)*(L503-$D$16),0)</f>
        <v/>
      </c>
    </row>
    <row r="504">
      <c r="L504" s="15" t="n">
        <v>502</v>
      </c>
      <c r="M504" s="15">
        <f>IF(L504&lt;$D$16,$D$12,IF(L504&lt;$E$16,$E$12,$F$13))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 t="n">
        <v>0</v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  <c r="AC504" s="15">
        <f>N504^2</f>
        <v/>
      </c>
      <c r="AD504" s="15">
        <f>ABS(N504)</f>
        <v/>
      </c>
      <c r="AE504" s="15">
        <f>IF(M504&gt;0, ABS(N504)*(L504-$D$16),0)</f>
        <v/>
      </c>
    </row>
    <row r="505">
      <c r="L505" s="15" t="n">
        <v>503</v>
      </c>
      <c r="M505" s="15">
        <f>IF(L505&lt;$D$16,$D$12,IF(L505&lt;$E$16,$E$12,$F$13))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 t="n">
        <v>0</v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  <c r="AC505" s="15">
        <f>N505^2</f>
        <v/>
      </c>
      <c r="AD505" s="15">
        <f>ABS(N505)</f>
        <v/>
      </c>
      <c r="AE505" s="15">
        <f>IF(M505&gt;0, ABS(N505)*(L505-$D$16),0)</f>
        <v/>
      </c>
    </row>
    <row r="506">
      <c r="L506" s="15" t="n">
        <v>504</v>
      </c>
      <c r="M506" s="15">
        <f>IF(L506&lt;$D$16,$D$12,IF(L506&lt;$E$16,$E$12,$F$13))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 t="n">
        <v>0</v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  <c r="AC506" s="15">
        <f>N506^2</f>
        <v/>
      </c>
      <c r="AD506" s="15">
        <f>ABS(N506)</f>
        <v/>
      </c>
      <c r="AE506" s="15">
        <f>IF(M506&gt;0, ABS(N506)*(L506-$D$16),0)</f>
        <v/>
      </c>
    </row>
    <row r="507">
      <c r="L507" s="15" t="n">
        <v>505</v>
      </c>
      <c r="M507" s="15">
        <f>IF(L507&lt;$D$16,$D$12,IF(L507&lt;$E$16,$E$12,$F$13))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 t="n">
        <v>0</v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  <c r="AC507" s="15">
        <f>N507^2</f>
        <v/>
      </c>
      <c r="AD507" s="15">
        <f>ABS(N507)</f>
        <v/>
      </c>
      <c r="AE507" s="15">
        <f>IF(M507&gt;0, ABS(N507)*(L507-$D$16),0)</f>
        <v/>
      </c>
    </row>
    <row r="508">
      <c r="L508" s="15" t="n">
        <v>506</v>
      </c>
      <c r="M508" s="15">
        <f>IF(L508&lt;$D$16,$D$12,IF(L508&lt;$E$16,$E$12,$F$13))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 t="n">
        <v>0</v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  <c r="AC508" s="15">
        <f>N508^2</f>
        <v/>
      </c>
      <c r="AD508" s="15">
        <f>ABS(N508)</f>
        <v/>
      </c>
      <c r="AE508" s="15">
        <f>IF(M508&gt;0, ABS(N508)*(L508-$D$16),0)</f>
        <v/>
      </c>
    </row>
    <row r="509">
      <c r="L509" s="15" t="n">
        <v>507</v>
      </c>
      <c r="M509" s="15">
        <f>IF(L509&lt;$D$16,$D$12,IF(L509&lt;$E$16,$E$12,$F$13))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 t="n">
        <v>0</v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  <c r="AC509" s="15">
        <f>N509^2</f>
        <v/>
      </c>
      <c r="AD509" s="15">
        <f>ABS(N509)</f>
        <v/>
      </c>
      <c r="AE509" s="15">
        <f>IF(M509&gt;0, ABS(N509)*(L509-$D$16),0)</f>
        <v/>
      </c>
    </row>
    <row r="510">
      <c r="L510" s="15" t="n">
        <v>508</v>
      </c>
      <c r="M510" s="15">
        <f>IF(L510&lt;$D$16,$D$12,IF(L510&lt;$E$16,$E$12,$F$13))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 t="n">
        <v>0</v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  <c r="AC510" s="15">
        <f>N510^2</f>
        <v/>
      </c>
      <c r="AD510" s="15">
        <f>ABS(N510)</f>
        <v/>
      </c>
      <c r="AE510" s="15">
        <f>IF(M510&gt;0, ABS(N510)*(L510-$D$16),0)</f>
        <v/>
      </c>
    </row>
    <row r="511">
      <c r="L511" s="15" t="n">
        <v>509</v>
      </c>
      <c r="M511" s="15">
        <f>IF(L511&lt;$D$16,$D$12,IF(L511&lt;$E$16,$E$12,$F$13))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 t="n">
        <v>0</v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  <c r="AC511" s="15">
        <f>N511^2</f>
        <v/>
      </c>
      <c r="AD511" s="15">
        <f>ABS(N511)</f>
        <v/>
      </c>
      <c r="AE511" s="15">
        <f>IF(M511&gt;0, ABS(N511)*(L511-$D$16),0)</f>
        <v/>
      </c>
    </row>
    <row r="512">
      <c r="L512" s="15" t="n">
        <v>510</v>
      </c>
      <c r="M512" s="15">
        <f>IF(L512&lt;$D$16,$D$12,IF(L512&lt;$E$16,$E$12,$F$13))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 t="n">
        <v>0</v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  <c r="AC512" s="15">
        <f>N512^2</f>
        <v/>
      </c>
      <c r="AD512" s="15">
        <f>ABS(N512)</f>
        <v/>
      </c>
      <c r="AE512" s="15">
        <f>IF(M512&gt;0, ABS(N512)*(L512-$D$16),0)</f>
        <v/>
      </c>
    </row>
    <row r="513">
      <c r="L513" s="15" t="n">
        <v>511</v>
      </c>
      <c r="M513" s="15">
        <f>IF(L513&lt;$D$16,$D$12,IF(L513&lt;$E$16,$E$12,$F$13))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 t="n">
        <v>0</v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  <c r="AC513" s="15">
        <f>N513^2</f>
        <v/>
      </c>
      <c r="AD513" s="15">
        <f>ABS(N513)</f>
        <v/>
      </c>
      <c r="AE513" s="15">
        <f>IF(M513&gt;0, ABS(N513)*(L513-$D$16),0)</f>
        <v/>
      </c>
    </row>
    <row r="514">
      <c r="L514" s="15" t="n">
        <v>512</v>
      </c>
      <c r="M514" s="15">
        <f>IF(L514&lt;$D$16,$D$12,IF(L514&lt;$E$16,$E$12,$F$13))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 t="n">
        <v>0</v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  <c r="AC514" s="15">
        <f>N514^2</f>
        <v/>
      </c>
      <c r="AD514" s="15">
        <f>ABS(N514)</f>
        <v/>
      </c>
      <c r="AE514" s="15">
        <f>IF(M514&gt;0, ABS(N514)*(L514-$D$16),0)</f>
        <v/>
      </c>
    </row>
    <row r="515">
      <c r="L515" s="15" t="n">
        <v>513</v>
      </c>
      <c r="M515" s="15">
        <f>IF(L515&lt;$D$16,$D$12,IF(L515&lt;$E$16,$E$12,$F$13))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 t="n">
        <v>0</v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  <c r="AC515" s="15">
        <f>N515^2</f>
        <v/>
      </c>
      <c r="AD515" s="15">
        <f>ABS(N515)</f>
        <v/>
      </c>
      <c r="AE515" s="15">
        <f>IF(M515&gt;0, ABS(N515)*(L515-$D$16),0)</f>
        <v/>
      </c>
    </row>
    <row r="516">
      <c r="L516" s="15" t="n">
        <v>514</v>
      </c>
      <c r="M516" s="15">
        <f>IF(L516&lt;$D$16,$D$12,IF(L516&lt;$E$16,$E$12,$F$13))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 t="n">
        <v>0</v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  <c r="AC516" s="15">
        <f>N516^2</f>
        <v/>
      </c>
      <c r="AD516" s="15">
        <f>ABS(N516)</f>
        <v/>
      </c>
      <c r="AE516" s="15">
        <f>IF(M516&gt;0, ABS(N516)*(L516-$D$16),0)</f>
        <v/>
      </c>
    </row>
    <row r="517">
      <c r="L517" s="15" t="n">
        <v>515</v>
      </c>
      <c r="M517" s="15">
        <f>IF(L517&lt;$D$16,$D$12,IF(L517&lt;$E$16,$E$12,$F$13))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 t="n">
        <v>0</v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  <c r="AC517" s="15">
        <f>N517^2</f>
        <v/>
      </c>
      <c r="AD517" s="15">
        <f>ABS(N517)</f>
        <v/>
      </c>
      <c r="AE517" s="15">
        <f>IF(M517&gt;0, ABS(N517)*(L517-$D$16),0)</f>
        <v/>
      </c>
    </row>
    <row r="518">
      <c r="L518" s="15" t="n">
        <v>516</v>
      </c>
      <c r="M518" s="15">
        <f>IF(L518&lt;$D$16,$D$12,IF(L518&lt;$E$16,$E$12,$F$13))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 t="n">
        <v>0</v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  <c r="AC518" s="15">
        <f>N518^2</f>
        <v/>
      </c>
      <c r="AD518" s="15">
        <f>ABS(N518)</f>
        <v/>
      </c>
      <c r="AE518" s="15">
        <f>IF(M518&gt;0, ABS(N518)*(L518-$D$16),0)</f>
        <v/>
      </c>
    </row>
    <row r="519">
      <c r="L519" s="15" t="n">
        <v>517</v>
      </c>
      <c r="M519" s="15">
        <f>IF(L519&lt;$D$16,$D$12,IF(L519&lt;$E$16,$E$12,$F$13))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 t="n">
        <v>0</v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  <c r="AC519" s="15">
        <f>N519^2</f>
        <v/>
      </c>
      <c r="AD519" s="15">
        <f>ABS(N519)</f>
        <v/>
      </c>
      <c r="AE519" s="15">
        <f>IF(M519&gt;0, ABS(N519)*(L519-$D$16),0)</f>
        <v/>
      </c>
    </row>
    <row r="520">
      <c r="L520" s="15" t="n">
        <v>518</v>
      </c>
      <c r="M520" s="15">
        <f>IF(L520&lt;$D$16,$D$12,IF(L520&lt;$E$16,$E$12,$F$13))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 t="n">
        <v>0</v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  <c r="AC520" s="15">
        <f>N520^2</f>
        <v/>
      </c>
      <c r="AD520" s="15">
        <f>ABS(N520)</f>
        <v/>
      </c>
      <c r="AE520" s="15">
        <f>IF(M520&gt;0, ABS(N520)*(L520-$D$16),0)</f>
        <v/>
      </c>
    </row>
    <row r="521">
      <c r="L521" s="15" t="n">
        <v>519</v>
      </c>
      <c r="M521" s="15">
        <f>IF(L521&lt;$D$16,$D$12,IF(L521&lt;$E$16,$E$12,$F$13))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 t="n">
        <v>0</v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  <c r="AC521" s="15">
        <f>N521^2</f>
        <v/>
      </c>
      <c r="AD521" s="15">
        <f>ABS(N521)</f>
        <v/>
      </c>
      <c r="AE521" s="15">
        <f>IF(M521&gt;0, ABS(N521)*(L521-$D$16),0)</f>
        <v/>
      </c>
    </row>
    <row r="522">
      <c r="L522" s="15" t="n">
        <v>520</v>
      </c>
      <c r="M522" s="15">
        <f>IF(L522&lt;$D$16,$D$12,IF(L522&lt;$E$16,$E$12,$F$13))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 t="n">
        <v>0</v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  <c r="AC522" s="15">
        <f>N522^2</f>
        <v/>
      </c>
      <c r="AD522" s="15">
        <f>ABS(N522)</f>
        <v/>
      </c>
      <c r="AE522" s="15">
        <f>IF(M522&gt;0, ABS(N522)*(L522-$D$16),0)</f>
        <v/>
      </c>
    </row>
    <row r="523">
      <c r="L523" s="15" t="n">
        <v>521</v>
      </c>
      <c r="M523" s="15">
        <f>IF(L523&lt;$D$16,$D$12,IF(L523&lt;$E$16,$E$12,$F$13))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 t="n">
        <v>0</v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  <c r="AC523" s="15">
        <f>N523^2</f>
        <v/>
      </c>
      <c r="AD523" s="15">
        <f>ABS(N523)</f>
        <v/>
      </c>
      <c r="AE523" s="15">
        <f>IF(M523&gt;0, ABS(N523)*(L523-$D$16),0)</f>
        <v/>
      </c>
    </row>
    <row r="524">
      <c r="L524" s="15" t="n">
        <v>522</v>
      </c>
      <c r="M524" s="15">
        <f>IF(L524&lt;$D$16,$D$12,IF(L524&lt;$E$16,$E$12,$F$13))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 t="n">
        <v>0</v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  <c r="AC524" s="15">
        <f>N524^2</f>
        <v/>
      </c>
      <c r="AD524" s="15">
        <f>ABS(N524)</f>
        <v/>
      </c>
      <c r="AE524" s="15">
        <f>IF(M524&gt;0, ABS(N524)*(L524-$D$16),0)</f>
        <v/>
      </c>
    </row>
    <row r="525">
      <c r="L525" s="15" t="n">
        <v>523</v>
      </c>
      <c r="M525" s="15">
        <f>IF(L525&lt;$D$16,$D$12,IF(L525&lt;$E$16,$E$12,$F$13))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 t="n">
        <v>0</v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  <c r="AC525" s="15">
        <f>N525^2</f>
        <v/>
      </c>
      <c r="AD525" s="15">
        <f>ABS(N525)</f>
        <v/>
      </c>
      <c r="AE525" s="15">
        <f>IF(M525&gt;0, ABS(N525)*(L525-$D$16),0)</f>
        <v/>
      </c>
    </row>
    <row r="526">
      <c r="L526" s="15" t="n">
        <v>524</v>
      </c>
      <c r="M526" s="15">
        <f>IF(L526&lt;$D$16,$D$12,IF(L526&lt;$E$16,$E$12,$F$13))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 t="n">
        <v>0</v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  <c r="AC526" s="15">
        <f>N526^2</f>
        <v/>
      </c>
      <c r="AD526" s="15">
        <f>ABS(N526)</f>
        <v/>
      </c>
      <c r="AE526" s="15">
        <f>IF(M526&gt;0, ABS(N526)*(L526-$D$16),0)</f>
        <v/>
      </c>
    </row>
    <row r="527">
      <c r="L527" s="15" t="n">
        <v>525</v>
      </c>
      <c r="M527" s="15">
        <f>IF(L527&lt;$D$16,$D$12,IF(L527&lt;$E$16,$E$12,$F$13))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 t="n">
        <v>0</v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  <c r="AC527" s="15">
        <f>N527^2</f>
        <v/>
      </c>
      <c r="AD527" s="15">
        <f>ABS(N527)</f>
        <v/>
      </c>
      <c r="AE527" s="15">
        <f>IF(M527&gt;0, ABS(N527)*(L527-$D$16),0)</f>
        <v/>
      </c>
    </row>
    <row r="528">
      <c r="L528" s="15" t="n">
        <v>526</v>
      </c>
      <c r="M528" s="15">
        <f>IF(L528&lt;$D$16,$D$12,IF(L528&lt;$E$16,$E$12,$F$13))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 t="n">
        <v>0</v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  <c r="AC528" s="15">
        <f>N528^2</f>
        <v/>
      </c>
      <c r="AD528" s="15">
        <f>ABS(N528)</f>
        <v/>
      </c>
      <c r="AE528" s="15">
        <f>IF(M528&gt;0, ABS(N528)*(L528-$D$16),0)</f>
        <v/>
      </c>
    </row>
    <row r="529">
      <c r="L529" s="15" t="n">
        <v>527</v>
      </c>
      <c r="M529" s="15">
        <f>IF(L529&lt;$D$16,$D$12,IF(L529&lt;$E$16,$E$12,$F$13))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 t="n">
        <v>0</v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  <c r="AC529" s="15">
        <f>N529^2</f>
        <v/>
      </c>
      <c r="AD529" s="15">
        <f>ABS(N529)</f>
        <v/>
      </c>
      <c r="AE529" s="15">
        <f>IF(M529&gt;0, ABS(N529)*(L529-$D$16),0)</f>
        <v/>
      </c>
    </row>
    <row r="530">
      <c r="L530" s="15" t="n">
        <v>528</v>
      </c>
      <c r="M530" s="15">
        <f>IF(L530&lt;$D$16,$D$12,IF(L530&lt;$E$16,$E$12,$F$13))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 t="n">
        <v>0</v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  <c r="AC530" s="15">
        <f>N530^2</f>
        <v/>
      </c>
      <c r="AD530" s="15">
        <f>ABS(N530)</f>
        <v/>
      </c>
      <c r="AE530" s="15">
        <f>IF(M530&gt;0, ABS(N530)*(L530-$D$16),0)</f>
        <v/>
      </c>
    </row>
    <row r="531">
      <c r="L531" s="15" t="n">
        <v>529</v>
      </c>
      <c r="M531" s="15">
        <f>IF(L531&lt;$D$16,$D$12,IF(L531&lt;$E$16,$E$12,$F$13))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 t="n">
        <v>0</v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  <c r="AC531" s="15">
        <f>N531^2</f>
        <v/>
      </c>
      <c r="AD531" s="15">
        <f>ABS(N531)</f>
        <v/>
      </c>
      <c r="AE531" s="15">
        <f>IF(M531&gt;0, ABS(N531)*(L531-$D$16),0)</f>
        <v/>
      </c>
    </row>
    <row r="532">
      <c r="L532" s="15" t="n">
        <v>530</v>
      </c>
      <c r="M532" s="15">
        <f>IF(L532&lt;$D$16,$D$12,IF(L532&lt;$E$16,$E$12,$F$13))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 t="n">
        <v>0</v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  <c r="AC532" s="15">
        <f>N532^2</f>
        <v/>
      </c>
      <c r="AD532" s="15">
        <f>ABS(N532)</f>
        <v/>
      </c>
      <c r="AE532" s="15">
        <f>IF(M532&gt;0, ABS(N532)*(L532-$D$16),0)</f>
        <v/>
      </c>
    </row>
    <row r="533">
      <c r="L533" s="15" t="n">
        <v>531</v>
      </c>
      <c r="M533" s="15">
        <f>IF(L533&lt;$D$16,$D$12,IF(L533&lt;$E$16,$E$12,$F$13))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 t="n">
        <v>0</v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  <c r="AC533" s="15">
        <f>N533^2</f>
        <v/>
      </c>
      <c r="AD533" s="15">
        <f>ABS(N533)</f>
        <v/>
      </c>
      <c r="AE533" s="15">
        <f>IF(M533&gt;0, ABS(N533)*(L533-$D$16),0)</f>
        <v/>
      </c>
    </row>
    <row r="534">
      <c r="L534" s="15" t="n">
        <v>532</v>
      </c>
      <c r="M534" s="15">
        <f>IF(L534&lt;$D$16,$D$12,IF(L534&lt;$E$16,$E$12,$F$13))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 t="n">
        <v>0</v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  <c r="AC534" s="15">
        <f>N534^2</f>
        <v/>
      </c>
      <c r="AD534" s="15">
        <f>ABS(N534)</f>
        <v/>
      </c>
      <c r="AE534" s="15">
        <f>IF(M534&gt;0, ABS(N534)*(L534-$D$16),0)</f>
        <v/>
      </c>
    </row>
    <row r="535">
      <c r="L535" s="15" t="n">
        <v>533</v>
      </c>
      <c r="M535" s="15">
        <f>IF(L535&lt;$D$16,$D$12,IF(L535&lt;$E$16,$E$12,$F$13))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 t="n">
        <v>0</v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  <c r="AC535" s="15">
        <f>N535^2</f>
        <v/>
      </c>
      <c r="AD535" s="15">
        <f>ABS(N535)</f>
        <v/>
      </c>
      <c r="AE535" s="15">
        <f>IF(M535&gt;0, ABS(N535)*(L535-$D$16),0)</f>
        <v/>
      </c>
    </row>
    <row r="536">
      <c r="L536" s="15" t="n">
        <v>534</v>
      </c>
      <c r="M536" s="15">
        <f>IF(L536&lt;$D$16,$D$12,IF(L536&lt;$E$16,$E$12,$F$13))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 t="n">
        <v>0</v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  <c r="AC536" s="15">
        <f>N536^2</f>
        <v/>
      </c>
      <c r="AD536" s="15">
        <f>ABS(N536)</f>
        <v/>
      </c>
      <c r="AE536" s="15">
        <f>IF(M536&gt;0, ABS(N536)*(L536-$D$16),0)</f>
        <v/>
      </c>
    </row>
    <row r="537">
      <c r="L537" s="15" t="n">
        <v>535</v>
      </c>
      <c r="M537" s="15">
        <f>IF(L537&lt;$D$16,$D$12,IF(L537&lt;$E$16,$E$12,$F$13))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 t="n">
        <v>0</v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  <c r="AC537" s="15">
        <f>N537^2</f>
        <v/>
      </c>
      <c r="AD537" s="15">
        <f>ABS(N537)</f>
        <v/>
      </c>
      <c r="AE537" s="15">
        <f>IF(M537&gt;0, ABS(N537)*(L537-$D$16),0)</f>
        <v/>
      </c>
    </row>
    <row r="538">
      <c r="L538" s="15" t="n">
        <v>536</v>
      </c>
      <c r="M538" s="15">
        <f>IF(L538&lt;$D$16,$D$12,IF(L538&lt;$E$16,$E$12,$F$13))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 t="n">
        <v>0</v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  <c r="AC538" s="15">
        <f>N538^2</f>
        <v/>
      </c>
      <c r="AD538" s="15">
        <f>ABS(N538)</f>
        <v/>
      </c>
      <c r="AE538" s="15">
        <f>IF(M538&gt;0, ABS(N538)*(L538-$D$16),0)</f>
        <v/>
      </c>
    </row>
    <row r="539">
      <c r="L539" s="15" t="n">
        <v>537</v>
      </c>
      <c r="M539" s="15">
        <f>IF(L539&lt;$D$16,$D$12,IF(L539&lt;$E$16,$E$12,$F$13))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 t="n">
        <v>0</v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  <c r="AC539" s="15">
        <f>N539^2</f>
        <v/>
      </c>
      <c r="AD539" s="15">
        <f>ABS(N539)</f>
        <v/>
      </c>
      <c r="AE539" s="15">
        <f>IF(M539&gt;0, ABS(N539)*(L539-$D$16),0)</f>
        <v/>
      </c>
    </row>
    <row r="540">
      <c r="L540" s="15" t="n">
        <v>538</v>
      </c>
      <c r="M540" s="15">
        <f>IF(L540&lt;$D$16,$D$12,IF(L540&lt;$E$16,$E$12,$F$13))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 t="n">
        <v>0</v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  <c r="AC540" s="15">
        <f>N540^2</f>
        <v/>
      </c>
      <c r="AD540" s="15">
        <f>ABS(N540)</f>
        <v/>
      </c>
      <c r="AE540" s="15">
        <f>IF(M540&gt;0, ABS(N540)*(L540-$D$16),0)</f>
        <v/>
      </c>
    </row>
    <row r="541">
      <c r="L541" s="15" t="n">
        <v>539</v>
      </c>
      <c r="M541" s="15">
        <f>IF(L541&lt;$D$16,$D$12,IF(L541&lt;$E$16,$E$12,$F$13))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 t="n">
        <v>0</v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  <c r="AC541" s="15">
        <f>N541^2</f>
        <v/>
      </c>
      <c r="AD541" s="15">
        <f>ABS(N541)</f>
        <v/>
      </c>
      <c r="AE541" s="15">
        <f>IF(M541&gt;0, ABS(N541)*(L541-$D$16),0)</f>
        <v/>
      </c>
    </row>
    <row r="542">
      <c r="L542" s="15" t="n">
        <v>540</v>
      </c>
      <c r="M542" s="15">
        <f>IF(L542&lt;$D$16,$D$12,IF(L542&lt;$E$16,$E$12,$F$13))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 t="n">
        <v>0</v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  <c r="AC542" s="15">
        <f>N542^2</f>
        <v/>
      </c>
      <c r="AD542" s="15">
        <f>ABS(N542)</f>
        <v/>
      </c>
      <c r="AE542" s="15">
        <f>IF(M542&gt;0, ABS(N542)*(L542-$D$16),0)</f>
        <v/>
      </c>
    </row>
    <row r="543">
      <c r="L543" s="15" t="n">
        <v>541</v>
      </c>
      <c r="M543" s="15">
        <f>IF(L543&lt;$D$16,$D$12,IF(L543&lt;$E$16,$E$12,$F$13))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 t="n">
        <v>0</v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  <c r="AC543" s="15">
        <f>N543^2</f>
        <v/>
      </c>
      <c r="AD543" s="15">
        <f>ABS(N543)</f>
        <v/>
      </c>
      <c r="AE543" s="15">
        <f>IF(M543&gt;0, ABS(N543)*(L543-$D$16),0)</f>
        <v/>
      </c>
    </row>
    <row r="544">
      <c r="L544" s="15" t="n">
        <v>542</v>
      </c>
      <c r="M544" s="15">
        <f>IF(L544&lt;$D$16,$D$12,IF(L544&lt;$E$16,$E$12,$F$13))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 t="n">
        <v>0</v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  <c r="AC544" s="15">
        <f>N544^2</f>
        <v/>
      </c>
      <c r="AD544" s="15">
        <f>ABS(N544)</f>
        <v/>
      </c>
      <c r="AE544" s="15">
        <f>IF(M544&gt;0, ABS(N544)*(L544-$D$16),0)</f>
        <v/>
      </c>
    </row>
    <row r="545">
      <c r="L545" s="15" t="n">
        <v>543</v>
      </c>
      <c r="M545" s="15">
        <f>IF(L545&lt;$D$16,$D$12,IF(L545&lt;$E$16,$E$12,$F$13))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 t="n">
        <v>0</v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  <c r="AC545" s="15">
        <f>N545^2</f>
        <v/>
      </c>
      <c r="AD545" s="15">
        <f>ABS(N545)</f>
        <v/>
      </c>
      <c r="AE545" s="15">
        <f>IF(M545&gt;0, ABS(N545)*(L545-$D$16),0)</f>
        <v/>
      </c>
    </row>
    <row r="546">
      <c r="L546" s="15" t="n">
        <v>544</v>
      </c>
      <c r="M546" s="15">
        <f>IF(L546&lt;$D$16,$D$12,IF(L546&lt;$E$16,$E$12,$F$13))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 t="n">
        <v>0</v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  <c r="AC546" s="15">
        <f>N546^2</f>
        <v/>
      </c>
      <c r="AD546" s="15">
        <f>ABS(N546)</f>
        <v/>
      </c>
      <c r="AE546" s="15">
        <f>IF(M546&gt;0, ABS(N546)*(L546-$D$16),0)</f>
        <v/>
      </c>
    </row>
    <row r="547">
      <c r="L547" s="15" t="n">
        <v>545</v>
      </c>
      <c r="M547" s="15">
        <f>IF(L547&lt;$D$16,$D$12,IF(L547&lt;$E$16,$E$12,$F$13))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 t="n">
        <v>0</v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  <c r="AC547" s="15">
        <f>N547^2</f>
        <v/>
      </c>
      <c r="AD547" s="15">
        <f>ABS(N547)</f>
        <v/>
      </c>
      <c r="AE547" s="15">
        <f>IF(M547&gt;0, ABS(N547)*(L547-$D$16),0)</f>
        <v/>
      </c>
    </row>
    <row r="548">
      <c r="L548" s="15" t="n">
        <v>546</v>
      </c>
      <c r="M548" s="15">
        <f>IF(L548&lt;$D$16,$D$12,IF(L548&lt;$E$16,$E$12,$F$13))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 t="n">
        <v>0</v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  <c r="AC548" s="15">
        <f>N548^2</f>
        <v/>
      </c>
      <c r="AD548" s="15">
        <f>ABS(N548)</f>
        <v/>
      </c>
      <c r="AE548" s="15">
        <f>IF(M548&gt;0, ABS(N548)*(L548-$D$16),0)</f>
        <v/>
      </c>
    </row>
    <row r="549">
      <c r="L549" s="15" t="n">
        <v>547</v>
      </c>
      <c r="M549" s="15">
        <f>IF(L549&lt;$D$16,$D$12,IF(L549&lt;$E$16,$E$12,$F$13))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 t="n">
        <v>0</v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  <c r="AC549" s="15">
        <f>N549^2</f>
        <v/>
      </c>
      <c r="AD549" s="15">
        <f>ABS(N549)</f>
        <v/>
      </c>
      <c r="AE549" s="15">
        <f>IF(M549&gt;0, ABS(N549)*(L549-$D$16),0)</f>
        <v/>
      </c>
    </row>
    <row r="550">
      <c r="L550" s="15" t="n">
        <v>548</v>
      </c>
      <c r="M550" s="15">
        <f>IF(L550&lt;$D$16,$D$12,IF(L550&lt;$E$16,$E$12,$F$13))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 t="n">
        <v>0</v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  <c r="AC550" s="15">
        <f>N550^2</f>
        <v/>
      </c>
      <c r="AD550" s="15">
        <f>ABS(N550)</f>
        <v/>
      </c>
      <c r="AE550" s="15">
        <f>IF(M550&gt;0, ABS(N550)*(L550-$D$16),0)</f>
        <v/>
      </c>
    </row>
    <row r="551">
      <c r="L551" s="15" t="n">
        <v>549</v>
      </c>
      <c r="M551" s="15">
        <f>IF(L551&lt;$D$16,$D$12,IF(L551&lt;$E$16,$E$12,$F$13))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 t="n">
        <v>0</v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  <c r="AC551" s="15">
        <f>N551^2</f>
        <v/>
      </c>
      <c r="AD551" s="15">
        <f>ABS(N551)</f>
        <v/>
      </c>
      <c r="AE551" s="15">
        <f>IF(M551&gt;0, ABS(N551)*(L551-$D$16),0)</f>
        <v/>
      </c>
    </row>
    <row r="552">
      <c r="L552" s="15" t="n">
        <v>550</v>
      </c>
      <c r="M552" s="15">
        <f>IF(L552&lt;$D$16,$D$12,IF(L552&lt;$E$16,$E$12,$F$13))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 t="n">
        <v>0</v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  <c r="AC552" s="15">
        <f>N552^2</f>
        <v/>
      </c>
      <c r="AD552" s="15">
        <f>ABS(N552)</f>
        <v/>
      </c>
      <c r="AE552" s="15">
        <f>IF(M552&gt;0, ABS(N552)*(L552-$D$16),0)</f>
        <v/>
      </c>
    </row>
    <row r="553">
      <c r="L553" s="15" t="n">
        <v>551</v>
      </c>
      <c r="M553" s="15">
        <f>IF(L553&lt;$D$16,$D$12,IF(L553&lt;$E$16,$E$12,$F$13))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 t="n">
        <v>0</v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  <c r="AC553" s="15">
        <f>N553^2</f>
        <v/>
      </c>
      <c r="AD553" s="15">
        <f>ABS(N553)</f>
        <v/>
      </c>
      <c r="AE553" s="15">
        <f>IF(M553&gt;0, ABS(N553)*(L553-$D$16),0)</f>
        <v/>
      </c>
    </row>
    <row r="554">
      <c r="L554" s="15" t="n">
        <v>552</v>
      </c>
      <c r="M554" s="15">
        <f>IF(L554&lt;$D$16,$D$12,IF(L554&lt;$E$16,$E$12,$F$13))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 t="n">
        <v>0</v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  <c r="AC554" s="15">
        <f>N554^2</f>
        <v/>
      </c>
      <c r="AD554" s="15">
        <f>ABS(N554)</f>
        <v/>
      </c>
      <c r="AE554" s="15">
        <f>IF(M554&gt;0, ABS(N554)*(L554-$D$16),0)</f>
        <v/>
      </c>
    </row>
    <row r="555">
      <c r="L555" s="15" t="n">
        <v>553</v>
      </c>
      <c r="M555" s="15">
        <f>IF(L555&lt;$D$16,$D$12,IF(L555&lt;$E$16,$E$12,$F$13))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 t="n">
        <v>0</v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  <c r="AC555" s="15">
        <f>N555^2</f>
        <v/>
      </c>
      <c r="AD555" s="15">
        <f>ABS(N555)</f>
        <v/>
      </c>
      <c r="AE555" s="15">
        <f>IF(M555&gt;0, ABS(N555)*(L555-$D$16),0)</f>
        <v/>
      </c>
    </row>
    <row r="556">
      <c r="L556" s="15" t="n">
        <v>554</v>
      </c>
      <c r="M556" s="15">
        <f>IF(L556&lt;$D$16,$D$12,IF(L556&lt;$E$16,$E$12,$F$13))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 t="n">
        <v>0</v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  <c r="AC556" s="15">
        <f>N556^2</f>
        <v/>
      </c>
      <c r="AD556" s="15">
        <f>ABS(N556)</f>
        <v/>
      </c>
      <c r="AE556" s="15">
        <f>IF(M556&gt;0, ABS(N556)*(L556-$D$16),0)</f>
        <v/>
      </c>
    </row>
    <row r="557">
      <c r="L557" s="15" t="n">
        <v>555</v>
      </c>
      <c r="M557" s="15">
        <f>IF(L557&lt;$D$16,$D$12,IF(L557&lt;$E$16,$E$12,$F$13))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 t="n">
        <v>0</v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  <c r="AC557" s="15">
        <f>N557^2</f>
        <v/>
      </c>
      <c r="AD557" s="15">
        <f>ABS(N557)</f>
        <v/>
      </c>
      <c r="AE557" s="15">
        <f>IF(M557&gt;0, ABS(N557)*(L557-$D$16),0)</f>
        <v/>
      </c>
    </row>
    <row r="558">
      <c r="L558" s="15" t="n">
        <v>556</v>
      </c>
      <c r="M558" s="15">
        <f>IF(L558&lt;$D$16,$D$12,IF(L558&lt;$E$16,$E$12,$F$13))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 t="n">
        <v>0</v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  <c r="AC558" s="15">
        <f>N558^2</f>
        <v/>
      </c>
      <c r="AD558" s="15">
        <f>ABS(N558)</f>
        <v/>
      </c>
      <c r="AE558" s="15">
        <f>IF(M558&gt;0, ABS(N558)*(L558-$D$16),0)</f>
        <v/>
      </c>
    </row>
    <row r="559">
      <c r="L559" s="15" t="n">
        <v>557</v>
      </c>
      <c r="M559" s="15">
        <f>IF(L559&lt;$D$16,$D$12,IF(L559&lt;$E$16,$E$12,$F$13))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 t="n">
        <v>0</v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  <c r="AC559" s="15">
        <f>N559^2</f>
        <v/>
      </c>
      <c r="AD559" s="15">
        <f>ABS(N559)</f>
        <v/>
      </c>
      <c r="AE559" s="15">
        <f>IF(M559&gt;0, ABS(N559)*(L559-$D$16),0)</f>
        <v/>
      </c>
    </row>
    <row r="560">
      <c r="L560" s="15" t="n">
        <v>558</v>
      </c>
      <c r="M560" s="15">
        <f>IF(L560&lt;$D$16,$D$12,IF(L560&lt;$E$16,$E$12,$F$13))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 t="n">
        <v>0</v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  <c r="AC560" s="15">
        <f>N560^2</f>
        <v/>
      </c>
      <c r="AD560" s="15">
        <f>ABS(N560)</f>
        <v/>
      </c>
      <c r="AE560" s="15">
        <f>IF(M560&gt;0, ABS(N560)*(L560-$D$16),0)</f>
        <v/>
      </c>
    </row>
    <row r="561">
      <c r="L561" s="15" t="n">
        <v>559</v>
      </c>
      <c r="M561" s="15">
        <f>IF(L561&lt;$D$16,$D$12,IF(L561&lt;$E$16,$E$12,$F$13))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 t="n">
        <v>0</v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  <c r="AC561" s="15">
        <f>N561^2</f>
        <v/>
      </c>
      <c r="AD561" s="15">
        <f>ABS(N561)</f>
        <v/>
      </c>
      <c r="AE561" s="15">
        <f>IF(M561&gt;0, ABS(N561)*(L561-$D$16),0)</f>
        <v/>
      </c>
    </row>
    <row r="562">
      <c r="L562" s="15" t="n">
        <v>560</v>
      </c>
      <c r="M562" s="15">
        <f>IF(L562&lt;$D$16,$D$12,IF(L562&lt;$E$16,$E$12,$F$13))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 t="n">
        <v>0</v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  <c r="AC562" s="15">
        <f>N562^2</f>
        <v/>
      </c>
      <c r="AD562" s="15">
        <f>ABS(N562)</f>
        <v/>
      </c>
      <c r="AE562" s="15">
        <f>IF(M562&gt;0, ABS(N562)*(L562-$D$16),0)</f>
        <v/>
      </c>
    </row>
    <row r="563">
      <c r="L563" s="15" t="n">
        <v>561</v>
      </c>
      <c r="M563" s="15">
        <f>IF(L563&lt;$D$16,$D$12,IF(L563&lt;$E$16,$E$12,$F$13))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 t="n">
        <v>0</v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  <c r="AC563" s="15">
        <f>N563^2</f>
        <v/>
      </c>
      <c r="AD563" s="15">
        <f>ABS(N563)</f>
        <v/>
      </c>
      <c r="AE563" s="15">
        <f>IF(M563&gt;0, ABS(N563)*(L563-$D$16),0)</f>
        <v/>
      </c>
    </row>
    <row r="564">
      <c r="L564" s="15" t="n">
        <v>562</v>
      </c>
      <c r="M564" s="15">
        <f>IF(L564&lt;$D$16,$D$12,IF(L564&lt;$E$16,$E$12,$F$13))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 t="n">
        <v>0</v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  <c r="AC564" s="15">
        <f>N564^2</f>
        <v/>
      </c>
      <c r="AD564" s="15">
        <f>ABS(N564)</f>
        <v/>
      </c>
      <c r="AE564" s="15">
        <f>IF(M564&gt;0, ABS(N564)*(L564-$D$16),0)</f>
        <v/>
      </c>
    </row>
    <row r="565">
      <c r="L565" s="15" t="n">
        <v>563</v>
      </c>
      <c r="M565" s="15">
        <f>IF(L565&lt;$D$16,$D$12,IF(L565&lt;$E$16,$E$12,$F$13))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 t="n">
        <v>0</v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  <c r="AC565" s="15">
        <f>N565^2</f>
        <v/>
      </c>
      <c r="AD565" s="15">
        <f>ABS(N565)</f>
        <v/>
      </c>
      <c r="AE565" s="15">
        <f>IF(M565&gt;0, ABS(N565)*(L565-$D$16),0)</f>
        <v/>
      </c>
    </row>
    <row r="566">
      <c r="L566" s="15" t="n">
        <v>564</v>
      </c>
      <c r="M566" s="15">
        <f>IF(L566&lt;$D$16,$D$12,IF(L566&lt;$E$16,$E$12,$F$13))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 t="n">
        <v>0</v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  <c r="AC566" s="15">
        <f>N566^2</f>
        <v/>
      </c>
      <c r="AD566" s="15">
        <f>ABS(N566)</f>
        <v/>
      </c>
      <c r="AE566" s="15">
        <f>IF(M566&gt;0, ABS(N566)*(L566-$D$16),0)</f>
        <v/>
      </c>
    </row>
    <row r="567">
      <c r="L567" s="15" t="n">
        <v>565</v>
      </c>
      <c r="M567" s="15">
        <f>IF(L567&lt;$D$16,$D$12,IF(L567&lt;$E$16,$E$12,$F$13))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 t="n">
        <v>0</v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  <c r="AC567" s="15">
        <f>N567^2</f>
        <v/>
      </c>
      <c r="AD567" s="15">
        <f>ABS(N567)</f>
        <v/>
      </c>
      <c r="AE567" s="15">
        <f>IF(M567&gt;0, ABS(N567)*(L567-$D$16),0)</f>
        <v/>
      </c>
    </row>
    <row r="568">
      <c r="L568" s="15" t="n">
        <v>566</v>
      </c>
      <c r="M568" s="15">
        <f>IF(L568&lt;$D$16,$D$12,IF(L568&lt;$E$16,$E$12,$F$13))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 t="n">
        <v>0</v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  <c r="AC568" s="15">
        <f>N568^2</f>
        <v/>
      </c>
      <c r="AD568" s="15">
        <f>ABS(N568)</f>
        <v/>
      </c>
      <c r="AE568" s="15">
        <f>IF(M568&gt;0, ABS(N568)*(L568-$D$16),0)</f>
        <v/>
      </c>
    </row>
    <row r="569">
      <c r="L569" s="15" t="n">
        <v>567</v>
      </c>
      <c r="M569" s="15">
        <f>IF(L569&lt;$D$16,$D$12,IF(L569&lt;$E$16,$E$12,$F$13))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 t="n">
        <v>0</v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  <c r="AC569" s="15">
        <f>N569^2</f>
        <v/>
      </c>
      <c r="AD569" s="15">
        <f>ABS(N569)</f>
        <v/>
      </c>
      <c r="AE569" s="15">
        <f>IF(M569&gt;0, ABS(N569)*(L569-$D$16),0)</f>
        <v/>
      </c>
    </row>
    <row r="570">
      <c r="L570" s="15" t="n">
        <v>568</v>
      </c>
      <c r="M570" s="15">
        <f>IF(L570&lt;$D$16,$D$12,IF(L570&lt;$E$16,$E$12,$F$13))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 t="n">
        <v>0</v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  <c r="AC570" s="15">
        <f>N570^2</f>
        <v/>
      </c>
      <c r="AD570" s="15">
        <f>ABS(N570)</f>
        <v/>
      </c>
      <c r="AE570" s="15">
        <f>IF(M570&gt;0, ABS(N570)*(L570-$D$16),0)</f>
        <v/>
      </c>
    </row>
    <row r="571">
      <c r="L571" s="15" t="n">
        <v>569</v>
      </c>
      <c r="M571" s="15">
        <f>IF(L571&lt;$D$16,$D$12,IF(L571&lt;$E$16,$E$12,$F$13))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 t="n">
        <v>0</v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  <c r="AC571" s="15">
        <f>N571^2</f>
        <v/>
      </c>
      <c r="AD571" s="15">
        <f>ABS(N571)</f>
        <v/>
      </c>
      <c r="AE571" s="15">
        <f>IF(M571&gt;0, ABS(N571)*(L571-$D$16),0)</f>
        <v/>
      </c>
    </row>
    <row r="572">
      <c r="L572" s="15" t="n">
        <v>570</v>
      </c>
      <c r="M572" s="15">
        <f>IF(L572&lt;$D$16,$D$12,IF(L572&lt;$E$16,$E$12,$F$13))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 t="n">
        <v>0</v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  <c r="AC572" s="15">
        <f>N572^2</f>
        <v/>
      </c>
      <c r="AD572" s="15">
        <f>ABS(N572)</f>
        <v/>
      </c>
      <c r="AE572" s="15">
        <f>IF(M572&gt;0, ABS(N572)*(L572-$D$16),0)</f>
        <v/>
      </c>
    </row>
    <row r="573">
      <c r="L573" s="15" t="n">
        <v>571</v>
      </c>
      <c r="M573" s="15">
        <f>IF(L573&lt;$D$16,$D$12,IF(L573&lt;$E$16,$E$12,$F$13))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 t="n">
        <v>0</v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  <c r="AC573" s="15">
        <f>N573^2</f>
        <v/>
      </c>
      <c r="AD573" s="15">
        <f>ABS(N573)</f>
        <v/>
      </c>
      <c r="AE573" s="15">
        <f>IF(M573&gt;0, ABS(N573)*(L573-$D$16),0)</f>
        <v/>
      </c>
    </row>
    <row r="574">
      <c r="L574" s="15" t="n">
        <v>572</v>
      </c>
      <c r="M574" s="15">
        <f>IF(L574&lt;$D$16,$D$12,IF(L574&lt;$E$16,$E$12,$F$13))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 t="n">
        <v>0</v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  <c r="AC574" s="15">
        <f>N574^2</f>
        <v/>
      </c>
      <c r="AD574" s="15">
        <f>ABS(N574)</f>
        <v/>
      </c>
      <c r="AE574" s="15">
        <f>IF(M574&gt;0, ABS(N574)*(L574-$D$16),0)</f>
        <v/>
      </c>
    </row>
    <row r="575">
      <c r="L575" s="15" t="n">
        <v>573</v>
      </c>
      <c r="M575" s="15">
        <f>IF(L575&lt;$D$16,$D$12,IF(L575&lt;$E$16,$E$12,$F$13))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 t="n">
        <v>0</v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  <c r="AC575" s="15">
        <f>N575^2</f>
        <v/>
      </c>
      <c r="AD575" s="15">
        <f>ABS(N575)</f>
        <v/>
      </c>
      <c r="AE575" s="15">
        <f>IF(M575&gt;0, ABS(N575)*(L575-$D$16),0)</f>
        <v/>
      </c>
    </row>
    <row r="576">
      <c r="L576" s="15" t="n">
        <v>574</v>
      </c>
      <c r="M576" s="15">
        <f>IF(L576&lt;$D$16,$D$12,IF(L576&lt;$E$16,$E$12,$F$13))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 t="n">
        <v>0</v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  <c r="AC576" s="15">
        <f>N576^2</f>
        <v/>
      </c>
      <c r="AD576" s="15">
        <f>ABS(N576)</f>
        <v/>
      </c>
      <c r="AE576" s="15">
        <f>IF(M576&gt;0, ABS(N576)*(L576-$D$16),0)</f>
        <v/>
      </c>
    </row>
    <row r="577">
      <c r="L577" s="15" t="n">
        <v>575</v>
      </c>
      <c r="M577" s="15">
        <f>IF(L577&lt;$D$16,$D$12,IF(L577&lt;$E$16,$E$12,$F$13))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 t="n">
        <v>0</v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  <c r="AC577" s="15">
        <f>N577^2</f>
        <v/>
      </c>
      <c r="AD577" s="15">
        <f>ABS(N577)</f>
        <v/>
      </c>
      <c r="AE577" s="15">
        <f>IF(M577&gt;0, ABS(N577)*(L577-$D$16),0)</f>
        <v/>
      </c>
    </row>
    <row r="578">
      <c r="L578" s="15" t="n">
        <v>576</v>
      </c>
      <c r="M578" s="15">
        <f>IF(L578&lt;$D$16,$D$12,IF(L578&lt;$E$16,$E$12,$F$13))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 t="n">
        <v>0</v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  <c r="AC578" s="15">
        <f>N578^2</f>
        <v/>
      </c>
      <c r="AD578" s="15">
        <f>ABS(N578)</f>
        <v/>
      </c>
      <c r="AE578" s="15">
        <f>IF(M578&gt;0, ABS(N578)*(L578-$D$16),0)</f>
        <v/>
      </c>
    </row>
    <row r="579">
      <c r="L579" s="15" t="n">
        <v>577</v>
      </c>
      <c r="M579" s="15">
        <f>IF(L579&lt;$D$16,$D$12,IF(L579&lt;$E$16,$E$12,$F$13))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 t="n">
        <v>0</v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  <c r="AC579" s="15">
        <f>N579^2</f>
        <v/>
      </c>
      <c r="AD579" s="15">
        <f>ABS(N579)</f>
        <v/>
      </c>
      <c r="AE579" s="15">
        <f>IF(M579&gt;0, ABS(N579)*(L579-$D$16),0)</f>
        <v/>
      </c>
    </row>
    <row r="580">
      <c r="L580" s="15" t="n">
        <v>578</v>
      </c>
      <c r="M580" s="15">
        <f>IF(L580&lt;$D$16,$D$12,IF(L580&lt;$E$16,$E$12,$F$13))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 t="n">
        <v>0</v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  <c r="AC580" s="15">
        <f>N580^2</f>
        <v/>
      </c>
      <c r="AD580" s="15">
        <f>ABS(N580)</f>
        <v/>
      </c>
      <c r="AE580" s="15">
        <f>IF(M580&gt;0, ABS(N580)*(L580-$D$16),0)</f>
        <v/>
      </c>
    </row>
    <row r="581">
      <c r="L581" s="15" t="n">
        <v>579</v>
      </c>
      <c r="M581" s="15">
        <f>IF(L581&lt;$D$16,$D$12,IF(L581&lt;$E$16,$E$12,$F$13))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 t="n">
        <v>0</v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  <c r="AC581" s="15">
        <f>N581^2</f>
        <v/>
      </c>
      <c r="AD581" s="15">
        <f>ABS(N581)</f>
        <v/>
      </c>
      <c r="AE581" s="15">
        <f>IF(M581&gt;0, ABS(N581)*(L581-$D$16),0)</f>
        <v/>
      </c>
    </row>
    <row r="582">
      <c r="L582" s="15" t="n">
        <v>580</v>
      </c>
      <c r="M582" s="15">
        <f>IF(L582&lt;$D$16,$D$12,IF(L582&lt;$E$16,$E$12,$F$13))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 t="n">
        <v>0</v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  <c r="AC582" s="15">
        <f>N582^2</f>
        <v/>
      </c>
      <c r="AD582" s="15">
        <f>ABS(N582)</f>
        <v/>
      </c>
      <c r="AE582" s="15">
        <f>IF(M582&gt;0, ABS(N582)*(L582-$D$16),0)</f>
        <v/>
      </c>
    </row>
    <row r="583">
      <c r="L583" s="15" t="n">
        <v>581</v>
      </c>
      <c r="M583" s="15">
        <f>IF(L583&lt;$D$16,$D$12,IF(L583&lt;$E$16,$E$12,$F$13))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 t="n">
        <v>0</v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  <c r="AC583" s="15">
        <f>N583^2</f>
        <v/>
      </c>
      <c r="AD583" s="15">
        <f>ABS(N583)</f>
        <v/>
      </c>
      <c r="AE583" s="15">
        <f>IF(M583&gt;0, ABS(N583)*(L583-$D$16),0)</f>
        <v/>
      </c>
    </row>
    <row r="584">
      <c r="L584" s="15" t="n">
        <v>582</v>
      </c>
      <c r="M584" s="15">
        <f>IF(L584&lt;$D$16,$D$12,IF(L584&lt;$E$16,$E$12,$F$13))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 t="n">
        <v>0</v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  <c r="AC584" s="15">
        <f>N584^2</f>
        <v/>
      </c>
      <c r="AD584" s="15">
        <f>ABS(N584)</f>
        <v/>
      </c>
      <c r="AE584" s="15">
        <f>IF(M584&gt;0, ABS(N584)*(L584-$D$16),0)</f>
        <v/>
      </c>
    </row>
    <row r="585">
      <c r="L585" s="15" t="n">
        <v>583</v>
      </c>
      <c r="M585" s="15">
        <f>IF(L585&lt;$D$16,$D$12,IF(L585&lt;$E$16,$E$12,$F$13))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 t="n">
        <v>0</v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  <c r="AC585" s="15">
        <f>N585^2</f>
        <v/>
      </c>
      <c r="AD585" s="15">
        <f>ABS(N585)</f>
        <v/>
      </c>
      <c r="AE585" s="15">
        <f>IF(M585&gt;0, ABS(N585)*(L585-$D$16),0)</f>
        <v/>
      </c>
    </row>
    <row r="586">
      <c r="L586" s="15" t="n">
        <v>584</v>
      </c>
      <c r="M586" s="15">
        <f>IF(L586&lt;$D$16,$D$12,IF(L586&lt;$E$16,$E$12,$F$13))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 t="n">
        <v>0</v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  <c r="AC586" s="15">
        <f>N586^2</f>
        <v/>
      </c>
      <c r="AD586" s="15">
        <f>ABS(N586)</f>
        <v/>
      </c>
      <c r="AE586" s="15">
        <f>IF(M586&gt;0, ABS(N586)*(L586-$D$16),0)</f>
        <v/>
      </c>
    </row>
    <row r="587">
      <c r="L587" s="15" t="n">
        <v>585</v>
      </c>
      <c r="M587" s="15">
        <f>IF(L587&lt;$D$16,$D$12,IF(L587&lt;$E$16,$E$12,$F$13))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 t="n">
        <v>0</v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  <c r="AC587" s="15">
        <f>N587^2</f>
        <v/>
      </c>
      <c r="AD587" s="15">
        <f>ABS(N587)</f>
        <v/>
      </c>
      <c r="AE587" s="15">
        <f>IF(M587&gt;0, ABS(N587)*(L587-$D$16),0)</f>
        <v/>
      </c>
    </row>
    <row r="588">
      <c r="L588" s="15" t="n">
        <v>586</v>
      </c>
      <c r="M588" s="15">
        <f>IF(L588&lt;$D$16,$D$12,IF(L588&lt;$E$16,$E$12,$F$13))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 t="n">
        <v>0</v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  <c r="AC588" s="15">
        <f>N588^2</f>
        <v/>
      </c>
      <c r="AD588" s="15">
        <f>ABS(N588)</f>
        <v/>
      </c>
      <c r="AE588" s="15">
        <f>IF(M588&gt;0, ABS(N588)*(L588-$D$16),0)</f>
        <v/>
      </c>
    </row>
    <row r="589">
      <c r="L589" s="15" t="n">
        <v>587</v>
      </c>
      <c r="M589" s="15">
        <f>IF(L589&lt;$D$16,$D$12,IF(L589&lt;$E$16,$E$12,$F$13))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 t="n">
        <v>0</v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  <c r="AC589" s="15">
        <f>N589^2</f>
        <v/>
      </c>
      <c r="AD589" s="15">
        <f>ABS(N589)</f>
        <v/>
      </c>
      <c r="AE589" s="15">
        <f>IF(M589&gt;0, ABS(N589)*(L589-$D$16),0)</f>
        <v/>
      </c>
    </row>
    <row r="590">
      <c r="L590" s="15" t="n">
        <v>588</v>
      </c>
      <c r="M590" s="15">
        <f>IF(L590&lt;$D$16,$D$12,IF(L590&lt;$E$16,$E$12,$F$13))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 t="n">
        <v>0</v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  <c r="AC590" s="15">
        <f>N590^2</f>
        <v/>
      </c>
      <c r="AD590" s="15">
        <f>ABS(N590)</f>
        <v/>
      </c>
      <c r="AE590" s="15">
        <f>IF(M590&gt;0, ABS(N590)*(L590-$D$16),0)</f>
        <v/>
      </c>
    </row>
    <row r="591">
      <c r="L591" s="15" t="n">
        <v>589</v>
      </c>
      <c r="M591" s="15">
        <f>IF(L591&lt;$D$16,$D$12,IF(L591&lt;$E$16,$E$12,$F$13))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 t="n">
        <v>0</v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  <c r="AC591" s="15">
        <f>N591^2</f>
        <v/>
      </c>
      <c r="AD591" s="15">
        <f>ABS(N591)</f>
        <v/>
      </c>
      <c r="AE591" s="15">
        <f>IF(M591&gt;0, ABS(N591)*(L591-$D$16),0)</f>
        <v/>
      </c>
    </row>
    <row r="592">
      <c r="L592" s="15" t="n">
        <v>590</v>
      </c>
      <c r="M592" s="15">
        <f>IF(L592&lt;$D$16,$D$12,IF(L592&lt;$E$16,$E$12,$F$13))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 t="n">
        <v>0</v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  <c r="AC592" s="15">
        <f>N592^2</f>
        <v/>
      </c>
      <c r="AD592" s="15">
        <f>ABS(N592)</f>
        <v/>
      </c>
      <c r="AE592" s="15">
        <f>IF(M592&gt;0, ABS(N592)*(L592-$D$16),0)</f>
        <v/>
      </c>
    </row>
    <row r="593">
      <c r="L593" s="15" t="n">
        <v>591</v>
      </c>
      <c r="M593" s="15">
        <f>IF(L593&lt;$D$16,$D$12,IF(L593&lt;$E$16,$E$12,$F$13))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 t="n">
        <v>0</v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  <c r="AC593" s="15">
        <f>N593^2</f>
        <v/>
      </c>
      <c r="AD593" s="15">
        <f>ABS(N593)</f>
        <v/>
      </c>
      <c r="AE593" s="15">
        <f>IF(M593&gt;0, ABS(N593)*(L593-$D$16),0)</f>
        <v/>
      </c>
    </row>
    <row r="594">
      <c r="L594" s="15" t="n">
        <v>592</v>
      </c>
      <c r="M594" s="15">
        <f>IF(L594&lt;$D$16,$D$12,IF(L594&lt;$E$16,$E$12,$F$13))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 t="n">
        <v>0</v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  <c r="AC594" s="15">
        <f>N594^2</f>
        <v/>
      </c>
      <c r="AD594" s="15">
        <f>ABS(N594)</f>
        <v/>
      </c>
      <c r="AE594" s="15">
        <f>IF(M594&gt;0, ABS(N594)*(L594-$D$16),0)</f>
        <v/>
      </c>
    </row>
    <row r="595">
      <c r="L595" s="15" t="n">
        <v>593</v>
      </c>
      <c r="M595" s="15">
        <f>IF(L595&lt;$D$16,$D$12,IF(L595&lt;$E$16,$E$12,$F$13))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 t="n">
        <v>0</v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  <c r="AC595" s="15">
        <f>N595^2</f>
        <v/>
      </c>
      <c r="AD595" s="15">
        <f>ABS(N595)</f>
        <v/>
      </c>
      <c r="AE595" s="15">
        <f>IF(M595&gt;0, ABS(N595)*(L595-$D$16),0)</f>
        <v/>
      </c>
    </row>
    <row r="596">
      <c r="L596" s="15" t="n">
        <v>594</v>
      </c>
      <c r="M596" s="15">
        <f>IF(L596&lt;$D$16,$D$12,IF(L596&lt;$E$16,$E$12,$F$13))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 t="n">
        <v>0</v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  <c r="AC596" s="15">
        <f>N596^2</f>
        <v/>
      </c>
      <c r="AD596" s="15">
        <f>ABS(N596)</f>
        <v/>
      </c>
      <c r="AE596" s="15">
        <f>IF(M596&gt;0, ABS(N596)*(L596-$D$16),0)</f>
        <v/>
      </c>
    </row>
    <row r="597">
      <c r="L597" s="15" t="n">
        <v>595</v>
      </c>
      <c r="M597" s="15">
        <f>IF(L597&lt;$D$16,$D$12,IF(L597&lt;$E$16,$E$12,$F$13))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 t="n">
        <v>0</v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  <c r="AC597" s="15">
        <f>N597^2</f>
        <v/>
      </c>
      <c r="AD597" s="15">
        <f>ABS(N597)</f>
        <v/>
      </c>
      <c r="AE597" s="15">
        <f>IF(M597&gt;0, ABS(N597)*(L597-$D$16),0)</f>
        <v/>
      </c>
    </row>
    <row r="598">
      <c r="L598" s="15" t="n">
        <v>596</v>
      </c>
      <c r="M598" s="15">
        <f>IF(L598&lt;$D$16,$D$12,IF(L598&lt;$E$16,$E$12,$F$13))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 t="n">
        <v>0</v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  <c r="AC598" s="15">
        <f>N598^2</f>
        <v/>
      </c>
      <c r="AD598" s="15">
        <f>ABS(N598)</f>
        <v/>
      </c>
      <c r="AE598" s="15">
        <f>IF(M598&gt;0, ABS(N598)*(L598-$D$16),0)</f>
        <v/>
      </c>
    </row>
    <row r="599">
      <c r="L599" s="15" t="n">
        <v>597</v>
      </c>
      <c r="M599" s="15">
        <f>IF(L599&lt;$D$16,$D$12,IF(L599&lt;$E$16,$E$12,$F$13))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 t="n">
        <v>0</v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  <c r="AC599" s="15">
        <f>N599^2</f>
        <v/>
      </c>
      <c r="AD599" s="15">
        <f>ABS(N599)</f>
        <v/>
      </c>
      <c r="AE599" s="15">
        <f>IF(M599&gt;0, ABS(N599)*(L599-$D$16),0)</f>
        <v/>
      </c>
    </row>
    <row r="600">
      <c r="L600" s="15" t="n">
        <v>598</v>
      </c>
      <c r="M600" s="15">
        <f>IF(L600&lt;$D$16,$D$12,IF(L600&lt;$E$16,$E$12,$F$13))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 t="n">
        <v>0</v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  <c r="AC600" s="15">
        <f>N600^2</f>
        <v/>
      </c>
      <c r="AD600" s="15">
        <f>ABS(N600)</f>
        <v/>
      </c>
      <c r="AE600" s="15">
        <f>IF(M600&gt;0, ABS(N600)*(L600-$D$16),0)</f>
        <v/>
      </c>
    </row>
    <row r="601">
      <c r="L601" s="15" t="n">
        <v>599</v>
      </c>
      <c r="M601" s="15">
        <f>IF(L601&lt;$D$16,$D$12,IF(L601&lt;$E$16,$E$12,$F$13))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 t="n">
        <v>0</v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  <c r="AC601" s="15">
        <f>N601^2</f>
        <v/>
      </c>
      <c r="AD601" s="15">
        <f>ABS(N601)</f>
        <v/>
      </c>
      <c r="AE601" s="15">
        <f>IF(M601&gt;0, ABS(N601)*(L601-$D$16),0)</f>
        <v/>
      </c>
    </row>
    <row r="602">
      <c r="L602" s="15" t="n">
        <v>600</v>
      </c>
      <c r="M602" s="15">
        <f>IF(L602&lt;$D$16,$D$12,IF(L602&lt;$E$16,$E$12,$F$13))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 t="n">
        <v>0</v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  <c r="AC602" s="15">
        <f>N602^2</f>
        <v/>
      </c>
      <c r="AD602" s="15">
        <f>ABS(N602)</f>
        <v/>
      </c>
      <c r="AE602" s="15">
        <f>IF(M602&gt;0, ABS(N602)*(L602-$D$16),0)</f>
        <v/>
      </c>
    </row>
    <row r="603">
      <c r="L603" s="15" t="n">
        <v>601</v>
      </c>
      <c r="M603" s="15">
        <f>IF(L603&lt;$D$16,$D$12,IF(L603&lt;$E$16,$E$12,$F$13))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 t="n">
        <v>0</v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  <c r="AC603" s="15">
        <f>N603^2</f>
        <v/>
      </c>
      <c r="AD603" s="15">
        <f>ABS(N603)</f>
        <v/>
      </c>
      <c r="AE603" s="15">
        <f>IF(M603&gt;0, ABS(N603)*(L603-$D$16),0)</f>
        <v/>
      </c>
    </row>
    <row r="604">
      <c r="L604" s="15" t="n">
        <v>602</v>
      </c>
      <c r="M604" s="15">
        <f>IF(L604&lt;$D$16,$D$12,IF(L604&lt;$E$16,$E$12,$F$13))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 t="n">
        <v>0</v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  <c r="AC604" s="15">
        <f>N604^2</f>
        <v/>
      </c>
      <c r="AD604" s="15">
        <f>ABS(N604)</f>
        <v/>
      </c>
      <c r="AE604" s="15">
        <f>IF(M604&gt;0, ABS(N604)*(L604-$D$16),0)</f>
        <v/>
      </c>
    </row>
    <row r="605">
      <c r="L605" s="15" t="n">
        <v>603</v>
      </c>
      <c r="M605" s="15">
        <f>IF(L605&lt;$D$16,$D$12,IF(L605&lt;$E$16,$E$12,$F$13))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 t="n">
        <v>0</v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  <c r="AC605" s="15">
        <f>N605^2</f>
        <v/>
      </c>
      <c r="AD605" s="15">
        <f>ABS(N605)</f>
        <v/>
      </c>
      <c r="AE605" s="15">
        <f>IF(M605&gt;0, ABS(N605)*(L605-$D$16),0)</f>
        <v/>
      </c>
    </row>
    <row r="606">
      <c r="L606" s="15" t="n">
        <v>604</v>
      </c>
      <c r="M606" s="15">
        <f>IF(L606&lt;$D$16,$D$12,IF(L606&lt;$E$16,$E$12,$F$13))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 t="n">
        <v>0</v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  <c r="AC606" s="15">
        <f>N606^2</f>
        <v/>
      </c>
      <c r="AD606" s="15">
        <f>ABS(N606)</f>
        <v/>
      </c>
      <c r="AE606" s="15">
        <f>IF(M606&gt;0, ABS(N606)*(L606-$D$16),0)</f>
        <v/>
      </c>
    </row>
    <row r="607">
      <c r="L607" s="15" t="n">
        <v>605</v>
      </c>
      <c r="M607" s="15">
        <f>IF(L607&lt;$D$16,$D$12,IF(L607&lt;$E$16,$E$12,$F$13))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 t="n">
        <v>0</v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  <c r="AC607" s="15">
        <f>N607^2</f>
        <v/>
      </c>
      <c r="AD607" s="15">
        <f>ABS(N607)</f>
        <v/>
      </c>
      <c r="AE607" s="15">
        <f>IF(M607&gt;0, ABS(N607)*(L607-$D$16),0)</f>
        <v/>
      </c>
    </row>
    <row r="608">
      <c r="L608" s="15" t="n">
        <v>606</v>
      </c>
      <c r="M608" s="15">
        <f>IF(L608&lt;$D$16,$D$12,IF(L608&lt;$E$16,$E$12,$F$13))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 t="n">
        <v>0</v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  <c r="AC608" s="15">
        <f>N608^2</f>
        <v/>
      </c>
      <c r="AD608" s="15">
        <f>ABS(N608)</f>
        <v/>
      </c>
      <c r="AE608" s="15">
        <f>IF(M608&gt;0, ABS(N608)*(L608-$D$16),0)</f>
        <v/>
      </c>
    </row>
    <row r="609">
      <c r="L609" s="15" t="n">
        <v>607</v>
      </c>
      <c r="M609" s="15">
        <f>IF(L609&lt;$D$16,$D$12,IF(L609&lt;$E$16,$E$12,$F$13))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 t="n">
        <v>0</v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  <c r="AC609" s="15">
        <f>N609^2</f>
        <v/>
      </c>
      <c r="AD609" s="15">
        <f>ABS(N609)</f>
        <v/>
      </c>
      <c r="AE609" s="15">
        <f>IF(M609&gt;0, ABS(N609)*(L609-$D$16),0)</f>
        <v/>
      </c>
    </row>
    <row r="610">
      <c r="L610" s="15" t="n">
        <v>608</v>
      </c>
      <c r="M610" s="15">
        <f>IF(L610&lt;$D$16,$D$12,IF(L610&lt;$E$16,$E$12,$F$13))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 t="n">
        <v>0</v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  <c r="AC610" s="15">
        <f>N610^2</f>
        <v/>
      </c>
      <c r="AD610" s="15">
        <f>ABS(N610)</f>
        <v/>
      </c>
      <c r="AE610" s="15">
        <f>IF(M610&gt;0, ABS(N610)*(L610-$D$16),0)</f>
        <v/>
      </c>
    </row>
    <row r="611">
      <c r="L611" s="15" t="n">
        <v>609</v>
      </c>
      <c r="M611" s="15">
        <f>IF(L611&lt;$D$16,$D$12,IF(L611&lt;$E$16,$E$12,$F$13))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 t="n">
        <v>0</v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  <c r="AC611" s="15">
        <f>N611^2</f>
        <v/>
      </c>
      <c r="AD611" s="15">
        <f>ABS(N611)</f>
        <v/>
      </c>
      <c r="AE611" s="15">
        <f>IF(M611&gt;0, ABS(N611)*(L611-$D$16),0)</f>
        <v/>
      </c>
    </row>
    <row r="612">
      <c r="L612" s="15" t="n">
        <v>610</v>
      </c>
      <c r="M612" s="15">
        <f>IF(L612&lt;$D$16,$D$12,IF(L612&lt;$E$16,$E$12,$F$13))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 t="n">
        <v>0</v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  <c r="AC612" s="15">
        <f>N612^2</f>
        <v/>
      </c>
      <c r="AD612" s="15">
        <f>ABS(N612)</f>
        <v/>
      </c>
      <c r="AE612" s="15">
        <f>IF(M612&gt;0, ABS(N612)*(L612-$D$16),0)</f>
        <v/>
      </c>
    </row>
    <row r="613">
      <c r="L613" s="15" t="n">
        <v>611</v>
      </c>
      <c r="M613" s="15">
        <f>IF(L613&lt;$D$16,$D$12,IF(L613&lt;$E$16,$E$12,$F$13))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 t="n">
        <v>0</v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  <c r="AC613" s="15">
        <f>N613^2</f>
        <v/>
      </c>
      <c r="AD613" s="15">
        <f>ABS(N613)</f>
        <v/>
      </c>
      <c r="AE613" s="15">
        <f>IF(M613&gt;0, ABS(N613)*(L613-$D$16),0)</f>
        <v/>
      </c>
    </row>
    <row r="614">
      <c r="L614" s="15" t="n">
        <v>612</v>
      </c>
      <c r="M614" s="15">
        <f>IF(L614&lt;$D$16,$D$12,IF(L614&lt;$E$16,$E$12,$F$13))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 t="n">
        <v>0</v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  <c r="AC614" s="15">
        <f>N614^2</f>
        <v/>
      </c>
      <c r="AD614" s="15">
        <f>ABS(N614)</f>
        <v/>
      </c>
      <c r="AE614" s="15">
        <f>IF(M614&gt;0, ABS(N614)*(L614-$D$16),0)</f>
        <v/>
      </c>
    </row>
    <row r="615">
      <c r="L615" s="15" t="n">
        <v>613</v>
      </c>
      <c r="M615" s="15">
        <f>IF(L615&lt;$D$16,$D$12,IF(L615&lt;$E$16,$E$12,$F$13))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 t="n">
        <v>0</v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  <c r="AC615" s="15">
        <f>N615^2</f>
        <v/>
      </c>
      <c r="AD615" s="15">
        <f>ABS(N615)</f>
        <v/>
      </c>
      <c r="AE615" s="15">
        <f>IF(M615&gt;0, ABS(N615)*(L615-$D$16),0)</f>
        <v/>
      </c>
    </row>
    <row r="616">
      <c r="L616" s="15" t="n">
        <v>614</v>
      </c>
      <c r="M616" s="15">
        <f>IF(L616&lt;$D$16,$D$12,IF(L616&lt;$E$16,$E$12,$F$13))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 t="n">
        <v>0</v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  <c r="AC616" s="15">
        <f>N616^2</f>
        <v/>
      </c>
      <c r="AD616" s="15">
        <f>ABS(N616)</f>
        <v/>
      </c>
      <c r="AE616" s="15">
        <f>IF(M616&gt;0, ABS(N616)*(L616-$D$16),0)</f>
        <v/>
      </c>
    </row>
    <row r="617">
      <c r="L617" s="15" t="n">
        <v>615</v>
      </c>
      <c r="M617" s="15">
        <f>IF(L617&lt;$D$16,$D$12,IF(L617&lt;$E$16,$E$12,$F$13))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 t="n">
        <v>0</v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  <c r="AC617" s="15">
        <f>N617^2</f>
        <v/>
      </c>
      <c r="AD617" s="15">
        <f>ABS(N617)</f>
        <v/>
      </c>
      <c r="AE617" s="15">
        <f>IF(M617&gt;0, ABS(N617)*(L617-$D$16),0)</f>
        <v/>
      </c>
    </row>
    <row r="618">
      <c r="L618" s="15" t="n">
        <v>616</v>
      </c>
      <c r="M618" s="15">
        <f>IF(L618&lt;$D$16,$D$12,IF(L618&lt;$E$16,$E$12,$F$13))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 t="n">
        <v>0</v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  <c r="AC618" s="15">
        <f>N618^2</f>
        <v/>
      </c>
      <c r="AD618" s="15">
        <f>ABS(N618)</f>
        <v/>
      </c>
      <c r="AE618" s="15">
        <f>IF(M618&gt;0, ABS(N618)*(L618-$D$16),0)</f>
        <v/>
      </c>
    </row>
    <row r="619">
      <c r="L619" s="15" t="n">
        <v>617</v>
      </c>
      <c r="M619" s="15">
        <f>IF(L619&lt;$D$16,$D$12,IF(L619&lt;$E$16,$E$12,$F$13))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 t="n">
        <v>0</v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  <c r="AC619" s="15">
        <f>N619^2</f>
        <v/>
      </c>
      <c r="AD619" s="15">
        <f>ABS(N619)</f>
        <v/>
      </c>
      <c r="AE619" s="15">
        <f>IF(M619&gt;0, ABS(N619)*(L619-$D$16),0)</f>
        <v/>
      </c>
    </row>
    <row r="620">
      <c r="L620" s="15" t="n">
        <v>618</v>
      </c>
      <c r="M620" s="15">
        <f>IF(L620&lt;$D$16,$D$12,IF(L620&lt;$E$16,$E$12,$F$13))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 t="n">
        <v>0</v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  <c r="AC620" s="15">
        <f>N620^2</f>
        <v/>
      </c>
      <c r="AD620" s="15">
        <f>ABS(N620)</f>
        <v/>
      </c>
      <c r="AE620" s="15">
        <f>IF(M620&gt;0, ABS(N620)*(L620-$D$16),0)</f>
        <v/>
      </c>
    </row>
    <row r="621">
      <c r="L621" s="15" t="n">
        <v>619</v>
      </c>
      <c r="M621" s="15">
        <f>IF(L621&lt;$D$16,$D$12,IF(L621&lt;$E$16,$E$12,$F$13))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 t="n">
        <v>0</v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  <c r="AC621" s="15">
        <f>N621^2</f>
        <v/>
      </c>
      <c r="AD621" s="15">
        <f>ABS(N621)</f>
        <v/>
      </c>
      <c r="AE621" s="15">
        <f>IF(M621&gt;0, ABS(N621)*(L621-$D$16),0)</f>
        <v/>
      </c>
    </row>
    <row r="622">
      <c r="L622" s="15" t="n">
        <v>620</v>
      </c>
      <c r="M622" s="15">
        <f>IF(L622&lt;$D$16,$D$12,IF(L622&lt;$E$16,$E$12,$F$13))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 t="n">
        <v>0</v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  <c r="AC622" s="15">
        <f>N622^2</f>
        <v/>
      </c>
      <c r="AD622" s="15">
        <f>ABS(N622)</f>
        <v/>
      </c>
      <c r="AE622" s="15">
        <f>IF(M622&gt;0, ABS(N622)*(L622-$D$16),0)</f>
        <v/>
      </c>
    </row>
    <row r="623">
      <c r="L623" s="15" t="n">
        <v>621</v>
      </c>
      <c r="M623" s="15">
        <f>IF(L623&lt;$D$16,$D$12,IF(L623&lt;$E$16,$E$12,$F$13))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 t="n">
        <v>0</v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  <c r="AC623" s="15">
        <f>N623^2</f>
        <v/>
      </c>
      <c r="AD623" s="15">
        <f>ABS(N623)</f>
        <v/>
      </c>
      <c r="AE623" s="15">
        <f>IF(M623&gt;0, ABS(N623)*(L623-$D$16),0)</f>
        <v/>
      </c>
    </row>
    <row r="624">
      <c r="L624" s="15" t="n">
        <v>622</v>
      </c>
      <c r="M624" s="15">
        <f>IF(L624&lt;$D$16,$D$12,IF(L624&lt;$E$16,$E$12,$F$13))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 t="n">
        <v>0</v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  <c r="AC624" s="15">
        <f>N624^2</f>
        <v/>
      </c>
      <c r="AD624" s="15">
        <f>ABS(N624)</f>
        <v/>
      </c>
      <c r="AE624" s="15">
        <f>IF(M624&gt;0, ABS(N624)*(L624-$D$16),0)</f>
        <v/>
      </c>
    </row>
    <row r="625">
      <c r="L625" s="15" t="n">
        <v>623</v>
      </c>
      <c r="M625" s="15">
        <f>IF(L625&lt;$D$16,$D$12,IF(L625&lt;$E$16,$E$12,$F$13))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 t="n">
        <v>0</v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  <c r="AC625" s="15">
        <f>N625^2</f>
        <v/>
      </c>
      <c r="AD625" s="15">
        <f>ABS(N625)</f>
        <v/>
      </c>
      <c r="AE625" s="15">
        <f>IF(M625&gt;0, ABS(N625)*(L625-$D$16),0)</f>
        <v/>
      </c>
    </row>
    <row r="626">
      <c r="L626" s="15" t="n">
        <v>624</v>
      </c>
      <c r="M626" s="15">
        <f>IF(L626&lt;$D$16,$D$12,IF(L626&lt;$E$16,$E$12,$F$13))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 t="n">
        <v>0</v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  <c r="AC626" s="15">
        <f>N626^2</f>
        <v/>
      </c>
      <c r="AD626" s="15">
        <f>ABS(N626)</f>
        <v/>
      </c>
      <c r="AE626" s="15">
        <f>IF(M626&gt;0, ABS(N626)*(L626-$D$16),0)</f>
        <v/>
      </c>
    </row>
    <row r="627">
      <c r="L627" s="15" t="n">
        <v>625</v>
      </c>
      <c r="M627" s="15">
        <f>IF(L627&lt;$D$16,$D$12,IF(L627&lt;$E$16,$E$12,$F$13))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 t="n">
        <v>0</v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  <c r="AC627" s="15">
        <f>N627^2</f>
        <v/>
      </c>
      <c r="AD627" s="15">
        <f>ABS(N627)</f>
        <v/>
      </c>
      <c r="AE627" s="15">
        <f>IF(M627&gt;0, ABS(N627)*(L627-$D$16),0)</f>
        <v/>
      </c>
    </row>
    <row r="628">
      <c r="L628" s="15" t="n">
        <v>626</v>
      </c>
      <c r="M628" s="15">
        <f>IF(L628&lt;$D$16,$D$12,IF(L628&lt;$E$16,$E$12,$F$13))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 t="n">
        <v>0</v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  <c r="AC628" s="15">
        <f>N628^2</f>
        <v/>
      </c>
      <c r="AD628" s="15">
        <f>ABS(N628)</f>
        <v/>
      </c>
      <c r="AE628" s="15">
        <f>IF(M628&gt;0, ABS(N628)*(L628-$D$16),0)</f>
        <v/>
      </c>
    </row>
    <row r="629">
      <c r="L629" s="15" t="n">
        <v>627</v>
      </c>
      <c r="M629" s="15">
        <f>IF(L629&lt;$D$16,$D$12,IF(L629&lt;$E$16,$E$12,$F$13))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 t="n">
        <v>0</v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  <c r="AC629" s="15">
        <f>N629^2</f>
        <v/>
      </c>
      <c r="AD629" s="15">
        <f>ABS(N629)</f>
        <v/>
      </c>
      <c r="AE629" s="15">
        <f>IF(M629&gt;0, ABS(N629)*(L629-$D$16),0)</f>
        <v/>
      </c>
    </row>
    <row r="630">
      <c r="L630" s="15" t="n">
        <v>628</v>
      </c>
      <c r="M630" s="15">
        <f>IF(L630&lt;$D$16,$D$12,IF(L630&lt;$E$16,$E$12,$F$13))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 t="n">
        <v>0</v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  <c r="AC630" s="15">
        <f>N630^2</f>
        <v/>
      </c>
      <c r="AD630" s="15">
        <f>ABS(N630)</f>
        <v/>
      </c>
      <c r="AE630" s="15">
        <f>IF(M630&gt;0, ABS(N630)*(L630-$D$16),0)</f>
        <v/>
      </c>
    </row>
    <row r="631">
      <c r="L631" s="15" t="n">
        <v>629</v>
      </c>
      <c r="M631" s="15">
        <f>IF(L631&lt;$D$16,$D$12,IF(L631&lt;$E$16,$E$12,$F$13))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 t="n">
        <v>0</v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  <c r="AC631" s="15">
        <f>N631^2</f>
        <v/>
      </c>
      <c r="AD631" s="15">
        <f>ABS(N631)</f>
        <v/>
      </c>
      <c r="AE631" s="15">
        <f>IF(M631&gt;0, ABS(N631)*(L631-$D$16),0)</f>
        <v/>
      </c>
    </row>
    <row r="632">
      <c r="L632" s="15" t="n">
        <v>630</v>
      </c>
      <c r="M632" s="15">
        <f>IF(L632&lt;$D$16,$D$12,IF(L632&lt;$E$16,$E$12,$F$13))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 t="n">
        <v>0</v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  <c r="AC632" s="15">
        <f>N632^2</f>
        <v/>
      </c>
      <c r="AD632" s="15">
        <f>ABS(N632)</f>
        <v/>
      </c>
      <c r="AE632" s="15">
        <f>IF(M632&gt;0, ABS(N632)*(L632-$D$16),0)</f>
        <v/>
      </c>
    </row>
    <row r="633">
      <c r="L633" s="15" t="n">
        <v>631</v>
      </c>
      <c r="M633" s="15">
        <f>IF(L633&lt;$D$16,$D$12,IF(L633&lt;$E$16,$E$12,$F$13))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 t="n">
        <v>0</v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  <c r="AC633" s="15">
        <f>N633^2</f>
        <v/>
      </c>
      <c r="AD633" s="15">
        <f>ABS(N633)</f>
        <v/>
      </c>
      <c r="AE633" s="15">
        <f>IF(M633&gt;0, ABS(N633)*(L633-$D$16),0)</f>
        <v/>
      </c>
    </row>
    <row r="634">
      <c r="L634" s="15" t="n">
        <v>632</v>
      </c>
      <c r="M634" s="15">
        <f>IF(L634&lt;$D$16,$D$12,IF(L634&lt;$E$16,$E$12,$F$13))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 t="n">
        <v>0</v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  <c r="AC634" s="15">
        <f>N634^2</f>
        <v/>
      </c>
      <c r="AD634" s="15">
        <f>ABS(N634)</f>
        <v/>
      </c>
      <c r="AE634" s="15">
        <f>IF(M634&gt;0, ABS(N634)*(L634-$D$16),0)</f>
        <v/>
      </c>
    </row>
    <row r="635">
      <c r="L635" s="15" t="n">
        <v>633</v>
      </c>
      <c r="M635" s="15">
        <f>IF(L635&lt;$D$16,$D$12,IF(L635&lt;$E$16,$E$12,$F$13))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 t="n">
        <v>0</v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  <c r="AC635" s="15">
        <f>N635^2</f>
        <v/>
      </c>
      <c r="AD635" s="15">
        <f>ABS(N635)</f>
        <v/>
      </c>
      <c r="AE635" s="15">
        <f>IF(M635&gt;0, ABS(N635)*(L635-$D$16),0)</f>
        <v/>
      </c>
    </row>
    <row r="636">
      <c r="L636" s="15" t="n">
        <v>634</v>
      </c>
      <c r="M636" s="15">
        <f>IF(L636&lt;$D$16,$D$12,IF(L636&lt;$E$16,$E$12,$F$13))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 t="n">
        <v>0</v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  <c r="AC636" s="15">
        <f>N636^2</f>
        <v/>
      </c>
      <c r="AD636" s="15">
        <f>ABS(N636)</f>
        <v/>
      </c>
      <c r="AE636" s="15">
        <f>IF(M636&gt;0, ABS(N636)*(L636-$D$16),0)</f>
        <v/>
      </c>
    </row>
    <row r="637">
      <c r="L637" s="15" t="n">
        <v>635</v>
      </c>
      <c r="M637" s="15">
        <f>IF(L637&lt;$D$16,$D$12,IF(L637&lt;$E$16,$E$12,$F$13))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 t="n">
        <v>0</v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  <c r="AC637" s="15">
        <f>N637^2</f>
        <v/>
      </c>
      <c r="AD637" s="15">
        <f>ABS(N637)</f>
        <v/>
      </c>
      <c r="AE637" s="15">
        <f>IF(M637&gt;0, ABS(N637)*(L637-$D$16),0)</f>
        <v/>
      </c>
    </row>
    <row r="638">
      <c r="L638" s="15" t="n">
        <v>636</v>
      </c>
      <c r="M638" s="15">
        <f>IF(L638&lt;$D$16,$D$12,IF(L638&lt;$E$16,$E$12,$F$13))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 t="n">
        <v>0</v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  <c r="AC638" s="15">
        <f>N638^2</f>
        <v/>
      </c>
      <c r="AD638" s="15">
        <f>ABS(N638)</f>
        <v/>
      </c>
      <c r="AE638" s="15">
        <f>IF(M638&gt;0, ABS(N638)*(L638-$D$16),0)</f>
        <v/>
      </c>
    </row>
    <row r="639">
      <c r="L639" s="15" t="n">
        <v>637</v>
      </c>
      <c r="M639" s="15">
        <f>IF(L639&lt;$D$16,$D$12,IF(L639&lt;$E$16,$E$12,$F$13))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 t="n">
        <v>0</v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  <c r="AC639" s="15">
        <f>N639^2</f>
        <v/>
      </c>
      <c r="AD639" s="15">
        <f>ABS(N639)</f>
        <v/>
      </c>
      <c r="AE639" s="15">
        <f>IF(M639&gt;0, ABS(N639)*(L639-$D$16),0)</f>
        <v/>
      </c>
    </row>
    <row r="640">
      <c r="L640" s="15" t="n">
        <v>638</v>
      </c>
      <c r="M640" s="15">
        <f>IF(L640&lt;$D$16,$D$12,IF(L640&lt;$E$16,$E$12,$F$13))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 t="n">
        <v>0</v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  <c r="AC640" s="15">
        <f>N640^2</f>
        <v/>
      </c>
      <c r="AD640" s="15">
        <f>ABS(N640)</f>
        <v/>
      </c>
      <c r="AE640" s="15">
        <f>IF(M640&gt;0, ABS(N640)*(L640-$D$16),0)</f>
        <v/>
      </c>
    </row>
    <row r="641">
      <c r="L641" s="15" t="n">
        <v>639</v>
      </c>
      <c r="M641" s="15">
        <f>IF(L641&lt;$D$16,$D$12,IF(L641&lt;$E$16,$E$12,$F$13))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 t="n">
        <v>0</v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  <c r="AC641" s="15">
        <f>N641^2</f>
        <v/>
      </c>
      <c r="AD641" s="15">
        <f>ABS(N641)</f>
        <v/>
      </c>
      <c r="AE641" s="15">
        <f>IF(M641&gt;0, ABS(N641)*(L641-$D$16),0)</f>
        <v/>
      </c>
    </row>
    <row r="642">
      <c r="L642" s="15" t="n">
        <v>640</v>
      </c>
      <c r="M642" s="15">
        <f>IF(L642&lt;$D$16,$D$12,IF(L642&lt;$E$16,$E$12,$F$13))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 t="n">
        <v>0</v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  <c r="AC642" s="15">
        <f>N642^2</f>
        <v/>
      </c>
      <c r="AD642" s="15">
        <f>ABS(N642)</f>
        <v/>
      </c>
      <c r="AE642" s="15">
        <f>IF(M642&gt;0, ABS(N642)*(L642-$D$16),0)</f>
        <v/>
      </c>
    </row>
    <row r="643">
      <c r="L643" s="15" t="n">
        <v>641</v>
      </c>
      <c r="M643" s="15">
        <f>IF(L643&lt;$D$16,$D$12,IF(L643&lt;$E$16,$E$12,$F$13))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 t="n">
        <v>0</v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  <c r="AC643" s="15">
        <f>N643^2</f>
        <v/>
      </c>
      <c r="AD643" s="15">
        <f>ABS(N643)</f>
        <v/>
      </c>
      <c r="AE643" s="15">
        <f>IF(M643&gt;0, ABS(N643)*(L643-$D$16),0)</f>
        <v/>
      </c>
    </row>
    <row r="644">
      <c r="L644" s="15" t="n">
        <v>642</v>
      </c>
      <c r="M644" s="15">
        <f>IF(L644&lt;$D$16,$D$12,IF(L644&lt;$E$16,$E$12,$F$13))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 t="n">
        <v>0</v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  <c r="AC644" s="15">
        <f>N644^2</f>
        <v/>
      </c>
      <c r="AD644" s="15">
        <f>ABS(N644)</f>
        <v/>
      </c>
      <c r="AE644" s="15">
        <f>IF(M644&gt;0, ABS(N644)*(L644-$D$16),0)</f>
        <v/>
      </c>
    </row>
    <row r="645">
      <c r="L645" s="15" t="n">
        <v>643</v>
      </c>
      <c r="M645" s="15">
        <f>IF(L645&lt;$D$16,$D$12,IF(L645&lt;$E$16,$E$12,$F$13))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 t="n">
        <v>0</v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  <c r="AC645" s="15">
        <f>N645^2</f>
        <v/>
      </c>
      <c r="AD645" s="15">
        <f>ABS(N645)</f>
        <v/>
      </c>
      <c r="AE645" s="15">
        <f>IF(M645&gt;0, ABS(N645)*(L645-$D$16),0)</f>
        <v/>
      </c>
    </row>
    <row r="646">
      <c r="L646" s="15" t="n">
        <v>644</v>
      </c>
      <c r="M646" s="15">
        <f>IF(L646&lt;$D$16,$D$12,IF(L646&lt;$E$16,$E$12,$F$13))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 t="n">
        <v>0</v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  <c r="AC646" s="15">
        <f>N646^2</f>
        <v/>
      </c>
      <c r="AD646" s="15">
        <f>ABS(N646)</f>
        <v/>
      </c>
      <c r="AE646" s="15">
        <f>IF(M646&gt;0, ABS(N646)*(L646-$D$16),0)</f>
        <v/>
      </c>
    </row>
    <row r="647">
      <c r="L647" s="15" t="n">
        <v>645</v>
      </c>
      <c r="M647" s="15">
        <f>IF(L647&lt;$D$16,$D$12,IF(L647&lt;$E$16,$E$12,$F$13))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 t="n">
        <v>0</v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  <c r="AC647" s="15">
        <f>N647^2</f>
        <v/>
      </c>
      <c r="AD647" s="15">
        <f>ABS(N647)</f>
        <v/>
      </c>
      <c r="AE647" s="15">
        <f>IF(M647&gt;0, ABS(N647)*(L647-$D$16),0)</f>
        <v/>
      </c>
    </row>
    <row r="648">
      <c r="L648" s="15" t="n">
        <v>646</v>
      </c>
      <c r="M648" s="15">
        <f>IF(L648&lt;$D$16,$D$12,IF(L648&lt;$E$16,$E$12,$F$13))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 t="n">
        <v>0</v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  <c r="AC648" s="15">
        <f>N648^2</f>
        <v/>
      </c>
      <c r="AD648" s="15">
        <f>ABS(N648)</f>
        <v/>
      </c>
      <c r="AE648" s="15">
        <f>IF(M648&gt;0, ABS(N648)*(L648-$D$16),0)</f>
        <v/>
      </c>
    </row>
    <row r="649">
      <c r="L649" s="15" t="n">
        <v>647</v>
      </c>
      <c r="M649" s="15">
        <f>IF(L649&lt;$D$16,$D$12,IF(L649&lt;$E$16,$E$12,$F$13))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 t="n">
        <v>0</v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  <c r="AC649" s="15">
        <f>N649^2</f>
        <v/>
      </c>
      <c r="AD649" s="15">
        <f>ABS(N649)</f>
        <v/>
      </c>
      <c r="AE649" s="15">
        <f>IF(M649&gt;0, ABS(N649)*(L649-$D$16),0)</f>
        <v/>
      </c>
    </row>
    <row r="650">
      <c r="L650" s="15" t="n">
        <v>648</v>
      </c>
      <c r="M650" s="15">
        <f>IF(L650&lt;$D$16,$D$12,IF(L650&lt;$E$16,$E$12,$F$13))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 t="n">
        <v>0</v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  <c r="AC650" s="15">
        <f>N650^2</f>
        <v/>
      </c>
      <c r="AD650" s="15">
        <f>ABS(N650)</f>
        <v/>
      </c>
      <c r="AE650" s="15">
        <f>IF(M650&gt;0, ABS(N650)*(L650-$D$16),0)</f>
        <v/>
      </c>
    </row>
    <row r="651">
      <c r="L651" s="15" t="n">
        <v>649</v>
      </c>
      <c r="M651" s="15">
        <f>IF(L651&lt;$D$16,$D$12,IF(L651&lt;$E$16,$E$12,$F$13))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 t="n">
        <v>0</v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  <c r="AC651" s="15">
        <f>N651^2</f>
        <v/>
      </c>
      <c r="AD651" s="15">
        <f>ABS(N651)</f>
        <v/>
      </c>
      <c r="AE651" s="15">
        <f>IF(M651&gt;0, ABS(N651)*(L651-$D$16),0)</f>
        <v/>
      </c>
    </row>
    <row r="652">
      <c r="L652" s="15" t="n">
        <v>650</v>
      </c>
      <c r="M652" s="15">
        <f>IF(L652&lt;$D$16,$D$12,IF(L652&lt;$E$16,$E$12,$F$13))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 t="n">
        <v>0</v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  <c r="AC652" s="15">
        <f>N652^2</f>
        <v/>
      </c>
      <c r="AD652" s="15">
        <f>ABS(N652)</f>
        <v/>
      </c>
      <c r="AE652" s="15">
        <f>IF(M652&gt;0, ABS(N652)*(L652-$D$16),0)</f>
        <v/>
      </c>
    </row>
    <row r="653">
      <c r="L653" s="15" t="n">
        <v>651</v>
      </c>
      <c r="M653" s="15">
        <f>IF(L653&lt;$D$16,$D$12,IF(L653&lt;$E$16,$E$12,$F$13))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 t="n">
        <v>0</v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  <c r="AC653" s="15">
        <f>N653^2</f>
        <v/>
      </c>
      <c r="AD653" s="15">
        <f>ABS(N653)</f>
        <v/>
      </c>
      <c r="AE653" s="15">
        <f>IF(M653&gt;0, ABS(N653)*(L653-$D$16),0)</f>
        <v/>
      </c>
    </row>
    <row r="654">
      <c r="L654" s="15" t="n">
        <v>652</v>
      </c>
      <c r="M654" s="15">
        <f>IF(L654&lt;$D$16,$D$12,IF(L654&lt;$E$16,$E$12,$F$13))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 t="n">
        <v>0</v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  <c r="AC654" s="15">
        <f>N654^2</f>
        <v/>
      </c>
      <c r="AD654" s="15">
        <f>ABS(N654)</f>
        <v/>
      </c>
      <c r="AE654" s="15">
        <f>IF(M654&gt;0, ABS(N654)*(L654-$D$16),0)</f>
        <v/>
      </c>
    </row>
    <row r="655">
      <c r="L655" s="15" t="n">
        <v>653</v>
      </c>
      <c r="M655" s="15">
        <f>IF(L655&lt;$D$16,$D$12,IF(L655&lt;$E$16,$E$12,$F$13))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 t="n">
        <v>0</v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  <c r="AC655" s="15">
        <f>N655^2</f>
        <v/>
      </c>
      <c r="AD655" s="15">
        <f>ABS(N655)</f>
        <v/>
      </c>
      <c r="AE655" s="15">
        <f>IF(M655&gt;0, ABS(N655)*(L655-$D$16),0)</f>
        <v/>
      </c>
    </row>
    <row r="656">
      <c r="L656" s="15" t="n">
        <v>654</v>
      </c>
      <c r="M656" s="15">
        <f>IF(L656&lt;$D$16,$D$12,IF(L656&lt;$E$16,$E$12,$F$13))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 t="n">
        <v>0</v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  <c r="AC656" s="15">
        <f>N656^2</f>
        <v/>
      </c>
      <c r="AD656" s="15">
        <f>ABS(N656)</f>
        <v/>
      </c>
      <c r="AE656" s="15">
        <f>IF(M656&gt;0, ABS(N656)*(L656-$D$16),0)</f>
        <v/>
      </c>
    </row>
    <row r="657">
      <c r="L657" s="15" t="n">
        <v>655</v>
      </c>
      <c r="M657" s="15">
        <f>IF(L657&lt;$D$16,$D$12,IF(L657&lt;$E$16,$E$12,$F$13))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 t="n">
        <v>0</v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  <c r="AC657" s="15">
        <f>N657^2</f>
        <v/>
      </c>
      <c r="AD657" s="15">
        <f>ABS(N657)</f>
        <v/>
      </c>
      <c r="AE657" s="15">
        <f>IF(M657&gt;0, ABS(N657)*(L657-$D$16),0)</f>
        <v/>
      </c>
    </row>
    <row r="658">
      <c r="L658" s="15" t="n">
        <v>656</v>
      </c>
      <c r="M658" s="15">
        <f>IF(L658&lt;$D$16,$D$12,IF(L658&lt;$E$16,$E$12,$F$13))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 t="n">
        <v>0</v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  <c r="AC658" s="15">
        <f>N658^2</f>
        <v/>
      </c>
      <c r="AD658" s="15">
        <f>ABS(N658)</f>
        <v/>
      </c>
      <c r="AE658" s="15">
        <f>IF(M658&gt;0, ABS(N658)*(L658-$D$16),0)</f>
        <v/>
      </c>
    </row>
    <row r="659">
      <c r="L659" s="15" t="n">
        <v>657</v>
      </c>
      <c r="M659" s="15">
        <f>IF(L659&lt;$D$16,$D$12,IF(L659&lt;$E$16,$E$12,$F$13))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 t="n">
        <v>0</v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  <c r="AC659" s="15">
        <f>N659^2</f>
        <v/>
      </c>
      <c r="AD659" s="15">
        <f>ABS(N659)</f>
        <v/>
      </c>
      <c r="AE659" s="15">
        <f>IF(M659&gt;0, ABS(N659)*(L659-$D$16),0)</f>
        <v/>
      </c>
    </row>
    <row r="660">
      <c r="L660" s="15" t="n">
        <v>658</v>
      </c>
      <c r="M660" s="15">
        <f>IF(L660&lt;$D$16,$D$12,IF(L660&lt;$E$16,$E$12,$F$13))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 t="n">
        <v>0</v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  <c r="AC660" s="15">
        <f>N660^2</f>
        <v/>
      </c>
      <c r="AD660" s="15">
        <f>ABS(N660)</f>
        <v/>
      </c>
      <c r="AE660" s="15">
        <f>IF(M660&gt;0, ABS(N660)*(L660-$D$16),0)</f>
        <v/>
      </c>
    </row>
    <row r="661">
      <c r="L661" s="15" t="n">
        <v>659</v>
      </c>
      <c r="M661" s="15">
        <f>IF(L661&lt;$D$16,$D$12,IF(L661&lt;$E$16,$E$12,$F$13))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 t="n">
        <v>0</v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  <c r="AC661" s="15">
        <f>N661^2</f>
        <v/>
      </c>
      <c r="AD661" s="15">
        <f>ABS(N661)</f>
        <v/>
      </c>
      <c r="AE661" s="15">
        <f>IF(M661&gt;0, ABS(N661)*(L661-$D$16),0)</f>
        <v/>
      </c>
    </row>
    <row r="662">
      <c r="L662" s="15" t="n">
        <v>660</v>
      </c>
      <c r="M662" s="15">
        <f>IF(L662&lt;$D$16,$D$12,IF(L662&lt;$E$16,$E$12,$F$13))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 t="n">
        <v>0</v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  <c r="AC662" s="15">
        <f>N662^2</f>
        <v/>
      </c>
      <c r="AD662" s="15">
        <f>ABS(N662)</f>
        <v/>
      </c>
      <c r="AE662" s="15">
        <f>IF(M662&gt;0, ABS(N662)*(L662-$D$16),0)</f>
        <v/>
      </c>
    </row>
    <row r="663">
      <c r="L663" s="15" t="n">
        <v>661</v>
      </c>
      <c r="M663" s="15">
        <f>IF(L663&lt;$D$16,$D$12,IF(L663&lt;$E$16,$E$12,$F$13))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 t="n">
        <v>0</v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  <c r="AC663" s="15">
        <f>N663^2</f>
        <v/>
      </c>
      <c r="AD663" s="15">
        <f>ABS(N663)</f>
        <v/>
      </c>
      <c r="AE663" s="15">
        <f>IF(M663&gt;0, ABS(N663)*(L663-$D$16),0)</f>
        <v/>
      </c>
    </row>
    <row r="664">
      <c r="L664" s="15" t="n">
        <v>662</v>
      </c>
      <c r="M664" s="15">
        <f>IF(L664&lt;$D$16,$D$12,IF(L664&lt;$E$16,$E$12,$F$13))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 t="n">
        <v>0</v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  <c r="AC664" s="15">
        <f>N664^2</f>
        <v/>
      </c>
      <c r="AD664" s="15">
        <f>ABS(N664)</f>
        <v/>
      </c>
      <c r="AE664" s="15">
        <f>IF(M664&gt;0, ABS(N664)*(L664-$D$16),0)</f>
        <v/>
      </c>
    </row>
    <row r="665">
      <c r="L665" s="15" t="n">
        <v>663</v>
      </c>
      <c r="M665" s="15">
        <f>IF(L665&lt;$D$16,$D$12,IF(L665&lt;$E$16,$E$12,$F$13))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 t="n">
        <v>0</v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  <c r="AC665" s="15">
        <f>N665^2</f>
        <v/>
      </c>
      <c r="AD665" s="15">
        <f>ABS(N665)</f>
        <v/>
      </c>
      <c r="AE665" s="15">
        <f>IF(M665&gt;0, ABS(N665)*(L665-$D$16),0)</f>
        <v/>
      </c>
    </row>
    <row r="666">
      <c r="L666" s="15" t="n">
        <v>664</v>
      </c>
      <c r="M666" s="15">
        <f>IF(L666&lt;$D$16,$D$12,IF(L666&lt;$E$16,$E$12,$F$13))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 t="n">
        <v>0</v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  <c r="AC666" s="15">
        <f>N666^2</f>
        <v/>
      </c>
      <c r="AD666" s="15">
        <f>ABS(N666)</f>
        <v/>
      </c>
      <c r="AE666" s="15">
        <f>IF(M666&gt;0, ABS(N666)*(L666-$D$16),0)</f>
        <v/>
      </c>
    </row>
    <row r="667">
      <c r="L667" s="15" t="n">
        <v>665</v>
      </c>
      <c r="M667" s="15">
        <f>IF(L667&lt;$D$16,$D$12,IF(L667&lt;$E$16,$E$12,$F$13))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 t="n">
        <v>0</v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  <c r="AC667" s="15">
        <f>N667^2</f>
        <v/>
      </c>
      <c r="AD667" s="15">
        <f>ABS(N667)</f>
        <v/>
      </c>
      <c r="AE667" s="15">
        <f>IF(M667&gt;0, ABS(N667)*(L667-$D$16),0)</f>
        <v/>
      </c>
    </row>
    <row r="668">
      <c r="L668" s="15" t="n">
        <v>666</v>
      </c>
      <c r="M668" s="15">
        <f>IF(L668&lt;$D$16,$D$12,IF(L668&lt;$E$16,$E$12,$F$13))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 t="n">
        <v>0</v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  <c r="AC668" s="15">
        <f>N668^2</f>
        <v/>
      </c>
      <c r="AD668" s="15">
        <f>ABS(N668)</f>
        <v/>
      </c>
      <c r="AE668" s="15">
        <f>IF(M668&gt;0, ABS(N668)*(L668-$D$16),0)</f>
        <v/>
      </c>
    </row>
    <row r="669">
      <c r="L669" s="15" t="n">
        <v>667</v>
      </c>
      <c r="M669" s="15">
        <f>IF(L669&lt;$D$16,$D$12,IF(L669&lt;$E$16,$E$12,$F$13))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 t="n">
        <v>0</v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  <c r="AC669" s="15">
        <f>N669^2</f>
        <v/>
      </c>
      <c r="AD669" s="15">
        <f>ABS(N669)</f>
        <v/>
      </c>
      <c r="AE669" s="15">
        <f>IF(M669&gt;0, ABS(N669)*(L669-$D$16),0)</f>
        <v/>
      </c>
    </row>
    <row r="670">
      <c r="L670" s="15" t="n">
        <v>668</v>
      </c>
      <c r="M670" s="15">
        <f>IF(L670&lt;$D$16,$D$12,IF(L670&lt;$E$16,$E$12,$F$13))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 t="n">
        <v>0</v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  <c r="AC670" s="15">
        <f>N670^2</f>
        <v/>
      </c>
      <c r="AD670" s="15">
        <f>ABS(N670)</f>
        <v/>
      </c>
      <c r="AE670" s="15">
        <f>IF(M670&gt;0, ABS(N670)*(L670-$D$16),0)</f>
        <v/>
      </c>
    </row>
    <row r="671">
      <c r="L671" s="15" t="n">
        <v>669</v>
      </c>
      <c r="M671" s="15">
        <f>IF(L671&lt;$D$16,$D$12,IF(L671&lt;$E$16,$E$12,$F$13))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 t="n">
        <v>0</v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  <c r="AC671" s="15">
        <f>N671^2</f>
        <v/>
      </c>
      <c r="AD671" s="15">
        <f>ABS(N671)</f>
        <v/>
      </c>
      <c r="AE671" s="15">
        <f>IF(M671&gt;0, ABS(N671)*(L671-$D$16),0)</f>
        <v/>
      </c>
    </row>
    <row r="672">
      <c r="L672" s="15" t="n">
        <v>670</v>
      </c>
      <c r="M672" s="15">
        <f>IF(L672&lt;$D$16,$D$12,IF(L672&lt;$E$16,$E$12,$F$13))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 t="n">
        <v>0</v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  <c r="AC672" s="15">
        <f>N672^2</f>
        <v/>
      </c>
      <c r="AD672" s="15">
        <f>ABS(N672)</f>
        <v/>
      </c>
      <c r="AE672" s="15">
        <f>IF(M672&gt;0, ABS(N672)*(L672-$D$16),0)</f>
        <v/>
      </c>
    </row>
    <row r="673">
      <c r="L673" s="15" t="n">
        <v>671</v>
      </c>
      <c r="M673" s="15">
        <f>IF(L673&lt;$D$16,$D$12,IF(L673&lt;$E$16,$E$12,$F$13))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 t="n">
        <v>0</v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  <c r="AC673" s="15">
        <f>N673^2</f>
        <v/>
      </c>
      <c r="AD673" s="15">
        <f>ABS(N673)</f>
        <v/>
      </c>
      <c r="AE673" s="15">
        <f>IF(M673&gt;0, ABS(N673)*(L673-$D$16),0)</f>
        <v/>
      </c>
    </row>
    <row r="674">
      <c r="L674" s="15" t="n">
        <v>672</v>
      </c>
      <c r="M674" s="15">
        <f>IF(L674&lt;$D$16,$D$12,IF(L674&lt;$E$16,$E$12,$F$13))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 t="n">
        <v>0</v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  <c r="AC674" s="15">
        <f>N674^2</f>
        <v/>
      </c>
      <c r="AD674" s="15">
        <f>ABS(N674)</f>
        <v/>
      </c>
      <c r="AE674" s="15">
        <f>IF(M674&gt;0, ABS(N674)*(L674-$D$16),0)</f>
        <v/>
      </c>
    </row>
    <row r="675">
      <c r="L675" s="15" t="n">
        <v>673</v>
      </c>
      <c r="M675" s="15">
        <f>IF(L675&lt;$D$16,$D$12,IF(L675&lt;$E$16,$E$12,$F$13))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 t="n">
        <v>0</v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  <c r="AC675" s="15">
        <f>N675^2</f>
        <v/>
      </c>
      <c r="AD675" s="15">
        <f>ABS(N675)</f>
        <v/>
      </c>
      <c r="AE675" s="15">
        <f>IF(M675&gt;0, ABS(N675)*(L675-$D$16),0)</f>
        <v/>
      </c>
    </row>
    <row r="676">
      <c r="L676" s="15" t="n">
        <v>674</v>
      </c>
      <c r="M676" s="15">
        <f>IF(L676&lt;$D$16,$D$12,IF(L676&lt;$E$16,$E$12,$F$13))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 t="n">
        <v>0</v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  <c r="AC676" s="15">
        <f>N676^2</f>
        <v/>
      </c>
      <c r="AD676" s="15">
        <f>ABS(N676)</f>
        <v/>
      </c>
      <c r="AE676" s="15">
        <f>IF(M676&gt;0, ABS(N676)*(L676-$D$16),0)</f>
        <v/>
      </c>
    </row>
    <row r="677">
      <c r="L677" s="15" t="n">
        <v>675</v>
      </c>
      <c r="M677" s="15">
        <f>IF(L677&lt;$D$16,$D$12,IF(L677&lt;$E$16,$E$12,$F$13))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 t="n">
        <v>0</v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  <c r="AC677" s="15">
        <f>N677^2</f>
        <v/>
      </c>
      <c r="AD677" s="15">
        <f>ABS(N677)</f>
        <v/>
      </c>
      <c r="AE677" s="15">
        <f>IF(M677&gt;0, ABS(N677)*(L677-$D$16),0)</f>
        <v/>
      </c>
    </row>
    <row r="678">
      <c r="L678" s="15" t="n">
        <v>676</v>
      </c>
      <c r="M678" s="15">
        <f>IF(L678&lt;$D$16,$D$12,IF(L678&lt;$E$16,$E$12,$F$13))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 t="n">
        <v>0</v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  <c r="AC678" s="15">
        <f>N678^2</f>
        <v/>
      </c>
      <c r="AD678" s="15">
        <f>ABS(N678)</f>
        <v/>
      </c>
      <c r="AE678" s="15">
        <f>IF(M678&gt;0, ABS(N678)*(L678-$D$16),0)</f>
        <v/>
      </c>
    </row>
    <row r="679">
      <c r="L679" s="15" t="n">
        <v>677</v>
      </c>
      <c r="M679" s="15">
        <f>IF(L679&lt;$D$16,$D$12,IF(L679&lt;$E$16,$E$12,$F$13))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 t="n">
        <v>0</v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  <c r="AC679" s="15">
        <f>N679^2</f>
        <v/>
      </c>
      <c r="AD679" s="15">
        <f>ABS(N679)</f>
        <v/>
      </c>
      <c r="AE679" s="15">
        <f>IF(M679&gt;0, ABS(N679)*(L679-$D$16),0)</f>
        <v/>
      </c>
    </row>
    <row r="680">
      <c r="L680" s="15" t="n">
        <v>678</v>
      </c>
      <c r="M680" s="15">
        <f>IF(L680&lt;$D$16,$D$12,IF(L680&lt;$E$16,$E$12,$F$13))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 t="n">
        <v>0</v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  <c r="AC680" s="15">
        <f>N680^2</f>
        <v/>
      </c>
      <c r="AD680" s="15">
        <f>ABS(N680)</f>
        <v/>
      </c>
      <c r="AE680" s="15">
        <f>IF(M680&gt;0, ABS(N680)*(L680-$D$16),0)</f>
        <v/>
      </c>
    </row>
    <row r="681">
      <c r="L681" s="15" t="n">
        <v>679</v>
      </c>
      <c r="M681" s="15">
        <f>IF(L681&lt;$D$16,$D$12,IF(L681&lt;$E$16,$E$12,$F$13))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 t="n">
        <v>0</v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  <c r="AC681" s="15">
        <f>N681^2</f>
        <v/>
      </c>
      <c r="AD681" s="15">
        <f>ABS(N681)</f>
        <v/>
      </c>
      <c r="AE681" s="15">
        <f>IF(M681&gt;0, ABS(N681)*(L681-$D$16),0)</f>
        <v/>
      </c>
    </row>
    <row r="682">
      <c r="L682" s="15" t="n">
        <v>680</v>
      </c>
      <c r="M682" s="15">
        <f>IF(L682&lt;$D$16,$D$12,IF(L682&lt;$E$16,$E$12,$F$13))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 t="n">
        <v>0</v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  <c r="AC682" s="15">
        <f>N682^2</f>
        <v/>
      </c>
      <c r="AD682" s="15">
        <f>ABS(N682)</f>
        <v/>
      </c>
      <c r="AE682" s="15">
        <f>IF(M682&gt;0, ABS(N682)*(L682-$D$16),0)</f>
        <v/>
      </c>
    </row>
    <row r="683">
      <c r="L683" s="15" t="n">
        <v>681</v>
      </c>
      <c r="M683" s="15">
        <f>IF(L683&lt;$D$16,$D$12,IF(L683&lt;$E$16,$E$12,$F$13))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 t="n">
        <v>0</v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  <c r="AC683" s="15">
        <f>N683^2</f>
        <v/>
      </c>
      <c r="AD683" s="15">
        <f>ABS(N683)</f>
        <v/>
      </c>
      <c r="AE683" s="15">
        <f>IF(M683&gt;0, ABS(N683)*(L683-$D$16),0)</f>
        <v/>
      </c>
    </row>
    <row r="684">
      <c r="L684" s="15" t="n">
        <v>682</v>
      </c>
      <c r="M684" s="15">
        <f>IF(L684&lt;$D$16,$D$12,IF(L684&lt;$E$16,$E$12,$F$13))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 t="n">
        <v>0</v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  <c r="AC684" s="15">
        <f>N684^2</f>
        <v/>
      </c>
      <c r="AD684" s="15">
        <f>ABS(N684)</f>
        <v/>
      </c>
      <c r="AE684" s="15">
        <f>IF(M684&gt;0, ABS(N684)*(L684-$D$16),0)</f>
        <v/>
      </c>
    </row>
    <row r="685">
      <c r="L685" s="15" t="n">
        <v>683</v>
      </c>
      <c r="M685" s="15">
        <f>IF(L685&lt;$D$16,$D$12,IF(L685&lt;$E$16,$E$12,$F$13))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 t="n">
        <v>0</v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  <c r="AC685" s="15">
        <f>N685^2</f>
        <v/>
      </c>
      <c r="AD685" s="15">
        <f>ABS(N685)</f>
        <v/>
      </c>
      <c r="AE685" s="15">
        <f>IF(M685&gt;0, ABS(N685)*(L685-$D$16),0)</f>
        <v/>
      </c>
    </row>
    <row r="686">
      <c r="L686" s="15" t="n">
        <v>684</v>
      </c>
      <c r="M686" s="15">
        <f>IF(L686&lt;$D$16,$D$12,IF(L686&lt;$E$16,$E$12,$F$13))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 t="n">
        <v>0</v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  <c r="AC686" s="15">
        <f>N686^2</f>
        <v/>
      </c>
      <c r="AD686" s="15">
        <f>ABS(N686)</f>
        <v/>
      </c>
      <c r="AE686" s="15">
        <f>IF(M686&gt;0, ABS(N686)*(L686-$D$16),0)</f>
        <v/>
      </c>
    </row>
    <row r="687">
      <c r="L687" s="15" t="n">
        <v>685</v>
      </c>
      <c r="M687" s="15">
        <f>IF(L687&lt;$D$16,$D$12,IF(L687&lt;$E$16,$E$12,$F$13))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 t="n">
        <v>0</v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  <c r="AC687" s="15">
        <f>N687^2</f>
        <v/>
      </c>
      <c r="AD687" s="15">
        <f>ABS(N687)</f>
        <v/>
      </c>
      <c r="AE687" s="15">
        <f>IF(M687&gt;0, ABS(N687)*(L687-$D$16),0)</f>
        <v/>
      </c>
    </row>
    <row r="688">
      <c r="L688" s="15" t="n">
        <v>686</v>
      </c>
      <c r="M688" s="15">
        <f>IF(L688&lt;$D$16,$D$12,IF(L688&lt;$E$16,$E$12,$F$13))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 t="n">
        <v>0</v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  <c r="AC688" s="15">
        <f>N688^2</f>
        <v/>
      </c>
      <c r="AD688" s="15">
        <f>ABS(N688)</f>
        <v/>
      </c>
      <c r="AE688" s="15">
        <f>IF(M688&gt;0, ABS(N688)*(L688-$D$16),0)</f>
        <v/>
      </c>
    </row>
    <row r="689">
      <c r="L689" s="15" t="n">
        <v>687</v>
      </c>
      <c r="M689" s="15">
        <f>IF(L689&lt;$D$16,$D$12,IF(L689&lt;$E$16,$E$12,$F$13))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 t="n">
        <v>0</v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  <c r="AC689" s="15">
        <f>N689^2</f>
        <v/>
      </c>
      <c r="AD689" s="15">
        <f>ABS(N689)</f>
        <v/>
      </c>
      <c r="AE689" s="15">
        <f>IF(M689&gt;0, ABS(N689)*(L689-$D$16),0)</f>
        <v/>
      </c>
    </row>
    <row r="690">
      <c r="L690" s="15" t="n">
        <v>688</v>
      </c>
      <c r="M690" s="15">
        <f>IF(L690&lt;$D$16,$D$12,IF(L690&lt;$E$16,$E$12,$F$13))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 t="n">
        <v>0</v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  <c r="AC690" s="15">
        <f>N690^2</f>
        <v/>
      </c>
      <c r="AD690" s="15">
        <f>ABS(N690)</f>
        <v/>
      </c>
      <c r="AE690" s="15">
        <f>IF(M690&gt;0, ABS(N690)*(L690-$D$16),0)</f>
        <v/>
      </c>
    </row>
    <row r="691">
      <c r="L691" s="15" t="n">
        <v>689</v>
      </c>
      <c r="M691" s="15">
        <f>IF(L691&lt;$D$16,$D$12,IF(L691&lt;$E$16,$E$12,$F$13))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 t="n">
        <v>0</v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  <c r="AC691" s="15">
        <f>N691^2</f>
        <v/>
      </c>
      <c r="AD691" s="15">
        <f>ABS(N691)</f>
        <v/>
      </c>
      <c r="AE691" s="15">
        <f>IF(M691&gt;0, ABS(N691)*(L691-$D$16),0)</f>
        <v/>
      </c>
    </row>
    <row r="692">
      <c r="L692" s="15" t="n">
        <v>690</v>
      </c>
      <c r="M692" s="15">
        <f>IF(L692&lt;$D$16,$D$12,IF(L692&lt;$E$16,$E$12,$F$13))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 t="n">
        <v>0</v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  <c r="AC692" s="15">
        <f>N692^2</f>
        <v/>
      </c>
      <c r="AD692" s="15">
        <f>ABS(N692)</f>
        <v/>
      </c>
      <c r="AE692" s="15">
        <f>IF(M692&gt;0, ABS(N692)*(L692-$D$16),0)</f>
        <v/>
      </c>
    </row>
    <row r="693">
      <c r="L693" s="15" t="n">
        <v>691</v>
      </c>
      <c r="M693" s="15">
        <f>IF(L693&lt;$D$16,$D$12,IF(L693&lt;$E$16,$E$12,$F$13))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 t="n">
        <v>0</v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  <c r="AC693" s="15">
        <f>N693^2</f>
        <v/>
      </c>
      <c r="AD693" s="15">
        <f>ABS(N693)</f>
        <v/>
      </c>
      <c r="AE693" s="15">
        <f>IF(M693&gt;0, ABS(N693)*(L693-$D$16),0)</f>
        <v/>
      </c>
    </row>
    <row r="694">
      <c r="L694" s="15" t="n">
        <v>692</v>
      </c>
      <c r="M694" s="15">
        <f>IF(L694&lt;$D$16,$D$12,IF(L694&lt;$E$16,$E$12,$F$13))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 t="n">
        <v>0</v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  <c r="AC694" s="15">
        <f>N694^2</f>
        <v/>
      </c>
      <c r="AD694" s="15">
        <f>ABS(N694)</f>
        <v/>
      </c>
      <c r="AE694" s="15">
        <f>IF(M694&gt;0, ABS(N694)*(L694-$D$16),0)</f>
        <v/>
      </c>
    </row>
    <row r="695">
      <c r="L695" s="15" t="n">
        <v>693</v>
      </c>
      <c r="M695" s="15">
        <f>IF(L695&lt;$D$16,$D$12,IF(L695&lt;$E$16,$E$12,$F$13))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 t="n">
        <v>0</v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  <c r="AC695" s="15">
        <f>N695^2</f>
        <v/>
      </c>
      <c r="AD695" s="15">
        <f>ABS(N695)</f>
        <v/>
      </c>
      <c r="AE695" s="15">
        <f>IF(M695&gt;0, ABS(N695)*(L695-$D$16),0)</f>
        <v/>
      </c>
    </row>
    <row r="696">
      <c r="L696" s="15" t="n">
        <v>694</v>
      </c>
      <c r="M696" s="15">
        <f>IF(L696&lt;$D$16,$D$12,IF(L696&lt;$E$16,$E$12,$F$13))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 t="n">
        <v>0</v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  <c r="AC696" s="15">
        <f>N696^2</f>
        <v/>
      </c>
      <c r="AD696" s="15">
        <f>ABS(N696)</f>
        <v/>
      </c>
      <c r="AE696" s="15">
        <f>IF(M696&gt;0, ABS(N696)*(L696-$D$16),0)</f>
        <v/>
      </c>
    </row>
    <row r="697">
      <c r="L697" s="15" t="n">
        <v>695</v>
      </c>
      <c r="M697" s="15">
        <f>IF(L697&lt;$D$16,$D$12,IF(L697&lt;$E$16,$E$12,$F$13))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 t="n">
        <v>0</v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  <c r="AC697" s="15">
        <f>N697^2</f>
        <v/>
      </c>
      <c r="AD697" s="15">
        <f>ABS(N697)</f>
        <v/>
      </c>
      <c r="AE697" s="15">
        <f>IF(M697&gt;0, ABS(N697)*(L697-$D$16),0)</f>
        <v/>
      </c>
    </row>
    <row r="698">
      <c r="L698" s="15" t="n">
        <v>696</v>
      </c>
      <c r="M698" s="15">
        <f>IF(L698&lt;$D$16,$D$12,IF(L698&lt;$E$16,$E$12,$F$13))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 t="n">
        <v>0</v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  <c r="AC698" s="15">
        <f>N698^2</f>
        <v/>
      </c>
      <c r="AD698" s="15">
        <f>ABS(N698)</f>
        <v/>
      </c>
      <c r="AE698" s="15">
        <f>IF(M698&gt;0, ABS(N698)*(L698-$D$16),0)</f>
        <v/>
      </c>
    </row>
    <row r="699">
      <c r="L699" s="15" t="n">
        <v>697</v>
      </c>
      <c r="M699" s="15">
        <f>IF(L699&lt;$D$16,$D$12,IF(L699&lt;$E$16,$E$12,$F$13))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 t="n">
        <v>0</v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  <c r="AC699" s="15">
        <f>N699^2</f>
        <v/>
      </c>
      <c r="AD699" s="15">
        <f>ABS(N699)</f>
        <v/>
      </c>
      <c r="AE699" s="15">
        <f>IF(M699&gt;0, ABS(N699)*(L699-$D$16),0)</f>
        <v/>
      </c>
    </row>
    <row r="700">
      <c r="L700" s="15" t="n">
        <v>698</v>
      </c>
      <c r="M700" s="15">
        <f>IF(L700&lt;$D$16,$D$12,IF(L700&lt;$E$16,$E$12,$F$13))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 t="n">
        <v>0</v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  <c r="AC700" s="15">
        <f>N700^2</f>
        <v/>
      </c>
      <c r="AD700" s="15">
        <f>ABS(N700)</f>
        <v/>
      </c>
      <c r="AE700" s="15">
        <f>IF(M700&gt;0, ABS(N700)*(L700-$D$16),0)</f>
        <v/>
      </c>
    </row>
    <row r="701">
      <c r="L701" s="15" t="n">
        <v>699</v>
      </c>
      <c r="M701" s="15">
        <f>IF(L701&lt;$D$16,$D$12,IF(L701&lt;$E$16,$E$12,$F$13))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 t="n">
        <v>0</v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  <c r="AC701" s="15">
        <f>N701^2</f>
        <v/>
      </c>
      <c r="AD701" s="15">
        <f>ABS(N701)</f>
        <v/>
      </c>
      <c r="AE701" s="15">
        <f>IF(M701&gt;0, ABS(N701)*(L701-$D$16),0)</f>
        <v/>
      </c>
    </row>
    <row r="702">
      <c r="L702" s="15" t="n">
        <v>700</v>
      </c>
      <c r="M702" s="15">
        <f>IF(L702&lt;$D$16,$D$12,IF(L702&lt;$E$16,$E$12,$F$13))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 t="n">
        <v>0</v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  <c r="AC702" s="15">
        <f>N702^2</f>
        <v/>
      </c>
      <c r="AD702" s="15">
        <f>ABS(N702)</f>
        <v/>
      </c>
      <c r="AE702" s="15">
        <f>IF(M702&gt;0, ABS(N702)*(L702-$D$16),0)</f>
        <v/>
      </c>
    </row>
    <row r="703">
      <c r="L703" s="15" t="n">
        <v>701</v>
      </c>
      <c r="M703" s="15">
        <f>IF(L703&lt;$D$16,$D$12,IF(L703&lt;$E$16,$E$12,$F$13))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 t="n">
        <v>0</v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  <c r="AC703" s="15">
        <f>N703^2</f>
        <v/>
      </c>
      <c r="AD703" s="15">
        <f>ABS(N703)</f>
        <v/>
      </c>
      <c r="AE703" s="15">
        <f>IF(M703&gt;0, ABS(N703)*(L703-$D$16),0)</f>
        <v/>
      </c>
    </row>
    <row r="704">
      <c r="L704" s="15" t="n">
        <v>702</v>
      </c>
      <c r="M704" s="15">
        <f>IF(L704&lt;$D$16,$D$12,IF(L704&lt;$E$16,$E$12,$F$13))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 t="n">
        <v>0</v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  <c r="AC704" s="15">
        <f>N704^2</f>
        <v/>
      </c>
      <c r="AD704" s="15">
        <f>ABS(N704)</f>
        <v/>
      </c>
      <c r="AE704" s="15">
        <f>IF(M704&gt;0, ABS(N704)*(L704-$D$16),0)</f>
        <v/>
      </c>
    </row>
    <row r="705">
      <c r="L705" s="15" t="n">
        <v>703</v>
      </c>
      <c r="M705" s="15">
        <f>IF(L705&lt;$D$16,$D$12,IF(L705&lt;$E$16,$E$12,$F$13))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 t="n">
        <v>0</v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  <c r="AC705" s="15">
        <f>N705^2</f>
        <v/>
      </c>
      <c r="AD705" s="15">
        <f>ABS(N705)</f>
        <v/>
      </c>
      <c r="AE705" s="15">
        <f>IF(M705&gt;0, ABS(N705)*(L705-$D$16),0)</f>
        <v/>
      </c>
    </row>
    <row r="706">
      <c r="L706" s="15" t="n">
        <v>704</v>
      </c>
      <c r="M706" s="15">
        <f>IF(L706&lt;$D$16,$D$12,IF(L706&lt;$E$16,$E$12,$F$13))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 t="n">
        <v>0</v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  <c r="AC706" s="15">
        <f>N706^2</f>
        <v/>
      </c>
      <c r="AD706" s="15">
        <f>ABS(N706)</f>
        <v/>
      </c>
      <c r="AE706" s="15">
        <f>IF(M706&gt;0, ABS(N706)*(L706-$D$16),0)</f>
        <v/>
      </c>
    </row>
    <row r="707">
      <c r="L707" s="15" t="n">
        <v>705</v>
      </c>
      <c r="M707" s="15">
        <f>IF(L707&lt;$D$16,$D$12,IF(L707&lt;$E$16,$E$12,$F$13))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 t="n">
        <v>0</v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  <c r="AC707" s="15">
        <f>N707^2</f>
        <v/>
      </c>
      <c r="AD707" s="15">
        <f>ABS(N707)</f>
        <v/>
      </c>
      <c r="AE707" s="15">
        <f>IF(M707&gt;0, ABS(N707)*(L707-$D$16),0)</f>
        <v/>
      </c>
    </row>
    <row r="708">
      <c r="L708" s="15" t="n">
        <v>706</v>
      </c>
      <c r="M708" s="15">
        <f>IF(L708&lt;$D$16,$D$12,IF(L708&lt;$E$16,$E$12,$F$13))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 t="n">
        <v>0</v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  <c r="AC708" s="15">
        <f>N708^2</f>
        <v/>
      </c>
      <c r="AD708" s="15">
        <f>ABS(N708)</f>
        <v/>
      </c>
      <c r="AE708" s="15">
        <f>IF(M708&gt;0, ABS(N708)*(L708-$D$16),0)</f>
        <v/>
      </c>
    </row>
    <row r="709">
      <c r="L709" s="15" t="n">
        <v>707</v>
      </c>
      <c r="M709" s="15">
        <f>IF(L709&lt;$D$16,$D$12,IF(L709&lt;$E$16,$E$12,$F$13))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 t="n">
        <v>0</v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  <c r="AC709" s="15">
        <f>N709^2</f>
        <v/>
      </c>
      <c r="AD709" s="15">
        <f>ABS(N709)</f>
        <v/>
      </c>
      <c r="AE709" s="15">
        <f>IF(M709&gt;0, ABS(N709)*(L709-$D$16),0)</f>
        <v/>
      </c>
    </row>
    <row r="710">
      <c r="L710" s="15" t="n">
        <v>708</v>
      </c>
      <c r="M710" s="15">
        <f>IF(L710&lt;$D$16,$D$12,IF(L710&lt;$E$16,$E$12,$F$13))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 t="n">
        <v>0</v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  <c r="AC710" s="15">
        <f>N710^2</f>
        <v/>
      </c>
      <c r="AD710" s="15">
        <f>ABS(N710)</f>
        <v/>
      </c>
      <c r="AE710" s="15">
        <f>IF(M710&gt;0, ABS(N710)*(L710-$D$16),0)</f>
        <v/>
      </c>
    </row>
    <row r="711">
      <c r="L711" s="15" t="n">
        <v>709</v>
      </c>
      <c r="M711" s="15">
        <f>IF(L711&lt;$D$16,$D$12,IF(L711&lt;$E$16,$E$12,$F$13))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 t="n">
        <v>0</v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  <c r="AC711" s="15">
        <f>N711^2</f>
        <v/>
      </c>
      <c r="AD711" s="15">
        <f>ABS(N711)</f>
        <v/>
      </c>
      <c r="AE711" s="15">
        <f>IF(M711&gt;0, ABS(N711)*(L711-$D$16),0)</f>
        <v/>
      </c>
    </row>
    <row r="712">
      <c r="L712" s="15" t="n">
        <v>710</v>
      </c>
      <c r="M712" s="15">
        <f>IF(L712&lt;$D$16,$D$12,IF(L712&lt;$E$16,$E$12,$F$13))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 t="n">
        <v>0</v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  <c r="AC712" s="15">
        <f>N712^2</f>
        <v/>
      </c>
      <c r="AD712" s="15">
        <f>ABS(N712)</f>
        <v/>
      </c>
      <c r="AE712" s="15">
        <f>IF(M712&gt;0, ABS(N712)*(L712-$D$16),0)</f>
        <v/>
      </c>
    </row>
    <row r="713">
      <c r="L713" s="15" t="n">
        <v>711</v>
      </c>
      <c r="M713" s="15">
        <f>IF(L713&lt;$D$16,$D$12,IF(L713&lt;$E$16,$E$12,$F$13))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 t="n">
        <v>0</v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  <c r="AC713" s="15">
        <f>N713^2</f>
        <v/>
      </c>
      <c r="AD713" s="15">
        <f>ABS(N713)</f>
        <v/>
      </c>
      <c r="AE713" s="15">
        <f>IF(M713&gt;0, ABS(N713)*(L713-$D$16),0)</f>
        <v/>
      </c>
    </row>
    <row r="714">
      <c r="L714" s="15" t="n">
        <v>712</v>
      </c>
      <c r="M714" s="15">
        <f>IF(L714&lt;$D$16,$D$12,IF(L714&lt;$E$16,$E$12,$F$13))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 t="n">
        <v>0</v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  <c r="AC714" s="15">
        <f>N714^2</f>
        <v/>
      </c>
      <c r="AD714" s="15">
        <f>ABS(N714)</f>
        <v/>
      </c>
      <c r="AE714" s="15">
        <f>IF(M714&gt;0, ABS(N714)*(L714-$D$16),0)</f>
        <v/>
      </c>
    </row>
    <row r="715">
      <c r="L715" s="15" t="n">
        <v>713</v>
      </c>
      <c r="M715" s="15">
        <f>IF(L715&lt;$D$16,$D$12,IF(L715&lt;$E$16,$E$12,$F$13))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 t="n">
        <v>0</v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  <c r="AC715" s="15">
        <f>N715^2</f>
        <v/>
      </c>
      <c r="AD715" s="15">
        <f>ABS(N715)</f>
        <v/>
      </c>
      <c r="AE715" s="15">
        <f>IF(M715&gt;0, ABS(N715)*(L715-$D$16),0)</f>
        <v/>
      </c>
    </row>
    <row r="716">
      <c r="L716" s="15" t="n">
        <v>714</v>
      </c>
      <c r="M716" s="15">
        <f>IF(L716&lt;$D$16,$D$12,IF(L716&lt;$E$16,$E$12,$F$13))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 t="n">
        <v>0</v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  <c r="AC716" s="15">
        <f>N716^2</f>
        <v/>
      </c>
      <c r="AD716" s="15">
        <f>ABS(N716)</f>
        <v/>
      </c>
      <c r="AE716" s="15">
        <f>IF(M716&gt;0, ABS(N716)*(L716-$D$16),0)</f>
        <v/>
      </c>
    </row>
    <row r="717">
      <c r="L717" s="15" t="n">
        <v>715</v>
      </c>
      <c r="M717" s="15">
        <f>IF(L717&lt;$D$16,$D$12,IF(L717&lt;$E$16,$E$12,$F$13))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 t="n">
        <v>0</v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  <c r="AC717" s="15">
        <f>N717^2</f>
        <v/>
      </c>
      <c r="AD717" s="15">
        <f>ABS(N717)</f>
        <v/>
      </c>
      <c r="AE717" s="15">
        <f>IF(M717&gt;0, ABS(N717)*(L717-$D$16),0)</f>
        <v/>
      </c>
    </row>
    <row r="718">
      <c r="L718" s="15" t="n">
        <v>716</v>
      </c>
      <c r="M718" s="15">
        <f>IF(L718&lt;$D$16,$D$12,IF(L718&lt;$E$16,$E$12,$F$13))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 t="n">
        <v>0</v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  <c r="AC718" s="15">
        <f>N718^2</f>
        <v/>
      </c>
      <c r="AD718" s="15">
        <f>ABS(N718)</f>
        <v/>
      </c>
      <c r="AE718" s="15">
        <f>IF(M718&gt;0, ABS(N718)*(L718-$D$16),0)</f>
        <v/>
      </c>
    </row>
    <row r="719">
      <c r="L719" s="15" t="n">
        <v>717</v>
      </c>
      <c r="M719" s="15">
        <f>IF(L719&lt;$D$16,$D$12,IF(L719&lt;$E$16,$E$12,$F$13))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 t="n">
        <v>0</v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  <c r="AC719" s="15">
        <f>N719^2</f>
        <v/>
      </c>
      <c r="AD719" s="15">
        <f>ABS(N719)</f>
        <v/>
      </c>
      <c r="AE719" s="15">
        <f>IF(M719&gt;0, ABS(N719)*(L719-$D$16),0)</f>
        <v/>
      </c>
    </row>
    <row r="720">
      <c r="L720" s="15" t="n">
        <v>718</v>
      </c>
      <c r="M720" s="15">
        <f>IF(L720&lt;$D$16,$D$12,IF(L720&lt;$E$16,$E$12,$F$13))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 t="n">
        <v>0</v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  <c r="AC720" s="15">
        <f>N720^2</f>
        <v/>
      </c>
      <c r="AD720" s="15">
        <f>ABS(N720)</f>
        <v/>
      </c>
      <c r="AE720" s="15">
        <f>IF(M720&gt;0, ABS(N720)*(L720-$D$16),0)</f>
        <v/>
      </c>
    </row>
    <row r="721">
      <c r="L721" s="15" t="n">
        <v>719</v>
      </c>
      <c r="M721" s="15">
        <f>IF(L721&lt;$D$16,$D$12,IF(L721&lt;$E$16,$E$12,$F$13))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 t="n">
        <v>0</v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  <c r="AC721" s="15">
        <f>N721^2</f>
        <v/>
      </c>
      <c r="AD721" s="15">
        <f>ABS(N721)</f>
        <v/>
      </c>
      <c r="AE721" s="15">
        <f>IF(M721&gt;0, ABS(N721)*(L721-$D$16),0)</f>
        <v/>
      </c>
    </row>
    <row r="722">
      <c r="L722" s="15" t="n">
        <v>720</v>
      </c>
      <c r="M722" s="15">
        <f>IF(L722&lt;$D$16,$D$12,IF(L722&lt;$E$16,$E$12,$F$13))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 t="n">
        <v>0</v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  <c r="AC722" s="15">
        <f>N722^2</f>
        <v/>
      </c>
      <c r="AD722" s="15">
        <f>ABS(N722)</f>
        <v/>
      </c>
      <c r="AE722" s="15">
        <f>IF(M722&gt;0, ABS(N722)*(L722-$D$16),0)</f>
        <v/>
      </c>
    </row>
    <row r="723">
      <c r="L723" s="15" t="n">
        <v>721</v>
      </c>
      <c r="M723" s="15">
        <f>IF(L723&lt;$D$16,$D$12,IF(L723&lt;$E$16,$E$12,$F$13))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 t="n">
        <v>0</v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  <c r="AC723" s="15">
        <f>N723^2</f>
        <v/>
      </c>
      <c r="AD723" s="15">
        <f>ABS(N723)</f>
        <v/>
      </c>
      <c r="AE723" s="15">
        <f>IF(M723&gt;0, ABS(N723)*(L723-$D$16),0)</f>
        <v/>
      </c>
    </row>
    <row r="724">
      <c r="L724" s="15" t="n">
        <v>722</v>
      </c>
      <c r="M724" s="15">
        <f>IF(L724&lt;$D$16,$D$12,IF(L724&lt;$E$16,$E$12,$F$13))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 t="n">
        <v>0</v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  <c r="AC724" s="15">
        <f>N724^2</f>
        <v/>
      </c>
      <c r="AD724" s="15">
        <f>ABS(N724)</f>
        <v/>
      </c>
      <c r="AE724" s="15">
        <f>IF(M724&gt;0, ABS(N724)*(L724-$D$16),0)</f>
        <v/>
      </c>
    </row>
    <row r="725">
      <c r="L725" s="15" t="n">
        <v>723</v>
      </c>
      <c r="M725" s="15">
        <f>IF(L725&lt;$D$16,$D$12,IF(L725&lt;$E$16,$E$12,$F$13))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 t="n">
        <v>0</v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  <c r="AC725" s="15">
        <f>N725^2</f>
        <v/>
      </c>
      <c r="AD725" s="15">
        <f>ABS(N725)</f>
        <v/>
      </c>
      <c r="AE725" s="15">
        <f>IF(M725&gt;0, ABS(N725)*(L725-$D$16),0)</f>
        <v/>
      </c>
    </row>
    <row r="726">
      <c r="L726" s="15" t="n">
        <v>724</v>
      </c>
      <c r="M726" s="15">
        <f>IF(L726&lt;$D$16,$D$12,IF(L726&lt;$E$16,$E$12,$F$13))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 t="n">
        <v>0</v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  <c r="AC726" s="15">
        <f>N726^2</f>
        <v/>
      </c>
      <c r="AD726" s="15">
        <f>ABS(N726)</f>
        <v/>
      </c>
      <c r="AE726" s="15">
        <f>IF(M726&gt;0, ABS(N726)*(L726-$D$16),0)</f>
        <v/>
      </c>
    </row>
    <row r="727">
      <c r="L727" s="15" t="n">
        <v>725</v>
      </c>
      <c r="M727" s="15">
        <f>IF(L727&lt;$D$16,$D$12,IF(L727&lt;$E$16,$E$12,$F$13))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 t="n">
        <v>0</v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  <c r="AC727" s="15">
        <f>N727^2</f>
        <v/>
      </c>
      <c r="AD727" s="15">
        <f>ABS(N727)</f>
        <v/>
      </c>
      <c r="AE727" s="15">
        <f>IF(M727&gt;0, ABS(N727)*(L727-$D$16),0)</f>
        <v/>
      </c>
    </row>
    <row r="728">
      <c r="L728" s="15" t="n">
        <v>726</v>
      </c>
      <c r="M728" s="15">
        <f>IF(L728&lt;$D$16,$D$12,IF(L728&lt;$E$16,$E$12,$F$13))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 t="n">
        <v>0</v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  <c r="AC728" s="15">
        <f>N728^2</f>
        <v/>
      </c>
      <c r="AD728" s="15">
        <f>ABS(N728)</f>
        <v/>
      </c>
      <c r="AE728" s="15">
        <f>IF(M728&gt;0, ABS(N728)*(L728-$D$16),0)</f>
        <v/>
      </c>
    </row>
    <row r="729">
      <c r="L729" s="15" t="n">
        <v>727</v>
      </c>
      <c r="M729" s="15">
        <f>IF(L729&lt;$D$16,$D$12,IF(L729&lt;$E$16,$E$12,$F$13))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 t="n">
        <v>0</v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  <c r="AC729" s="15">
        <f>N729^2</f>
        <v/>
      </c>
      <c r="AD729" s="15">
        <f>ABS(N729)</f>
        <v/>
      </c>
      <c r="AE729" s="15">
        <f>IF(M729&gt;0, ABS(N729)*(L729-$D$16),0)</f>
        <v/>
      </c>
    </row>
    <row r="730">
      <c r="L730" s="15" t="n">
        <v>728</v>
      </c>
      <c r="M730" s="15">
        <f>IF(L730&lt;$D$16,$D$12,IF(L730&lt;$E$16,$E$12,$F$13))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 t="n">
        <v>0</v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  <c r="AC730" s="15">
        <f>N730^2</f>
        <v/>
      </c>
      <c r="AD730" s="15">
        <f>ABS(N730)</f>
        <v/>
      </c>
      <c r="AE730" s="15">
        <f>IF(M730&gt;0, ABS(N730)*(L730-$D$16),0)</f>
        <v/>
      </c>
    </row>
    <row r="731">
      <c r="L731" s="15" t="n">
        <v>729</v>
      </c>
      <c r="M731" s="15">
        <f>IF(L731&lt;$D$16,$D$12,IF(L731&lt;$E$16,$E$12,$F$13))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 t="n">
        <v>0</v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  <c r="AC731" s="15">
        <f>N731^2</f>
        <v/>
      </c>
      <c r="AD731" s="15">
        <f>ABS(N731)</f>
        <v/>
      </c>
      <c r="AE731" s="15">
        <f>IF(M731&gt;0, ABS(N731)*(L731-$D$16),0)</f>
        <v/>
      </c>
    </row>
    <row r="732">
      <c r="L732" s="15" t="n">
        <v>730</v>
      </c>
      <c r="M732" s="15">
        <f>IF(L732&lt;$D$16,$D$12,IF(L732&lt;$E$16,$E$12,$F$13))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 t="n">
        <v>0</v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  <c r="AC732" s="15">
        <f>N732^2</f>
        <v/>
      </c>
      <c r="AD732" s="15">
        <f>ABS(N732)</f>
        <v/>
      </c>
      <c r="AE732" s="15">
        <f>IF(M732&gt;0, ABS(N732)*(L732-$D$16),0)</f>
        <v/>
      </c>
    </row>
    <row r="733">
      <c r="L733" s="15" t="n">
        <v>731</v>
      </c>
      <c r="M733" s="15">
        <f>IF(L733&lt;$D$16,$D$12,IF(L733&lt;$E$16,$E$12,$F$13))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 t="n">
        <v>0</v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  <c r="AC733" s="15">
        <f>N733^2</f>
        <v/>
      </c>
      <c r="AD733" s="15">
        <f>ABS(N733)</f>
        <v/>
      </c>
      <c r="AE733" s="15">
        <f>IF(M733&gt;0, ABS(N733)*(L733-$D$16),0)</f>
        <v/>
      </c>
    </row>
    <row r="734">
      <c r="L734" s="15" t="n">
        <v>732</v>
      </c>
      <c r="M734" s="15">
        <f>IF(L734&lt;$D$16,$D$12,IF(L734&lt;$E$16,$E$12,$F$13))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 t="n">
        <v>0</v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  <c r="AC734" s="15">
        <f>N734^2</f>
        <v/>
      </c>
      <c r="AD734" s="15">
        <f>ABS(N734)</f>
        <v/>
      </c>
      <c r="AE734" s="15">
        <f>IF(M734&gt;0, ABS(N734)*(L734-$D$16),0)</f>
        <v/>
      </c>
    </row>
    <row r="735">
      <c r="L735" s="15" t="n">
        <v>733</v>
      </c>
      <c r="M735" s="15">
        <f>IF(L735&lt;$D$16,$D$12,IF(L735&lt;$E$16,$E$12,$F$13))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 t="n">
        <v>0</v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  <c r="AC735" s="15">
        <f>N735^2</f>
        <v/>
      </c>
      <c r="AD735" s="15">
        <f>ABS(N735)</f>
        <v/>
      </c>
      <c r="AE735" s="15">
        <f>IF(M735&gt;0, ABS(N735)*(L735-$D$16),0)</f>
        <v/>
      </c>
    </row>
    <row r="736">
      <c r="L736" s="15" t="n">
        <v>734</v>
      </c>
      <c r="M736" s="15">
        <f>IF(L736&lt;$D$16,$D$12,IF(L736&lt;$E$16,$E$12,$F$13))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 t="n">
        <v>0</v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  <c r="AC736" s="15">
        <f>N736^2</f>
        <v/>
      </c>
      <c r="AD736" s="15">
        <f>ABS(N736)</f>
        <v/>
      </c>
      <c r="AE736" s="15">
        <f>IF(M736&gt;0, ABS(N736)*(L736-$D$16),0)</f>
        <v/>
      </c>
    </row>
    <row r="737">
      <c r="L737" s="15" t="n">
        <v>735</v>
      </c>
      <c r="M737" s="15">
        <f>IF(L737&lt;$D$16,$D$12,IF(L737&lt;$E$16,$E$12,$F$13))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 t="n">
        <v>0</v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  <c r="AC737" s="15">
        <f>N737^2</f>
        <v/>
      </c>
      <c r="AD737" s="15">
        <f>ABS(N737)</f>
        <v/>
      </c>
      <c r="AE737" s="15">
        <f>IF(M737&gt;0, ABS(N737)*(L737-$D$16),0)</f>
        <v/>
      </c>
    </row>
    <row r="738">
      <c r="L738" s="15" t="n">
        <v>736</v>
      </c>
      <c r="M738" s="15">
        <f>IF(L738&lt;$D$16,$D$12,IF(L738&lt;$E$16,$E$12,$F$13))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 t="n">
        <v>0</v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  <c r="AC738" s="15">
        <f>N738^2</f>
        <v/>
      </c>
      <c r="AD738" s="15">
        <f>ABS(N738)</f>
        <v/>
      </c>
      <c r="AE738" s="15">
        <f>IF(M738&gt;0, ABS(N738)*(L738-$D$16),0)</f>
        <v/>
      </c>
    </row>
    <row r="739">
      <c r="L739" s="15" t="n">
        <v>737</v>
      </c>
      <c r="M739" s="15">
        <f>IF(L739&lt;$D$16,$D$12,IF(L739&lt;$E$16,$E$12,$F$13))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 t="n">
        <v>0</v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  <c r="AC739" s="15">
        <f>N739^2</f>
        <v/>
      </c>
      <c r="AD739" s="15">
        <f>ABS(N739)</f>
        <v/>
      </c>
      <c r="AE739" s="15">
        <f>IF(M739&gt;0, ABS(N739)*(L739-$D$16),0)</f>
        <v/>
      </c>
    </row>
    <row r="740">
      <c r="L740" s="15" t="n">
        <v>738</v>
      </c>
      <c r="M740" s="15">
        <f>IF(L740&lt;$D$16,$D$12,IF(L740&lt;$E$16,$E$12,$F$13))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 t="n">
        <v>0</v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  <c r="AC740" s="15">
        <f>N740^2</f>
        <v/>
      </c>
      <c r="AD740" s="15">
        <f>ABS(N740)</f>
        <v/>
      </c>
      <c r="AE740" s="15">
        <f>IF(M740&gt;0, ABS(N740)*(L740-$D$16),0)</f>
        <v/>
      </c>
    </row>
    <row r="741">
      <c r="L741" s="15" t="n">
        <v>739</v>
      </c>
      <c r="M741" s="15">
        <f>IF(L741&lt;$D$16,$D$12,IF(L741&lt;$E$16,$E$12,$F$13))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 t="n">
        <v>0</v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  <c r="AC741" s="15">
        <f>N741^2</f>
        <v/>
      </c>
      <c r="AD741" s="15">
        <f>ABS(N741)</f>
        <v/>
      </c>
      <c r="AE741" s="15">
        <f>IF(M741&gt;0, ABS(N741)*(L741-$D$16),0)</f>
        <v/>
      </c>
    </row>
    <row r="742">
      <c r="L742" s="15" t="n">
        <v>740</v>
      </c>
      <c r="M742" s="15">
        <f>IF(L742&lt;$D$16,$D$12,IF(L742&lt;$E$16,$E$12,$F$13))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 t="n">
        <v>0</v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  <c r="AC742" s="15">
        <f>N742^2</f>
        <v/>
      </c>
      <c r="AD742" s="15">
        <f>ABS(N742)</f>
        <v/>
      </c>
      <c r="AE742" s="15">
        <f>IF(M742&gt;0, ABS(N742)*(L742-$D$16),0)</f>
        <v/>
      </c>
    </row>
    <row r="743">
      <c r="L743" s="15" t="n">
        <v>741</v>
      </c>
      <c r="M743" s="15">
        <f>IF(L743&lt;$D$16,$D$12,IF(L743&lt;$E$16,$E$12,$F$13))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 t="n">
        <v>0</v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  <c r="AC743" s="15">
        <f>N743^2</f>
        <v/>
      </c>
      <c r="AD743" s="15">
        <f>ABS(N743)</f>
        <v/>
      </c>
      <c r="AE743" s="15">
        <f>IF(M743&gt;0, ABS(N743)*(L743-$D$16),0)</f>
        <v/>
      </c>
    </row>
    <row r="744">
      <c r="L744" s="15" t="n">
        <v>742</v>
      </c>
      <c r="M744" s="15">
        <f>IF(L744&lt;$D$16,$D$12,IF(L744&lt;$E$16,$E$12,$F$13))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 t="n">
        <v>0</v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  <c r="AC744" s="15">
        <f>N744^2</f>
        <v/>
      </c>
      <c r="AD744" s="15">
        <f>ABS(N744)</f>
        <v/>
      </c>
      <c r="AE744" s="15">
        <f>IF(M744&gt;0, ABS(N744)*(L744-$D$16),0)</f>
        <v/>
      </c>
    </row>
    <row r="745">
      <c r="L745" s="15" t="n">
        <v>743</v>
      </c>
      <c r="M745" s="15">
        <f>IF(L745&lt;$D$16,$D$12,IF(L745&lt;$E$16,$E$12,$F$13))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 t="n">
        <v>0</v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  <c r="AC745" s="15">
        <f>N745^2</f>
        <v/>
      </c>
      <c r="AD745" s="15">
        <f>ABS(N745)</f>
        <v/>
      </c>
      <c r="AE745" s="15">
        <f>IF(M745&gt;0, ABS(N745)*(L745-$D$16),0)</f>
        <v/>
      </c>
    </row>
    <row r="746">
      <c r="L746" s="15" t="n">
        <v>744</v>
      </c>
      <c r="M746" s="15">
        <f>IF(L746&lt;$D$16,$D$12,IF(L746&lt;$E$16,$E$12,$F$13))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 t="n">
        <v>0</v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  <c r="AC746" s="15">
        <f>N746^2</f>
        <v/>
      </c>
      <c r="AD746" s="15">
        <f>ABS(N746)</f>
        <v/>
      </c>
      <c r="AE746" s="15">
        <f>IF(M746&gt;0, ABS(N746)*(L746-$D$16),0)</f>
        <v/>
      </c>
    </row>
    <row r="747">
      <c r="L747" s="15" t="n">
        <v>745</v>
      </c>
      <c r="M747" s="15">
        <f>IF(L747&lt;$D$16,$D$12,IF(L747&lt;$E$16,$E$12,$F$13))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 t="n">
        <v>0</v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  <c r="AC747" s="15">
        <f>N747^2</f>
        <v/>
      </c>
      <c r="AD747" s="15">
        <f>ABS(N747)</f>
        <v/>
      </c>
      <c r="AE747" s="15">
        <f>IF(M747&gt;0, ABS(N747)*(L747-$D$16),0)</f>
        <v/>
      </c>
    </row>
    <row r="748">
      <c r="L748" s="15" t="n">
        <v>746</v>
      </c>
      <c r="M748" s="15">
        <f>IF(L748&lt;$D$16,$D$12,IF(L748&lt;$E$16,$E$12,$F$13))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 t="n">
        <v>0</v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  <c r="AC748" s="15">
        <f>N748^2</f>
        <v/>
      </c>
      <c r="AD748" s="15">
        <f>ABS(N748)</f>
        <v/>
      </c>
      <c r="AE748" s="15">
        <f>IF(M748&gt;0, ABS(N748)*(L748-$D$16),0)</f>
        <v/>
      </c>
    </row>
    <row r="749">
      <c r="L749" s="15" t="n">
        <v>747</v>
      </c>
      <c r="M749" s="15">
        <f>IF(L749&lt;$D$16,$D$12,IF(L749&lt;$E$16,$E$12,$F$13))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 t="n">
        <v>0</v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  <c r="AC749" s="15">
        <f>N749^2</f>
        <v/>
      </c>
      <c r="AD749" s="15">
        <f>ABS(N749)</f>
        <v/>
      </c>
      <c r="AE749" s="15">
        <f>IF(M749&gt;0, ABS(N749)*(L749-$D$16),0)</f>
        <v/>
      </c>
    </row>
    <row r="750">
      <c r="L750" s="15" t="n">
        <v>748</v>
      </c>
      <c r="M750" s="15">
        <f>IF(L750&lt;$D$16,$D$12,IF(L750&lt;$E$16,$E$12,$F$13))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 t="n">
        <v>0</v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  <c r="AC750" s="15">
        <f>N750^2</f>
        <v/>
      </c>
      <c r="AD750" s="15">
        <f>ABS(N750)</f>
        <v/>
      </c>
      <c r="AE750" s="15">
        <f>IF(M750&gt;0, ABS(N750)*(L750-$D$16),0)</f>
        <v/>
      </c>
    </row>
    <row r="751">
      <c r="L751" s="15" t="n">
        <v>749</v>
      </c>
      <c r="M751" s="15">
        <f>IF(L751&lt;$D$16,$D$12,IF(L751&lt;$E$16,$E$12,$F$13))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 t="n">
        <v>0</v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  <c r="AC751" s="15">
        <f>N751^2</f>
        <v/>
      </c>
      <c r="AD751" s="15">
        <f>ABS(N751)</f>
        <v/>
      </c>
      <c r="AE751" s="15">
        <f>IF(M751&gt;0, ABS(N751)*(L751-$D$16),0)</f>
        <v/>
      </c>
    </row>
    <row r="752">
      <c r="L752" s="15" t="n">
        <v>750</v>
      </c>
      <c r="M752" s="15">
        <f>IF(L752&lt;$D$16,$D$12,IF(L752&lt;$E$16,$E$12,$F$13))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 t="n">
        <v>0</v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  <c r="AC752" s="15">
        <f>N752^2</f>
        <v/>
      </c>
      <c r="AD752" s="15">
        <f>ABS(N752)</f>
        <v/>
      </c>
      <c r="AE752" s="15">
        <f>IF(M752&gt;0, ABS(N752)*(L752-$D$16),0)</f>
        <v/>
      </c>
    </row>
    <row r="753">
      <c r="L753" s="15" t="n">
        <v>751</v>
      </c>
      <c r="M753" s="15">
        <f>IF(L753&lt;$D$16,$D$12,IF(L753&lt;$E$16,$E$12,$F$13))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 t="n">
        <v>0</v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  <c r="AC753" s="15">
        <f>N753^2</f>
        <v/>
      </c>
      <c r="AD753" s="15">
        <f>ABS(N753)</f>
        <v/>
      </c>
      <c r="AE753" s="15">
        <f>IF(M753&gt;0, ABS(N753)*(L753-$D$16),0)</f>
        <v/>
      </c>
    </row>
    <row r="754">
      <c r="L754" s="15" t="n">
        <v>752</v>
      </c>
      <c r="M754" s="15">
        <f>IF(L754&lt;$D$16,$D$12,IF(L754&lt;$E$16,$E$12,$F$13))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 t="n">
        <v>0</v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  <c r="AC754" s="15">
        <f>N754^2</f>
        <v/>
      </c>
      <c r="AD754" s="15">
        <f>ABS(N754)</f>
        <v/>
      </c>
      <c r="AE754" s="15">
        <f>IF(M754&gt;0, ABS(N754)*(L754-$D$16),0)</f>
        <v/>
      </c>
    </row>
    <row r="755">
      <c r="L755" s="15" t="n">
        <v>753</v>
      </c>
      <c r="M755" s="15">
        <f>IF(L755&lt;$D$16,$D$12,IF(L755&lt;$E$16,$E$12,$F$13))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 t="n">
        <v>0</v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  <c r="AC755" s="15">
        <f>N755^2</f>
        <v/>
      </c>
      <c r="AD755" s="15">
        <f>ABS(N755)</f>
        <v/>
      </c>
      <c r="AE755" s="15">
        <f>IF(M755&gt;0, ABS(N755)*(L755-$D$16),0)</f>
        <v/>
      </c>
    </row>
    <row r="756">
      <c r="L756" s="15" t="n">
        <v>754</v>
      </c>
      <c r="M756" s="15">
        <f>IF(L756&lt;$D$16,$D$12,IF(L756&lt;$E$16,$E$12,$F$13))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 t="n">
        <v>0</v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  <c r="AC756" s="15">
        <f>N756^2</f>
        <v/>
      </c>
      <c r="AD756" s="15">
        <f>ABS(N756)</f>
        <v/>
      </c>
      <c r="AE756" s="15">
        <f>IF(M756&gt;0, ABS(N756)*(L756-$D$16),0)</f>
        <v/>
      </c>
    </row>
    <row r="757">
      <c r="L757" s="15" t="n">
        <v>755</v>
      </c>
      <c r="M757" s="15">
        <f>IF(L757&lt;$D$16,$D$12,IF(L757&lt;$E$16,$E$12,$F$13))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 t="n">
        <v>0</v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  <c r="AC757" s="15">
        <f>N757^2</f>
        <v/>
      </c>
      <c r="AD757" s="15">
        <f>ABS(N757)</f>
        <v/>
      </c>
      <c r="AE757" s="15">
        <f>IF(M757&gt;0, ABS(N757)*(L757-$D$16),0)</f>
        <v/>
      </c>
    </row>
    <row r="758">
      <c r="L758" s="15" t="n">
        <v>756</v>
      </c>
      <c r="M758" s="15">
        <f>IF(L758&lt;$D$16,$D$12,IF(L758&lt;$E$16,$E$12,$F$13))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 t="n">
        <v>0</v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  <c r="AC758" s="15">
        <f>N758^2</f>
        <v/>
      </c>
      <c r="AD758" s="15">
        <f>ABS(N758)</f>
        <v/>
      </c>
      <c r="AE758" s="15">
        <f>IF(M758&gt;0, ABS(N758)*(L758-$D$16),0)</f>
        <v/>
      </c>
    </row>
    <row r="759">
      <c r="L759" s="15" t="n">
        <v>757</v>
      </c>
      <c r="M759" s="15">
        <f>IF(L759&lt;$D$16,$D$12,IF(L759&lt;$E$16,$E$12,$F$13))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 t="n">
        <v>0</v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  <c r="AC759" s="15">
        <f>N759^2</f>
        <v/>
      </c>
      <c r="AD759" s="15">
        <f>ABS(N759)</f>
        <v/>
      </c>
      <c r="AE759" s="15">
        <f>IF(M759&gt;0, ABS(N759)*(L759-$D$16),0)</f>
        <v/>
      </c>
    </row>
    <row r="760">
      <c r="L760" s="15" t="n">
        <v>758</v>
      </c>
      <c r="M760" s="15">
        <f>IF(L760&lt;$D$16,$D$12,IF(L760&lt;$E$16,$E$12,$F$13))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 t="n">
        <v>0</v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  <c r="AC760" s="15">
        <f>N760^2</f>
        <v/>
      </c>
      <c r="AD760" s="15">
        <f>ABS(N760)</f>
        <v/>
      </c>
      <c r="AE760" s="15">
        <f>IF(M760&gt;0, ABS(N760)*(L760-$D$16),0)</f>
        <v/>
      </c>
    </row>
    <row r="761">
      <c r="L761" s="15" t="n">
        <v>759</v>
      </c>
      <c r="M761" s="15">
        <f>IF(L761&lt;$D$16,$D$12,IF(L761&lt;$E$16,$E$12,$F$13))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 t="n">
        <v>0</v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  <c r="AC761" s="15">
        <f>N761^2</f>
        <v/>
      </c>
      <c r="AD761" s="15">
        <f>ABS(N761)</f>
        <v/>
      </c>
      <c r="AE761" s="15">
        <f>IF(M761&gt;0, ABS(N761)*(L761-$D$16),0)</f>
        <v/>
      </c>
    </row>
    <row r="762">
      <c r="L762" s="15" t="n">
        <v>760</v>
      </c>
      <c r="M762" s="15">
        <f>IF(L762&lt;$D$16,$D$12,IF(L762&lt;$E$16,$E$12,$F$13))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 t="n">
        <v>0</v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  <c r="AC762" s="15">
        <f>N762^2</f>
        <v/>
      </c>
      <c r="AD762" s="15">
        <f>ABS(N762)</f>
        <v/>
      </c>
      <c r="AE762" s="15">
        <f>IF(M762&gt;0, ABS(N762)*(L762-$D$16),0)</f>
        <v/>
      </c>
    </row>
    <row r="763">
      <c r="L763" s="15" t="n">
        <v>761</v>
      </c>
      <c r="M763" s="15">
        <f>IF(L763&lt;$D$16,$D$12,IF(L763&lt;$E$16,$E$12,$F$13))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 t="n">
        <v>0</v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  <c r="AC763" s="15">
        <f>N763^2</f>
        <v/>
      </c>
      <c r="AD763" s="15">
        <f>ABS(N763)</f>
        <v/>
      </c>
      <c r="AE763" s="15">
        <f>IF(M763&gt;0, ABS(N763)*(L763-$D$16),0)</f>
        <v/>
      </c>
    </row>
    <row r="764">
      <c r="L764" s="15" t="n">
        <v>762</v>
      </c>
      <c r="M764" s="15">
        <f>IF(L764&lt;$D$16,$D$12,IF(L764&lt;$E$16,$E$12,$F$13))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 t="n">
        <v>0</v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  <c r="AC764" s="15">
        <f>N764^2</f>
        <v/>
      </c>
      <c r="AD764" s="15">
        <f>ABS(N764)</f>
        <v/>
      </c>
      <c r="AE764" s="15">
        <f>IF(M764&gt;0, ABS(N764)*(L764-$D$16),0)</f>
        <v/>
      </c>
    </row>
    <row r="765">
      <c r="L765" s="15" t="n">
        <v>763</v>
      </c>
      <c r="M765" s="15">
        <f>IF(L765&lt;$D$16,$D$12,IF(L765&lt;$E$16,$E$12,$F$13))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 t="n">
        <v>0</v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  <c r="AC765" s="15">
        <f>N765^2</f>
        <v/>
      </c>
      <c r="AD765" s="15">
        <f>ABS(N765)</f>
        <v/>
      </c>
      <c r="AE765" s="15">
        <f>IF(M765&gt;0, ABS(N765)*(L765-$D$16),0)</f>
        <v/>
      </c>
    </row>
    <row r="766">
      <c r="L766" s="15" t="n">
        <v>764</v>
      </c>
      <c r="M766" s="15">
        <f>IF(L766&lt;$D$16,$D$12,IF(L766&lt;$E$16,$E$12,$F$13))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 t="n">
        <v>0</v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  <c r="AC766" s="15">
        <f>N766^2</f>
        <v/>
      </c>
      <c r="AD766" s="15">
        <f>ABS(N766)</f>
        <v/>
      </c>
      <c r="AE766" s="15">
        <f>IF(M766&gt;0, ABS(N766)*(L766-$D$16),0)</f>
        <v/>
      </c>
    </row>
    <row r="767">
      <c r="L767" s="15" t="n">
        <v>765</v>
      </c>
      <c r="M767" s="15">
        <f>IF(L767&lt;$D$16,$D$12,IF(L767&lt;$E$16,$E$12,$F$13))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 t="n">
        <v>0</v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  <c r="AC767" s="15">
        <f>N767^2</f>
        <v/>
      </c>
      <c r="AD767" s="15">
        <f>ABS(N767)</f>
        <v/>
      </c>
      <c r="AE767" s="15">
        <f>IF(M767&gt;0, ABS(N767)*(L767-$D$16),0)</f>
        <v/>
      </c>
    </row>
    <row r="768">
      <c r="L768" s="15" t="n">
        <v>766</v>
      </c>
      <c r="M768" s="15">
        <f>IF(L768&lt;$D$16,$D$12,IF(L768&lt;$E$16,$E$12,$F$13))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 t="n">
        <v>0</v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  <c r="AC768" s="15">
        <f>N768^2</f>
        <v/>
      </c>
      <c r="AD768" s="15">
        <f>ABS(N768)</f>
        <v/>
      </c>
      <c r="AE768" s="15">
        <f>IF(M768&gt;0, ABS(N768)*(L768-$D$16),0)</f>
        <v/>
      </c>
    </row>
    <row r="769">
      <c r="L769" s="15" t="n">
        <v>767</v>
      </c>
      <c r="M769" s="15">
        <f>IF(L769&lt;$D$16,$D$12,IF(L769&lt;$E$16,$E$12,$F$13))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 t="n">
        <v>0</v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  <c r="AC769" s="15">
        <f>N769^2</f>
        <v/>
      </c>
      <c r="AD769" s="15">
        <f>ABS(N769)</f>
        <v/>
      </c>
      <c r="AE769" s="15">
        <f>IF(M769&gt;0, ABS(N769)*(L769-$D$16),0)</f>
        <v/>
      </c>
    </row>
    <row r="770">
      <c r="L770" s="15" t="n">
        <v>768</v>
      </c>
      <c r="M770" s="15">
        <f>IF(L770&lt;$D$16,$D$12,IF(L770&lt;$E$16,$E$12,$F$13))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 t="n">
        <v>0</v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  <c r="AC770" s="15">
        <f>N770^2</f>
        <v/>
      </c>
      <c r="AD770" s="15">
        <f>ABS(N770)</f>
        <v/>
      </c>
      <c r="AE770" s="15">
        <f>IF(M770&gt;0, ABS(N770)*(L770-$D$16),0)</f>
        <v/>
      </c>
    </row>
    <row r="771">
      <c r="L771" s="15" t="n">
        <v>769</v>
      </c>
      <c r="M771" s="15">
        <f>IF(L771&lt;$D$16,$D$12,IF(L771&lt;$E$16,$E$12,$F$13))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 t="n">
        <v>0</v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  <c r="AC771" s="15">
        <f>N771^2</f>
        <v/>
      </c>
      <c r="AD771" s="15">
        <f>ABS(N771)</f>
        <v/>
      </c>
      <c r="AE771" s="15">
        <f>IF(M771&gt;0, ABS(N771)*(L771-$D$16),0)</f>
        <v/>
      </c>
    </row>
    <row r="772">
      <c r="L772" s="15" t="n">
        <v>770</v>
      </c>
      <c r="M772" s="15">
        <f>IF(L772&lt;$D$16,$D$12,IF(L772&lt;$E$16,$E$12,$F$13))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 t="n">
        <v>0</v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  <c r="AC772" s="15">
        <f>N772^2</f>
        <v/>
      </c>
      <c r="AD772" s="15">
        <f>ABS(N772)</f>
        <v/>
      </c>
      <c r="AE772" s="15">
        <f>IF(M772&gt;0, ABS(N772)*(L772-$D$16),0)</f>
        <v/>
      </c>
    </row>
    <row r="773">
      <c r="L773" s="15" t="n">
        <v>771</v>
      </c>
      <c r="M773" s="15">
        <f>IF(L773&lt;$D$16,$D$12,IF(L773&lt;$E$16,$E$12,$F$13))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 t="n">
        <v>0</v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  <c r="AC773" s="15">
        <f>N773^2</f>
        <v/>
      </c>
      <c r="AD773" s="15">
        <f>ABS(N773)</f>
        <v/>
      </c>
      <c r="AE773" s="15">
        <f>IF(M773&gt;0, ABS(N773)*(L773-$D$16),0)</f>
        <v/>
      </c>
    </row>
    <row r="774">
      <c r="L774" s="15" t="n">
        <v>772</v>
      </c>
      <c r="M774" s="15">
        <f>IF(L774&lt;$D$16,$D$12,IF(L774&lt;$E$16,$E$12,$F$13))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 t="n">
        <v>0</v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  <c r="AC774" s="15">
        <f>N774^2</f>
        <v/>
      </c>
      <c r="AD774" s="15">
        <f>ABS(N774)</f>
        <v/>
      </c>
      <c r="AE774" s="15">
        <f>IF(M774&gt;0, ABS(N774)*(L774-$D$16),0)</f>
        <v/>
      </c>
    </row>
    <row r="775">
      <c r="L775" s="15" t="n">
        <v>773</v>
      </c>
      <c r="M775" s="15">
        <f>IF(L775&lt;$D$16,$D$12,IF(L775&lt;$E$16,$E$12,$F$13))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 t="n">
        <v>0</v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  <c r="AC775" s="15">
        <f>N775^2</f>
        <v/>
      </c>
      <c r="AD775" s="15">
        <f>ABS(N775)</f>
        <v/>
      </c>
      <c r="AE775" s="15">
        <f>IF(M775&gt;0, ABS(N775)*(L775-$D$16),0)</f>
        <v/>
      </c>
    </row>
    <row r="776">
      <c r="L776" s="15" t="n">
        <v>774</v>
      </c>
      <c r="M776" s="15">
        <f>IF(L776&lt;$D$16,$D$12,IF(L776&lt;$E$16,$E$12,$F$13))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 t="n">
        <v>0</v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  <c r="AC776" s="15">
        <f>N776^2</f>
        <v/>
      </c>
      <c r="AD776" s="15">
        <f>ABS(N776)</f>
        <v/>
      </c>
      <c r="AE776" s="15">
        <f>IF(M776&gt;0, ABS(N776)*(L776-$D$16),0)</f>
        <v/>
      </c>
    </row>
    <row r="777">
      <c r="L777" s="15" t="n">
        <v>775</v>
      </c>
      <c r="M777" s="15">
        <f>IF(L777&lt;$D$16,$D$12,IF(L777&lt;$E$16,$E$12,$F$13))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 t="n">
        <v>0</v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  <c r="AC777" s="15">
        <f>N777^2</f>
        <v/>
      </c>
      <c r="AD777" s="15">
        <f>ABS(N777)</f>
        <v/>
      </c>
      <c r="AE777" s="15">
        <f>IF(M777&gt;0, ABS(N777)*(L777-$D$16),0)</f>
        <v/>
      </c>
    </row>
    <row r="778">
      <c r="L778" s="15" t="n">
        <v>776</v>
      </c>
      <c r="M778" s="15">
        <f>IF(L778&lt;$D$16,$D$12,IF(L778&lt;$E$16,$E$12,$F$13))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 t="n">
        <v>0</v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  <c r="AC778" s="15">
        <f>N778^2</f>
        <v/>
      </c>
      <c r="AD778" s="15">
        <f>ABS(N778)</f>
        <v/>
      </c>
      <c r="AE778" s="15">
        <f>IF(M778&gt;0, ABS(N778)*(L778-$D$16),0)</f>
        <v/>
      </c>
    </row>
    <row r="779">
      <c r="L779" s="15" t="n">
        <v>777</v>
      </c>
      <c r="M779" s="15">
        <f>IF(L779&lt;$D$16,$D$12,IF(L779&lt;$E$16,$E$12,$F$13))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 t="n">
        <v>0</v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  <c r="AC779" s="15">
        <f>N779^2</f>
        <v/>
      </c>
      <c r="AD779" s="15">
        <f>ABS(N779)</f>
        <v/>
      </c>
      <c r="AE779" s="15">
        <f>IF(M779&gt;0, ABS(N779)*(L779-$D$16),0)</f>
        <v/>
      </c>
    </row>
    <row r="780">
      <c r="L780" s="15" t="n">
        <v>778</v>
      </c>
      <c r="M780" s="15">
        <f>IF(L780&lt;$D$16,$D$12,IF(L780&lt;$E$16,$E$12,$F$13))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 t="n">
        <v>0</v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  <c r="AC780" s="15">
        <f>N780^2</f>
        <v/>
      </c>
      <c r="AD780" s="15">
        <f>ABS(N780)</f>
        <v/>
      </c>
      <c r="AE780" s="15">
        <f>IF(M780&gt;0, ABS(N780)*(L780-$D$16),0)</f>
        <v/>
      </c>
    </row>
    <row r="781">
      <c r="L781" s="15" t="n">
        <v>779</v>
      </c>
      <c r="M781" s="15">
        <f>IF(L781&lt;$D$16,$D$12,IF(L781&lt;$E$16,$E$12,$F$13))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 t="n">
        <v>0</v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  <c r="AC781" s="15">
        <f>N781^2</f>
        <v/>
      </c>
      <c r="AD781" s="15">
        <f>ABS(N781)</f>
        <v/>
      </c>
      <c r="AE781" s="15">
        <f>IF(M781&gt;0, ABS(N781)*(L781-$D$16),0)</f>
        <v/>
      </c>
    </row>
    <row r="782">
      <c r="L782" s="15" t="n">
        <v>780</v>
      </c>
      <c r="M782" s="15">
        <f>IF(L782&lt;$D$16,$D$12,IF(L782&lt;$E$16,$E$12,$F$13))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 t="n">
        <v>0</v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  <c r="AC782" s="15">
        <f>N782^2</f>
        <v/>
      </c>
      <c r="AD782" s="15">
        <f>ABS(N782)</f>
        <v/>
      </c>
      <c r="AE782" s="15">
        <f>IF(M782&gt;0, ABS(N782)*(L782-$D$16),0)</f>
        <v/>
      </c>
    </row>
    <row r="783">
      <c r="L783" s="15" t="n">
        <v>781</v>
      </c>
      <c r="M783" s="15">
        <f>IF(L783&lt;$D$16,$D$12,IF(L783&lt;$E$16,$E$12,$F$13))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 t="n">
        <v>0</v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  <c r="AC783" s="15">
        <f>N783^2</f>
        <v/>
      </c>
      <c r="AD783" s="15">
        <f>ABS(N783)</f>
        <v/>
      </c>
      <c r="AE783" s="15">
        <f>IF(M783&gt;0, ABS(N783)*(L783-$D$16),0)</f>
        <v/>
      </c>
    </row>
    <row r="784">
      <c r="L784" s="15" t="n">
        <v>782</v>
      </c>
      <c r="M784" s="15">
        <f>IF(L784&lt;$D$16,$D$12,IF(L784&lt;$E$16,$E$12,$F$13))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 t="n">
        <v>0</v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  <c r="AC784" s="15">
        <f>N784^2</f>
        <v/>
      </c>
      <c r="AD784" s="15">
        <f>ABS(N784)</f>
        <v/>
      </c>
      <c r="AE784" s="15">
        <f>IF(M784&gt;0, ABS(N784)*(L784-$D$16),0)</f>
        <v/>
      </c>
    </row>
    <row r="785">
      <c r="L785" s="15" t="n">
        <v>783</v>
      </c>
      <c r="M785" s="15">
        <f>IF(L785&lt;$D$16,$D$12,IF(L785&lt;$E$16,$E$12,$F$13))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 t="n">
        <v>0</v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  <c r="AC785" s="15">
        <f>N785^2</f>
        <v/>
      </c>
      <c r="AD785" s="15">
        <f>ABS(N785)</f>
        <v/>
      </c>
      <c r="AE785" s="15">
        <f>IF(M785&gt;0, ABS(N785)*(L785-$D$16),0)</f>
        <v/>
      </c>
    </row>
    <row r="786">
      <c r="L786" s="15" t="n">
        <v>784</v>
      </c>
      <c r="M786" s="15">
        <f>IF(L786&lt;$D$16,$D$12,IF(L786&lt;$E$16,$E$12,$F$13))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 t="n">
        <v>0</v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  <c r="AC786" s="15">
        <f>N786^2</f>
        <v/>
      </c>
      <c r="AD786" s="15">
        <f>ABS(N786)</f>
        <v/>
      </c>
      <c r="AE786" s="15">
        <f>IF(M786&gt;0, ABS(N786)*(L786-$D$16),0)</f>
        <v/>
      </c>
    </row>
    <row r="787">
      <c r="L787" s="15" t="n">
        <v>785</v>
      </c>
      <c r="M787" s="15">
        <f>IF(L787&lt;$D$16,$D$12,IF(L787&lt;$E$16,$E$12,$F$13))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 t="n">
        <v>0</v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  <c r="AC787" s="15">
        <f>N787^2</f>
        <v/>
      </c>
      <c r="AD787" s="15">
        <f>ABS(N787)</f>
        <v/>
      </c>
      <c r="AE787" s="15">
        <f>IF(M787&gt;0, ABS(N787)*(L787-$D$16),0)</f>
        <v/>
      </c>
    </row>
    <row r="788">
      <c r="L788" s="15" t="n">
        <v>786</v>
      </c>
      <c r="M788" s="15">
        <f>IF(L788&lt;$D$16,$D$12,IF(L788&lt;$E$16,$E$12,$F$13))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 t="n">
        <v>0</v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  <c r="AC788" s="15">
        <f>N788^2</f>
        <v/>
      </c>
      <c r="AD788" s="15">
        <f>ABS(N788)</f>
        <v/>
      </c>
      <c r="AE788" s="15">
        <f>IF(M788&gt;0, ABS(N788)*(L788-$D$16),0)</f>
        <v/>
      </c>
    </row>
    <row r="789">
      <c r="L789" s="15" t="n">
        <v>787</v>
      </c>
      <c r="M789" s="15">
        <f>IF(L789&lt;$D$16,$D$12,IF(L789&lt;$E$16,$E$12,$F$13))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 t="n">
        <v>0</v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  <c r="AC789" s="15">
        <f>N789^2</f>
        <v/>
      </c>
      <c r="AD789" s="15">
        <f>ABS(N789)</f>
        <v/>
      </c>
      <c r="AE789" s="15">
        <f>IF(M789&gt;0, ABS(N789)*(L789-$D$16),0)</f>
        <v/>
      </c>
    </row>
    <row r="790">
      <c r="L790" s="15" t="n">
        <v>788</v>
      </c>
      <c r="M790" s="15">
        <f>IF(L790&lt;$D$16,$D$12,IF(L790&lt;$E$16,$E$12,$F$13))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 t="n">
        <v>0</v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  <c r="AC790" s="15">
        <f>N790^2</f>
        <v/>
      </c>
      <c r="AD790" s="15">
        <f>ABS(N790)</f>
        <v/>
      </c>
      <c r="AE790" s="15">
        <f>IF(M790&gt;0, ABS(N790)*(L790-$D$16),0)</f>
        <v/>
      </c>
    </row>
    <row r="791">
      <c r="L791" s="15" t="n">
        <v>789</v>
      </c>
      <c r="M791" s="15">
        <f>IF(L791&lt;$D$16,$D$12,IF(L791&lt;$E$16,$E$12,$F$13))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 t="n">
        <v>0</v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  <c r="AC791" s="15">
        <f>N791^2</f>
        <v/>
      </c>
      <c r="AD791" s="15">
        <f>ABS(N791)</f>
        <v/>
      </c>
      <c r="AE791" s="15">
        <f>IF(M791&gt;0, ABS(N791)*(L791-$D$16),0)</f>
        <v/>
      </c>
    </row>
    <row r="792">
      <c r="L792" s="15" t="n">
        <v>790</v>
      </c>
      <c r="M792" s="15">
        <f>IF(L792&lt;$D$16,$D$12,IF(L792&lt;$E$16,$E$12,$F$13))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 t="n">
        <v>0</v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  <c r="AC792" s="15">
        <f>N792^2</f>
        <v/>
      </c>
      <c r="AD792" s="15">
        <f>ABS(N792)</f>
        <v/>
      </c>
      <c r="AE792" s="15">
        <f>IF(M792&gt;0, ABS(N792)*(L792-$D$16),0)</f>
        <v/>
      </c>
    </row>
    <row r="793">
      <c r="L793" s="15" t="n">
        <v>791</v>
      </c>
      <c r="M793" s="15">
        <f>IF(L793&lt;$D$16,$D$12,IF(L793&lt;$E$16,$E$12,$F$13))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 t="n">
        <v>0</v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  <c r="AC793" s="15">
        <f>N793^2</f>
        <v/>
      </c>
      <c r="AD793" s="15">
        <f>ABS(N793)</f>
        <v/>
      </c>
      <c r="AE793" s="15">
        <f>IF(M793&gt;0, ABS(N793)*(L793-$D$16),0)</f>
        <v/>
      </c>
    </row>
    <row r="794">
      <c r="L794" s="15" t="n">
        <v>792</v>
      </c>
      <c r="M794" s="15">
        <f>IF(L794&lt;$D$16,$D$12,IF(L794&lt;$E$16,$E$12,$F$13))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 t="n">
        <v>0</v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  <c r="AC794" s="15">
        <f>N794^2</f>
        <v/>
      </c>
      <c r="AD794" s="15">
        <f>ABS(N794)</f>
        <v/>
      </c>
      <c r="AE794" s="15">
        <f>IF(M794&gt;0, ABS(N794)*(L794-$D$16),0)</f>
        <v/>
      </c>
    </row>
    <row r="795">
      <c r="L795" s="15" t="n">
        <v>793</v>
      </c>
      <c r="M795" s="15">
        <f>IF(L795&lt;$D$16,$D$12,IF(L795&lt;$E$16,$E$12,$F$13))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 t="n">
        <v>0</v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  <c r="AC795" s="15">
        <f>N795^2</f>
        <v/>
      </c>
      <c r="AD795" s="15">
        <f>ABS(N795)</f>
        <v/>
      </c>
      <c r="AE795" s="15">
        <f>IF(M795&gt;0, ABS(N795)*(L795-$D$16),0)</f>
        <v/>
      </c>
    </row>
    <row r="796">
      <c r="L796" s="15" t="n">
        <v>794</v>
      </c>
      <c r="M796" s="15">
        <f>IF(L796&lt;$D$16,$D$12,IF(L796&lt;$E$16,$E$12,$F$13))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 t="n">
        <v>0</v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  <c r="AC796" s="15">
        <f>N796^2</f>
        <v/>
      </c>
      <c r="AD796" s="15">
        <f>ABS(N796)</f>
        <v/>
      </c>
      <c r="AE796" s="15">
        <f>IF(M796&gt;0, ABS(N796)*(L796-$D$16),0)</f>
        <v/>
      </c>
    </row>
    <row r="797">
      <c r="L797" s="15" t="n">
        <v>795</v>
      </c>
      <c r="M797" s="15">
        <f>IF(L797&lt;$D$16,$D$12,IF(L797&lt;$E$16,$E$12,$F$13))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 t="n">
        <v>0</v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  <c r="AC797" s="15">
        <f>N797^2</f>
        <v/>
      </c>
      <c r="AD797" s="15">
        <f>ABS(N797)</f>
        <v/>
      </c>
      <c r="AE797" s="15">
        <f>IF(M797&gt;0, ABS(N797)*(L797-$D$16),0)</f>
        <v/>
      </c>
    </row>
    <row r="798">
      <c r="L798" s="15" t="n">
        <v>796</v>
      </c>
      <c r="M798" s="15">
        <f>IF(L798&lt;$D$16,$D$12,IF(L798&lt;$E$16,$E$12,$F$13))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 t="n">
        <v>0</v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  <c r="AC798" s="15">
        <f>N798^2</f>
        <v/>
      </c>
      <c r="AD798" s="15">
        <f>ABS(N798)</f>
        <v/>
      </c>
      <c r="AE798" s="15">
        <f>IF(M798&gt;0, ABS(N798)*(L798-$D$16),0)</f>
        <v/>
      </c>
    </row>
    <row r="799">
      <c r="L799" s="15" t="n">
        <v>797</v>
      </c>
      <c r="M799" s="15">
        <f>IF(L799&lt;$D$16,$D$12,IF(L799&lt;$E$16,$E$12,$F$13))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 t="n">
        <v>0</v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  <c r="AC799" s="15">
        <f>N799^2</f>
        <v/>
      </c>
      <c r="AD799" s="15">
        <f>ABS(N799)</f>
        <v/>
      </c>
      <c r="AE799" s="15">
        <f>IF(M799&gt;0, ABS(N799)*(L799-$D$16),0)</f>
        <v/>
      </c>
    </row>
    <row r="800">
      <c r="L800" s="15" t="n">
        <v>798</v>
      </c>
      <c r="M800" s="15">
        <f>IF(L800&lt;$D$16,$D$12,IF(L800&lt;$E$16,$E$12,$F$13))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 t="n">
        <v>0</v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  <c r="AC800" s="15">
        <f>N800^2</f>
        <v/>
      </c>
      <c r="AD800" s="15">
        <f>ABS(N800)</f>
        <v/>
      </c>
      <c r="AE800" s="15">
        <f>IF(M800&gt;0, ABS(N800)*(L800-$D$16),0)</f>
        <v/>
      </c>
    </row>
    <row r="801">
      <c r="L801" s="15" t="n">
        <v>799</v>
      </c>
      <c r="M801" s="15">
        <f>IF(L801&lt;$D$16,$D$12,IF(L801&lt;$E$16,$E$12,$F$13))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 t="n">
        <v>0</v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  <c r="AC801" s="15">
        <f>N801^2</f>
        <v/>
      </c>
      <c r="AD801" s="15">
        <f>ABS(N801)</f>
        <v/>
      </c>
      <c r="AE801" s="15">
        <f>IF(M801&gt;0, ABS(N801)*(L801-$D$16),0)</f>
        <v/>
      </c>
    </row>
    <row r="802">
      <c r="L802" s="15" t="n">
        <v>800</v>
      </c>
      <c r="M802" s="15">
        <f>IF(L802&lt;$D$16,$D$12,IF(L802&lt;$E$16,$E$12,$F$13))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 t="n">
        <v>0</v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  <c r="AC802" s="15">
        <f>N802^2</f>
        <v/>
      </c>
      <c r="AD802" s="15">
        <f>ABS(N802)</f>
        <v/>
      </c>
      <c r="AE802" s="15">
        <f>IF(M802&gt;0, ABS(N802)*(L802-$D$16),0)</f>
        <v/>
      </c>
    </row>
    <row r="803">
      <c r="L803" s="15" t="n">
        <v>801</v>
      </c>
      <c r="M803" s="15">
        <f>IF(L803&lt;$D$16,$D$12,IF(L803&lt;$E$16,$E$12,$F$13))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 t="n">
        <v>0</v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  <c r="AC803" s="15">
        <f>N803^2</f>
        <v/>
      </c>
      <c r="AD803" s="15">
        <f>ABS(N803)</f>
        <v/>
      </c>
      <c r="AE803" s="15">
        <f>IF(M803&gt;0, ABS(N803)*(L803-$D$16),0)</f>
        <v/>
      </c>
    </row>
    <row r="804">
      <c r="L804" s="15" t="n">
        <v>802</v>
      </c>
      <c r="M804" s="15">
        <f>IF(L804&lt;$D$16,$D$12,IF(L804&lt;$E$16,$E$12,$F$13))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 t="n">
        <v>0</v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  <c r="AC804" s="15">
        <f>N804^2</f>
        <v/>
      </c>
      <c r="AD804" s="15">
        <f>ABS(N804)</f>
        <v/>
      </c>
      <c r="AE804" s="15">
        <f>IF(M804&gt;0, ABS(N804)*(L804-$D$16),0)</f>
        <v/>
      </c>
    </row>
    <row r="805">
      <c r="L805" s="15" t="n">
        <v>803</v>
      </c>
      <c r="M805" s="15">
        <f>IF(L805&lt;$D$16,$D$12,IF(L805&lt;$E$16,$E$12,$F$13))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 t="n">
        <v>0</v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  <c r="AC805" s="15">
        <f>N805^2</f>
        <v/>
      </c>
      <c r="AD805" s="15">
        <f>ABS(N805)</f>
        <v/>
      </c>
      <c r="AE805" s="15">
        <f>IF(M805&gt;0, ABS(N805)*(L805-$D$16),0)</f>
        <v/>
      </c>
    </row>
    <row r="806">
      <c r="L806" s="15" t="n">
        <v>804</v>
      </c>
      <c r="M806" s="15">
        <f>IF(L806&lt;$D$16,$D$12,IF(L806&lt;$E$16,$E$12,$F$13))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 t="n">
        <v>0</v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  <c r="AC806" s="15">
        <f>N806^2</f>
        <v/>
      </c>
      <c r="AD806" s="15">
        <f>ABS(N806)</f>
        <v/>
      </c>
      <c r="AE806" s="15">
        <f>IF(M806&gt;0, ABS(N806)*(L806-$D$16),0)</f>
        <v/>
      </c>
    </row>
    <row r="807">
      <c r="L807" s="15" t="n">
        <v>805</v>
      </c>
      <c r="M807" s="15">
        <f>IF(L807&lt;$D$16,$D$12,IF(L807&lt;$E$16,$E$12,$F$13))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 t="n">
        <v>0</v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  <c r="AC807" s="15">
        <f>N807^2</f>
        <v/>
      </c>
      <c r="AD807" s="15">
        <f>ABS(N807)</f>
        <v/>
      </c>
      <c r="AE807" s="15">
        <f>IF(M807&gt;0, ABS(N807)*(L807-$D$16),0)</f>
        <v/>
      </c>
    </row>
    <row r="808">
      <c r="L808" s="15" t="n">
        <v>806</v>
      </c>
      <c r="M808" s="15">
        <f>IF(L808&lt;$D$16,$D$12,IF(L808&lt;$E$16,$E$12,$F$13))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 t="n">
        <v>0</v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  <c r="AC808" s="15">
        <f>N808^2</f>
        <v/>
      </c>
      <c r="AD808" s="15">
        <f>ABS(N808)</f>
        <v/>
      </c>
      <c r="AE808" s="15">
        <f>IF(M808&gt;0, ABS(N808)*(L808-$D$16),0)</f>
        <v/>
      </c>
    </row>
    <row r="809">
      <c r="L809" s="15" t="n">
        <v>807</v>
      </c>
      <c r="M809" s="15">
        <f>IF(L809&lt;$D$16,$D$12,IF(L809&lt;$E$16,$E$12,$F$13))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 t="n">
        <v>0</v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  <c r="AC809" s="15">
        <f>N809^2</f>
        <v/>
      </c>
      <c r="AD809" s="15">
        <f>ABS(N809)</f>
        <v/>
      </c>
      <c r="AE809" s="15">
        <f>IF(M809&gt;0, ABS(N809)*(L809-$D$16),0)</f>
        <v/>
      </c>
    </row>
    <row r="810">
      <c r="L810" s="15" t="n">
        <v>808</v>
      </c>
      <c r="M810" s="15">
        <f>IF(L810&lt;$D$16,$D$12,IF(L810&lt;$E$16,$E$12,$F$13))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 t="n">
        <v>0</v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  <c r="AC810" s="15">
        <f>N810^2</f>
        <v/>
      </c>
      <c r="AD810" s="15">
        <f>ABS(N810)</f>
        <v/>
      </c>
      <c r="AE810" s="15">
        <f>IF(M810&gt;0, ABS(N810)*(L810-$D$16),0)</f>
        <v/>
      </c>
    </row>
    <row r="811">
      <c r="L811" s="15" t="n">
        <v>809</v>
      </c>
      <c r="M811" s="15">
        <f>IF(L811&lt;$D$16,$D$12,IF(L811&lt;$E$16,$E$12,$F$13))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 t="n">
        <v>0</v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  <c r="AC811" s="15">
        <f>N811^2</f>
        <v/>
      </c>
      <c r="AD811" s="15">
        <f>ABS(N811)</f>
        <v/>
      </c>
      <c r="AE811" s="15">
        <f>IF(M811&gt;0, ABS(N811)*(L811-$D$16),0)</f>
        <v/>
      </c>
    </row>
    <row r="812">
      <c r="L812" s="15" t="n">
        <v>810</v>
      </c>
      <c r="M812" s="15">
        <f>IF(L812&lt;$D$16,$D$12,IF(L812&lt;$E$16,$E$12,$F$13))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 t="n">
        <v>0</v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  <c r="AC812" s="15">
        <f>N812^2</f>
        <v/>
      </c>
      <c r="AD812" s="15">
        <f>ABS(N812)</f>
        <v/>
      </c>
      <c r="AE812" s="15">
        <f>IF(M812&gt;0, ABS(N812)*(L812-$D$16),0)</f>
        <v/>
      </c>
    </row>
    <row r="813">
      <c r="L813" s="15" t="n">
        <v>811</v>
      </c>
      <c r="M813" s="15">
        <f>IF(L813&lt;$D$16,$D$12,IF(L813&lt;$E$16,$E$12,$F$13))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 t="n">
        <v>0</v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  <c r="AC813" s="15">
        <f>N813^2</f>
        <v/>
      </c>
      <c r="AD813" s="15">
        <f>ABS(N813)</f>
        <v/>
      </c>
      <c r="AE813" s="15">
        <f>IF(M813&gt;0, ABS(N813)*(L813-$D$16),0)</f>
        <v/>
      </c>
    </row>
    <row r="814">
      <c r="L814" s="15" t="n">
        <v>812</v>
      </c>
      <c r="M814" s="15">
        <f>IF(L814&lt;$D$16,$D$12,IF(L814&lt;$E$16,$E$12,$F$13))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 t="n">
        <v>0</v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  <c r="AC814" s="15">
        <f>N814^2</f>
        <v/>
      </c>
      <c r="AD814" s="15">
        <f>ABS(N814)</f>
        <v/>
      </c>
      <c r="AE814" s="15">
        <f>IF(M814&gt;0, ABS(N814)*(L814-$D$16),0)</f>
        <v/>
      </c>
    </row>
    <row r="815">
      <c r="L815" s="15" t="n">
        <v>813</v>
      </c>
      <c r="M815" s="15">
        <f>IF(L815&lt;$D$16,$D$12,IF(L815&lt;$E$16,$E$12,$F$13))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 t="n">
        <v>0</v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  <c r="AC815" s="15">
        <f>N815^2</f>
        <v/>
      </c>
      <c r="AD815" s="15">
        <f>ABS(N815)</f>
        <v/>
      </c>
      <c r="AE815" s="15">
        <f>IF(M815&gt;0, ABS(N815)*(L815-$D$16),0)</f>
        <v/>
      </c>
    </row>
    <row r="816">
      <c r="L816" s="15" t="n">
        <v>814</v>
      </c>
      <c r="M816" s="15">
        <f>IF(L816&lt;$D$16,$D$12,IF(L816&lt;$E$16,$E$12,$F$13))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 t="n">
        <v>0</v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  <c r="AC816" s="15">
        <f>N816^2</f>
        <v/>
      </c>
      <c r="AD816" s="15">
        <f>ABS(N816)</f>
        <v/>
      </c>
      <c r="AE816" s="15">
        <f>IF(M816&gt;0, ABS(N816)*(L816-$D$16),0)</f>
        <v/>
      </c>
    </row>
    <row r="817">
      <c r="L817" s="15" t="n">
        <v>815</v>
      </c>
      <c r="M817" s="15">
        <f>IF(L817&lt;$D$16,$D$12,IF(L817&lt;$E$16,$E$12,$F$13))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 t="n">
        <v>0</v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  <c r="AC817" s="15">
        <f>N817^2</f>
        <v/>
      </c>
      <c r="AD817" s="15">
        <f>ABS(N817)</f>
        <v/>
      </c>
      <c r="AE817" s="15">
        <f>IF(M817&gt;0, ABS(N817)*(L817-$D$16),0)</f>
        <v/>
      </c>
    </row>
    <row r="818">
      <c r="L818" s="15" t="n">
        <v>816</v>
      </c>
      <c r="M818" s="15">
        <f>IF(L818&lt;$D$16,$D$12,IF(L818&lt;$E$16,$E$12,$F$13))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 t="n">
        <v>0</v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  <c r="AC818" s="15">
        <f>N818^2</f>
        <v/>
      </c>
      <c r="AD818" s="15">
        <f>ABS(N818)</f>
        <v/>
      </c>
      <c r="AE818" s="15">
        <f>IF(M818&gt;0, ABS(N818)*(L818-$D$16),0)</f>
        <v/>
      </c>
    </row>
    <row r="819">
      <c r="L819" s="15" t="n">
        <v>817</v>
      </c>
      <c r="M819" s="15">
        <f>IF(L819&lt;$D$16,$D$12,IF(L819&lt;$E$16,$E$12,$F$13))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 t="n">
        <v>0</v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  <c r="AC819" s="15">
        <f>N819^2</f>
        <v/>
      </c>
      <c r="AD819" s="15">
        <f>ABS(N819)</f>
        <v/>
      </c>
      <c r="AE819" s="15">
        <f>IF(M819&gt;0, ABS(N819)*(L819-$D$16),0)</f>
        <v/>
      </c>
    </row>
    <row r="820">
      <c r="L820" s="15" t="n">
        <v>818</v>
      </c>
      <c r="M820" s="15">
        <f>IF(L820&lt;$D$16,$D$12,IF(L820&lt;$E$16,$E$12,$F$13))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 t="n">
        <v>0</v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  <c r="AC820" s="15">
        <f>N820^2</f>
        <v/>
      </c>
      <c r="AD820" s="15">
        <f>ABS(N820)</f>
        <v/>
      </c>
      <c r="AE820" s="15">
        <f>IF(M820&gt;0, ABS(N820)*(L820-$D$16),0)</f>
        <v/>
      </c>
    </row>
    <row r="821">
      <c r="L821" s="15" t="n">
        <v>819</v>
      </c>
      <c r="M821" s="15">
        <f>IF(L821&lt;$D$16,$D$12,IF(L821&lt;$E$16,$E$12,$F$13))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 t="n">
        <v>0</v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  <c r="AC821" s="15">
        <f>N821^2</f>
        <v/>
      </c>
      <c r="AD821" s="15">
        <f>ABS(N821)</f>
        <v/>
      </c>
      <c r="AE821" s="15">
        <f>IF(M821&gt;0, ABS(N821)*(L821-$D$16),0)</f>
        <v/>
      </c>
    </row>
    <row r="822">
      <c r="L822" s="15" t="n">
        <v>820</v>
      </c>
      <c r="M822" s="15">
        <f>IF(L822&lt;$D$16,$D$12,IF(L822&lt;$E$16,$E$12,$F$13))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 t="n">
        <v>0</v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  <c r="AC822" s="15">
        <f>N822^2</f>
        <v/>
      </c>
      <c r="AD822" s="15">
        <f>ABS(N822)</f>
        <v/>
      </c>
      <c r="AE822" s="15">
        <f>IF(M822&gt;0, ABS(N822)*(L822-$D$16),0)</f>
        <v/>
      </c>
    </row>
    <row r="823">
      <c r="L823" s="15" t="n">
        <v>821</v>
      </c>
      <c r="M823" s="15">
        <f>IF(L823&lt;$D$16,$D$12,IF(L823&lt;$E$16,$E$12,$F$13))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 t="n">
        <v>0</v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  <c r="AC823" s="15">
        <f>N823^2</f>
        <v/>
      </c>
      <c r="AD823" s="15">
        <f>ABS(N823)</f>
        <v/>
      </c>
      <c r="AE823" s="15">
        <f>IF(M823&gt;0, ABS(N823)*(L823-$D$16),0)</f>
        <v/>
      </c>
    </row>
    <row r="824">
      <c r="L824" s="15" t="n">
        <v>822</v>
      </c>
      <c r="M824" s="15">
        <f>IF(L824&lt;$D$16,$D$12,IF(L824&lt;$E$16,$E$12,$F$13))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 t="n">
        <v>0</v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  <c r="AC824" s="15">
        <f>N824^2</f>
        <v/>
      </c>
      <c r="AD824" s="15">
        <f>ABS(N824)</f>
        <v/>
      </c>
      <c r="AE824" s="15">
        <f>IF(M824&gt;0, ABS(N824)*(L824-$D$16),0)</f>
        <v/>
      </c>
    </row>
    <row r="825">
      <c r="L825" s="15" t="n">
        <v>823</v>
      </c>
      <c r="M825" s="15">
        <f>IF(L825&lt;$D$16,$D$12,IF(L825&lt;$E$16,$E$12,$F$13))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 t="n">
        <v>0</v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  <c r="AC825" s="15">
        <f>N825^2</f>
        <v/>
      </c>
      <c r="AD825" s="15">
        <f>ABS(N825)</f>
        <v/>
      </c>
      <c r="AE825" s="15">
        <f>IF(M825&gt;0, ABS(N825)*(L825-$D$16),0)</f>
        <v/>
      </c>
    </row>
    <row r="826">
      <c r="L826" s="15" t="n">
        <v>824</v>
      </c>
      <c r="M826" s="15">
        <f>IF(L826&lt;$D$16,$D$12,IF(L826&lt;$E$16,$E$12,$F$13))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 t="n">
        <v>0</v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  <c r="AC826" s="15">
        <f>N826^2</f>
        <v/>
      </c>
      <c r="AD826" s="15">
        <f>ABS(N826)</f>
        <v/>
      </c>
      <c r="AE826" s="15">
        <f>IF(M826&gt;0, ABS(N826)*(L826-$D$16),0)</f>
        <v/>
      </c>
    </row>
    <row r="827">
      <c r="L827" s="15" t="n">
        <v>825</v>
      </c>
      <c r="M827" s="15">
        <f>IF(L827&lt;$D$16,$D$12,IF(L827&lt;$E$16,$E$12,$F$13))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 t="n">
        <v>0</v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  <c r="AC827" s="15">
        <f>N827^2</f>
        <v/>
      </c>
      <c r="AD827" s="15">
        <f>ABS(N827)</f>
        <v/>
      </c>
      <c r="AE827" s="15">
        <f>IF(M827&gt;0, ABS(N827)*(L827-$D$16),0)</f>
        <v/>
      </c>
    </row>
    <row r="828">
      <c r="L828" s="15" t="n">
        <v>826</v>
      </c>
      <c r="M828" s="15">
        <f>IF(L828&lt;$D$16,$D$12,IF(L828&lt;$E$16,$E$12,$F$13))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 t="n">
        <v>0</v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  <c r="AC828" s="15">
        <f>N828^2</f>
        <v/>
      </c>
      <c r="AD828" s="15">
        <f>ABS(N828)</f>
        <v/>
      </c>
      <c r="AE828" s="15">
        <f>IF(M828&gt;0, ABS(N828)*(L828-$D$16),0)</f>
        <v/>
      </c>
    </row>
    <row r="829">
      <c r="L829" s="15" t="n">
        <v>827</v>
      </c>
      <c r="M829" s="15">
        <f>IF(L829&lt;$D$16,$D$12,IF(L829&lt;$E$16,$E$12,$F$13))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 t="n">
        <v>0</v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  <c r="AC829" s="15">
        <f>N829^2</f>
        <v/>
      </c>
      <c r="AD829" s="15">
        <f>ABS(N829)</f>
        <v/>
      </c>
      <c r="AE829" s="15">
        <f>IF(M829&gt;0, ABS(N829)*(L829-$D$16),0)</f>
        <v/>
      </c>
    </row>
    <row r="830">
      <c r="L830" s="15" t="n">
        <v>828</v>
      </c>
      <c r="M830" s="15">
        <f>IF(L830&lt;$D$16,$D$12,IF(L830&lt;$E$16,$E$12,$F$13))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 t="n">
        <v>0</v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  <c r="AC830" s="15">
        <f>N830^2</f>
        <v/>
      </c>
      <c r="AD830" s="15">
        <f>ABS(N830)</f>
        <v/>
      </c>
      <c r="AE830" s="15">
        <f>IF(M830&gt;0, ABS(N830)*(L830-$D$16),0)</f>
        <v/>
      </c>
    </row>
    <row r="831">
      <c r="L831" s="15" t="n">
        <v>829</v>
      </c>
      <c r="M831" s="15">
        <f>IF(L831&lt;$D$16,$D$12,IF(L831&lt;$E$16,$E$12,$F$13))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 t="n">
        <v>0</v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  <c r="AC831" s="15">
        <f>N831^2</f>
        <v/>
      </c>
      <c r="AD831" s="15">
        <f>ABS(N831)</f>
        <v/>
      </c>
      <c r="AE831" s="15">
        <f>IF(M831&gt;0, ABS(N831)*(L831-$D$16),0)</f>
        <v/>
      </c>
    </row>
    <row r="832">
      <c r="L832" s="15" t="n">
        <v>830</v>
      </c>
      <c r="M832" s="15">
        <f>IF(L832&lt;$D$16,$D$12,IF(L832&lt;$E$16,$E$12,$F$13))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 t="n">
        <v>0</v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  <c r="AC832" s="15">
        <f>N832^2</f>
        <v/>
      </c>
      <c r="AD832" s="15">
        <f>ABS(N832)</f>
        <v/>
      </c>
      <c r="AE832" s="15">
        <f>IF(M832&gt;0, ABS(N832)*(L832-$D$16),0)</f>
        <v/>
      </c>
    </row>
    <row r="833">
      <c r="L833" s="15" t="n">
        <v>831</v>
      </c>
      <c r="M833" s="15">
        <f>IF(L833&lt;$D$16,$D$12,IF(L833&lt;$E$16,$E$12,$F$13))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 t="n">
        <v>0</v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  <c r="AC833" s="15">
        <f>N833^2</f>
        <v/>
      </c>
      <c r="AD833" s="15">
        <f>ABS(N833)</f>
        <v/>
      </c>
      <c r="AE833" s="15">
        <f>IF(M833&gt;0, ABS(N833)*(L833-$D$16),0)</f>
        <v/>
      </c>
    </row>
    <row r="834">
      <c r="L834" s="15" t="n">
        <v>832</v>
      </c>
      <c r="M834" s="15">
        <f>IF(L834&lt;$D$16,$D$12,IF(L834&lt;$E$16,$E$12,$F$13))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 t="n">
        <v>0</v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  <c r="AC834" s="15">
        <f>N834^2</f>
        <v/>
      </c>
      <c r="AD834" s="15">
        <f>ABS(N834)</f>
        <v/>
      </c>
      <c r="AE834" s="15">
        <f>IF(M834&gt;0, ABS(N834)*(L834-$D$16),0)</f>
        <v/>
      </c>
    </row>
    <row r="835">
      <c r="L835" s="15" t="n">
        <v>833</v>
      </c>
      <c r="M835" s="15">
        <f>IF(L835&lt;$D$16,$D$12,IF(L835&lt;$E$16,$E$12,$F$13))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 t="n">
        <v>0</v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  <c r="AC835" s="15">
        <f>N835^2</f>
        <v/>
      </c>
      <c r="AD835" s="15">
        <f>ABS(N835)</f>
        <v/>
      </c>
      <c r="AE835" s="15">
        <f>IF(M835&gt;0, ABS(N835)*(L835-$D$16),0)</f>
        <v/>
      </c>
    </row>
    <row r="836">
      <c r="L836" s="15" t="n">
        <v>834</v>
      </c>
      <c r="M836" s="15">
        <f>IF(L836&lt;$D$16,$D$12,IF(L836&lt;$E$16,$E$12,$F$13))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 t="n">
        <v>0</v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  <c r="AC836" s="15">
        <f>N836^2</f>
        <v/>
      </c>
      <c r="AD836" s="15">
        <f>ABS(N836)</f>
        <v/>
      </c>
      <c r="AE836" s="15">
        <f>IF(M836&gt;0, ABS(N836)*(L836-$D$16),0)</f>
        <v/>
      </c>
    </row>
    <row r="837">
      <c r="L837" s="15" t="n">
        <v>835</v>
      </c>
      <c r="M837" s="15">
        <f>IF(L837&lt;$D$16,$D$12,IF(L837&lt;$E$16,$E$12,$F$13))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 t="n">
        <v>0</v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  <c r="AC837" s="15">
        <f>N837^2</f>
        <v/>
      </c>
      <c r="AD837" s="15">
        <f>ABS(N837)</f>
        <v/>
      </c>
      <c r="AE837" s="15">
        <f>IF(M837&gt;0, ABS(N837)*(L837-$D$16),0)</f>
        <v/>
      </c>
    </row>
    <row r="838">
      <c r="L838" s="15" t="n">
        <v>836</v>
      </c>
      <c r="M838" s="15">
        <f>IF(L838&lt;$D$16,$D$12,IF(L838&lt;$E$16,$E$12,$F$13))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 t="n">
        <v>0</v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  <c r="AC838" s="15">
        <f>N838^2</f>
        <v/>
      </c>
      <c r="AD838" s="15">
        <f>ABS(N838)</f>
        <v/>
      </c>
      <c r="AE838" s="15">
        <f>IF(M838&gt;0, ABS(N838)*(L838-$D$16),0)</f>
        <v/>
      </c>
    </row>
    <row r="839">
      <c r="L839" s="15" t="n">
        <v>837</v>
      </c>
      <c r="M839" s="15">
        <f>IF(L839&lt;$D$16,$D$12,IF(L839&lt;$E$16,$E$12,$F$13))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 t="n">
        <v>0</v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  <c r="AC839" s="15">
        <f>N839^2</f>
        <v/>
      </c>
      <c r="AD839" s="15">
        <f>ABS(N839)</f>
        <v/>
      </c>
      <c r="AE839" s="15">
        <f>IF(M839&gt;0, ABS(N839)*(L839-$D$16),0)</f>
        <v/>
      </c>
    </row>
    <row r="840">
      <c r="L840" s="15" t="n">
        <v>838</v>
      </c>
      <c r="M840" s="15">
        <f>IF(L840&lt;$D$16,$D$12,IF(L840&lt;$E$16,$E$12,$F$13))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 t="n">
        <v>0</v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  <c r="AC840" s="15">
        <f>N840^2</f>
        <v/>
      </c>
      <c r="AD840" s="15">
        <f>ABS(N840)</f>
        <v/>
      </c>
      <c r="AE840" s="15">
        <f>IF(M840&gt;0, ABS(N840)*(L840-$D$16),0)</f>
        <v/>
      </c>
    </row>
    <row r="841">
      <c r="L841" s="15" t="n">
        <v>839</v>
      </c>
      <c r="M841" s="15">
        <f>IF(L841&lt;$D$16,$D$12,IF(L841&lt;$E$16,$E$12,$F$13))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 t="n">
        <v>0</v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  <c r="AC841" s="15">
        <f>N841^2</f>
        <v/>
      </c>
      <c r="AD841" s="15">
        <f>ABS(N841)</f>
        <v/>
      </c>
      <c r="AE841" s="15">
        <f>IF(M841&gt;0, ABS(N841)*(L841-$D$16),0)</f>
        <v/>
      </c>
    </row>
    <row r="842">
      <c r="L842" s="15" t="n">
        <v>840</v>
      </c>
      <c r="M842" s="15">
        <f>IF(L842&lt;$D$16,$D$12,IF(L842&lt;$E$16,$E$12,$F$13))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 t="n">
        <v>0</v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  <c r="AC842" s="15">
        <f>N842^2</f>
        <v/>
      </c>
      <c r="AD842" s="15">
        <f>ABS(N842)</f>
        <v/>
      </c>
      <c r="AE842" s="15">
        <f>IF(M842&gt;0, ABS(N842)*(L842-$D$16),0)</f>
        <v/>
      </c>
    </row>
    <row r="843">
      <c r="L843" s="15" t="n">
        <v>841</v>
      </c>
      <c r="M843" s="15">
        <f>IF(L843&lt;$D$16,$D$12,IF(L843&lt;$E$16,$E$12,$F$13))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 t="n">
        <v>0</v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  <c r="AC843" s="15">
        <f>N843^2</f>
        <v/>
      </c>
      <c r="AD843" s="15">
        <f>ABS(N843)</f>
        <v/>
      </c>
      <c r="AE843" s="15">
        <f>IF(M843&gt;0, ABS(N843)*(L843-$D$16),0)</f>
        <v/>
      </c>
    </row>
    <row r="844">
      <c r="L844" s="15" t="n">
        <v>842</v>
      </c>
      <c r="M844" s="15">
        <f>IF(L844&lt;$D$16,$D$12,IF(L844&lt;$E$16,$E$12,$F$13))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 t="n">
        <v>0</v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  <c r="AC844" s="15">
        <f>N844^2</f>
        <v/>
      </c>
      <c r="AD844" s="15">
        <f>ABS(N844)</f>
        <v/>
      </c>
      <c r="AE844" s="15">
        <f>IF(M844&gt;0, ABS(N844)*(L844-$D$16),0)</f>
        <v/>
      </c>
    </row>
    <row r="845">
      <c r="L845" s="15" t="n">
        <v>843</v>
      </c>
      <c r="M845" s="15">
        <f>IF(L845&lt;$D$16,$D$12,IF(L845&lt;$E$16,$E$12,$F$13))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 t="n">
        <v>0</v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  <c r="AC845" s="15">
        <f>N845^2</f>
        <v/>
      </c>
      <c r="AD845" s="15">
        <f>ABS(N845)</f>
        <v/>
      </c>
      <c r="AE845" s="15">
        <f>IF(M845&gt;0, ABS(N845)*(L845-$D$16),0)</f>
        <v/>
      </c>
    </row>
    <row r="846">
      <c r="L846" s="15" t="n">
        <v>844</v>
      </c>
      <c r="M846" s="15">
        <f>IF(L846&lt;$D$16,$D$12,IF(L846&lt;$E$16,$E$12,$F$13))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 t="n">
        <v>0</v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  <c r="AC846" s="15">
        <f>N846^2</f>
        <v/>
      </c>
      <c r="AD846" s="15">
        <f>ABS(N846)</f>
        <v/>
      </c>
      <c r="AE846" s="15">
        <f>IF(M846&gt;0, ABS(N846)*(L846-$D$16),0)</f>
        <v/>
      </c>
    </row>
    <row r="847">
      <c r="L847" s="15" t="n">
        <v>845</v>
      </c>
      <c r="M847" s="15">
        <f>IF(L847&lt;$D$16,$D$12,IF(L847&lt;$E$16,$E$12,$F$13))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 t="n">
        <v>0</v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  <c r="AC847" s="15">
        <f>N847^2</f>
        <v/>
      </c>
      <c r="AD847" s="15">
        <f>ABS(N847)</f>
        <v/>
      </c>
      <c r="AE847" s="15">
        <f>IF(M847&gt;0, ABS(N847)*(L847-$D$16),0)</f>
        <v/>
      </c>
    </row>
    <row r="848">
      <c r="L848" s="15" t="n">
        <v>846</v>
      </c>
      <c r="M848" s="15">
        <f>IF(L848&lt;$D$16,$D$12,IF(L848&lt;$E$16,$E$12,$F$13))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 t="n">
        <v>0</v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  <c r="AC848" s="15">
        <f>N848^2</f>
        <v/>
      </c>
      <c r="AD848" s="15">
        <f>ABS(N848)</f>
        <v/>
      </c>
      <c r="AE848" s="15">
        <f>IF(M848&gt;0, ABS(N848)*(L848-$D$16),0)</f>
        <v/>
      </c>
    </row>
    <row r="849">
      <c r="L849" s="15" t="n">
        <v>847</v>
      </c>
      <c r="M849" s="15">
        <f>IF(L849&lt;$D$16,$D$12,IF(L849&lt;$E$16,$E$12,$F$13))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 t="n">
        <v>0</v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  <c r="AC849" s="15">
        <f>N849^2</f>
        <v/>
      </c>
      <c r="AD849" s="15">
        <f>ABS(N849)</f>
        <v/>
      </c>
      <c r="AE849" s="15">
        <f>IF(M849&gt;0, ABS(N849)*(L849-$D$16),0)</f>
        <v/>
      </c>
    </row>
    <row r="850">
      <c r="L850" s="15" t="n">
        <v>848</v>
      </c>
      <c r="M850" s="15">
        <f>IF(L850&lt;$D$16,$D$12,IF(L850&lt;$E$16,$E$12,$F$13))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 t="n">
        <v>0</v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  <c r="AC850" s="15">
        <f>N850^2</f>
        <v/>
      </c>
      <c r="AD850" s="15">
        <f>ABS(N850)</f>
        <v/>
      </c>
      <c r="AE850" s="15">
        <f>IF(M850&gt;0, ABS(N850)*(L850-$D$16),0)</f>
        <v/>
      </c>
    </row>
    <row r="851">
      <c r="L851" s="15" t="n">
        <v>849</v>
      </c>
      <c r="M851" s="15">
        <f>IF(L851&lt;$D$16,$D$12,IF(L851&lt;$E$16,$E$12,$F$13))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 t="n">
        <v>0</v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  <c r="AC851" s="15">
        <f>N851^2</f>
        <v/>
      </c>
      <c r="AD851" s="15">
        <f>ABS(N851)</f>
        <v/>
      </c>
      <c r="AE851" s="15">
        <f>IF(M851&gt;0, ABS(N851)*(L851-$D$16),0)</f>
        <v/>
      </c>
    </row>
    <row r="852">
      <c r="L852" s="15" t="n">
        <v>850</v>
      </c>
      <c r="M852" s="15">
        <f>IF(L852&lt;$D$16,$D$12,IF(L852&lt;$E$16,$E$12,$F$13))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 t="n">
        <v>0</v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  <c r="AC852" s="15">
        <f>N852^2</f>
        <v/>
      </c>
      <c r="AD852" s="15">
        <f>ABS(N852)</f>
        <v/>
      </c>
      <c r="AE852" s="15">
        <f>IF(M852&gt;0, ABS(N852)*(L852-$D$16),0)</f>
        <v/>
      </c>
    </row>
    <row r="853">
      <c r="L853" s="15" t="n">
        <v>851</v>
      </c>
      <c r="M853" s="15">
        <f>IF(L853&lt;$D$16,$D$12,IF(L853&lt;$E$16,$E$12,$F$13))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 t="n">
        <v>0</v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  <c r="AC853" s="15">
        <f>N853^2</f>
        <v/>
      </c>
      <c r="AD853" s="15">
        <f>ABS(N853)</f>
        <v/>
      </c>
      <c r="AE853" s="15">
        <f>IF(M853&gt;0, ABS(N853)*(L853-$D$16),0)</f>
        <v/>
      </c>
    </row>
    <row r="854">
      <c r="L854" s="15" t="n">
        <v>852</v>
      </c>
      <c r="M854" s="15">
        <f>IF(L854&lt;$D$16,$D$12,IF(L854&lt;$E$16,$E$12,$F$13))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 t="n">
        <v>0</v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  <c r="AC854" s="15">
        <f>N854^2</f>
        <v/>
      </c>
      <c r="AD854" s="15">
        <f>ABS(N854)</f>
        <v/>
      </c>
      <c r="AE854" s="15">
        <f>IF(M854&gt;0, ABS(N854)*(L854-$D$16),0)</f>
        <v/>
      </c>
    </row>
    <row r="855">
      <c r="L855" s="15" t="n">
        <v>853</v>
      </c>
      <c r="M855" s="15">
        <f>IF(L855&lt;$D$16,$D$12,IF(L855&lt;$E$16,$E$12,$F$13))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 t="n">
        <v>0</v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  <c r="AC855" s="15">
        <f>N855^2</f>
        <v/>
      </c>
      <c r="AD855" s="15">
        <f>ABS(N855)</f>
        <v/>
      </c>
      <c r="AE855" s="15">
        <f>IF(M855&gt;0, ABS(N855)*(L855-$D$16),0)</f>
        <v/>
      </c>
    </row>
    <row r="856">
      <c r="L856" s="15" t="n">
        <v>854</v>
      </c>
      <c r="M856" s="15">
        <f>IF(L856&lt;$D$16,$D$12,IF(L856&lt;$E$16,$E$12,$F$13))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 t="n">
        <v>0</v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  <c r="AC856" s="15">
        <f>N856^2</f>
        <v/>
      </c>
      <c r="AD856" s="15">
        <f>ABS(N856)</f>
        <v/>
      </c>
      <c r="AE856" s="15">
        <f>IF(M856&gt;0, ABS(N856)*(L856-$D$16),0)</f>
        <v/>
      </c>
    </row>
    <row r="857">
      <c r="L857" s="15" t="n">
        <v>855</v>
      </c>
      <c r="M857" s="15">
        <f>IF(L857&lt;$D$16,$D$12,IF(L857&lt;$E$16,$E$12,$F$13))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 t="n">
        <v>0</v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  <c r="AC857" s="15">
        <f>N857^2</f>
        <v/>
      </c>
      <c r="AD857" s="15">
        <f>ABS(N857)</f>
        <v/>
      </c>
      <c r="AE857" s="15">
        <f>IF(M857&gt;0, ABS(N857)*(L857-$D$16),0)</f>
        <v/>
      </c>
    </row>
    <row r="858">
      <c r="L858" s="15" t="n">
        <v>856</v>
      </c>
      <c r="M858" s="15">
        <f>IF(L858&lt;$D$16,$D$12,IF(L858&lt;$E$16,$E$12,$F$13))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 t="n">
        <v>0</v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  <c r="AC858" s="15">
        <f>N858^2</f>
        <v/>
      </c>
      <c r="AD858" s="15">
        <f>ABS(N858)</f>
        <v/>
      </c>
      <c r="AE858" s="15">
        <f>IF(M858&gt;0, ABS(N858)*(L858-$D$16),0)</f>
        <v/>
      </c>
    </row>
    <row r="859">
      <c r="L859" s="15" t="n">
        <v>857</v>
      </c>
      <c r="M859" s="15">
        <f>IF(L859&lt;$D$16,$D$12,IF(L859&lt;$E$16,$E$12,$F$13))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 t="n">
        <v>0</v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  <c r="AC859" s="15">
        <f>N859^2</f>
        <v/>
      </c>
      <c r="AD859" s="15">
        <f>ABS(N859)</f>
        <v/>
      </c>
      <c r="AE859" s="15">
        <f>IF(M859&gt;0, ABS(N859)*(L859-$D$16),0)</f>
        <v/>
      </c>
    </row>
    <row r="860">
      <c r="L860" s="15" t="n">
        <v>858</v>
      </c>
      <c r="M860" s="15">
        <f>IF(L860&lt;$D$16,$D$12,IF(L860&lt;$E$16,$E$12,$F$13))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 t="n">
        <v>0</v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  <c r="AC860" s="15">
        <f>N860^2</f>
        <v/>
      </c>
      <c r="AD860" s="15">
        <f>ABS(N860)</f>
        <v/>
      </c>
      <c r="AE860" s="15">
        <f>IF(M860&gt;0, ABS(N860)*(L860-$D$16),0)</f>
        <v/>
      </c>
    </row>
    <row r="861">
      <c r="L861" s="15" t="n">
        <v>859</v>
      </c>
      <c r="M861" s="15">
        <f>IF(L861&lt;$D$16,$D$12,IF(L861&lt;$E$16,$E$12,$F$13))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 t="n">
        <v>0</v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  <c r="AC861" s="15">
        <f>N861^2</f>
        <v/>
      </c>
      <c r="AD861" s="15">
        <f>ABS(N861)</f>
        <v/>
      </c>
      <c r="AE861" s="15">
        <f>IF(M861&gt;0, ABS(N861)*(L861-$D$16),0)</f>
        <v/>
      </c>
    </row>
    <row r="862">
      <c r="L862" s="15" t="n">
        <v>860</v>
      </c>
      <c r="M862" s="15">
        <f>IF(L862&lt;$D$16,$D$12,IF(L862&lt;$E$16,$E$12,$F$13))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 t="n">
        <v>0</v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  <c r="AC862" s="15">
        <f>N862^2</f>
        <v/>
      </c>
      <c r="AD862" s="15">
        <f>ABS(N862)</f>
        <v/>
      </c>
      <c r="AE862" s="15">
        <f>IF(M862&gt;0, ABS(N862)*(L862-$D$16),0)</f>
        <v/>
      </c>
    </row>
    <row r="863">
      <c r="L863" s="15" t="n">
        <v>861</v>
      </c>
      <c r="M863" s="15">
        <f>IF(L863&lt;$D$16,$D$12,IF(L863&lt;$E$16,$E$12,$F$13))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 t="n">
        <v>0</v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  <c r="AC863" s="15">
        <f>N863^2</f>
        <v/>
      </c>
      <c r="AD863" s="15">
        <f>ABS(N863)</f>
        <v/>
      </c>
      <c r="AE863" s="15">
        <f>IF(M863&gt;0, ABS(N863)*(L863-$D$16),0)</f>
        <v/>
      </c>
    </row>
    <row r="864">
      <c r="L864" s="15" t="n">
        <v>862</v>
      </c>
      <c r="M864" s="15">
        <f>IF(L864&lt;$D$16,$D$12,IF(L864&lt;$E$16,$E$12,$F$13))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 t="n">
        <v>0</v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  <c r="AC864" s="15">
        <f>N864^2</f>
        <v/>
      </c>
      <c r="AD864" s="15">
        <f>ABS(N864)</f>
        <v/>
      </c>
      <c r="AE864" s="15">
        <f>IF(M864&gt;0, ABS(N864)*(L864-$D$16),0)</f>
        <v/>
      </c>
    </row>
    <row r="865">
      <c r="L865" s="15" t="n">
        <v>863</v>
      </c>
      <c r="M865" s="15">
        <f>IF(L865&lt;$D$16,$D$12,IF(L865&lt;$E$16,$E$12,$F$13))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 t="n">
        <v>0</v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  <c r="AC865" s="15">
        <f>N865^2</f>
        <v/>
      </c>
      <c r="AD865" s="15">
        <f>ABS(N865)</f>
        <v/>
      </c>
      <c r="AE865" s="15">
        <f>IF(M865&gt;0, ABS(N865)*(L865-$D$16),0)</f>
        <v/>
      </c>
    </row>
    <row r="866">
      <c r="L866" s="15" t="n">
        <v>864</v>
      </c>
      <c r="M866" s="15">
        <f>IF(L866&lt;$D$16,$D$12,IF(L866&lt;$E$16,$E$12,$F$13))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 t="n">
        <v>0</v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  <c r="AC866" s="15">
        <f>N866^2</f>
        <v/>
      </c>
      <c r="AD866" s="15">
        <f>ABS(N866)</f>
        <v/>
      </c>
      <c r="AE866" s="15">
        <f>IF(M866&gt;0, ABS(N866)*(L866-$D$16),0)</f>
        <v/>
      </c>
    </row>
    <row r="867">
      <c r="L867" s="15" t="n">
        <v>865</v>
      </c>
      <c r="M867" s="15">
        <f>IF(L867&lt;$D$16,$D$12,IF(L867&lt;$E$16,$E$12,$F$13))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 t="n">
        <v>0</v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  <c r="AC867" s="15">
        <f>N867^2</f>
        <v/>
      </c>
      <c r="AD867" s="15">
        <f>ABS(N867)</f>
        <v/>
      </c>
      <c r="AE867" s="15">
        <f>IF(M867&gt;0, ABS(N867)*(L867-$D$16),0)</f>
        <v/>
      </c>
    </row>
    <row r="868">
      <c r="L868" s="15" t="n">
        <v>866</v>
      </c>
      <c r="M868" s="15">
        <f>IF(L868&lt;$D$16,$D$12,IF(L868&lt;$E$16,$E$12,$F$13))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 t="n">
        <v>0</v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  <c r="AC868" s="15">
        <f>N868^2</f>
        <v/>
      </c>
      <c r="AD868" s="15">
        <f>ABS(N868)</f>
        <v/>
      </c>
      <c r="AE868" s="15">
        <f>IF(M868&gt;0, ABS(N868)*(L868-$D$16),0)</f>
        <v/>
      </c>
    </row>
    <row r="869">
      <c r="L869" s="15" t="n">
        <v>867</v>
      </c>
      <c r="M869" s="15">
        <f>IF(L869&lt;$D$16,$D$12,IF(L869&lt;$E$16,$E$12,$F$13))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 t="n">
        <v>0</v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  <c r="AC869" s="15">
        <f>N869^2</f>
        <v/>
      </c>
      <c r="AD869" s="15">
        <f>ABS(N869)</f>
        <v/>
      </c>
      <c r="AE869" s="15">
        <f>IF(M869&gt;0, ABS(N869)*(L869-$D$16),0)</f>
        <v/>
      </c>
    </row>
    <row r="870">
      <c r="L870" s="15" t="n">
        <v>868</v>
      </c>
      <c r="M870" s="15">
        <f>IF(L870&lt;$D$16,$D$12,IF(L870&lt;$E$16,$E$12,$F$13))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 t="n">
        <v>0</v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  <c r="AC870" s="15">
        <f>N870^2</f>
        <v/>
      </c>
      <c r="AD870" s="15">
        <f>ABS(N870)</f>
        <v/>
      </c>
      <c r="AE870" s="15">
        <f>IF(M870&gt;0, ABS(N870)*(L870-$D$16),0)</f>
        <v/>
      </c>
    </row>
    <row r="871">
      <c r="L871" s="15" t="n">
        <v>869</v>
      </c>
      <c r="M871" s="15">
        <f>IF(L871&lt;$D$16,$D$12,IF(L871&lt;$E$16,$E$12,$F$13))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 t="n">
        <v>0</v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  <c r="AC871" s="15">
        <f>N871^2</f>
        <v/>
      </c>
      <c r="AD871" s="15">
        <f>ABS(N871)</f>
        <v/>
      </c>
      <c r="AE871" s="15">
        <f>IF(M871&gt;0, ABS(N871)*(L871-$D$16),0)</f>
        <v/>
      </c>
    </row>
    <row r="872">
      <c r="L872" s="15" t="n">
        <v>870</v>
      </c>
      <c r="M872" s="15">
        <f>IF(L872&lt;$D$16,$D$12,IF(L872&lt;$E$16,$E$12,$F$13))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 t="n">
        <v>0</v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  <c r="AC872" s="15">
        <f>N872^2</f>
        <v/>
      </c>
      <c r="AD872" s="15">
        <f>ABS(N872)</f>
        <v/>
      </c>
      <c r="AE872" s="15">
        <f>IF(M872&gt;0, ABS(N872)*(L872-$D$16),0)</f>
        <v/>
      </c>
    </row>
    <row r="873">
      <c r="L873" s="15" t="n">
        <v>871</v>
      </c>
      <c r="M873" s="15">
        <f>IF(L873&lt;$D$16,$D$12,IF(L873&lt;$E$16,$E$12,$F$13))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 t="n">
        <v>0</v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  <c r="AC873" s="15">
        <f>N873^2</f>
        <v/>
      </c>
      <c r="AD873" s="15">
        <f>ABS(N873)</f>
        <v/>
      </c>
      <c r="AE873" s="15">
        <f>IF(M873&gt;0, ABS(N873)*(L873-$D$16),0)</f>
        <v/>
      </c>
    </row>
    <row r="874">
      <c r="L874" s="15" t="n">
        <v>872</v>
      </c>
      <c r="M874" s="15">
        <f>IF(L874&lt;$D$16,$D$12,IF(L874&lt;$E$16,$E$12,$F$13))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 t="n">
        <v>0</v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  <c r="AC874" s="15">
        <f>N874^2</f>
        <v/>
      </c>
      <c r="AD874" s="15">
        <f>ABS(N874)</f>
        <v/>
      </c>
      <c r="AE874" s="15">
        <f>IF(M874&gt;0, ABS(N874)*(L874-$D$16),0)</f>
        <v/>
      </c>
    </row>
    <row r="875">
      <c r="L875" s="15" t="n">
        <v>873</v>
      </c>
      <c r="M875" s="15">
        <f>IF(L875&lt;$D$16,$D$12,IF(L875&lt;$E$16,$E$12,$F$13))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 t="n">
        <v>0</v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  <c r="AC875" s="15">
        <f>N875^2</f>
        <v/>
      </c>
      <c r="AD875" s="15">
        <f>ABS(N875)</f>
        <v/>
      </c>
      <c r="AE875" s="15">
        <f>IF(M875&gt;0, ABS(N875)*(L875-$D$16),0)</f>
        <v/>
      </c>
    </row>
    <row r="876">
      <c r="L876" s="15" t="n">
        <v>874</v>
      </c>
      <c r="M876" s="15">
        <f>IF(L876&lt;$D$16,$D$12,IF(L876&lt;$E$16,$E$12,$F$13))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 t="n">
        <v>0</v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  <c r="AC876" s="15">
        <f>N876^2</f>
        <v/>
      </c>
      <c r="AD876" s="15">
        <f>ABS(N876)</f>
        <v/>
      </c>
      <c r="AE876" s="15">
        <f>IF(M876&gt;0, ABS(N876)*(L876-$D$16),0)</f>
        <v/>
      </c>
    </row>
    <row r="877">
      <c r="L877" s="15" t="n">
        <v>875</v>
      </c>
      <c r="M877" s="15">
        <f>IF(L877&lt;$D$16,$D$12,IF(L877&lt;$E$16,$E$12,$F$13))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 t="n">
        <v>0</v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  <c r="AC877" s="15">
        <f>N877^2</f>
        <v/>
      </c>
      <c r="AD877" s="15">
        <f>ABS(N877)</f>
        <v/>
      </c>
      <c r="AE877" s="15">
        <f>IF(M877&gt;0, ABS(N877)*(L877-$D$16),0)</f>
        <v/>
      </c>
    </row>
    <row r="878">
      <c r="L878" s="15" t="n">
        <v>876</v>
      </c>
      <c r="M878" s="15">
        <f>IF(L878&lt;$D$16,$D$12,IF(L878&lt;$E$16,$E$12,$F$13))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 t="n">
        <v>0</v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  <c r="AC878" s="15">
        <f>N878^2</f>
        <v/>
      </c>
      <c r="AD878" s="15">
        <f>ABS(N878)</f>
        <v/>
      </c>
      <c r="AE878" s="15">
        <f>IF(M878&gt;0, ABS(N878)*(L878-$D$16),0)</f>
        <v/>
      </c>
    </row>
    <row r="879">
      <c r="L879" s="15" t="n">
        <v>877</v>
      </c>
      <c r="M879" s="15">
        <f>IF(L879&lt;$D$16,$D$12,IF(L879&lt;$E$16,$E$12,$F$13))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 t="n">
        <v>0</v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  <c r="AC879" s="15">
        <f>N879^2</f>
        <v/>
      </c>
      <c r="AD879" s="15">
        <f>ABS(N879)</f>
        <v/>
      </c>
      <c r="AE879" s="15">
        <f>IF(M879&gt;0, ABS(N879)*(L879-$D$16),0)</f>
        <v/>
      </c>
    </row>
    <row r="880">
      <c r="L880" s="15" t="n">
        <v>878</v>
      </c>
      <c r="M880" s="15">
        <f>IF(L880&lt;$D$16,$D$12,IF(L880&lt;$E$16,$E$12,$F$13))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 t="n">
        <v>0</v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  <c r="AC880" s="15">
        <f>N880^2</f>
        <v/>
      </c>
      <c r="AD880" s="15">
        <f>ABS(N880)</f>
        <v/>
      </c>
      <c r="AE880" s="15">
        <f>IF(M880&gt;0, ABS(N880)*(L880-$D$16),0)</f>
        <v/>
      </c>
    </row>
    <row r="881">
      <c r="L881" s="15" t="n">
        <v>879</v>
      </c>
      <c r="M881" s="15">
        <f>IF(L881&lt;$D$16,$D$12,IF(L881&lt;$E$16,$E$12,$F$13))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 t="n">
        <v>0</v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  <c r="AC881" s="15">
        <f>N881^2</f>
        <v/>
      </c>
      <c r="AD881" s="15">
        <f>ABS(N881)</f>
        <v/>
      </c>
      <c r="AE881" s="15">
        <f>IF(M881&gt;0, ABS(N881)*(L881-$D$16),0)</f>
        <v/>
      </c>
    </row>
    <row r="882">
      <c r="L882" s="15" t="n">
        <v>880</v>
      </c>
      <c r="M882" s="15">
        <f>IF(L882&lt;$D$16,$D$12,IF(L882&lt;$E$16,$E$12,$F$13))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 t="n">
        <v>0</v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  <c r="AC882" s="15">
        <f>N882^2</f>
        <v/>
      </c>
      <c r="AD882" s="15">
        <f>ABS(N882)</f>
        <v/>
      </c>
      <c r="AE882" s="15">
        <f>IF(M882&gt;0, ABS(N882)*(L882-$D$16),0)</f>
        <v/>
      </c>
    </row>
    <row r="883">
      <c r="L883" s="15" t="n">
        <v>881</v>
      </c>
      <c r="M883" s="15">
        <f>IF(L883&lt;$D$16,$D$12,IF(L883&lt;$E$16,$E$12,$F$13))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 t="n">
        <v>0</v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  <c r="AC883" s="15">
        <f>N883^2</f>
        <v/>
      </c>
      <c r="AD883" s="15">
        <f>ABS(N883)</f>
        <v/>
      </c>
      <c r="AE883" s="15">
        <f>IF(M883&gt;0, ABS(N883)*(L883-$D$16),0)</f>
        <v/>
      </c>
    </row>
    <row r="884">
      <c r="L884" s="15" t="n">
        <v>882</v>
      </c>
      <c r="M884" s="15">
        <f>IF(L884&lt;$D$16,$D$12,IF(L884&lt;$E$16,$E$12,$F$13))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 t="n">
        <v>0</v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  <c r="AC884" s="15">
        <f>N884^2</f>
        <v/>
      </c>
      <c r="AD884" s="15">
        <f>ABS(N884)</f>
        <v/>
      </c>
      <c r="AE884" s="15">
        <f>IF(M884&gt;0, ABS(N884)*(L884-$D$16),0)</f>
        <v/>
      </c>
    </row>
    <row r="885">
      <c r="L885" s="15" t="n">
        <v>883</v>
      </c>
      <c r="M885" s="15">
        <f>IF(L885&lt;$D$16,$D$12,IF(L885&lt;$E$16,$E$12,$F$13))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 t="n">
        <v>0</v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  <c r="AC885" s="15">
        <f>N885^2</f>
        <v/>
      </c>
      <c r="AD885" s="15">
        <f>ABS(N885)</f>
        <v/>
      </c>
      <c r="AE885" s="15">
        <f>IF(M885&gt;0, ABS(N885)*(L885-$D$16),0)</f>
        <v/>
      </c>
    </row>
    <row r="886">
      <c r="L886" s="15" t="n">
        <v>884</v>
      </c>
      <c r="M886" s="15">
        <f>IF(L886&lt;$D$16,$D$12,IF(L886&lt;$E$16,$E$12,$F$13))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 t="n">
        <v>0</v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  <c r="AC886" s="15">
        <f>N886^2</f>
        <v/>
      </c>
      <c r="AD886" s="15">
        <f>ABS(N886)</f>
        <v/>
      </c>
      <c r="AE886" s="15">
        <f>IF(M886&gt;0, ABS(N886)*(L886-$D$16),0)</f>
        <v/>
      </c>
    </row>
    <row r="887">
      <c r="L887" s="15" t="n">
        <v>885</v>
      </c>
      <c r="M887" s="15">
        <f>IF(L887&lt;$D$16,$D$12,IF(L887&lt;$E$16,$E$12,$F$13))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 t="n">
        <v>0</v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  <c r="AC887" s="15">
        <f>N887^2</f>
        <v/>
      </c>
      <c r="AD887" s="15">
        <f>ABS(N887)</f>
        <v/>
      </c>
      <c r="AE887" s="15">
        <f>IF(M887&gt;0, ABS(N887)*(L887-$D$16),0)</f>
        <v/>
      </c>
    </row>
    <row r="888">
      <c r="L888" s="15" t="n">
        <v>886</v>
      </c>
      <c r="M888" s="15">
        <f>IF(L888&lt;$D$16,$D$12,IF(L888&lt;$E$16,$E$12,$F$13))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 t="n">
        <v>0</v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  <c r="AC888" s="15">
        <f>N888^2</f>
        <v/>
      </c>
      <c r="AD888" s="15">
        <f>ABS(N888)</f>
        <v/>
      </c>
      <c r="AE888" s="15">
        <f>IF(M888&gt;0, ABS(N888)*(L888-$D$16),0)</f>
        <v/>
      </c>
    </row>
    <row r="889">
      <c r="L889" s="15" t="n">
        <v>887</v>
      </c>
      <c r="M889" s="15">
        <f>IF(L889&lt;$D$16,$D$12,IF(L889&lt;$E$16,$E$12,$F$13))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 t="n">
        <v>0</v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  <c r="AC889" s="15">
        <f>N889^2</f>
        <v/>
      </c>
      <c r="AD889" s="15">
        <f>ABS(N889)</f>
        <v/>
      </c>
      <c r="AE889" s="15">
        <f>IF(M889&gt;0, ABS(N889)*(L889-$D$16),0)</f>
        <v/>
      </c>
    </row>
    <row r="890">
      <c r="L890" s="15" t="n">
        <v>888</v>
      </c>
      <c r="M890" s="15">
        <f>IF(L890&lt;$D$16,$D$12,IF(L890&lt;$E$16,$E$12,$F$13))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 t="n">
        <v>0</v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  <c r="AC890" s="15">
        <f>N890^2</f>
        <v/>
      </c>
      <c r="AD890" s="15">
        <f>ABS(N890)</f>
        <v/>
      </c>
      <c r="AE890" s="15">
        <f>IF(M890&gt;0, ABS(N890)*(L890-$D$16),0)</f>
        <v/>
      </c>
    </row>
    <row r="891">
      <c r="L891" s="15" t="n">
        <v>889</v>
      </c>
      <c r="M891" s="15">
        <f>IF(L891&lt;$D$16,$D$12,IF(L891&lt;$E$16,$E$12,$F$13))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 t="n">
        <v>0</v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  <c r="AC891" s="15">
        <f>N891^2</f>
        <v/>
      </c>
      <c r="AD891" s="15">
        <f>ABS(N891)</f>
        <v/>
      </c>
      <c r="AE891" s="15">
        <f>IF(M891&gt;0, ABS(N891)*(L891-$D$16),0)</f>
        <v/>
      </c>
    </row>
    <row r="892">
      <c r="L892" s="15" t="n">
        <v>890</v>
      </c>
      <c r="M892" s="15">
        <f>IF(L892&lt;$D$16,$D$12,IF(L892&lt;$E$16,$E$12,$F$13))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 t="n">
        <v>0</v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  <c r="AC892" s="15">
        <f>N892^2</f>
        <v/>
      </c>
      <c r="AD892" s="15">
        <f>ABS(N892)</f>
        <v/>
      </c>
      <c r="AE892" s="15">
        <f>IF(M892&gt;0, ABS(N892)*(L892-$D$16),0)</f>
        <v/>
      </c>
    </row>
    <row r="893">
      <c r="L893" s="15" t="n">
        <v>891</v>
      </c>
      <c r="M893" s="15">
        <f>IF(L893&lt;$D$16,$D$12,IF(L893&lt;$E$16,$E$12,$F$13))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 t="n">
        <v>0</v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  <c r="AC893" s="15">
        <f>N893^2</f>
        <v/>
      </c>
      <c r="AD893" s="15">
        <f>ABS(N893)</f>
        <v/>
      </c>
      <c r="AE893" s="15">
        <f>IF(M893&gt;0, ABS(N893)*(L893-$D$16),0)</f>
        <v/>
      </c>
    </row>
    <row r="894">
      <c r="L894" s="15" t="n">
        <v>892</v>
      </c>
      <c r="M894" s="15">
        <f>IF(L894&lt;$D$16,$D$12,IF(L894&lt;$E$16,$E$12,$F$13))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 t="n">
        <v>0</v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  <c r="AC894" s="15">
        <f>N894^2</f>
        <v/>
      </c>
      <c r="AD894" s="15">
        <f>ABS(N894)</f>
        <v/>
      </c>
      <c r="AE894" s="15">
        <f>IF(M894&gt;0, ABS(N894)*(L894-$D$16),0)</f>
        <v/>
      </c>
    </row>
    <row r="895">
      <c r="L895" s="15" t="n">
        <v>893</v>
      </c>
      <c r="M895" s="15">
        <f>IF(L895&lt;$D$16,$D$12,IF(L895&lt;$E$16,$E$12,$F$13))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 t="n">
        <v>0</v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  <c r="AC895" s="15">
        <f>N895^2</f>
        <v/>
      </c>
      <c r="AD895" s="15">
        <f>ABS(N895)</f>
        <v/>
      </c>
      <c r="AE895" s="15">
        <f>IF(M895&gt;0, ABS(N895)*(L895-$D$16),0)</f>
        <v/>
      </c>
    </row>
    <row r="896">
      <c r="L896" s="15" t="n">
        <v>894</v>
      </c>
      <c r="M896" s="15">
        <f>IF(L896&lt;$D$16,$D$12,IF(L896&lt;$E$16,$E$12,$F$13))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 t="n">
        <v>0</v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  <c r="AC896" s="15">
        <f>N896^2</f>
        <v/>
      </c>
      <c r="AD896" s="15">
        <f>ABS(N896)</f>
        <v/>
      </c>
      <c r="AE896" s="15">
        <f>IF(M896&gt;0, ABS(N896)*(L896-$D$16),0)</f>
        <v/>
      </c>
    </row>
    <row r="897">
      <c r="L897" s="15" t="n">
        <v>895</v>
      </c>
      <c r="M897" s="15">
        <f>IF(L897&lt;$D$16,$D$12,IF(L897&lt;$E$16,$E$12,$F$13))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 t="n">
        <v>0</v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  <c r="AC897" s="15">
        <f>N897^2</f>
        <v/>
      </c>
      <c r="AD897" s="15">
        <f>ABS(N897)</f>
        <v/>
      </c>
      <c r="AE897" s="15">
        <f>IF(M897&gt;0, ABS(N897)*(L897-$D$16),0)</f>
        <v/>
      </c>
    </row>
    <row r="898">
      <c r="L898" s="15" t="n">
        <v>896</v>
      </c>
      <c r="M898" s="15">
        <f>IF(L898&lt;$D$16,$D$12,IF(L898&lt;$E$16,$E$12,$F$13))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 t="n">
        <v>0</v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  <c r="AC898" s="15">
        <f>N898^2</f>
        <v/>
      </c>
      <c r="AD898" s="15">
        <f>ABS(N898)</f>
        <v/>
      </c>
      <c r="AE898" s="15">
        <f>IF(M898&gt;0, ABS(N898)*(L898-$D$16),0)</f>
        <v/>
      </c>
    </row>
    <row r="899">
      <c r="L899" s="15" t="n">
        <v>897</v>
      </c>
      <c r="M899" s="15">
        <f>IF(L899&lt;$D$16,$D$12,IF(L899&lt;$E$16,$E$12,$F$13))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 t="n">
        <v>0</v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  <c r="AC899" s="15">
        <f>N899^2</f>
        <v/>
      </c>
      <c r="AD899" s="15">
        <f>ABS(N899)</f>
        <v/>
      </c>
      <c r="AE899" s="15">
        <f>IF(M899&gt;0, ABS(N899)*(L899-$D$16),0)</f>
        <v/>
      </c>
    </row>
    <row r="900">
      <c r="L900" s="15" t="n">
        <v>898</v>
      </c>
      <c r="M900" s="15">
        <f>IF(L900&lt;$D$16,$D$12,IF(L900&lt;$E$16,$E$12,$F$13))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 t="n">
        <v>0</v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  <c r="AC900" s="15">
        <f>N900^2</f>
        <v/>
      </c>
      <c r="AD900" s="15">
        <f>ABS(N900)</f>
        <v/>
      </c>
      <c r="AE900" s="15">
        <f>IF(M900&gt;0, ABS(N900)*(L900-$D$16),0)</f>
        <v/>
      </c>
    </row>
    <row r="901">
      <c r="L901" s="15" t="n">
        <v>899</v>
      </c>
      <c r="M901" s="15">
        <f>IF(L901&lt;$D$16,$D$12,IF(L901&lt;$E$16,$E$12,$F$13))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 t="n">
        <v>0</v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  <c r="AC901" s="15">
        <f>N901^2</f>
        <v/>
      </c>
      <c r="AD901" s="15">
        <f>ABS(N901)</f>
        <v/>
      </c>
      <c r="AE901" s="15">
        <f>IF(M901&gt;0, ABS(N901)*(L901-$D$16),0)</f>
        <v/>
      </c>
    </row>
    <row r="902">
      <c r="L902" s="15" t="n">
        <v>900</v>
      </c>
      <c r="M902" s="15">
        <f>IF(L902&lt;$D$16,$D$12,IF(L902&lt;$E$16,$E$12,$F$13))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 t="n">
        <v>0</v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  <c r="AC902" s="15">
        <f>N902^2</f>
        <v/>
      </c>
      <c r="AD902" s="15">
        <f>ABS(N902)</f>
        <v/>
      </c>
      <c r="AE902" s="15">
        <f>IF(M902&gt;0, ABS(N902)*(L902-$D$16),0)</f>
        <v/>
      </c>
    </row>
    <row r="903">
      <c r="L903" s="15" t="n">
        <v>901</v>
      </c>
      <c r="M903" s="15">
        <f>IF(L903&lt;$D$16,$D$12,IF(L903&lt;$E$16,$E$12,$F$13))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 t="n">
        <v>0</v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  <c r="AC903" s="15">
        <f>N903^2</f>
        <v/>
      </c>
      <c r="AD903" s="15">
        <f>ABS(N903)</f>
        <v/>
      </c>
      <c r="AE903" s="15">
        <f>IF(M903&gt;0, ABS(N903)*(L903-$D$16),0)</f>
        <v/>
      </c>
    </row>
    <row r="904">
      <c r="L904" s="15" t="n">
        <v>902</v>
      </c>
      <c r="M904" s="15">
        <f>IF(L904&lt;$D$16,$D$12,IF(L904&lt;$E$16,$E$12,$F$13))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 t="n">
        <v>0</v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  <c r="AC904" s="15">
        <f>N904^2</f>
        <v/>
      </c>
      <c r="AD904" s="15">
        <f>ABS(N904)</f>
        <v/>
      </c>
      <c r="AE904" s="15">
        <f>IF(M904&gt;0, ABS(N904)*(L904-$D$16),0)</f>
        <v/>
      </c>
    </row>
    <row r="905">
      <c r="L905" s="15" t="n">
        <v>903</v>
      </c>
      <c r="M905" s="15">
        <f>IF(L905&lt;$D$16,$D$12,IF(L905&lt;$E$16,$E$12,$F$13))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 t="n">
        <v>0</v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  <c r="AC905" s="15">
        <f>N905^2</f>
        <v/>
      </c>
      <c r="AD905" s="15">
        <f>ABS(N905)</f>
        <v/>
      </c>
      <c r="AE905" s="15">
        <f>IF(M905&gt;0, ABS(N905)*(L905-$D$16),0)</f>
        <v/>
      </c>
    </row>
    <row r="906">
      <c r="L906" s="15" t="n">
        <v>904</v>
      </c>
      <c r="M906" s="15">
        <f>IF(L906&lt;$D$16,$D$12,IF(L906&lt;$E$16,$E$12,$F$13))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 t="n">
        <v>0</v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  <c r="AC906" s="15">
        <f>N906^2</f>
        <v/>
      </c>
      <c r="AD906" s="15">
        <f>ABS(N906)</f>
        <v/>
      </c>
      <c r="AE906" s="15">
        <f>IF(M906&gt;0, ABS(N906)*(L906-$D$16),0)</f>
        <v/>
      </c>
    </row>
    <row r="907">
      <c r="L907" s="15" t="n">
        <v>905</v>
      </c>
      <c r="M907" s="15">
        <f>IF(L907&lt;$D$16,$D$12,IF(L907&lt;$E$16,$E$12,$F$13))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 t="n">
        <v>0</v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  <c r="AC907" s="15">
        <f>N907^2</f>
        <v/>
      </c>
      <c r="AD907" s="15">
        <f>ABS(N907)</f>
        <v/>
      </c>
      <c r="AE907" s="15">
        <f>IF(M907&gt;0, ABS(N907)*(L907-$D$16),0)</f>
        <v/>
      </c>
    </row>
    <row r="908">
      <c r="L908" s="15" t="n">
        <v>906</v>
      </c>
      <c r="M908" s="15">
        <f>IF(L908&lt;$D$16,$D$12,IF(L908&lt;$E$16,$E$12,$F$13))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 t="n">
        <v>0</v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  <c r="AC908" s="15">
        <f>N908^2</f>
        <v/>
      </c>
      <c r="AD908" s="15">
        <f>ABS(N908)</f>
        <v/>
      </c>
      <c r="AE908" s="15">
        <f>IF(M908&gt;0, ABS(N908)*(L908-$D$16),0)</f>
        <v/>
      </c>
    </row>
    <row r="909">
      <c r="L909" s="15" t="n">
        <v>907</v>
      </c>
      <c r="M909" s="15">
        <f>IF(L909&lt;$D$16,$D$12,IF(L909&lt;$E$16,$E$12,$F$13))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 t="n">
        <v>0</v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  <c r="AC909" s="15">
        <f>N909^2</f>
        <v/>
      </c>
      <c r="AD909" s="15">
        <f>ABS(N909)</f>
        <v/>
      </c>
      <c r="AE909" s="15">
        <f>IF(M909&gt;0, ABS(N909)*(L909-$D$16),0)</f>
        <v/>
      </c>
    </row>
    <row r="910">
      <c r="L910" s="15" t="n">
        <v>908</v>
      </c>
      <c r="M910" s="15">
        <f>IF(L910&lt;$D$16,$D$12,IF(L910&lt;$E$16,$E$12,$F$13))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 t="n">
        <v>0</v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  <c r="AC910" s="15">
        <f>N910^2</f>
        <v/>
      </c>
      <c r="AD910" s="15">
        <f>ABS(N910)</f>
        <v/>
      </c>
      <c r="AE910" s="15">
        <f>IF(M910&gt;0, ABS(N910)*(L910-$D$16),0)</f>
        <v/>
      </c>
    </row>
    <row r="911">
      <c r="L911" s="15" t="n">
        <v>909</v>
      </c>
      <c r="M911" s="15">
        <f>IF(L911&lt;$D$16,$D$12,IF(L911&lt;$E$16,$E$12,$F$13))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 t="n">
        <v>0</v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  <c r="AC911" s="15">
        <f>N911^2</f>
        <v/>
      </c>
      <c r="AD911" s="15">
        <f>ABS(N911)</f>
        <v/>
      </c>
      <c r="AE911" s="15">
        <f>IF(M911&gt;0, ABS(N911)*(L911-$D$16),0)</f>
        <v/>
      </c>
    </row>
    <row r="912">
      <c r="L912" s="15" t="n">
        <v>910</v>
      </c>
      <c r="M912" s="15">
        <f>IF(L912&lt;$D$16,$D$12,IF(L912&lt;$E$16,$E$12,$F$13))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 t="n">
        <v>0</v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  <c r="AC912" s="15">
        <f>N912^2</f>
        <v/>
      </c>
      <c r="AD912" s="15">
        <f>ABS(N912)</f>
        <v/>
      </c>
      <c r="AE912" s="15">
        <f>IF(M912&gt;0, ABS(N912)*(L912-$D$16),0)</f>
        <v/>
      </c>
    </row>
    <row r="913">
      <c r="L913" s="15" t="n">
        <v>911</v>
      </c>
      <c r="M913" s="15">
        <f>IF(L913&lt;$D$16,$D$12,IF(L913&lt;$E$16,$E$12,$F$13))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 t="n">
        <v>0</v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  <c r="AC913" s="15">
        <f>N913^2</f>
        <v/>
      </c>
      <c r="AD913" s="15">
        <f>ABS(N913)</f>
        <v/>
      </c>
      <c r="AE913" s="15">
        <f>IF(M913&gt;0, ABS(N913)*(L913-$D$16),0)</f>
        <v/>
      </c>
    </row>
    <row r="914">
      <c r="L914" s="15" t="n">
        <v>912</v>
      </c>
      <c r="M914" s="15">
        <f>IF(L914&lt;$D$16,$D$12,IF(L914&lt;$E$16,$E$12,$F$13))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 t="n">
        <v>0</v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  <c r="AC914" s="15">
        <f>N914^2</f>
        <v/>
      </c>
      <c r="AD914" s="15">
        <f>ABS(N914)</f>
        <v/>
      </c>
      <c r="AE914" s="15">
        <f>IF(M914&gt;0, ABS(N914)*(L914-$D$16),0)</f>
        <v/>
      </c>
    </row>
    <row r="915">
      <c r="L915" s="15" t="n">
        <v>913</v>
      </c>
      <c r="M915" s="15">
        <f>IF(L915&lt;$D$16,$D$12,IF(L915&lt;$E$16,$E$12,$F$13))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 t="n">
        <v>0</v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  <c r="AC915" s="15">
        <f>N915^2</f>
        <v/>
      </c>
      <c r="AD915" s="15">
        <f>ABS(N915)</f>
        <v/>
      </c>
      <c r="AE915" s="15">
        <f>IF(M915&gt;0, ABS(N915)*(L915-$D$16),0)</f>
        <v/>
      </c>
    </row>
    <row r="916">
      <c r="L916" s="15" t="n">
        <v>914</v>
      </c>
      <c r="M916" s="15">
        <f>IF(L916&lt;$D$16,$D$12,IF(L916&lt;$E$16,$E$12,$F$13))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 t="n">
        <v>0</v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  <c r="AC916" s="15">
        <f>N916^2</f>
        <v/>
      </c>
      <c r="AD916" s="15">
        <f>ABS(N916)</f>
        <v/>
      </c>
      <c r="AE916" s="15">
        <f>IF(M916&gt;0, ABS(N916)*(L916-$D$16),0)</f>
        <v/>
      </c>
    </row>
    <row r="917">
      <c r="L917" s="15" t="n">
        <v>915</v>
      </c>
      <c r="M917" s="15">
        <f>IF(L917&lt;$D$16,$D$12,IF(L917&lt;$E$16,$E$12,$F$13))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 t="n">
        <v>0</v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  <c r="AC917" s="15">
        <f>N917^2</f>
        <v/>
      </c>
      <c r="AD917" s="15">
        <f>ABS(N917)</f>
        <v/>
      </c>
      <c r="AE917" s="15">
        <f>IF(M917&gt;0, ABS(N917)*(L917-$D$16),0)</f>
        <v/>
      </c>
    </row>
    <row r="918">
      <c r="L918" s="15" t="n">
        <v>916</v>
      </c>
      <c r="M918" s="15">
        <f>IF(L918&lt;$D$16,$D$12,IF(L918&lt;$E$16,$E$12,$F$13))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 t="n">
        <v>0</v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  <c r="AC918" s="15">
        <f>N918^2</f>
        <v/>
      </c>
      <c r="AD918" s="15">
        <f>ABS(N918)</f>
        <v/>
      </c>
      <c r="AE918" s="15">
        <f>IF(M918&gt;0, ABS(N918)*(L918-$D$16),0)</f>
        <v/>
      </c>
    </row>
    <row r="919">
      <c r="L919" s="15" t="n">
        <v>917</v>
      </c>
      <c r="M919" s="15">
        <f>IF(L919&lt;$D$16,$D$12,IF(L919&lt;$E$16,$E$12,$F$13))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 t="n">
        <v>0</v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  <c r="AC919" s="15">
        <f>N919^2</f>
        <v/>
      </c>
      <c r="AD919" s="15">
        <f>ABS(N919)</f>
        <v/>
      </c>
      <c r="AE919" s="15">
        <f>IF(M919&gt;0, ABS(N919)*(L919-$D$16),0)</f>
        <v/>
      </c>
    </row>
    <row r="920">
      <c r="L920" s="15" t="n">
        <v>918</v>
      </c>
      <c r="M920" s="15">
        <f>IF(L920&lt;$D$16,$D$12,IF(L920&lt;$E$16,$E$12,$F$13))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 t="n">
        <v>0</v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  <c r="AC920" s="15">
        <f>N920^2</f>
        <v/>
      </c>
      <c r="AD920" s="15">
        <f>ABS(N920)</f>
        <v/>
      </c>
      <c r="AE920" s="15">
        <f>IF(M920&gt;0, ABS(N920)*(L920-$D$16),0)</f>
        <v/>
      </c>
    </row>
    <row r="921">
      <c r="L921" s="15" t="n">
        <v>919</v>
      </c>
      <c r="M921" s="15">
        <f>IF(L921&lt;$D$16,$D$12,IF(L921&lt;$E$16,$E$12,$F$13))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 t="n">
        <v>0</v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  <c r="AC921" s="15">
        <f>N921^2</f>
        <v/>
      </c>
      <c r="AD921" s="15">
        <f>ABS(N921)</f>
        <v/>
      </c>
      <c r="AE921" s="15">
        <f>IF(M921&gt;0, ABS(N921)*(L921-$D$16),0)</f>
        <v/>
      </c>
    </row>
    <row r="922">
      <c r="L922" s="15" t="n">
        <v>920</v>
      </c>
      <c r="M922" s="15">
        <f>IF(L922&lt;$D$16,$D$12,IF(L922&lt;$E$16,$E$12,$F$13))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 t="n">
        <v>0</v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  <c r="AC922" s="15">
        <f>N922^2</f>
        <v/>
      </c>
      <c r="AD922" s="15">
        <f>ABS(N922)</f>
        <v/>
      </c>
      <c r="AE922" s="15">
        <f>IF(M922&gt;0, ABS(N922)*(L922-$D$16),0)</f>
        <v/>
      </c>
    </row>
    <row r="923">
      <c r="L923" s="15" t="n">
        <v>921</v>
      </c>
      <c r="M923" s="15">
        <f>IF(L923&lt;$D$16,$D$12,IF(L923&lt;$E$16,$E$12,$F$13))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 t="n">
        <v>0</v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  <c r="AC923" s="15">
        <f>N923^2</f>
        <v/>
      </c>
      <c r="AD923" s="15">
        <f>ABS(N923)</f>
        <v/>
      </c>
      <c r="AE923" s="15">
        <f>IF(M923&gt;0, ABS(N923)*(L923-$D$16),0)</f>
        <v/>
      </c>
    </row>
    <row r="924">
      <c r="L924" s="15" t="n">
        <v>922</v>
      </c>
      <c r="M924" s="15">
        <f>IF(L924&lt;$D$16,$D$12,IF(L924&lt;$E$16,$E$12,$F$13))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 t="n">
        <v>0</v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  <c r="AC924" s="15">
        <f>N924^2</f>
        <v/>
      </c>
      <c r="AD924" s="15">
        <f>ABS(N924)</f>
        <v/>
      </c>
      <c r="AE924" s="15">
        <f>IF(M924&gt;0, ABS(N924)*(L924-$D$16),0)</f>
        <v/>
      </c>
    </row>
    <row r="925">
      <c r="L925" s="15" t="n">
        <v>923</v>
      </c>
      <c r="M925" s="15">
        <f>IF(L925&lt;$D$16,$D$12,IF(L925&lt;$E$16,$E$12,$F$13))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 t="n">
        <v>0</v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  <c r="AC925" s="15">
        <f>N925^2</f>
        <v/>
      </c>
      <c r="AD925" s="15">
        <f>ABS(N925)</f>
        <v/>
      </c>
      <c r="AE925" s="15">
        <f>IF(M925&gt;0, ABS(N925)*(L925-$D$16),0)</f>
        <v/>
      </c>
    </row>
    <row r="926">
      <c r="L926" s="15" t="n">
        <v>924</v>
      </c>
      <c r="M926" s="15">
        <f>IF(L926&lt;$D$16,$D$12,IF(L926&lt;$E$16,$E$12,$F$13))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 t="n">
        <v>0</v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  <c r="AC926" s="15">
        <f>N926^2</f>
        <v/>
      </c>
      <c r="AD926" s="15">
        <f>ABS(N926)</f>
        <v/>
      </c>
      <c r="AE926" s="15">
        <f>IF(M926&gt;0, ABS(N926)*(L926-$D$16),0)</f>
        <v/>
      </c>
    </row>
    <row r="927">
      <c r="L927" s="15" t="n">
        <v>925</v>
      </c>
      <c r="M927" s="15">
        <f>IF(L927&lt;$D$16,$D$12,IF(L927&lt;$E$16,$E$12,$F$13))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 t="n">
        <v>0</v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  <c r="AC927" s="15">
        <f>N927^2</f>
        <v/>
      </c>
      <c r="AD927" s="15">
        <f>ABS(N927)</f>
        <v/>
      </c>
      <c r="AE927" s="15">
        <f>IF(M927&gt;0, ABS(N927)*(L927-$D$16),0)</f>
        <v/>
      </c>
    </row>
    <row r="928">
      <c r="L928" s="15" t="n">
        <v>926</v>
      </c>
      <c r="M928" s="15">
        <f>IF(L928&lt;$D$16,$D$12,IF(L928&lt;$E$16,$E$12,$F$13))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 t="n">
        <v>0</v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  <c r="AC928" s="15">
        <f>N928^2</f>
        <v/>
      </c>
      <c r="AD928" s="15">
        <f>ABS(N928)</f>
        <v/>
      </c>
      <c r="AE928" s="15">
        <f>IF(M928&gt;0, ABS(N928)*(L928-$D$16),0)</f>
        <v/>
      </c>
    </row>
    <row r="929">
      <c r="L929" s="15" t="n">
        <v>927</v>
      </c>
      <c r="M929" s="15">
        <f>IF(L929&lt;$D$16,$D$12,IF(L929&lt;$E$16,$E$12,$F$13))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 t="n">
        <v>0</v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  <c r="AC929" s="15">
        <f>N929^2</f>
        <v/>
      </c>
      <c r="AD929" s="15">
        <f>ABS(N929)</f>
        <v/>
      </c>
      <c r="AE929" s="15">
        <f>IF(M929&gt;0, ABS(N929)*(L929-$D$16),0)</f>
        <v/>
      </c>
    </row>
    <row r="930">
      <c r="L930" s="15" t="n">
        <v>928</v>
      </c>
      <c r="M930" s="15">
        <f>IF(L930&lt;$D$16,$D$12,IF(L930&lt;$E$16,$E$12,$F$13))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 t="n">
        <v>0</v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  <c r="AC930" s="15">
        <f>N930^2</f>
        <v/>
      </c>
      <c r="AD930" s="15">
        <f>ABS(N930)</f>
        <v/>
      </c>
      <c r="AE930" s="15">
        <f>IF(M930&gt;0, ABS(N930)*(L930-$D$16),0)</f>
        <v/>
      </c>
    </row>
    <row r="931">
      <c r="L931" s="15" t="n">
        <v>929</v>
      </c>
      <c r="M931" s="15">
        <f>IF(L931&lt;$D$16,$D$12,IF(L931&lt;$E$16,$E$12,$F$13))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 t="n">
        <v>0</v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  <c r="AC931" s="15">
        <f>N931^2</f>
        <v/>
      </c>
      <c r="AD931" s="15">
        <f>ABS(N931)</f>
        <v/>
      </c>
      <c r="AE931" s="15">
        <f>IF(M931&gt;0, ABS(N931)*(L931-$D$16),0)</f>
        <v/>
      </c>
    </row>
    <row r="932">
      <c r="L932" s="15" t="n">
        <v>930</v>
      </c>
      <c r="M932" s="15">
        <f>IF(L932&lt;$D$16,$D$12,IF(L932&lt;$E$16,$E$12,$F$13))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 t="n">
        <v>0</v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  <c r="AC932" s="15">
        <f>N932^2</f>
        <v/>
      </c>
      <c r="AD932" s="15">
        <f>ABS(N932)</f>
        <v/>
      </c>
      <c r="AE932" s="15">
        <f>IF(M932&gt;0, ABS(N932)*(L932-$D$16),0)</f>
        <v/>
      </c>
    </row>
    <row r="933">
      <c r="L933" s="15" t="n">
        <v>931</v>
      </c>
      <c r="M933" s="15">
        <f>IF(L933&lt;$D$16,$D$12,IF(L933&lt;$E$16,$E$12,$F$13))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 t="n">
        <v>0</v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  <c r="AC933" s="15">
        <f>N933^2</f>
        <v/>
      </c>
      <c r="AD933" s="15">
        <f>ABS(N933)</f>
        <v/>
      </c>
      <c r="AE933" s="15">
        <f>IF(M933&gt;0, ABS(N933)*(L933-$D$16),0)</f>
        <v/>
      </c>
    </row>
    <row r="934">
      <c r="L934" s="15" t="n">
        <v>932</v>
      </c>
      <c r="M934" s="15">
        <f>IF(L934&lt;$D$16,$D$12,IF(L934&lt;$E$16,$E$12,$F$13))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 t="n">
        <v>0</v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  <c r="AC934" s="15">
        <f>N934^2</f>
        <v/>
      </c>
      <c r="AD934" s="15">
        <f>ABS(N934)</f>
        <v/>
      </c>
      <c r="AE934" s="15">
        <f>IF(M934&gt;0, ABS(N934)*(L934-$D$16),0)</f>
        <v/>
      </c>
    </row>
    <row r="935">
      <c r="L935" s="15" t="n">
        <v>933</v>
      </c>
      <c r="M935" s="15">
        <f>IF(L935&lt;$D$16,$D$12,IF(L935&lt;$E$16,$E$12,$F$13))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 t="n">
        <v>0</v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  <c r="AC935" s="15">
        <f>N935^2</f>
        <v/>
      </c>
      <c r="AD935" s="15">
        <f>ABS(N935)</f>
        <v/>
      </c>
      <c r="AE935" s="15">
        <f>IF(M935&gt;0, ABS(N935)*(L935-$D$16),0)</f>
        <v/>
      </c>
    </row>
    <row r="936">
      <c r="L936" s="15" t="n">
        <v>934</v>
      </c>
      <c r="M936" s="15">
        <f>IF(L936&lt;$D$16,$D$12,IF(L936&lt;$E$16,$E$12,$F$13))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 t="n">
        <v>0</v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  <c r="AC936" s="15">
        <f>N936^2</f>
        <v/>
      </c>
      <c r="AD936" s="15">
        <f>ABS(N936)</f>
        <v/>
      </c>
      <c r="AE936" s="15">
        <f>IF(M936&gt;0, ABS(N936)*(L936-$D$16),0)</f>
        <v/>
      </c>
    </row>
    <row r="937">
      <c r="L937" s="15" t="n">
        <v>935</v>
      </c>
      <c r="M937" s="15">
        <f>IF(L937&lt;$D$16,$D$12,IF(L937&lt;$E$16,$E$12,$F$13))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 t="n">
        <v>0</v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  <c r="AC937" s="15">
        <f>N937^2</f>
        <v/>
      </c>
      <c r="AD937" s="15">
        <f>ABS(N937)</f>
        <v/>
      </c>
      <c r="AE937" s="15">
        <f>IF(M937&gt;0, ABS(N937)*(L937-$D$16),0)</f>
        <v/>
      </c>
    </row>
    <row r="938">
      <c r="L938" s="15" t="n">
        <v>936</v>
      </c>
      <c r="M938" s="15">
        <f>IF(L938&lt;$D$16,$D$12,IF(L938&lt;$E$16,$E$12,$F$13))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 t="n">
        <v>0</v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  <c r="AC938" s="15">
        <f>N938^2</f>
        <v/>
      </c>
      <c r="AD938" s="15">
        <f>ABS(N938)</f>
        <v/>
      </c>
      <c r="AE938" s="15">
        <f>IF(M938&gt;0, ABS(N938)*(L938-$D$16),0)</f>
        <v/>
      </c>
    </row>
    <row r="939">
      <c r="L939" s="15" t="n">
        <v>937</v>
      </c>
      <c r="M939" s="15">
        <f>IF(L939&lt;$D$16,$D$12,IF(L939&lt;$E$16,$E$12,$F$13))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 t="n">
        <v>0</v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  <c r="AC939" s="15">
        <f>N939^2</f>
        <v/>
      </c>
      <c r="AD939" s="15">
        <f>ABS(N939)</f>
        <v/>
      </c>
      <c r="AE939" s="15">
        <f>IF(M939&gt;0, ABS(N939)*(L939-$D$16),0)</f>
        <v/>
      </c>
    </row>
    <row r="940">
      <c r="L940" s="15" t="n">
        <v>938</v>
      </c>
      <c r="M940" s="15">
        <f>IF(L940&lt;$D$16,$D$12,IF(L940&lt;$E$16,$E$12,$F$13))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 t="n">
        <v>0</v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  <c r="AC940" s="15">
        <f>N940^2</f>
        <v/>
      </c>
      <c r="AD940" s="15">
        <f>ABS(N940)</f>
        <v/>
      </c>
      <c r="AE940" s="15">
        <f>IF(M940&gt;0, ABS(N940)*(L940-$D$16),0)</f>
        <v/>
      </c>
    </row>
    <row r="941">
      <c r="L941" s="15" t="n">
        <v>939</v>
      </c>
      <c r="M941" s="15">
        <f>IF(L941&lt;$D$16,$D$12,IF(L941&lt;$E$16,$E$12,$F$13))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 t="n">
        <v>0</v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  <c r="AC941" s="15">
        <f>N941^2</f>
        <v/>
      </c>
      <c r="AD941" s="15">
        <f>ABS(N941)</f>
        <v/>
      </c>
      <c r="AE941" s="15">
        <f>IF(M941&gt;0, ABS(N941)*(L941-$D$16),0)</f>
        <v/>
      </c>
    </row>
    <row r="942">
      <c r="L942" s="15" t="n">
        <v>940</v>
      </c>
      <c r="M942" s="15">
        <f>IF(L942&lt;$D$16,$D$12,IF(L942&lt;$E$16,$E$12,$F$13))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 t="n">
        <v>0</v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  <c r="AC942" s="15">
        <f>N942^2</f>
        <v/>
      </c>
      <c r="AD942" s="15">
        <f>ABS(N942)</f>
        <v/>
      </c>
      <c r="AE942" s="15">
        <f>IF(M942&gt;0, ABS(N942)*(L942-$D$16),0)</f>
        <v/>
      </c>
    </row>
    <row r="943">
      <c r="L943" s="15" t="n">
        <v>941</v>
      </c>
      <c r="M943" s="15">
        <f>IF(L943&lt;$D$16,$D$12,IF(L943&lt;$E$16,$E$12,$F$13))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 t="n">
        <v>0</v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  <c r="AC943" s="15">
        <f>N943^2</f>
        <v/>
      </c>
      <c r="AD943" s="15">
        <f>ABS(N943)</f>
        <v/>
      </c>
      <c r="AE943" s="15">
        <f>IF(M943&gt;0, ABS(N943)*(L943-$D$16),0)</f>
        <v/>
      </c>
    </row>
    <row r="944">
      <c r="L944" s="15" t="n">
        <v>942</v>
      </c>
      <c r="M944" s="15">
        <f>IF(L944&lt;$D$16,$D$12,IF(L944&lt;$E$16,$E$12,$F$13))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 t="n">
        <v>0</v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  <c r="AC944" s="15">
        <f>N944^2</f>
        <v/>
      </c>
      <c r="AD944" s="15">
        <f>ABS(N944)</f>
        <v/>
      </c>
      <c r="AE944" s="15">
        <f>IF(M944&gt;0, ABS(N944)*(L944-$D$16),0)</f>
        <v/>
      </c>
    </row>
    <row r="945">
      <c r="L945" s="15" t="n">
        <v>943</v>
      </c>
      <c r="M945" s="15">
        <f>IF(L945&lt;$D$16,$D$12,IF(L945&lt;$E$16,$E$12,$F$13))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 t="n">
        <v>0</v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  <c r="AC945" s="15">
        <f>N945^2</f>
        <v/>
      </c>
      <c r="AD945" s="15">
        <f>ABS(N945)</f>
        <v/>
      </c>
      <c r="AE945" s="15">
        <f>IF(M945&gt;0, ABS(N945)*(L945-$D$16),0)</f>
        <v/>
      </c>
    </row>
    <row r="946">
      <c r="L946" s="15" t="n">
        <v>944</v>
      </c>
      <c r="M946" s="15">
        <f>IF(L946&lt;$D$16,$D$12,IF(L946&lt;$E$16,$E$12,$F$13))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 t="n">
        <v>0</v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  <c r="AC946" s="15">
        <f>N946^2</f>
        <v/>
      </c>
      <c r="AD946" s="15">
        <f>ABS(N946)</f>
        <v/>
      </c>
      <c r="AE946" s="15">
        <f>IF(M946&gt;0, ABS(N946)*(L946-$D$16),0)</f>
        <v/>
      </c>
    </row>
    <row r="947">
      <c r="L947" s="15" t="n">
        <v>945</v>
      </c>
      <c r="M947" s="15">
        <f>IF(L947&lt;$D$16,$D$12,IF(L947&lt;$E$16,$E$12,$F$13))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 t="n">
        <v>0</v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  <c r="AC947" s="15">
        <f>N947^2</f>
        <v/>
      </c>
      <c r="AD947" s="15">
        <f>ABS(N947)</f>
        <v/>
      </c>
      <c r="AE947" s="15">
        <f>IF(M947&gt;0, ABS(N947)*(L947-$D$16),0)</f>
        <v/>
      </c>
    </row>
    <row r="948">
      <c r="L948" s="15" t="n">
        <v>946</v>
      </c>
      <c r="M948" s="15">
        <f>IF(L948&lt;$D$16,$D$12,IF(L948&lt;$E$16,$E$12,$F$13))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 t="n">
        <v>0</v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  <c r="AC948" s="15">
        <f>N948^2</f>
        <v/>
      </c>
      <c r="AD948" s="15">
        <f>ABS(N948)</f>
        <v/>
      </c>
      <c r="AE948" s="15">
        <f>IF(M948&gt;0, ABS(N948)*(L948-$D$16),0)</f>
        <v/>
      </c>
    </row>
    <row r="949">
      <c r="L949" s="15" t="n">
        <v>947</v>
      </c>
      <c r="M949" s="15">
        <f>IF(L949&lt;$D$16,$D$12,IF(L949&lt;$E$16,$E$12,$F$13))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 t="n">
        <v>0</v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  <c r="AC949" s="15">
        <f>N949^2</f>
        <v/>
      </c>
      <c r="AD949" s="15">
        <f>ABS(N949)</f>
        <v/>
      </c>
      <c r="AE949" s="15">
        <f>IF(M949&gt;0, ABS(N949)*(L949-$D$16),0)</f>
        <v/>
      </c>
    </row>
    <row r="950">
      <c r="L950" s="15" t="n">
        <v>948</v>
      </c>
      <c r="M950" s="15">
        <f>IF(L950&lt;$D$16,$D$12,IF(L950&lt;$E$16,$E$12,$F$13))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 t="n">
        <v>0</v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  <c r="AC950" s="15">
        <f>N950^2</f>
        <v/>
      </c>
      <c r="AD950" s="15">
        <f>ABS(N950)</f>
        <v/>
      </c>
      <c r="AE950" s="15">
        <f>IF(M950&gt;0, ABS(N950)*(L950-$D$16),0)</f>
        <v/>
      </c>
    </row>
    <row r="951">
      <c r="L951" s="15" t="n">
        <v>949</v>
      </c>
      <c r="M951" s="15">
        <f>IF(L951&lt;$D$16,$D$12,IF(L951&lt;$E$16,$E$12,$F$13))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 t="n">
        <v>0</v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  <c r="AC951" s="15">
        <f>N951^2</f>
        <v/>
      </c>
      <c r="AD951" s="15">
        <f>ABS(N951)</f>
        <v/>
      </c>
      <c r="AE951" s="15">
        <f>IF(M951&gt;0, ABS(N951)*(L951-$D$16),0)</f>
        <v/>
      </c>
    </row>
    <row r="952">
      <c r="L952" s="15" t="n">
        <v>950</v>
      </c>
      <c r="M952" s="15">
        <f>IF(L952&lt;$D$16,$D$12,IF(L952&lt;$E$16,$E$12,$F$13))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 t="n">
        <v>0</v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  <c r="AC952" s="15">
        <f>N952^2</f>
        <v/>
      </c>
      <c r="AD952" s="15">
        <f>ABS(N952)</f>
        <v/>
      </c>
      <c r="AE952" s="15">
        <f>IF(M952&gt;0, ABS(N952)*(L952-$D$16),0)</f>
        <v/>
      </c>
    </row>
    <row r="953">
      <c r="L953" s="15" t="n">
        <v>951</v>
      </c>
      <c r="M953" s="15">
        <f>IF(L953&lt;$D$16,$D$12,IF(L953&lt;$E$16,$E$12,$F$13))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 t="n">
        <v>0</v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  <c r="AC953" s="15">
        <f>N953^2</f>
        <v/>
      </c>
      <c r="AD953" s="15">
        <f>ABS(N953)</f>
        <v/>
      </c>
      <c r="AE953" s="15">
        <f>IF(M953&gt;0, ABS(N953)*(L953-$D$16),0)</f>
        <v/>
      </c>
    </row>
    <row r="954">
      <c r="L954" s="15" t="n">
        <v>952</v>
      </c>
      <c r="M954" s="15">
        <f>IF(L954&lt;$D$16,$D$12,IF(L954&lt;$E$16,$E$12,$F$13))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 t="n">
        <v>0</v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  <c r="AC954" s="15">
        <f>N954^2</f>
        <v/>
      </c>
      <c r="AD954" s="15">
        <f>ABS(N954)</f>
        <v/>
      </c>
      <c r="AE954" s="15">
        <f>IF(M954&gt;0, ABS(N954)*(L954-$D$16),0)</f>
        <v/>
      </c>
    </row>
    <row r="955">
      <c r="L955" s="15" t="n">
        <v>953</v>
      </c>
      <c r="M955" s="15">
        <f>IF(L955&lt;$D$16,$D$12,IF(L955&lt;$E$16,$E$12,$F$13))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 t="n">
        <v>0</v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  <c r="AC955" s="15">
        <f>N955^2</f>
        <v/>
      </c>
      <c r="AD955" s="15">
        <f>ABS(N955)</f>
        <v/>
      </c>
      <c r="AE955" s="15">
        <f>IF(M955&gt;0, ABS(N955)*(L955-$D$16),0)</f>
        <v/>
      </c>
    </row>
    <row r="956">
      <c r="L956" s="15" t="n">
        <v>954</v>
      </c>
      <c r="M956" s="15">
        <f>IF(L956&lt;$D$16,$D$12,IF(L956&lt;$E$16,$E$12,$F$13))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 t="n">
        <v>0</v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  <c r="AC956" s="15">
        <f>N956^2</f>
        <v/>
      </c>
      <c r="AD956" s="15">
        <f>ABS(N956)</f>
        <v/>
      </c>
      <c r="AE956" s="15">
        <f>IF(M956&gt;0, ABS(N956)*(L956-$D$16),0)</f>
        <v/>
      </c>
    </row>
    <row r="957">
      <c r="L957" s="15" t="n">
        <v>955</v>
      </c>
      <c r="M957" s="15">
        <f>IF(L957&lt;$D$16,$D$12,IF(L957&lt;$E$16,$E$12,$F$13))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 t="n">
        <v>0</v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  <c r="AC957" s="15">
        <f>N957^2</f>
        <v/>
      </c>
      <c r="AD957" s="15">
        <f>ABS(N957)</f>
        <v/>
      </c>
      <c r="AE957" s="15">
        <f>IF(M957&gt;0, ABS(N957)*(L957-$D$16),0)</f>
        <v/>
      </c>
    </row>
    <row r="958">
      <c r="L958" s="15" t="n">
        <v>956</v>
      </c>
      <c r="M958" s="15">
        <f>IF(L958&lt;$D$16,$D$12,IF(L958&lt;$E$16,$E$12,$F$13))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 t="n">
        <v>0</v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  <c r="AC958" s="15">
        <f>N958^2</f>
        <v/>
      </c>
      <c r="AD958" s="15">
        <f>ABS(N958)</f>
        <v/>
      </c>
      <c r="AE958" s="15">
        <f>IF(M958&gt;0, ABS(N958)*(L958-$D$16),0)</f>
        <v/>
      </c>
    </row>
    <row r="959">
      <c r="L959" s="15" t="n">
        <v>957</v>
      </c>
      <c r="M959" s="15">
        <f>IF(L959&lt;$D$16,$D$12,IF(L959&lt;$E$16,$E$12,$F$13))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 t="n">
        <v>0</v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  <c r="AC959" s="15">
        <f>N959^2</f>
        <v/>
      </c>
      <c r="AD959" s="15">
        <f>ABS(N959)</f>
        <v/>
      </c>
      <c r="AE959" s="15">
        <f>IF(M959&gt;0, ABS(N959)*(L959-$D$16),0)</f>
        <v/>
      </c>
    </row>
    <row r="960">
      <c r="L960" s="15" t="n">
        <v>958</v>
      </c>
      <c r="M960" s="15">
        <f>IF(L960&lt;$D$16,$D$12,IF(L960&lt;$E$16,$E$12,$F$13))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 t="n">
        <v>0</v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  <c r="AC960" s="15">
        <f>N960^2</f>
        <v/>
      </c>
      <c r="AD960" s="15">
        <f>ABS(N960)</f>
        <v/>
      </c>
      <c r="AE960" s="15">
        <f>IF(M960&gt;0, ABS(N960)*(L960-$D$16),0)</f>
        <v/>
      </c>
    </row>
    <row r="961">
      <c r="L961" s="15" t="n">
        <v>959</v>
      </c>
      <c r="M961" s="15">
        <f>IF(L961&lt;$D$16,$D$12,IF(L961&lt;$E$16,$E$12,$F$13))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 t="n">
        <v>0</v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  <c r="AC961" s="15">
        <f>N961^2</f>
        <v/>
      </c>
      <c r="AD961" s="15">
        <f>ABS(N961)</f>
        <v/>
      </c>
      <c r="AE961" s="15">
        <f>IF(M961&gt;0, ABS(N961)*(L961-$D$16),0)</f>
        <v/>
      </c>
    </row>
    <row r="962">
      <c r="L962" s="15" t="n">
        <v>960</v>
      </c>
      <c r="M962" s="15">
        <f>IF(L962&lt;$D$16,$D$12,IF(L962&lt;$E$16,$E$12,$F$13))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 t="n">
        <v>0</v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  <c r="AC962" s="15">
        <f>N962^2</f>
        <v/>
      </c>
      <c r="AD962" s="15">
        <f>ABS(N962)</f>
        <v/>
      </c>
      <c r="AE962" s="15">
        <f>IF(M962&gt;0, ABS(N962)*(L962-$D$16),0)</f>
        <v/>
      </c>
    </row>
    <row r="963">
      <c r="L963" s="15" t="n">
        <v>961</v>
      </c>
      <c r="M963" s="15">
        <f>IF(L963&lt;$D$16,$D$12,IF(L963&lt;$E$16,$E$12,$F$13))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 t="n">
        <v>0</v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  <c r="AC963" s="15">
        <f>N963^2</f>
        <v/>
      </c>
      <c r="AD963" s="15">
        <f>ABS(N963)</f>
        <v/>
      </c>
      <c r="AE963" s="15">
        <f>IF(M963&gt;0, ABS(N963)*(L963-$D$16),0)</f>
        <v/>
      </c>
    </row>
    <row r="964">
      <c r="L964" s="15" t="n">
        <v>962</v>
      </c>
      <c r="M964" s="15">
        <f>IF(L964&lt;$D$16,$D$12,IF(L964&lt;$E$16,$E$12,$F$13))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 t="n">
        <v>0</v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  <c r="AC964" s="15">
        <f>N964^2</f>
        <v/>
      </c>
      <c r="AD964" s="15">
        <f>ABS(N964)</f>
        <v/>
      </c>
      <c r="AE964" s="15">
        <f>IF(M964&gt;0, ABS(N964)*(L964-$D$16),0)</f>
        <v/>
      </c>
    </row>
    <row r="965">
      <c r="L965" s="15" t="n">
        <v>963</v>
      </c>
      <c r="M965" s="15">
        <f>IF(L965&lt;$D$16,$D$12,IF(L965&lt;$E$16,$E$12,$F$13))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 t="n">
        <v>0</v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  <c r="AC965" s="15">
        <f>N965^2</f>
        <v/>
      </c>
      <c r="AD965" s="15">
        <f>ABS(N965)</f>
        <v/>
      </c>
      <c r="AE965" s="15">
        <f>IF(M965&gt;0, ABS(N965)*(L965-$D$16),0)</f>
        <v/>
      </c>
    </row>
    <row r="966">
      <c r="L966" s="15" t="n">
        <v>964</v>
      </c>
      <c r="M966" s="15">
        <f>IF(L966&lt;$D$16,$D$12,IF(L966&lt;$E$16,$E$12,$F$13))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 t="n">
        <v>0</v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  <c r="AC966" s="15">
        <f>N966^2</f>
        <v/>
      </c>
      <c r="AD966" s="15">
        <f>ABS(N966)</f>
        <v/>
      </c>
      <c r="AE966" s="15">
        <f>IF(M966&gt;0, ABS(N966)*(L966-$D$16),0)</f>
        <v/>
      </c>
    </row>
    <row r="967">
      <c r="L967" s="15" t="n">
        <v>965</v>
      </c>
      <c r="M967" s="15">
        <f>IF(L967&lt;$D$16,$D$12,IF(L967&lt;$E$16,$E$12,$F$13))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 t="n">
        <v>0</v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  <c r="AC967" s="15">
        <f>N967^2</f>
        <v/>
      </c>
      <c r="AD967" s="15">
        <f>ABS(N967)</f>
        <v/>
      </c>
      <c r="AE967" s="15">
        <f>IF(M967&gt;0, ABS(N967)*(L967-$D$16),0)</f>
        <v/>
      </c>
    </row>
    <row r="968">
      <c r="L968" s="15" t="n">
        <v>966</v>
      </c>
      <c r="M968" s="15">
        <f>IF(L968&lt;$D$16,$D$12,IF(L968&lt;$E$16,$E$12,$F$13))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 t="n">
        <v>0</v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  <c r="AC968" s="15">
        <f>N968^2</f>
        <v/>
      </c>
      <c r="AD968" s="15">
        <f>ABS(N968)</f>
        <v/>
      </c>
      <c r="AE968" s="15">
        <f>IF(M968&gt;0, ABS(N968)*(L968-$D$16),0)</f>
        <v/>
      </c>
    </row>
    <row r="969">
      <c r="L969" s="15" t="n">
        <v>967</v>
      </c>
      <c r="M969" s="15">
        <f>IF(L969&lt;$D$16,$D$12,IF(L969&lt;$E$16,$E$12,$F$13))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 t="n">
        <v>0</v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  <c r="AC969" s="15">
        <f>N969^2</f>
        <v/>
      </c>
      <c r="AD969" s="15">
        <f>ABS(N969)</f>
        <v/>
      </c>
      <c r="AE969" s="15">
        <f>IF(M969&gt;0, ABS(N969)*(L969-$D$16),0)</f>
        <v/>
      </c>
    </row>
    <row r="970">
      <c r="L970" s="15" t="n">
        <v>968</v>
      </c>
      <c r="M970" s="15">
        <f>IF(L970&lt;$D$16,$D$12,IF(L970&lt;$E$16,$E$12,$F$13))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 t="n">
        <v>0</v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  <c r="AC970" s="15">
        <f>N970^2</f>
        <v/>
      </c>
      <c r="AD970" s="15">
        <f>ABS(N970)</f>
        <v/>
      </c>
      <c r="AE970" s="15">
        <f>IF(M970&gt;0, ABS(N970)*(L970-$D$16),0)</f>
        <v/>
      </c>
    </row>
    <row r="971">
      <c r="L971" s="15" t="n">
        <v>969</v>
      </c>
      <c r="M971" s="15">
        <f>IF(L971&lt;$D$16,$D$12,IF(L971&lt;$E$16,$E$12,$F$13))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 t="n">
        <v>0</v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  <c r="AC971" s="15">
        <f>N971^2</f>
        <v/>
      </c>
      <c r="AD971" s="15">
        <f>ABS(N971)</f>
        <v/>
      </c>
      <c r="AE971" s="15">
        <f>IF(M971&gt;0, ABS(N971)*(L971-$D$16),0)</f>
        <v/>
      </c>
    </row>
    <row r="972">
      <c r="L972" s="15" t="n">
        <v>970</v>
      </c>
      <c r="M972" s="15">
        <f>IF(L972&lt;$D$16,$D$12,IF(L972&lt;$E$16,$E$12,$F$13))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 t="n">
        <v>0</v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  <c r="AC972" s="15">
        <f>N972^2</f>
        <v/>
      </c>
      <c r="AD972" s="15">
        <f>ABS(N972)</f>
        <v/>
      </c>
      <c r="AE972" s="15">
        <f>IF(M972&gt;0, ABS(N972)*(L972-$D$16),0)</f>
        <v/>
      </c>
    </row>
    <row r="973">
      <c r="L973" s="15" t="n">
        <v>971</v>
      </c>
      <c r="M973" s="15">
        <f>IF(L973&lt;$D$16,$D$12,IF(L973&lt;$E$16,$E$12,$F$13))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 t="n">
        <v>0</v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  <c r="AC973" s="15">
        <f>N973^2</f>
        <v/>
      </c>
      <c r="AD973" s="15">
        <f>ABS(N973)</f>
        <v/>
      </c>
      <c r="AE973" s="15">
        <f>IF(M973&gt;0, ABS(N973)*(L973-$D$16),0)</f>
        <v/>
      </c>
    </row>
    <row r="974">
      <c r="L974" s="15" t="n">
        <v>972</v>
      </c>
      <c r="M974" s="15">
        <f>IF(L974&lt;$D$16,$D$12,IF(L974&lt;$E$16,$E$12,$F$13))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 t="n">
        <v>0</v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  <c r="AC974" s="15">
        <f>N974^2</f>
        <v/>
      </c>
      <c r="AD974" s="15">
        <f>ABS(N974)</f>
        <v/>
      </c>
      <c r="AE974" s="15">
        <f>IF(M974&gt;0, ABS(N974)*(L974-$D$16),0)</f>
        <v/>
      </c>
    </row>
    <row r="975">
      <c r="L975" s="15" t="n">
        <v>973</v>
      </c>
      <c r="M975" s="15">
        <f>IF(L975&lt;$D$16,$D$12,IF(L975&lt;$E$16,$E$12,$F$13))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 t="n">
        <v>0</v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  <c r="AC975" s="15">
        <f>N975^2</f>
        <v/>
      </c>
      <c r="AD975" s="15">
        <f>ABS(N975)</f>
        <v/>
      </c>
      <c r="AE975" s="15">
        <f>IF(M975&gt;0, ABS(N975)*(L975-$D$16),0)</f>
        <v/>
      </c>
    </row>
    <row r="976">
      <c r="L976" s="15" t="n">
        <v>974</v>
      </c>
      <c r="M976" s="15">
        <f>IF(L976&lt;$D$16,$D$12,IF(L976&lt;$E$16,$E$12,$F$13))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 t="n">
        <v>0</v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  <c r="AC976" s="15">
        <f>N976^2</f>
        <v/>
      </c>
      <c r="AD976" s="15">
        <f>ABS(N976)</f>
        <v/>
      </c>
      <c r="AE976" s="15">
        <f>IF(M976&gt;0, ABS(N976)*(L976-$D$16),0)</f>
        <v/>
      </c>
    </row>
    <row r="977">
      <c r="L977" s="15" t="n">
        <v>975</v>
      </c>
      <c r="M977" s="15">
        <f>IF(L977&lt;$D$16,$D$12,IF(L977&lt;$E$16,$E$12,$F$13))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 t="n">
        <v>0</v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  <c r="AC977" s="15">
        <f>N977^2</f>
        <v/>
      </c>
      <c r="AD977" s="15">
        <f>ABS(N977)</f>
        <v/>
      </c>
      <c r="AE977" s="15">
        <f>IF(M977&gt;0, ABS(N977)*(L977-$D$16),0)</f>
        <v/>
      </c>
    </row>
    <row r="978">
      <c r="L978" s="15" t="n">
        <v>976</v>
      </c>
      <c r="M978" s="15">
        <f>IF(L978&lt;$D$16,$D$12,IF(L978&lt;$E$16,$E$12,$F$13))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 t="n">
        <v>0</v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  <c r="AC978" s="15">
        <f>N978^2</f>
        <v/>
      </c>
      <c r="AD978" s="15">
        <f>ABS(N978)</f>
        <v/>
      </c>
      <c r="AE978" s="15">
        <f>IF(M978&gt;0, ABS(N978)*(L978-$D$16),0)</f>
        <v/>
      </c>
    </row>
    <row r="979">
      <c r="L979" s="15" t="n">
        <v>977</v>
      </c>
      <c r="M979" s="15">
        <f>IF(L979&lt;$D$16,$D$12,IF(L979&lt;$E$16,$E$12,$F$13))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 t="n">
        <v>0</v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  <c r="AC979" s="15">
        <f>N979^2</f>
        <v/>
      </c>
      <c r="AD979" s="15">
        <f>ABS(N979)</f>
        <v/>
      </c>
      <c r="AE979" s="15">
        <f>IF(M979&gt;0, ABS(N979)*(L979-$D$16),0)</f>
        <v/>
      </c>
    </row>
    <row r="980">
      <c r="L980" s="15" t="n">
        <v>978</v>
      </c>
      <c r="M980" s="15">
        <f>IF(L980&lt;$D$16,$D$12,IF(L980&lt;$E$16,$E$12,$F$13))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 t="n">
        <v>0</v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  <c r="AC980" s="15">
        <f>N980^2</f>
        <v/>
      </c>
      <c r="AD980" s="15">
        <f>ABS(N980)</f>
        <v/>
      </c>
      <c r="AE980" s="15">
        <f>IF(M980&gt;0, ABS(N980)*(L980-$D$16),0)</f>
        <v/>
      </c>
    </row>
    <row r="981">
      <c r="L981" s="15" t="n">
        <v>979</v>
      </c>
      <c r="M981" s="15">
        <f>IF(L981&lt;$D$16,$D$12,IF(L981&lt;$E$16,$E$12,$F$13))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 t="n">
        <v>0</v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  <c r="AC981" s="15">
        <f>N981^2</f>
        <v/>
      </c>
      <c r="AD981" s="15">
        <f>ABS(N981)</f>
        <v/>
      </c>
      <c r="AE981" s="15">
        <f>IF(M981&gt;0, ABS(N981)*(L981-$D$16),0)</f>
        <v/>
      </c>
    </row>
    <row r="982">
      <c r="L982" s="15" t="n">
        <v>980</v>
      </c>
      <c r="M982" s="15">
        <f>IF(L982&lt;$D$16,$D$12,IF(L982&lt;$E$16,$E$12,$F$13))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 t="n">
        <v>0</v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  <c r="AC982" s="15">
        <f>N982^2</f>
        <v/>
      </c>
      <c r="AD982" s="15">
        <f>ABS(N982)</f>
        <v/>
      </c>
      <c r="AE982" s="15">
        <f>IF(M982&gt;0, ABS(N982)*(L982-$D$16),0)</f>
        <v/>
      </c>
    </row>
    <row r="983">
      <c r="L983" s="15" t="n">
        <v>981</v>
      </c>
      <c r="M983" s="15">
        <f>IF(L983&lt;$D$16,$D$12,IF(L983&lt;$E$16,$E$12,$F$13))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 t="n">
        <v>0</v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  <c r="AC983" s="15">
        <f>N983^2</f>
        <v/>
      </c>
      <c r="AD983" s="15">
        <f>ABS(N983)</f>
        <v/>
      </c>
      <c r="AE983" s="15">
        <f>IF(M983&gt;0, ABS(N983)*(L983-$D$16),0)</f>
        <v/>
      </c>
    </row>
    <row r="984">
      <c r="L984" s="15" t="n">
        <v>982</v>
      </c>
      <c r="M984" s="15">
        <f>IF(L984&lt;$D$16,$D$12,IF(L984&lt;$E$16,$E$12,$F$13))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 t="n">
        <v>0</v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  <c r="AC984" s="15">
        <f>N984^2</f>
        <v/>
      </c>
      <c r="AD984" s="15">
        <f>ABS(N984)</f>
        <v/>
      </c>
      <c r="AE984" s="15">
        <f>IF(M984&gt;0, ABS(N984)*(L984-$D$16),0)</f>
        <v/>
      </c>
    </row>
    <row r="985">
      <c r="L985" s="15" t="n">
        <v>983</v>
      </c>
      <c r="M985" s="15">
        <f>IF(L985&lt;$D$16,$D$12,IF(L985&lt;$E$16,$E$12,$F$13))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 t="n">
        <v>0</v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  <c r="AC985" s="15">
        <f>N985^2</f>
        <v/>
      </c>
      <c r="AD985" s="15">
        <f>ABS(N985)</f>
        <v/>
      </c>
      <c r="AE985" s="15">
        <f>IF(M985&gt;0, ABS(N985)*(L985-$D$16),0)</f>
        <v/>
      </c>
    </row>
    <row r="986">
      <c r="L986" s="15" t="n">
        <v>984</v>
      </c>
      <c r="M986" s="15">
        <f>IF(L986&lt;$D$16,$D$12,IF(L986&lt;$E$16,$E$12,$F$13))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 t="n">
        <v>0</v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  <c r="AC986" s="15">
        <f>N986^2</f>
        <v/>
      </c>
      <c r="AD986" s="15">
        <f>ABS(N986)</f>
        <v/>
      </c>
      <c r="AE986" s="15">
        <f>IF(M986&gt;0, ABS(N986)*(L986-$D$16),0)</f>
        <v/>
      </c>
    </row>
    <row r="987">
      <c r="L987" s="15" t="n">
        <v>985</v>
      </c>
      <c r="M987" s="15">
        <f>IF(L987&lt;$D$16,$D$12,IF(L987&lt;$E$16,$E$12,$F$13))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 t="n">
        <v>0</v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  <c r="AC987" s="15">
        <f>N987^2</f>
        <v/>
      </c>
      <c r="AD987" s="15">
        <f>ABS(N987)</f>
        <v/>
      </c>
      <c r="AE987" s="15">
        <f>IF(M987&gt;0, ABS(N987)*(L987-$D$16),0)</f>
        <v/>
      </c>
    </row>
    <row r="988">
      <c r="L988" s="15" t="n">
        <v>986</v>
      </c>
      <c r="M988" s="15">
        <f>IF(L988&lt;$D$16,$D$12,IF(L988&lt;$E$16,$E$12,$F$13))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 t="n">
        <v>0</v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  <c r="AC988" s="15">
        <f>N988^2</f>
        <v/>
      </c>
      <c r="AD988" s="15">
        <f>ABS(N988)</f>
        <v/>
      </c>
      <c r="AE988" s="15">
        <f>IF(M988&gt;0, ABS(N988)*(L988-$D$16),0)</f>
        <v/>
      </c>
    </row>
    <row r="989">
      <c r="L989" s="15" t="n">
        <v>987</v>
      </c>
      <c r="M989" s="15">
        <f>IF(L989&lt;$D$16,$D$12,IF(L989&lt;$E$16,$E$12,$F$13))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 t="n">
        <v>0</v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  <c r="AC989" s="15">
        <f>N989^2</f>
        <v/>
      </c>
      <c r="AD989" s="15">
        <f>ABS(N989)</f>
        <v/>
      </c>
      <c r="AE989" s="15">
        <f>IF(M989&gt;0, ABS(N989)*(L989-$D$16),0)</f>
        <v/>
      </c>
    </row>
    <row r="990">
      <c r="L990" s="15" t="n">
        <v>988</v>
      </c>
      <c r="M990" s="15">
        <f>IF(L990&lt;$D$16,$D$12,IF(L990&lt;$E$16,$E$12,$F$13))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 t="n">
        <v>0</v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  <c r="AC990" s="15">
        <f>N990^2</f>
        <v/>
      </c>
      <c r="AD990" s="15">
        <f>ABS(N990)</f>
        <v/>
      </c>
      <c r="AE990" s="15">
        <f>IF(M990&gt;0, ABS(N990)*(L990-$D$16),0)</f>
        <v/>
      </c>
    </row>
    <row r="991">
      <c r="L991" s="15" t="n">
        <v>989</v>
      </c>
      <c r="M991" s="15">
        <f>IF(L991&lt;$D$16,$D$12,IF(L991&lt;$E$16,$E$12,$F$13))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 t="n">
        <v>0</v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  <c r="AC991" s="15">
        <f>N991^2</f>
        <v/>
      </c>
      <c r="AD991" s="15">
        <f>ABS(N991)</f>
        <v/>
      </c>
      <c r="AE991" s="15">
        <f>IF(M991&gt;0, ABS(N991)*(L991-$D$16),0)</f>
        <v/>
      </c>
    </row>
    <row r="992">
      <c r="L992" s="15" t="n">
        <v>990</v>
      </c>
      <c r="M992" s="15">
        <f>IF(L992&lt;$D$16,$D$12,IF(L992&lt;$E$16,$E$12,$F$13))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 t="n">
        <v>0</v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  <c r="AC992" s="15">
        <f>N992^2</f>
        <v/>
      </c>
      <c r="AD992" s="15">
        <f>ABS(N992)</f>
        <v/>
      </c>
      <c r="AE992" s="15">
        <f>IF(M992&gt;0, ABS(N992)*(L992-$D$16),0)</f>
        <v/>
      </c>
    </row>
    <row r="993">
      <c r="L993" s="15" t="n">
        <v>991</v>
      </c>
      <c r="M993" s="15">
        <f>IF(L993&lt;$D$16,$D$12,IF(L993&lt;$E$16,$E$12,$F$13))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 t="n">
        <v>0</v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  <c r="AC993" s="15">
        <f>N993^2</f>
        <v/>
      </c>
      <c r="AD993" s="15">
        <f>ABS(N993)</f>
        <v/>
      </c>
      <c r="AE993" s="15">
        <f>IF(M993&gt;0, ABS(N993)*(L993-$D$16),0)</f>
        <v/>
      </c>
    </row>
    <row r="994">
      <c r="L994" s="15" t="n">
        <v>992</v>
      </c>
      <c r="M994" s="15">
        <f>IF(L994&lt;$D$16,$D$12,IF(L994&lt;$E$16,$E$12,$F$13))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 t="n">
        <v>0</v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  <c r="AC994" s="15">
        <f>N994^2</f>
        <v/>
      </c>
      <c r="AD994" s="15">
        <f>ABS(N994)</f>
        <v/>
      </c>
      <c r="AE994" s="15">
        <f>IF(M994&gt;0, ABS(N994)*(L994-$D$16),0)</f>
        <v/>
      </c>
    </row>
    <row r="995">
      <c r="L995" s="15" t="n">
        <v>993</v>
      </c>
      <c r="M995" s="15">
        <f>IF(L995&lt;$D$16,$D$12,IF(L995&lt;$E$16,$E$12,$F$13))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 t="n">
        <v>0</v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  <c r="AC995" s="15">
        <f>N995^2</f>
        <v/>
      </c>
      <c r="AD995" s="15">
        <f>ABS(N995)</f>
        <v/>
      </c>
      <c r="AE995" s="15">
        <f>IF(M995&gt;0, ABS(N995)*(L995-$D$16),0)</f>
        <v/>
      </c>
    </row>
    <row r="996">
      <c r="L996" s="15" t="n">
        <v>994</v>
      </c>
      <c r="M996" s="15">
        <f>IF(L996&lt;$D$16,$D$12,IF(L996&lt;$E$16,$E$12,$F$13))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 t="n">
        <v>0</v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  <c r="AC996" s="15">
        <f>N996^2</f>
        <v/>
      </c>
      <c r="AD996" s="15">
        <f>ABS(N996)</f>
        <v/>
      </c>
      <c r="AE996" s="15">
        <f>IF(M996&gt;0, ABS(N996)*(L996-$D$16),0)</f>
        <v/>
      </c>
    </row>
    <row r="997">
      <c r="L997" s="15" t="n">
        <v>995</v>
      </c>
      <c r="M997" s="15">
        <f>IF(L997&lt;$D$16,$D$12,IF(L997&lt;$E$16,$E$12,$F$13))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 t="n">
        <v>0</v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  <c r="AC997" s="15">
        <f>N997^2</f>
        <v/>
      </c>
      <c r="AD997" s="15">
        <f>ABS(N997)</f>
        <v/>
      </c>
      <c r="AE997" s="15">
        <f>IF(M997&gt;0, ABS(N997)*(L997-$D$16),0)</f>
        <v/>
      </c>
    </row>
    <row r="998">
      <c r="L998" s="15" t="n">
        <v>996</v>
      </c>
      <c r="M998" s="15">
        <f>IF(L998&lt;$D$16,$D$12,IF(L998&lt;$E$16,$E$12,$F$13))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 t="n">
        <v>0</v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  <c r="AC998" s="15">
        <f>N998^2</f>
        <v/>
      </c>
      <c r="AD998" s="15">
        <f>ABS(N998)</f>
        <v/>
      </c>
      <c r="AE998" s="15">
        <f>IF(M998&gt;0, ABS(N998)*(L998-$D$16),0)</f>
        <v/>
      </c>
    </row>
    <row r="999">
      <c r="L999" s="15" t="n">
        <v>997</v>
      </c>
      <c r="M999" s="15">
        <f>IF(L999&lt;$D$16,$D$12,IF(L999&lt;$E$16,$E$12,$F$13))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 t="n">
        <v>0</v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  <c r="AC999" s="15">
        <f>N999^2</f>
        <v/>
      </c>
      <c r="AD999" s="15">
        <f>ABS(N999)</f>
        <v/>
      </c>
      <c r="AE999" s="15">
        <f>IF(M999&gt;0, ABS(N999)*(L999-$D$16),0)</f>
        <v/>
      </c>
    </row>
    <row r="1000">
      <c r="L1000" s="15" t="n">
        <v>998</v>
      </c>
      <c r="M1000" s="15">
        <f>IF(L1000&lt;$D$16,$D$12,IF(L1000&lt;$E$16,$E$12,$F$13))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 t="n">
        <v>0</v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  <c r="AC1000" s="15">
        <f>N1000^2</f>
        <v/>
      </c>
      <c r="AD1000" s="15">
        <f>ABS(N1000)</f>
        <v/>
      </c>
      <c r="AE1000" s="15">
        <f>IF(M1000&gt;0, ABS(N1000)*(L1000-$D$16),0)</f>
        <v/>
      </c>
    </row>
    <row r="1001">
      <c r="L1001" s="15" t="n">
        <v>999</v>
      </c>
      <c r="M1001" s="15">
        <f>IF(L1001&lt;$D$16,$D$12,IF(L1001&lt;$E$16,$E$12,$F$13))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 t="n">
        <v>0</v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  <c r="AC1001" s="15">
        <f>N1001^2</f>
        <v/>
      </c>
      <c r="AD1001" s="15">
        <f>ABS(N1001)</f>
        <v/>
      </c>
      <c r="AE1001" s="15">
        <f>IF(M1001&gt;0, ABS(N1001)*(L1001-$D$16),0)</f>
        <v/>
      </c>
    </row>
    <row r="1002">
      <c r="L1002" s="15" t="n">
        <v>1000</v>
      </c>
      <c r="M1002" s="15">
        <f>IF(L1002&lt;$D$16,$D$12,IF(L1002&lt;$E$16,$E$12,$F$13))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 t="n">
        <v>0</v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  <c r="AC1002" s="15">
        <f>N1002^2</f>
        <v/>
      </c>
      <c r="AD1002" s="15">
        <f>ABS(N1002)</f>
        <v/>
      </c>
      <c r="AE1002" s="15">
        <f>IF(M1002&gt;0, ABS(N1002)*(L1002-$D$16),0)</f>
        <v/>
      </c>
    </row>
  </sheetData>
  <mergeCells count="2">
    <mergeCell ref="A1:B1"/>
    <mergeCell ref="A7:B7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42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35" customWidth="1" min="7" max="7"/>
    <col width="12" customWidth="1" min="8" max="8"/>
  </cols>
  <sheetData>
    <row r="1">
      <c r="A1" t="inlineStr">
        <is>
          <t>Параметры обьекта</t>
        </is>
      </c>
      <c r="D1" t="inlineStr">
        <is>
          <t>Т0</t>
        </is>
      </c>
      <c r="E1" t="n">
        <v>1</v>
      </c>
      <c r="H1" t="inlineStr">
        <is>
          <t>A1</t>
        </is>
      </c>
      <c r="I1">
        <f>EXP(-B$6/$B$4)+EXP(-B$6/$B$5)</f>
        <v/>
      </c>
      <c r="L1" t="inlineStr">
        <is>
          <t>t</t>
        </is>
      </c>
      <c r="M1" t="inlineStr">
        <is>
          <t>g(nT0)</t>
        </is>
      </c>
      <c r="N1" t="inlineStr">
        <is>
          <t>e(nT0)</t>
        </is>
      </c>
      <c r="O1" t="inlineStr">
        <is>
          <t>u(nT0)</t>
        </is>
      </c>
      <c r="P1" t="inlineStr">
        <is>
          <t>u(t)</t>
        </is>
      </c>
      <c r="Q1" t="inlineStr">
        <is>
          <t>f(t)</t>
        </is>
      </c>
      <c r="R1" t="inlineStr">
        <is>
          <t>x(t)</t>
        </is>
      </c>
      <c r="S1" t="inlineStr">
        <is>
          <t>x*(t)</t>
        </is>
      </c>
      <c r="T1" t="inlineStr">
        <is>
          <t>s(t)</t>
        </is>
      </c>
      <c r="U1" t="inlineStr">
        <is>
          <t>y(t)</t>
        </is>
      </c>
      <c r="V1" t="inlineStr">
        <is>
          <t>y(nT0)</t>
        </is>
      </c>
      <c r="X1" t="inlineStr">
        <is>
          <t>Граница верх</t>
        </is>
      </c>
    </row>
    <row r="2">
      <c r="A2" t="inlineStr">
        <is>
          <t>K</t>
        </is>
      </c>
      <c r="B2" t="n">
        <v>4</v>
      </c>
      <c r="D2" t="inlineStr">
        <is>
          <t>q0</t>
        </is>
      </c>
      <c r="E2">
        <f>$B$8*(1+B11/(2*$B$9)+B10/B11)</f>
        <v/>
      </c>
      <c r="H2" t="inlineStr">
        <is>
          <t>A2</t>
        </is>
      </c>
      <c r="I2">
        <f>EXP(-B$6/$B$4)*EXP(-B$6/$B$5)</f>
        <v/>
      </c>
      <c r="L2" t="n">
        <v>0</v>
      </c>
      <c r="M2">
        <f>IF(L2&lt;$D$16,$D$13,IF(L2&lt;$E$16,$E$13,$F$13))</f>
        <v/>
      </c>
      <c r="N2">
        <f>M2-V2</f>
        <v/>
      </c>
      <c r="O2" t="n">
        <v>0</v>
      </c>
      <c r="P2">
        <f>INT((2^$J$12-1)*O2/100)/(2^$J$12-1)*100</f>
        <v/>
      </c>
      <c r="Q2" t="n">
        <v>0</v>
      </c>
      <c r="R2">
        <f>P2+Q2</f>
        <v/>
      </c>
      <c r="S2">
        <f>$D$13</f>
        <v/>
      </c>
      <c r="T2">
        <f>RAND()*$G$12</f>
        <v/>
      </c>
      <c r="U2" t="n">
        <v>0</v>
      </c>
      <c r="V2">
        <f>INT((2^$J$12-1)*U2/100)/(2^$J$12-1)*100</f>
        <v/>
      </c>
      <c r="X2">
        <f>M2 * 1.05</f>
        <v/>
      </c>
    </row>
    <row r="3">
      <c r="A3" t="inlineStr">
        <is>
          <t>tau</t>
        </is>
      </c>
      <c r="B3" t="n">
        <v>40</v>
      </c>
      <c r="D3" t="inlineStr">
        <is>
          <t>q1</t>
        </is>
      </c>
      <c r="E3">
        <f>$B$8*(B11/(2*$B$9)-1-2*$B$10/B11)</f>
        <v/>
      </c>
      <c r="H3" t="inlineStr">
        <is>
          <t>B1</t>
        </is>
      </c>
      <c r="I3">
        <f>$B$2*(1+$B$4/($B$5-$B$4)*EXP(-B6/$B$4)-$B$5/($B$5-$B$4)*EXP(-B6/$B$5))</f>
        <v/>
      </c>
      <c r="L3" t="n">
        <v>1</v>
      </c>
      <c r="M3">
        <f>IF(L3&lt;$D$16,$D$13,IF(L3&lt;$E$16,$E$13,$F$13))</f>
        <v/>
      </c>
      <c r="N3">
        <f>M3-V3</f>
        <v/>
      </c>
      <c r="O3" t="n">
        <v>0</v>
      </c>
      <c r="P3">
        <f>INT((2^$J$12-1)*O3/100)/(2^$J$12-1)*100</f>
        <v/>
      </c>
      <c r="Q3" t="n">
        <v>0</v>
      </c>
      <c r="R3">
        <f>P3+Q3</f>
        <v/>
      </c>
      <c r="S3">
        <f>$D$13</f>
        <v/>
      </c>
      <c r="T3">
        <f>RAND()*$G$12</f>
        <v/>
      </c>
      <c r="U3">
        <f>$I$1*U2-$I$2*U1+$I$3*R2+$I$4*R1</f>
        <v/>
      </c>
      <c r="V3">
        <f>INT((2^$J$12-1)*U3/100)/(2^$J$12-1)*100</f>
        <v/>
      </c>
      <c r="X3">
        <f>M3 * 1.05</f>
        <v/>
      </c>
    </row>
    <row r="4">
      <c r="A4" t="inlineStr">
        <is>
          <t>T1</t>
        </is>
      </c>
      <c r="B4" t="n">
        <v>17</v>
      </c>
      <c r="D4" t="inlineStr">
        <is>
          <t>q2</t>
        </is>
      </c>
      <c r="E4">
        <f>$B$8*$B$10/B11</f>
        <v/>
      </c>
      <c r="H4" t="inlineStr">
        <is>
          <t>B2</t>
        </is>
      </c>
      <c r="I4">
        <f>$B$2*(EXP(-B6/$B$4)*EXP(-B6/$B$5)+$B$4/($B$5-$B$4)*EXP(-B6/$B$5)-$B$5/($B$5-$B$4)*EXP(-B6/$B$4))</f>
        <v/>
      </c>
      <c r="L4" t="n">
        <v>2</v>
      </c>
      <c r="M4">
        <f>IF(L4&lt;$D$16,$D$13,IF(L4&lt;$E$16,$E$13,$F$13))</f>
        <v/>
      </c>
      <c r="N4">
        <f>M4-V4</f>
        <v/>
      </c>
      <c r="O4" t="n">
        <v>0</v>
      </c>
      <c r="P4">
        <f>INT((2^$J$12-1)*O4/100)/(2^$J$12-1)*100</f>
        <v/>
      </c>
      <c r="Q4" t="n">
        <v>0</v>
      </c>
      <c r="R4">
        <f>P4+Q4</f>
        <v/>
      </c>
      <c r="S4">
        <f>$D$13</f>
        <v/>
      </c>
      <c r="T4">
        <f>RAND()*$G$12</f>
        <v/>
      </c>
      <c r="U4">
        <f>$I$1*U3-$I$2*U2+$I$3*R3+$I$4*R2</f>
        <v/>
      </c>
      <c r="V4">
        <f>INT((2^$J$12-1)*U4/100)/(2^$J$12-1)*100</f>
        <v/>
      </c>
      <c r="X4">
        <f>M4 * 1.05</f>
        <v/>
      </c>
    </row>
    <row r="5">
      <c r="A5" t="inlineStr">
        <is>
          <t>T2</t>
        </is>
      </c>
      <c r="B5" t="n">
        <v>13</v>
      </c>
      <c r="D5" t="inlineStr">
        <is>
          <t>T0</t>
        </is>
      </c>
      <c r="L5" t="n">
        <v>3</v>
      </c>
      <c r="M5">
        <f>IF(L5&lt;$D$16,$D$13,IF(L5&lt;$E$16,$E$13,$F$13))</f>
        <v/>
      </c>
      <c r="N5">
        <f>M5-V5</f>
        <v/>
      </c>
      <c r="O5" t="n">
        <v>0</v>
      </c>
      <c r="P5">
        <f>INT((2^$J$12-1)*O5/100)/(2^$J$12-1)*100</f>
        <v/>
      </c>
      <c r="Q5" t="n">
        <v>0</v>
      </c>
      <c r="R5">
        <f>P5+Q5</f>
        <v/>
      </c>
      <c r="S5">
        <f>$D$13</f>
        <v/>
      </c>
      <c r="T5">
        <f>RAND()*$G$12</f>
        <v/>
      </c>
      <c r="U5">
        <f>$I$1*U4-$I$2*U3+$I$3*R4+$I$4*R3</f>
        <v/>
      </c>
      <c r="V5">
        <f>INT((2^$J$12-1)*U5/100)/(2^$J$12-1)*100</f>
        <v/>
      </c>
      <c r="X5">
        <f>M5 * 1.05</f>
        <v/>
      </c>
    </row>
    <row r="6">
      <c r="A6" t="inlineStr">
        <is>
          <t>T0</t>
        </is>
      </c>
      <c r="B6" t="n">
        <v>1</v>
      </c>
      <c r="L6" t="n">
        <v>4</v>
      </c>
      <c r="M6">
        <f>IF(L6&lt;$D$16,$D$13,IF(L6&lt;$E$16,$E$13,$F$13))</f>
        <v/>
      </c>
      <c r="N6">
        <f>M6-V6</f>
        <v/>
      </c>
      <c r="O6" t="n">
        <v>0</v>
      </c>
      <c r="P6">
        <f>INT((2^$J$12-1)*O6/100)/(2^$J$12-1)*100</f>
        <v/>
      </c>
      <c r="Q6" t="n">
        <v>0</v>
      </c>
      <c r="R6">
        <f>P6+Q6</f>
        <v/>
      </c>
      <c r="S6">
        <f>$D$13</f>
        <v/>
      </c>
      <c r="T6">
        <f>RAND()*$G$12</f>
        <v/>
      </c>
      <c r="U6">
        <f>$I$1*U5-$I$2*U4+$I$3*R5+$I$4*R4</f>
        <v/>
      </c>
      <c r="V6">
        <f>INT((2^$J$12-1)*U6/100)/(2^$J$12-1)*100</f>
        <v/>
      </c>
      <c r="X6">
        <f>M6 * 1.05</f>
        <v/>
      </c>
    </row>
    <row r="7">
      <c r="A7" t="inlineStr">
        <is>
          <t>Параметры регулятор</t>
        </is>
      </c>
      <c r="L7" t="n">
        <v>5</v>
      </c>
      <c r="M7">
        <f>IF(L7&lt;$D$16,$D$13,IF(L7&lt;$E$16,$E$13,$F$13))</f>
        <v/>
      </c>
      <c r="N7">
        <f>M7-V7</f>
        <v/>
      </c>
      <c r="O7" t="n">
        <v>0</v>
      </c>
      <c r="P7">
        <f>INT((2^$J$12-1)*O7/100)/(2^$J$12-1)*100</f>
        <v/>
      </c>
      <c r="Q7" t="n">
        <v>0</v>
      </c>
      <c r="R7">
        <f>P7+Q7</f>
        <v/>
      </c>
      <c r="S7">
        <f>$D$13</f>
        <v/>
      </c>
      <c r="T7">
        <f>RAND()*$G$12</f>
        <v/>
      </c>
      <c r="U7">
        <f>$I$1*U6-$I$2*U5+$I$3*R6+$I$4*R5</f>
        <v/>
      </c>
      <c r="V7">
        <f>INT((2^$J$12-1)*U7/100)/(2^$J$12-1)*100</f>
        <v/>
      </c>
      <c r="X7">
        <f>M7 * 1.05</f>
        <v/>
      </c>
    </row>
    <row r="8">
      <c r="A8" t="inlineStr">
        <is>
          <t>kr</t>
        </is>
      </c>
      <c r="B8" t="n">
        <v>0.18</v>
      </c>
      <c r="L8" t="n">
        <v>6</v>
      </c>
      <c r="M8">
        <f>IF(L8&lt;$D$16,$D$13,IF(L8&lt;$E$16,$E$13,$F$13))</f>
        <v/>
      </c>
      <c r="N8">
        <f>M8-V8</f>
        <v/>
      </c>
      <c r="O8" t="n">
        <v>0</v>
      </c>
      <c r="P8">
        <f>INT((2^$J$12-1)*O8/100)/(2^$J$12-1)*100</f>
        <v/>
      </c>
      <c r="Q8" t="n">
        <v>0</v>
      </c>
      <c r="R8">
        <f>P8+Q8</f>
        <v/>
      </c>
      <c r="S8">
        <f>$D$13</f>
        <v/>
      </c>
      <c r="T8">
        <f>RAND()*$G$12</f>
        <v/>
      </c>
      <c r="U8">
        <f>$I$1*U7-$I$2*U6+$I$3*R7+$I$4*R6</f>
        <v/>
      </c>
      <c r="V8">
        <f>INT((2^$J$12-1)*U8/100)/(2^$J$12-1)*100</f>
        <v/>
      </c>
      <c r="X8">
        <f>M8 * 1.05</f>
        <v/>
      </c>
    </row>
    <row r="9">
      <c r="A9" t="inlineStr">
        <is>
          <t>Ti</t>
        </is>
      </c>
      <c r="B9" t="n">
        <v>27.5</v>
      </c>
      <c r="L9" t="n">
        <v>7</v>
      </c>
      <c r="M9">
        <f>IF(L9&lt;$D$16,$D$13,IF(L9&lt;$E$16,$E$13,$F$13))</f>
        <v/>
      </c>
      <c r="N9">
        <f>M9-V9</f>
        <v/>
      </c>
      <c r="O9" t="n">
        <v>0</v>
      </c>
      <c r="P9">
        <f>INT((2^$J$12-1)*O9/100)/(2^$J$12-1)*100</f>
        <v/>
      </c>
      <c r="Q9" t="n">
        <v>0</v>
      </c>
      <c r="R9">
        <f>P9+Q9</f>
        <v/>
      </c>
      <c r="S9">
        <f>$D$13</f>
        <v/>
      </c>
      <c r="T9">
        <f>RAND()*$G$12</f>
        <v/>
      </c>
      <c r="U9">
        <f>$I$1*U8-$I$2*U7+$I$3*R8+$I$4*R7</f>
        <v/>
      </c>
      <c r="V9">
        <f>INT((2^$J$12-1)*U9/100)/(2^$J$12-1)*100</f>
        <v/>
      </c>
      <c r="X9">
        <f>M9 * 1.05</f>
        <v/>
      </c>
    </row>
    <row r="10">
      <c r="A10" t="inlineStr">
        <is>
          <t>Td</t>
        </is>
      </c>
      <c r="B10" t="n">
        <v>10</v>
      </c>
      <c r="L10" t="n">
        <v>8</v>
      </c>
      <c r="M10">
        <f>IF(L10&lt;$D$16,$D$13,IF(L10&lt;$E$16,$E$13,$F$13))</f>
        <v/>
      </c>
      <c r="N10">
        <f>M10-V10</f>
        <v/>
      </c>
      <c r="O10" t="n">
        <v>0</v>
      </c>
      <c r="P10">
        <f>INT((2^$J$12-1)*O10/100)/(2^$J$12-1)*100</f>
        <v/>
      </c>
      <c r="Q10" t="n">
        <v>0</v>
      </c>
      <c r="R10">
        <f>P10+Q10</f>
        <v/>
      </c>
      <c r="S10">
        <f>$D$13</f>
        <v/>
      </c>
      <c r="T10">
        <f>RAND()*$G$12</f>
        <v/>
      </c>
      <c r="U10">
        <f>$I$1*U9-$I$2*U8+$I$3*R9+$I$4*R8</f>
        <v/>
      </c>
      <c r="V10">
        <f>INT((2^$J$12-1)*U10/100)/(2^$J$12-1)*100</f>
        <v/>
      </c>
      <c r="X10">
        <f>M10 * 1.05</f>
        <v/>
      </c>
    </row>
    <row r="11">
      <c r="A11" t="inlineStr">
        <is>
          <t>T0</t>
        </is>
      </c>
      <c r="B11" t="n">
        <v>3</v>
      </c>
      <c r="D11" t="inlineStr">
        <is>
          <t>g(nT0)</t>
        </is>
      </c>
      <c r="E11" t="inlineStr">
        <is>
          <t>g(nT1)</t>
        </is>
      </c>
      <c r="F11" t="inlineStr">
        <is>
          <t>g(nT2)</t>
        </is>
      </c>
      <c r="G11" t="inlineStr">
        <is>
          <t>Ks</t>
        </is>
      </c>
      <c r="H11" t="inlineStr">
        <is>
          <t>Kf</t>
        </is>
      </c>
      <c r="I11" t="inlineStr">
        <is>
          <t>T0</t>
        </is>
      </c>
      <c r="J11" t="inlineStr">
        <is>
          <t>n</t>
        </is>
      </c>
      <c r="L11" t="n">
        <v>9</v>
      </c>
      <c r="M11">
        <f>IF(L11&lt;$D$16,$D$13,IF(L11&lt;$E$16,$E$13,$F$13))</f>
        <v/>
      </c>
      <c r="N11">
        <f>M11-V11</f>
        <v/>
      </c>
      <c r="O11" t="n">
        <v>0</v>
      </c>
      <c r="P11">
        <f>INT((2^$J$12-1)*O11/100)/(2^$J$12-1)*100</f>
        <v/>
      </c>
      <c r="Q11" t="n">
        <v>0</v>
      </c>
      <c r="R11">
        <f>P11+Q11</f>
        <v/>
      </c>
      <c r="S11">
        <f>$D$13</f>
        <v/>
      </c>
      <c r="T11">
        <f>RAND()*$G$12</f>
        <v/>
      </c>
      <c r="U11">
        <f>$I$1*U10-$I$2*U9+$I$3*R10+$I$4*R9</f>
        <v/>
      </c>
      <c r="V11">
        <f>INT((2^$J$12-1)*U11/100)/(2^$J$12-1)*100</f>
        <v/>
      </c>
      <c r="X11">
        <f>M11 * 1.05</f>
        <v/>
      </c>
    </row>
    <row r="12">
      <c r="D12" t="n">
        <v>0</v>
      </c>
      <c r="E12" t="n">
        <v>1</v>
      </c>
      <c r="F12" t="n">
        <v>0</v>
      </c>
      <c r="G12" t="n">
        <v>0.01</v>
      </c>
      <c r="H12" t="n">
        <v>0.1</v>
      </c>
      <c r="I12">
        <f>B11</f>
        <v/>
      </c>
      <c r="J12" t="n">
        <v>32</v>
      </c>
      <c r="L12" t="n">
        <v>10</v>
      </c>
      <c r="M12">
        <f>IF(L12&lt;$D$16,$D$13,IF(L12&lt;$E$16,$E$13,$F$13))</f>
        <v/>
      </c>
      <c r="N12">
        <f>M12-V12</f>
        <v/>
      </c>
      <c r="O12" t="n">
        <v>0</v>
      </c>
      <c r="P12">
        <f>INT((2^$J$12-1)*O12/100)/(2^$J$12-1)*100</f>
        <v/>
      </c>
      <c r="Q12" t="n">
        <v>0</v>
      </c>
      <c r="R12">
        <f>P12+Q12</f>
        <v/>
      </c>
      <c r="S12">
        <f>$D$13</f>
        <v/>
      </c>
      <c r="T12">
        <f>RAND()*$G$12</f>
        <v/>
      </c>
      <c r="U12">
        <f>$I$1*U11-$I$2*U10+$I$3*R11+$I$4*R10</f>
        <v/>
      </c>
      <c r="V12">
        <f>INT((2^$J$12-1)*U12/100)/(2^$J$12-1)*100</f>
        <v/>
      </c>
      <c r="X12">
        <f>M12 * 1.05</f>
        <v/>
      </c>
    </row>
    <row r="13">
      <c r="D13" t="n">
        <v>1</v>
      </c>
      <c r="E13" t="n">
        <v>10</v>
      </c>
      <c r="F13" t="n">
        <v>1</v>
      </c>
      <c r="L13" t="n">
        <v>11</v>
      </c>
      <c r="M13">
        <f>IF(L13&lt;$D$16,$D$13,IF(L13&lt;$E$16,$E$13,$F$13))</f>
        <v/>
      </c>
      <c r="N13">
        <f>M13-V13</f>
        <v/>
      </c>
      <c r="O13" t="n">
        <v>0</v>
      </c>
      <c r="P13">
        <f>INT((2^$J$12-1)*O13/100)/(2^$J$12-1)*100</f>
        <v/>
      </c>
      <c r="Q13" t="n">
        <v>0</v>
      </c>
      <c r="R13">
        <f>P13+Q13</f>
        <v/>
      </c>
      <c r="S13">
        <f>$D$13</f>
        <v/>
      </c>
      <c r="T13">
        <f>RAND()*$G$12</f>
        <v/>
      </c>
      <c r="U13">
        <f>$I$1*U12-$I$2*U11+$I$3*R12+$I$4*R11</f>
        <v/>
      </c>
      <c r="V13">
        <f>INT((2^$J$12-1)*U13/100)/(2^$J$12-1)*100</f>
        <v/>
      </c>
      <c r="X13">
        <f>M13 * 1.05</f>
        <v/>
      </c>
    </row>
    <row r="14">
      <c r="L14" t="n">
        <v>12</v>
      </c>
      <c r="M14">
        <f>IF(L14&lt;$D$16,$D$13,IF(L14&lt;$E$16,$E$13,$F$13))</f>
        <v/>
      </c>
      <c r="N14">
        <f>M14-V14</f>
        <v/>
      </c>
      <c r="O14" t="n">
        <v>0</v>
      </c>
      <c r="P14">
        <f>INT((2^$J$12-1)*O14/100)/(2^$J$12-1)*100</f>
        <v/>
      </c>
      <c r="Q14" t="n">
        <v>0</v>
      </c>
      <c r="R14">
        <f>P14+Q14</f>
        <v/>
      </c>
      <c r="S14">
        <f>$D$13</f>
        <v/>
      </c>
      <c r="T14">
        <f>RAND()*$G$12</f>
        <v/>
      </c>
      <c r="U14">
        <f>$I$1*U13-$I$2*U12+$I$3*R13+$I$4*R12</f>
        <v/>
      </c>
      <c r="V14">
        <f>INT((2^$J$12-1)*U14/100)/(2^$J$12-1)*100</f>
        <v/>
      </c>
      <c r="X14">
        <f>M14 * 1.05</f>
        <v/>
      </c>
    </row>
    <row r="15">
      <c r="L15" t="n">
        <v>13</v>
      </c>
      <c r="M15">
        <f>IF(L15&lt;$D$16,$D$13,IF(L15&lt;$E$16,$E$13,$F$13))</f>
        <v/>
      </c>
      <c r="N15">
        <f>M15-V15</f>
        <v/>
      </c>
      <c r="O15" t="n">
        <v>0</v>
      </c>
      <c r="P15">
        <f>INT((2^$J$12-1)*O15/100)/(2^$J$12-1)*100</f>
        <v/>
      </c>
      <c r="Q15" t="n">
        <v>0</v>
      </c>
      <c r="R15">
        <f>P15+Q15</f>
        <v/>
      </c>
      <c r="S15">
        <f>$D$13</f>
        <v/>
      </c>
      <c r="T15">
        <f>RAND()*$G$12</f>
        <v/>
      </c>
      <c r="U15">
        <f>$I$1*U14-$I$2*U13+$I$3*R14+$I$4*R13</f>
        <v/>
      </c>
      <c r="V15">
        <f>INT((2^$J$12-1)*U15/100)/(2^$J$12-1)*100</f>
        <v/>
      </c>
      <c r="X15">
        <f>M15 * 1.05</f>
        <v/>
      </c>
    </row>
    <row r="16">
      <c r="D16" t="n">
        <v>40</v>
      </c>
      <c r="E16" t="n">
        <v>600</v>
      </c>
      <c r="L16" t="n">
        <v>14</v>
      </c>
      <c r="M16">
        <f>IF(L16&lt;$D$16,$D$13,IF(L16&lt;$E$16,$E$13,$F$13))</f>
        <v/>
      </c>
      <c r="N16">
        <f>M16-V16</f>
        <v/>
      </c>
      <c r="O16" t="n">
        <v>0</v>
      </c>
      <c r="P16">
        <f>INT((2^$J$12-1)*O16/100)/(2^$J$12-1)*100</f>
        <v/>
      </c>
      <c r="Q16" t="n">
        <v>0</v>
      </c>
      <c r="R16">
        <f>P16+Q16</f>
        <v/>
      </c>
      <c r="S16">
        <f>$D$13</f>
        <v/>
      </c>
      <c r="T16">
        <f>RAND()*$G$12</f>
        <v/>
      </c>
      <c r="U16">
        <f>$I$1*U15-$I$2*U14+$I$3*R15+$I$4*R14</f>
        <v/>
      </c>
      <c r="V16">
        <f>INT((2^$J$12-1)*U16/100)/(2^$J$12-1)*100</f>
        <v/>
      </c>
      <c r="X16">
        <f>M16 * 1.05</f>
        <v/>
      </c>
    </row>
    <row r="17">
      <c r="L17" t="n">
        <v>15</v>
      </c>
      <c r="M17">
        <f>IF(L17&lt;$D$16,$D$13,IF(L17&lt;$E$16,$E$13,$F$13))</f>
        <v/>
      </c>
      <c r="N17">
        <f>M17-V17</f>
        <v/>
      </c>
      <c r="O17" t="n">
        <v>0</v>
      </c>
      <c r="P17">
        <f>INT((2^$J$12-1)*O17/100)/(2^$J$12-1)*100</f>
        <v/>
      </c>
      <c r="Q17" t="n">
        <v>0</v>
      </c>
      <c r="R17">
        <f>P17+Q17</f>
        <v/>
      </c>
      <c r="S17">
        <f>$D$13</f>
        <v/>
      </c>
      <c r="T17">
        <f>RAND()*$G$12</f>
        <v/>
      </c>
      <c r="U17">
        <f>$I$1*U16-$I$2*U15+$I$3*R16+$I$4*R15</f>
        <v/>
      </c>
      <c r="V17">
        <f>INT((2^$J$12-1)*U17/100)/(2^$J$12-1)*100</f>
        <v/>
      </c>
      <c r="X17">
        <f>M17 * 1.05</f>
        <v/>
      </c>
    </row>
    <row r="18">
      <c r="L18" t="n">
        <v>16</v>
      </c>
      <c r="M18">
        <f>IF(L18&lt;$D$16,$D$13,IF(L18&lt;$E$16,$E$13,$F$13))</f>
        <v/>
      </c>
      <c r="N18">
        <f>M18-V18</f>
        <v/>
      </c>
      <c r="O18" t="n">
        <v>0</v>
      </c>
      <c r="P18">
        <f>INT((2^$J$12-1)*O18/100)/(2^$J$12-1)*100</f>
        <v/>
      </c>
      <c r="Q18" t="n">
        <v>0</v>
      </c>
      <c r="R18">
        <f>P18+Q18</f>
        <v/>
      </c>
      <c r="S18">
        <f>$D$13</f>
        <v/>
      </c>
      <c r="T18">
        <f>RAND()*$G$12</f>
        <v/>
      </c>
      <c r="U18">
        <f>$I$1*U17-$I$2*U16+$I$3*R17+$I$4*R16</f>
        <v/>
      </c>
      <c r="V18">
        <f>INT((2^$J$12-1)*U18/100)/(2^$J$12-1)*100</f>
        <v/>
      </c>
      <c r="X18">
        <f>M18 * 1.05</f>
        <v/>
      </c>
    </row>
    <row r="19">
      <c r="L19" t="n">
        <v>17</v>
      </c>
      <c r="M19">
        <f>IF(L19&lt;$D$16,$D$13,IF(L19&lt;$E$16,$E$13,$F$13))</f>
        <v/>
      </c>
      <c r="N19">
        <f>M19-V19</f>
        <v/>
      </c>
      <c r="O19" t="n">
        <v>0</v>
      </c>
      <c r="P19">
        <f>INT((2^$J$12-1)*O19/100)/(2^$J$12-1)*100</f>
        <v/>
      </c>
      <c r="Q19" t="n">
        <v>0</v>
      </c>
      <c r="R19">
        <f>P19+Q19</f>
        <v/>
      </c>
      <c r="S19">
        <f>$D$13</f>
        <v/>
      </c>
      <c r="T19">
        <f>RAND()*$G$12</f>
        <v/>
      </c>
      <c r="U19">
        <f>$I$1*U18-$I$2*U17+$I$3*R18+$I$4*R17</f>
        <v/>
      </c>
      <c r="V19">
        <f>INT((2^$J$12-1)*U19/100)/(2^$J$12-1)*100</f>
        <v/>
      </c>
      <c r="X19">
        <f>M19 * 1.05</f>
        <v/>
      </c>
    </row>
    <row r="20">
      <c r="L20" t="n">
        <v>18</v>
      </c>
      <c r="M20">
        <f>IF(L20&lt;$D$16,$D$13,IF(L20&lt;$E$16,$E$13,$F$13))</f>
        <v/>
      </c>
      <c r="N20">
        <f>M20-V20</f>
        <v/>
      </c>
      <c r="O20" t="n">
        <v>0</v>
      </c>
      <c r="P20">
        <f>INT((2^$J$12-1)*O20/100)/(2^$J$12-1)*100</f>
        <v/>
      </c>
      <c r="Q20" t="n">
        <v>0</v>
      </c>
      <c r="R20">
        <f>P20+Q20</f>
        <v/>
      </c>
      <c r="S20">
        <f>$D$13</f>
        <v/>
      </c>
      <c r="T20">
        <f>RAND()*$G$12</f>
        <v/>
      </c>
      <c r="U20">
        <f>$I$1*U19-$I$2*U18+$I$3*R19+$I$4*R18</f>
        <v/>
      </c>
      <c r="V20">
        <f>INT((2^$J$12-1)*U20/100)/(2^$J$12-1)*100</f>
        <v/>
      </c>
      <c r="X20">
        <f>M20 * 1.05</f>
        <v/>
      </c>
    </row>
    <row r="21">
      <c r="L21" t="n">
        <v>19</v>
      </c>
      <c r="M21">
        <f>IF(L21&lt;$D$16,$D$13,IF(L21&lt;$E$16,$E$13,$F$13))</f>
        <v/>
      </c>
      <c r="N21">
        <f>M21-V21</f>
        <v/>
      </c>
      <c r="O21" t="n">
        <v>0</v>
      </c>
      <c r="P21">
        <f>INT((2^$J$12-1)*O21/100)/(2^$J$12-1)*100</f>
        <v/>
      </c>
      <c r="Q21" t="n">
        <v>0</v>
      </c>
      <c r="R21">
        <f>P21+Q21</f>
        <v/>
      </c>
      <c r="S21">
        <f>$D$13</f>
        <v/>
      </c>
      <c r="T21">
        <f>RAND()*$G$12</f>
        <v/>
      </c>
      <c r="U21">
        <f>$I$1*U20-$I$2*U19+$I$3*R20+$I$4*R19</f>
        <v/>
      </c>
      <c r="V21">
        <f>INT((2^$J$12-1)*U21/100)/(2^$J$12-1)*100</f>
        <v/>
      </c>
      <c r="X21">
        <f>M21 * 1.05</f>
        <v/>
      </c>
    </row>
    <row r="22">
      <c r="L22" t="n">
        <v>20</v>
      </c>
      <c r="M22">
        <f>IF(L22&lt;$D$16,$D$13,IF(L22&lt;$E$16,$E$13,$F$13))</f>
        <v/>
      </c>
      <c r="N22">
        <f>M22-V22</f>
        <v/>
      </c>
      <c r="O22" t="n">
        <v>0</v>
      </c>
      <c r="P22">
        <f>INT((2^$J$12-1)*O22/100)/(2^$J$12-1)*100</f>
        <v/>
      </c>
      <c r="Q22" t="n">
        <v>0</v>
      </c>
      <c r="R22">
        <f>P22+Q22</f>
        <v/>
      </c>
      <c r="S22">
        <f>$D$13</f>
        <v/>
      </c>
      <c r="T22">
        <f>RAND()*$G$12</f>
        <v/>
      </c>
      <c r="U22">
        <f>$I$1*U21-$I$2*U20+$I$3*R21+$I$4*R20</f>
        <v/>
      </c>
      <c r="V22">
        <f>INT((2^$J$12-1)*U22/100)/(2^$J$12-1)*100</f>
        <v/>
      </c>
      <c r="X22">
        <f>M22 * 1.05</f>
        <v/>
      </c>
    </row>
    <row r="23">
      <c r="L23" t="n">
        <v>21</v>
      </c>
      <c r="M23">
        <f>IF(L23&lt;$D$16,$D$13,IF(L23&lt;$E$16,$E$13,$F$13))</f>
        <v/>
      </c>
      <c r="N23">
        <f>M23-V23</f>
        <v/>
      </c>
      <c r="O23" t="n">
        <v>0</v>
      </c>
      <c r="P23">
        <f>INT((2^$J$12-1)*O23/100)/(2^$J$12-1)*100</f>
        <v/>
      </c>
      <c r="Q23" t="n">
        <v>0</v>
      </c>
      <c r="R23">
        <f>P23+Q23</f>
        <v/>
      </c>
      <c r="S23">
        <f>$D$13</f>
        <v/>
      </c>
      <c r="T23">
        <f>RAND()*$G$12</f>
        <v/>
      </c>
      <c r="U23">
        <f>$I$1*U22-$I$2*U21+$I$3*R22+$I$4*R21</f>
        <v/>
      </c>
      <c r="V23">
        <f>INT((2^$J$12-1)*U23/100)/(2^$J$12-1)*100</f>
        <v/>
      </c>
      <c r="X23">
        <f>M23 * 1.05</f>
        <v/>
      </c>
    </row>
    <row r="24">
      <c r="L24" t="n">
        <v>22</v>
      </c>
      <c r="M24">
        <f>IF(L24&lt;$D$16,$D$13,IF(L24&lt;$E$16,$E$13,$F$13))</f>
        <v/>
      </c>
      <c r="N24">
        <f>M24-V24</f>
        <v/>
      </c>
      <c r="O24" t="n">
        <v>0</v>
      </c>
      <c r="P24">
        <f>INT((2^$J$12-1)*O24/100)/(2^$J$12-1)*100</f>
        <v/>
      </c>
      <c r="Q24" t="n">
        <v>0</v>
      </c>
      <c r="R24">
        <f>P24+Q24</f>
        <v/>
      </c>
      <c r="S24">
        <f>$D$13</f>
        <v/>
      </c>
      <c r="T24">
        <f>RAND()*$G$12</f>
        <v/>
      </c>
      <c r="U24">
        <f>$I$1*U23-$I$2*U22+$I$3*R23+$I$4*R22</f>
        <v/>
      </c>
      <c r="V24">
        <f>INT((2^$J$12-1)*U24/100)/(2^$J$12-1)*100</f>
        <v/>
      </c>
      <c r="X24">
        <f>M24 * 1.05</f>
        <v/>
      </c>
    </row>
    <row r="25">
      <c r="L25" t="n">
        <v>23</v>
      </c>
      <c r="M25">
        <f>IF(L25&lt;$D$16,$D$13,IF(L25&lt;$E$16,$E$13,$F$13))</f>
        <v/>
      </c>
      <c r="N25">
        <f>M25-V25</f>
        <v/>
      </c>
      <c r="O25" t="n">
        <v>0</v>
      </c>
      <c r="P25">
        <f>INT((2^$J$12-1)*O25/100)/(2^$J$12-1)*100</f>
        <v/>
      </c>
      <c r="Q25" t="n">
        <v>0</v>
      </c>
      <c r="R25">
        <f>P25+Q25</f>
        <v/>
      </c>
      <c r="S25">
        <f>$D$13</f>
        <v/>
      </c>
      <c r="T25">
        <f>RAND()*$G$12</f>
        <v/>
      </c>
      <c r="U25">
        <f>$I$1*U24-$I$2*U23+$I$3*R24+$I$4*R23</f>
        <v/>
      </c>
      <c r="V25">
        <f>INT((2^$J$12-1)*U25/100)/(2^$J$12-1)*100</f>
        <v/>
      </c>
      <c r="X25">
        <f>M25 * 1.05</f>
        <v/>
      </c>
    </row>
    <row r="26">
      <c r="L26" t="n">
        <v>24</v>
      </c>
      <c r="M26">
        <f>IF(L26&lt;$D$16,$D$13,IF(L26&lt;$E$16,$E$13,$F$13))</f>
        <v/>
      </c>
      <c r="N26">
        <f>M26-V26</f>
        <v/>
      </c>
      <c r="O26" t="n">
        <v>0</v>
      </c>
      <c r="P26">
        <f>INT((2^$J$12-1)*O26/100)/(2^$J$12-1)*100</f>
        <v/>
      </c>
      <c r="Q26" t="n">
        <v>0</v>
      </c>
      <c r="R26">
        <f>P26+Q26</f>
        <v/>
      </c>
      <c r="S26">
        <f>$D$13</f>
        <v/>
      </c>
      <c r="T26">
        <f>RAND()*$G$12</f>
        <v/>
      </c>
      <c r="U26">
        <f>$I$1*U25-$I$2*U24+$I$3*R25+$I$4*R24</f>
        <v/>
      </c>
      <c r="V26">
        <f>INT((2^$J$12-1)*U26/100)/(2^$J$12-1)*100</f>
        <v/>
      </c>
      <c r="X26">
        <f>M26 * 1.05</f>
        <v/>
      </c>
    </row>
    <row r="27">
      <c r="L27" t="n">
        <v>25</v>
      </c>
      <c r="M27">
        <f>IF(L27&lt;$D$16,$D$13,IF(L27&lt;$E$16,$E$13,$F$13))</f>
        <v/>
      </c>
      <c r="N27">
        <f>M27-V27</f>
        <v/>
      </c>
      <c r="O27" t="n">
        <v>0</v>
      </c>
      <c r="P27">
        <f>INT((2^$J$12-1)*O27/100)/(2^$J$12-1)*100</f>
        <v/>
      </c>
      <c r="Q27" t="n">
        <v>0</v>
      </c>
      <c r="R27">
        <f>P27+Q27</f>
        <v/>
      </c>
      <c r="S27">
        <f>$D$13</f>
        <v/>
      </c>
      <c r="T27">
        <f>RAND()*$G$12</f>
        <v/>
      </c>
      <c r="U27">
        <f>$I$1*U26-$I$2*U25+$I$3*R26+$I$4*R25</f>
        <v/>
      </c>
      <c r="V27">
        <f>INT((2^$J$12-1)*U27/100)/(2^$J$12-1)*100</f>
        <v/>
      </c>
      <c r="X27">
        <f>M27 * 1.05</f>
        <v/>
      </c>
    </row>
    <row r="28">
      <c r="L28" t="n">
        <v>26</v>
      </c>
      <c r="M28">
        <f>IF(L28&lt;$D$16,$D$13,IF(L28&lt;$E$16,$E$13,$F$13))</f>
        <v/>
      </c>
      <c r="N28">
        <f>M28-V28</f>
        <v/>
      </c>
      <c r="O28" t="n">
        <v>0</v>
      </c>
      <c r="P28">
        <f>INT((2^$J$12-1)*O28/100)/(2^$J$12-1)*100</f>
        <v/>
      </c>
      <c r="Q28" t="n">
        <v>0</v>
      </c>
      <c r="R28">
        <f>P28+Q28</f>
        <v/>
      </c>
      <c r="S28">
        <f>$D$13</f>
        <v/>
      </c>
      <c r="T28">
        <f>RAND()*$G$12</f>
        <v/>
      </c>
      <c r="U28">
        <f>$I$1*U27-$I$2*U26+$I$3*R27+$I$4*R26</f>
        <v/>
      </c>
      <c r="V28">
        <f>INT((2^$J$12-1)*U28/100)/(2^$J$12-1)*100</f>
        <v/>
      </c>
      <c r="X28">
        <f>M28 * 1.05</f>
        <v/>
      </c>
    </row>
    <row r="29">
      <c r="L29" t="n">
        <v>27</v>
      </c>
      <c r="M29">
        <f>IF(L29&lt;$D$16,$D$13,IF(L29&lt;$E$16,$E$13,$F$13))</f>
        <v/>
      </c>
      <c r="N29">
        <f>M29-V29</f>
        <v/>
      </c>
      <c r="O29" t="n">
        <v>0</v>
      </c>
      <c r="P29">
        <f>INT((2^$J$12-1)*O29/100)/(2^$J$12-1)*100</f>
        <v/>
      </c>
      <c r="Q29" t="n">
        <v>0</v>
      </c>
      <c r="R29">
        <f>P29+Q29</f>
        <v/>
      </c>
      <c r="S29">
        <f>$D$13</f>
        <v/>
      </c>
      <c r="T29">
        <f>RAND()*$G$12</f>
        <v/>
      </c>
      <c r="U29">
        <f>$I$1*U28-$I$2*U27+$I$3*R28+$I$4*R27</f>
        <v/>
      </c>
      <c r="V29">
        <f>INT((2^$J$12-1)*U29/100)/(2^$J$12-1)*100</f>
        <v/>
      </c>
      <c r="X29">
        <f>M29 * 1.05</f>
        <v/>
      </c>
    </row>
    <row r="30">
      <c r="L30" t="n">
        <v>28</v>
      </c>
      <c r="M30">
        <f>IF(L30&lt;$D$16,$D$13,IF(L30&lt;$E$16,$E$13,$F$13))</f>
        <v/>
      </c>
      <c r="N30">
        <f>M30-V30</f>
        <v/>
      </c>
      <c r="O30" t="n">
        <v>0</v>
      </c>
      <c r="P30">
        <f>INT((2^$J$12-1)*O30/100)/(2^$J$12-1)*100</f>
        <v/>
      </c>
      <c r="Q30" t="n">
        <v>0</v>
      </c>
      <c r="R30">
        <f>P30+Q30</f>
        <v/>
      </c>
      <c r="S30">
        <f>$D$13</f>
        <v/>
      </c>
      <c r="T30">
        <f>RAND()*$G$12</f>
        <v/>
      </c>
      <c r="U30">
        <f>$I$1*U29-$I$2*U28+$I$3*R29+$I$4*R28</f>
        <v/>
      </c>
      <c r="V30">
        <f>INT((2^$J$12-1)*U30/100)/(2^$J$12-1)*100</f>
        <v/>
      </c>
      <c r="X30">
        <f>M30 * 1.05</f>
        <v/>
      </c>
    </row>
    <row r="31">
      <c r="L31" t="n">
        <v>29</v>
      </c>
      <c r="M31">
        <f>IF(L31&lt;$D$16,$D$13,IF(L31&lt;$E$16,$E$13,$F$13))</f>
        <v/>
      </c>
      <c r="N31">
        <f>M31-V31</f>
        <v/>
      </c>
      <c r="O31" t="n">
        <v>0</v>
      </c>
      <c r="P31">
        <f>INT((2^$J$12-1)*O31/100)/(2^$J$12-1)*100</f>
        <v/>
      </c>
      <c r="Q31" t="n">
        <v>0</v>
      </c>
      <c r="R31">
        <f>P31+Q31</f>
        <v/>
      </c>
      <c r="S31">
        <f>$D$13</f>
        <v/>
      </c>
      <c r="T31">
        <f>RAND()*$G$12</f>
        <v/>
      </c>
      <c r="U31">
        <f>$I$1*U30-$I$2*U29+$I$3*R30+$I$4*R29</f>
        <v/>
      </c>
      <c r="V31">
        <f>INT((2^$J$12-1)*U31/100)/(2^$J$12-1)*100</f>
        <v/>
      </c>
      <c r="X31">
        <f>M31 * 1.05</f>
        <v/>
      </c>
    </row>
    <row r="32">
      <c r="L32" t="n">
        <v>30</v>
      </c>
      <c r="M32">
        <f>IF(L32&lt;$D$16,$D$13,IF(L32&lt;$E$16,$E$13,$F$13))</f>
        <v/>
      </c>
      <c r="N32">
        <f>M32-V32</f>
        <v/>
      </c>
      <c r="O32" t="n">
        <v>0</v>
      </c>
      <c r="P32">
        <f>INT((2^$J$12-1)*O32/100)/(2^$J$12-1)*100</f>
        <v/>
      </c>
      <c r="Q32" t="n">
        <v>0</v>
      </c>
      <c r="R32">
        <f>P32+Q32</f>
        <v/>
      </c>
      <c r="S32">
        <f>$D$13</f>
        <v/>
      </c>
      <c r="T32">
        <f>RAND()*$G$12</f>
        <v/>
      </c>
      <c r="U32">
        <f>$I$1*U31-$I$2*U30+$I$3*R31+$I$4*R30</f>
        <v/>
      </c>
      <c r="V32">
        <f>INT((2^$J$12-1)*U32/100)/(2^$J$12-1)*100</f>
        <v/>
      </c>
      <c r="X32">
        <f>M32 * 1.05</f>
        <v/>
      </c>
    </row>
    <row r="33">
      <c r="L33" t="n">
        <v>31</v>
      </c>
      <c r="M33">
        <f>IF(L33&lt;$D$16,$D$13,IF(L33&lt;$E$16,$E$13,$F$13))</f>
        <v/>
      </c>
      <c r="N33">
        <f>M33-V33</f>
        <v/>
      </c>
      <c r="O33" t="n">
        <v>0</v>
      </c>
      <c r="P33">
        <f>INT((2^$J$12-1)*O33/100)/(2^$J$12-1)*100</f>
        <v/>
      </c>
      <c r="Q33" t="n">
        <v>0</v>
      </c>
      <c r="R33">
        <f>P33+Q33</f>
        <v/>
      </c>
      <c r="S33">
        <f>$D$13</f>
        <v/>
      </c>
      <c r="T33">
        <f>RAND()*$G$12</f>
        <v/>
      </c>
      <c r="U33">
        <f>$I$1*U32-$I$2*U31+$I$3*R32+$I$4*R31</f>
        <v/>
      </c>
      <c r="V33">
        <f>INT((2^$J$12-1)*U33/100)/(2^$J$12-1)*100</f>
        <v/>
      </c>
      <c r="X33">
        <f>M33 * 1.05</f>
        <v/>
      </c>
    </row>
    <row r="34">
      <c r="L34" t="n">
        <v>32</v>
      </c>
      <c r="M34">
        <f>IF(L34&lt;$D$16,$D$13,IF(L34&lt;$E$16,$E$13,$F$13))</f>
        <v/>
      </c>
      <c r="N34">
        <f>M34-V34</f>
        <v/>
      </c>
      <c r="O34" t="n">
        <v>0</v>
      </c>
      <c r="P34">
        <f>INT((2^$J$12-1)*O34/100)/(2^$J$12-1)*100</f>
        <v/>
      </c>
      <c r="Q34" t="n">
        <v>0</v>
      </c>
      <c r="R34">
        <f>P34+Q34</f>
        <v/>
      </c>
      <c r="S34">
        <f>$D$13</f>
        <v/>
      </c>
      <c r="T34">
        <f>RAND()*$G$12</f>
        <v/>
      </c>
      <c r="U34">
        <f>$I$1*U33-$I$2*U32+$I$3*R33+$I$4*R32</f>
        <v/>
      </c>
      <c r="V34">
        <f>INT((2^$J$12-1)*U34/100)/(2^$J$12-1)*100</f>
        <v/>
      </c>
      <c r="X34">
        <f>M34 * 1.05</f>
        <v/>
      </c>
    </row>
    <row r="35">
      <c r="L35" t="n">
        <v>33</v>
      </c>
      <c r="M35">
        <f>IF(L35&lt;$D$16,$D$13,IF(L35&lt;$E$16,$E$13,$F$13))</f>
        <v/>
      </c>
      <c r="N35">
        <f>M35-V35</f>
        <v/>
      </c>
      <c r="O35" t="n">
        <v>0</v>
      </c>
      <c r="P35">
        <f>INT((2^$J$12-1)*O35/100)/(2^$J$12-1)*100</f>
        <v/>
      </c>
      <c r="Q35" t="n">
        <v>0</v>
      </c>
      <c r="R35">
        <f>P35+Q35</f>
        <v/>
      </c>
      <c r="S35">
        <f>$D$13</f>
        <v/>
      </c>
      <c r="T35">
        <f>RAND()*$G$12</f>
        <v/>
      </c>
      <c r="U35">
        <f>$I$1*U34-$I$2*U33+$I$3*R34+$I$4*R33</f>
        <v/>
      </c>
      <c r="V35">
        <f>INT((2^$J$12-1)*U35/100)/(2^$J$12-1)*100</f>
        <v/>
      </c>
      <c r="X35">
        <f>M35 * 1.05</f>
        <v/>
      </c>
    </row>
    <row r="36">
      <c r="L36" t="n">
        <v>34</v>
      </c>
      <c r="M36">
        <f>IF(L36&lt;$D$16,$D$13,IF(L36&lt;$E$16,$E$13,$F$13))</f>
        <v/>
      </c>
      <c r="N36">
        <f>M36-V36</f>
        <v/>
      </c>
      <c r="O36" t="n">
        <v>0</v>
      </c>
      <c r="P36">
        <f>INT((2^$J$12-1)*O36/100)/(2^$J$12-1)*100</f>
        <v/>
      </c>
      <c r="Q36" t="n">
        <v>0</v>
      </c>
      <c r="R36">
        <f>P36+Q36</f>
        <v/>
      </c>
      <c r="S36">
        <f>$D$13</f>
        <v/>
      </c>
      <c r="T36">
        <f>RAND()*$G$12</f>
        <v/>
      </c>
      <c r="U36">
        <f>$I$1*U35-$I$2*U34+$I$3*R35+$I$4*R34</f>
        <v/>
      </c>
      <c r="V36">
        <f>INT((2^$J$12-1)*U36/100)/(2^$J$12-1)*100</f>
        <v/>
      </c>
      <c r="X36">
        <f>M36 * 1.05</f>
        <v/>
      </c>
    </row>
    <row r="37">
      <c r="L37" t="n">
        <v>35</v>
      </c>
      <c r="M37">
        <f>IF(L37&lt;$D$16,$D$13,IF(L37&lt;$E$16,$E$13,$F$13))</f>
        <v/>
      </c>
      <c r="N37">
        <f>M37-V37</f>
        <v/>
      </c>
      <c r="O37" t="n">
        <v>0</v>
      </c>
      <c r="P37">
        <f>INT((2^$J$12-1)*O37/100)/(2^$J$12-1)*100</f>
        <v/>
      </c>
      <c r="Q37" t="n">
        <v>0</v>
      </c>
      <c r="R37">
        <f>P37+Q37</f>
        <v/>
      </c>
      <c r="S37">
        <f>$D$13</f>
        <v/>
      </c>
      <c r="T37">
        <f>RAND()*$G$12</f>
        <v/>
      </c>
      <c r="U37">
        <f>$I$1*U36-$I$2*U35+$I$3*R36+$I$4*R35</f>
        <v/>
      </c>
      <c r="V37">
        <f>INT((2^$J$12-1)*U37/100)/(2^$J$12-1)*100</f>
        <v/>
      </c>
      <c r="X37">
        <f>M37 * 1.05</f>
        <v/>
      </c>
    </row>
    <row r="38">
      <c r="L38" t="n">
        <v>36</v>
      </c>
      <c r="M38">
        <f>IF(L38&lt;$D$16,$D$13,IF(L38&lt;$E$16,$E$13,$F$13))</f>
        <v/>
      </c>
      <c r="N38">
        <f>M38-V38</f>
        <v/>
      </c>
      <c r="O38" t="n">
        <v>0</v>
      </c>
      <c r="P38">
        <f>INT((2^$J$12-1)*O38/100)/(2^$J$12-1)*100</f>
        <v/>
      </c>
      <c r="Q38" t="n">
        <v>0</v>
      </c>
      <c r="R38">
        <f>P38+Q38</f>
        <v/>
      </c>
      <c r="S38">
        <f>$D$13</f>
        <v/>
      </c>
      <c r="T38">
        <f>RAND()*$G$12</f>
        <v/>
      </c>
      <c r="U38">
        <f>$I$1*U37-$I$2*U36+$I$3*R37+$I$4*R36</f>
        <v/>
      </c>
      <c r="V38">
        <f>INT((2^$J$12-1)*U38/100)/(2^$J$12-1)*100</f>
        <v/>
      </c>
      <c r="X38">
        <f>M38 * 1.05</f>
        <v/>
      </c>
    </row>
    <row r="39">
      <c r="L39" t="n">
        <v>37</v>
      </c>
      <c r="M39">
        <f>IF(L39&lt;$D$16,$D$13,IF(L39&lt;$E$16,$E$13,$F$13))</f>
        <v/>
      </c>
      <c r="N39">
        <f>M39-V39</f>
        <v/>
      </c>
      <c r="O39" t="n">
        <v>0</v>
      </c>
      <c r="P39">
        <f>INT((2^$J$12-1)*O39/100)/(2^$J$12-1)*100</f>
        <v/>
      </c>
      <c r="Q39" t="n">
        <v>0</v>
      </c>
      <c r="R39">
        <f>P39+Q39</f>
        <v/>
      </c>
      <c r="S39">
        <f>$D$13</f>
        <v/>
      </c>
      <c r="T39">
        <f>RAND()*$G$12</f>
        <v/>
      </c>
      <c r="U39">
        <f>$I$1*U38-$I$2*U37+$I$3*R38+$I$4*R37</f>
        <v/>
      </c>
      <c r="V39">
        <f>INT((2^$J$12-1)*U39/100)/(2^$J$12-1)*100</f>
        <v/>
      </c>
      <c r="X39">
        <f>M39 * 1.05</f>
        <v/>
      </c>
    </row>
    <row r="40">
      <c r="L40" t="n">
        <v>38</v>
      </c>
      <c r="M40">
        <f>IF(L40&lt;$D$16,$D$13,IF(L40&lt;$E$16,$E$13,$F$13))</f>
        <v/>
      </c>
      <c r="N40">
        <f>M40-V40</f>
        <v/>
      </c>
      <c r="O40" t="n">
        <v>0</v>
      </c>
      <c r="P40">
        <f>INT((2^$J$12-1)*O40/100)/(2^$J$12-1)*100</f>
        <v/>
      </c>
      <c r="Q40" t="n">
        <v>0</v>
      </c>
      <c r="R40">
        <f>P40+Q40</f>
        <v/>
      </c>
      <c r="S40">
        <f>$D$13</f>
        <v/>
      </c>
      <c r="T40">
        <f>RAND()*$G$12</f>
        <v/>
      </c>
      <c r="U40">
        <f>$I$1*U39-$I$2*U38+$I$3*R39+$I$4*R38</f>
        <v/>
      </c>
      <c r="V40">
        <f>INT((2^$J$12-1)*U40/100)/(2^$J$12-1)*100</f>
        <v/>
      </c>
      <c r="X40">
        <f>M40 * 1.05</f>
        <v/>
      </c>
    </row>
    <row r="41">
      <c r="L41" t="n">
        <v>39</v>
      </c>
      <c r="M41">
        <f>IF(L41&lt;$D$16,$D$13,IF(L41&lt;$E$16,$E$13,$F$13))</f>
        <v/>
      </c>
      <c r="N41">
        <f>M41-V41</f>
        <v/>
      </c>
      <c r="O41" t="n">
        <v>0</v>
      </c>
      <c r="P41">
        <f>INT((2^$J$12-1)*O41/100)/(2^$J$12-1)*100</f>
        <v/>
      </c>
      <c r="Q41" t="n">
        <v>0</v>
      </c>
      <c r="R41">
        <f>P41+Q41</f>
        <v/>
      </c>
      <c r="S41">
        <f>$D$13</f>
        <v/>
      </c>
      <c r="T41">
        <f>RAND()*$G$12</f>
        <v/>
      </c>
      <c r="U41">
        <f>$I$1*U40-$I$2*U39+$I$3*R40+$I$4*R39</f>
        <v/>
      </c>
      <c r="V41">
        <f>INT((2^$J$12-1)*U41/100)/(2^$J$12-1)*100</f>
        <v/>
      </c>
      <c r="X41">
        <f>M41 * 1.05</f>
        <v/>
      </c>
    </row>
    <row r="42">
      <c r="L42" t="n">
        <v>40</v>
      </c>
      <c r="M42">
        <f>IF(L42&lt;$D$16,$D$13,IF(L42&lt;$E$16,$E$13,$F$13))</f>
        <v/>
      </c>
      <c r="N42">
        <f>M42-V42</f>
        <v/>
      </c>
      <c r="O42" t="n">
        <v>0</v>
      </c>
      <c r="P42">
        <f>INT((2^$J$12-1)*O42/100)/(2^$J$12-1)*100</f>
        <v/>
      </c>
      <c r="Q42" t="n">
        <v>0</v>
      </c>
      <c r="R42">
        <f>P42+Q42</f>
        <v/>
      </c>
      <c r="S42">
        <f>$D$13</f>
        <v/>
      </c>
      <c r="T42">
        <f>RAND()*$G$12</f>
        <v/>
      </c>
      <c r="U42">
        <f>$I$1*U41-$I$2*U40+$I$3*R41+$I$4*R40</f>
        <v/>
      </c>
      <c r="V42">
        <f>INT((2^$J$12-1)*U42/100)/(2^$J$12-1)*100</f>
        <v/>
      </c>
      <c r="X42">
        <f>M42 * 1.05</f>
        <v/>
      </c>
    </row>
    <row r="43">
      <c r="L43" t="n">
        <v>41</v>
      </c>
      <c r="M43">
        <f>IF(L43&lt;$D$16,$D$13,IF(L43&lt;$E$16,$E$13,$F$13))</f>
        <v/>
      </c>
      <c r="N43">
        <f>M43-V43</f>
        <v/>
      </c>
      <c r="O43">
        <f>IF(MOD(L43,$B$11)=0,OFFSET(O43,-$B$11,0)+$E$2*N43+$E$3*OFFSET(N43,-$B$11,0)+$E$4*OFFSET(N43,-2*$B$11,0),O42)</f>
        <v/>
      </c>
      <c r="P43">
        <f>INT((2^$J$12-1)*O43/100)/(2^$J$12-1)*100</f>
        <v/>
      </c>
      <c r="Q43" t="n">
        <v>0</v>
      </c>
      <c r="R43">
        <f>P43+Q43</f>
        <v/>
      </c>
      <c r="S43">
        <f>$D$13</f>
        <v/>
      </c>
      <c r="T43">
        <f>RAND()*$G$12</f>
        <v/>
      </c>
      <c r="U43">
        <f>$I$1*U42-$I$2*U41+$I$3*R42+$I$4*R41</f>
        <v/>
      </c>
      <c r="V43">
        <f>INT((2^$J$12-1)*U43/100)/(2^$J$12-1)*100</f>
        <v/>
      </c>
      <c r="X43">
        <f>M43 * 1.05</f>
        <v/>
      </c>
    </row>
    <row r="44">
      <c r="L44" t="n">
        <v>42</v>
      </c>
      <c r="M44">
        <f>IF(L44&lt;$D$16,$D$13,IF(L44&lt;$E$16,$E$13,$F$13))</f>
        <v/>
      </c>
      <c r="N44">
        <f>M44-V44</f>
        <v/>
      </c>
      <c r="O44">
        <f>IF(MOD(L44,$B$11)=0,OFFSET(O44,-$B$11,0)+$E$2*N44+$E$3*OFFSET(N44,-$B$11,0)+$E$4*OFFSET(N44,-2*$B$11,0),O43)</f>
        <v/>
      </c>
      <c r="P44">
        <f>INT((2^$J$12-1)*O44/100)/(2^$J$12-1)*100</f>
        <v/>
      </c>
      <c r="Q44" t="n">
        <v>0</v>
      </c>
      <c r="R44">
        <f>P44+Q44</f>
        <v/>
      </c>
      <c r="S44">
        <f>$D$13</f>
        <v/>
      </c>
      <c r="T44">
        <f>RAND()*$G$12</f>
        <v/>
      </c>
      <c r="U44">
        <f>$I$1*U43-$I$2*U42+$I$3*R43+$I$4*R42</f>
        <v/>
      </c>
      <c r="V44">
        <f>INT((2^$J$12-1)*U44/100)/(2^$J$12-1)*100</f>
        <v/>
      </c>
      <c r="X44">
        <f>M44 * 1.05</f>
        <v/>
      </c>
    </row>
    <row r="45">
      <c r="L45" t="n">
        <v>43</v>
      </c>
      <c r="M45">
        <f>IF(L45&lt;$D$16,$D$13,IF(L45&lt;$E$16,$E$13,$F$13))</f>
        <v/>
      </c>
      <c r="N45">
        <f>M45-V45</f>
        <v/>
      </c>
      <c r="O45">
        <f>IF(MOD(L45,$B$11)=0,OFFSET(O45,-$B$11,0)+$E$2*N45+$E$3*OFFSET(N45,-$B$11,0)+$E$4*OFFSET(N45,-2*$B$11,0),O44)</f>
        <v/>
      </c>
      <c r="P45">
        <f>INT((2^$J$12-1)*O45/100)/(2^$J$12-1)*100</f>
        <v/>
      </c>
      <c r="Q45" t="n">
        <v>0</v>
      </c>
      <c r="R45">
        <f>P45+Q45</f>
        <v/>
      </c>
      <c r="S45">
        <f>$D$13</f>
        <v/>
      </c>
      <c r="T45">
        <f>RAND()*$G$12</f>
        <v/>
      </c>
      <c r="U45">
        <f>$I$1*S44-$I$2*S43+$I$3*R44+$I$4*R43</f>
        <v/>
      </c>
      <c r="V45">
        <f>INT((2^$J$12-1)*U45/100)/(2^$J$12-1)*100</f>
        <v/>
      </c>
      <c r="X45">
        <f>M45 * 1.05</f>
        <v/>
      </c>
    </row>
    <row r="46">
      <c r="L46" t="n">
        <v>44</v>
      </c>
      <c r="M46">
        <f>IF(L46&lt;$D$16,$D$13,IF(L46&lt;$E$16,$E$13,$F$13))</f>
        <v/>
      </c>
      <c r="N46">
        <f>M46-V46</f>
        <v/>
      </c>
      <c r="O46">
        <f>IF(MOD(L46,$B$11)=0,OFFSET(O46,-$B$11,0)+$E$2*N46+$E$3*OFFSET(N46,-$B$11,0)+$E$4*OFFSET(N46,-2*$B$11,0),O45)</f>
        <v/>
      </c>
      <c r="P46">
        <f>INT((2^$J$12-1)*O46/100)/(2^$J$12-1)*100</f>
        <v/>
      </c>
      <c r="Q46" t="n">
        <v>0</v>
      </c>
      <c r="R46">
        <f>P46+Q46</f>
        <v/>
      </c>
      <c r="S46">
        <f>$D$13</f>
        <v/>
      </c>
      <c r="T46">
        <f>RAND()*$G$12</f>
        <v/>
      </c>
      <c r="U46">
        <f>$I$1*S45-$I$2*S44+$I$3*R45+$I$4*R44</f>
        <v/>
      </c>
      <c r="V46">
        <f>INT((2^$J$12-1)*U46/100)/(2^$J$12-1)*100</f>
        <v/>
      </c>
      <c r="X46">
        <f>M46 * 1.05</f>
        <v/>
      </c>
    </row>
    <row r="47">
      <c r="L47" t="n">
        <v>45</v>
      </c>
      <c r="M47">
        <f>IF(L47&lt;$D$16,$D$13,IF(L47&lt;$E$16,$E$13,$F$13))</f>
        <v/>
      </c>
      <c r="N47">
        <f>M47-V47</f>
        <v/>
      </c>
      <c r="O47">
        <f>IF(MOD(L47,$B$11)=0,OFFSET(O47,-$B$11,0)+$E$2*N47+$E$3*OFFSET(N47,-$B$11,0)+$E$4*OFFSET(N47,-2*$B$11,0),O46)</f>
        <v/>
      </c>
      <c r="P47">
        <f>INT((2^$J$12-1)*O47/100)/(2^$J$12-1)*100</f>
        <v/>
      </c>
      <c r="Q47" t="n">
        <v>0</v>
      </c>
      <c r="R47">
        <f>P47+Q47</f>
        <v/>
      </c>
      <c r="S47">
        <f>$D$13</f>
        <v/>
      </c>
      <c r="T47">
        <f>RAND()*$G$12</f>
        <v/>
      </c>
      <c r="U47">
        <f>$I$1*S46-$I$2*S45+$I$3*R46+$I$4*R45</f>
        <v/>
      </c>
      <c r="V47">
        <f>INT((2^$J$12-1)*U47/100)/(2^$J$12-1)*100</f>
        <v/>
      </c>
      <c r="X47">
        <f>M47 * 1.05</f>
        <v/>
      </c>
    </row>
    <row r="48">
      <c r="L48" t="n">
        <v>46</v>
      </c>
      <c r="M48">
        <f>IF(L48&lt;$D$16,$D$13,IF(L48&lt;$E$16,$E$13,$F$13))</f>
        <v/>
      </c>
      <c r="N48">
        <f>M48-V48</f>
        <v/>
      </c>
      <c r="O48">
        <f>IF(MOD(L48,$B$11)=0,OFFSET(O48,-$B$11,0)+$E$2*N48+$E$3*OFFSET(N48,-$B$11,0)+$E$4*OFFSET(N48,-2*$B$11,0),O47)</f>
        <v/>
      </c>
      <c r="P48">
        <f>INT((2^$J$12-1)*O48/100)/(2^$J$12-1)*100</f>
        <v/>
      </c>
      <c r="Q48" t="n">
        <v>0</v>
      </c>
      <c r="R48">
        <f>P48+Q48</f>
        <v/>
      </c>
      <c r="S48">
        <f>$D$13</f>
        <v/>
      </c>
      <c r="T48">
        <f>RAND()*$G$12</f>
        <v/>
      </c>
      <c r="U48">
        <f>$I$1*S47-$I$2*S46+$I$3*R47+$I$4*R46</f>
        <v/>
      </c>
      <c r="V48">
        <f>INT((2^$J$12-1)*U48/100)/(2^$J$12-1)*100</f>
        <v/>
      </c>
      <c r="X48">
        <f>M48 * 1.05</f>
        <v/>
      </c>
    </row>
    <row r="49">
      <c r="L49" t="n">
        <v>47</v>
      </c>
      <c r="M49">
        <f>IF(L49&lt;$D$16,$D$13,IF(L49&lt;$E$16,$E$13,$F$13))</f>
        <v/>
      </c>
      <c r="N49">
        <f>M49-V49</f>
        <v/>
      </c>
      <c r="O49">
        <f>IF(MOD(L49,$B$11)=0,OFFSET(O49,-$B$11,0)+$E$2*N49+$E$3*OFFSET(N49,-$B$11,0)+$E$4*OFFSET(N49,-2*$B$11,0),O48)</f>
        <v/>
      </c>
      <c r="P49">
        <f>INT((2^$J$12-1)*O49/100)/(2^$J$12-1)*100</f>
        <v/>
      </c>
      <c r="Q49" t="n">
        <v>0</v>
      </c>
      <c r="R49">
        <f>P49+Q49</f>
        <v/>
      </c>
      <c r="S49">
        <f>$D$13</f>
        <v/>
      </c>
      <c r="T49">
        <f>RAND()*$G$12</f>
        <v/>
      </c>
      <c r="U49">
        <f>$I$1*S48-$I$2*S47+$I$3*R48+$I$4*R47</f>
        <v/>
      </c>
      <c r="V49">
        <f>INT((2^$J$12-1)*U49/100)/(2^$J$12-1)*100</f>
        <v/>
      </c>
      <c r="X49">
        <f>M49 * 1.05</f>
        <v/>
      </c>
    </row>
    <row r="50">
      <c r="L50" t="n">
        <v>48</v>
      </c>
      <c r="M50">
        <f>IF(L50&lt;$D$16,$D$13,IF(L50&lt;$E$16,$E$13,$F$13))</f>
        <v/>
      </c>
      <c r="N50">
        <f>M50-V50</f>
        <v/>
      </c>
      <c r="O50">
        <f>IF(MOD(L50,$B$11)=0,OFFSET(O50,-$B$11,0)+$E$2*N50+$E$3*OFFSET(N50,-$B$11,0)+$E$4*OFFSET(N50,-2*$B$11,0),O49)</f>
        <v/>
      </c>
      <c r="P50">
        <f>INT((2^$J$12-1)*O50/100)/(2^$J$12-1)*100</f>
        <v/>
      </c>
      <c r="Q50" t="n">
        <v>0</v>
      </c>
      <c r="R50">
        <f>P50+Q50</f>
        <v/>
      </c>
      <c r="S50">
        <f>$D$13</f>
        <v/>
      </c>
      <c r="T50">
        <f>RAND()*$G$12</f>
        <v/>
      </c>
      <c r="U50">
        <f>$I$1*S49-$I$2*S48+$I$3*R49+$I$4*R48</f>
        <v/>
      </c>
      <c r="V50">
        <f>INT((2^$J$12-1)*U50/100)/(2^$J$12-1)*100</f>
        <v/>
      </c>
      <c r="X50">
        <f>M50 * 1.05</f>
        <v/>
      </c>
    </row>
    <row r="51">
      <c r="L51" t="n">
        <v>49</v>
      </c>
      <c r="M51">
        <f>IF(L51&lt;$D$16,$D$13,IF(L51&lt;$E$16,$E$13,$F$13))</f>
        <v/>
      </c>
      <c r="N51">
        <f>M51-V51</f>
        <v/>
      </c>
      <c r="O51">
        <f>IF(MOD(L51,$B$11)=0,OFFSET(O51,-$B$11,0)+$E$2*N51+$E$3*OFFSET(N51,-$B$11,0)+$E$4*OFFSET(N51,-2*$B$11,0),O50)</f>
        <v/>
      </c>
      <c r="P51">
        <f>INT((2^$J$12-1)*O51/100)/(2^$J$12-1)*100</f>
        <v/>
      </c>
      <c r="Q51" t="n">
        <v>0</v>
      </c>
      <c r="R51">
        <f>P51+Q51</f>
        <v/>
      </c>
      <c r="S51">
        <f>$D$13</f>
        <v/>
      </c>
      <c r="T51">
        <f>RAND()*$G$12</f>
        <v/>
      </c>
      <c r="U51">
        <f>$I$1*S50-$I$2*S49+$I$3*R50+$I$4*R49</f>
        <v/>
      </c>
      <c r="V51">
        <f>INT((2^$J$12-1)*U51/100)/(2^$J$12-1)*100</f>
        <v/>
      </c>
      <c r="X51">
        <f>M51 * 1.05</f>
        <v/>
      </c>
    </row>
    <row r="52">
      <c r="L52" t="n">
        <v>50</v>
      </c>
      <c r="M52">
        <f>IF(L52&lt;$D$16,$D$13,IF(L52&lt;$E$16,$E$13,$F$13))</f>
        <v/>
      </c>
      <c r="N52">
        <f>M52-V52</f>
        <v/>
      </c>
      <c r="O52">
        <f>IF(MOD(L52,$B$11)=0,OFFSET(O52,-$B$11,0)+$E$2*N52+$E$3*OFFSET(N52,-$B$11,0)+$E$4*OFFSET(N52,-2*$B$11,0),O51)</f>
        <v/>
      </c>
      <c r="P52">
        <f>INT((2^$J$12-1)*O52/100)/(2^$J$12-1)*100</f>
        <v/>
      </c>
      <c r="Q52" t="n">
        <v>0</v>
      </c>
      <c r="R52">
        <f>P52+Q52</f>
        <v/>
      </c>
      <c r="S52">
        <f>$D$13</f>
        <v/>
      </c>
      <c r="T52">
        <f>RAND()*$G$12</f>
        <v/>
      </c>
      <c r="U52">
        <f>$I$1*S51-$I$2*S50+$I$3*R51+$I$4*R50</f>
        <v/>
      </c>
      <c r="V52">
        <f>INT((2^$J$12-1)*U52/100)/(2^$J$12-1)*100</f>
        <v/>
      </c>
      <c r="X52">
        <f>M52 * 1.05</f>
        <v/>
      </c>
    </row>
    <row r="53">
      <c r="L53" t="n">
        <v>51</v>
      </c>
      <c r="M53">
        <f>IF(L53&lt;$D$16,$D$13,IF(L53&lt;$E$16,$E$13,$F$13))</f>
        <v/>
      </c>
      <c r="N53">
        <f>M53-V53</f>
        <v/>
      </c>
      <c r="O53">
        <f>IF(MOD(L53,$B$11)=0,OFFSET(O53,-$B$11,0)+$E$2*N53+$E$3*OFFSET(N53,-$B$11,0)+$E$4*OFFSET(N53,-2*$B$11,0),O52)</f>
        <v/>
      </c>
      <c r="P53">
        <f>INT((2^$J$12-1)*O53/100)/(2^$J$12-1)*100</f>
        <v/>
      </c>
      <c r="Q53" t="n">
        <v>0</v>
      </c>
      <c r="R53">
        <f>P53+Q53</f>
        <v/>
      </c>
      <c r="S53">
        <f>$D$13</f>
        <v/>
      </c>
      <c r="T53">
        <f>RAND()*$G$12</f>
        <v/>
      </c>
      <c r="U53">
        <f>$I$1*S52-$I$2*S51+$I$3*R52+$I$4*R51</f>
        <v/>
      </c>
      <c r="V53">
        <f>INT((2^$J$12-1)*U53/100)/(2^$J$12-1)*100</f>
        <v/>
      </c>
      <c r="X53">
        <f>M53 * 1.05</f>
        <v/>
      </c>
    </row>
    <row r="54">
      <c r="L54" t="n">
        <v>52</v>
      </c>
      <c r="M54">
        <f>IF(L54&lt;$D$16,$D$13,IF(L54&lt;$E$16,$E$13,$F$13))</f>
        <v/>
      </c>
      <c r="N54">
        <f>M54-V54</f>
        <v/>
      </c>
      <c r="O54">
        <f>IF(MOD(L54,$B$11)=0,OFFSET(O54,-$B$11,0)+$E$2*N54+$E$3*OFFSET(N54,-$B$11,0)+$E$4*OFFSET(N54,-2*$B$11,0),O53)</f>
        <v/>
      </c>
      <c r="P54">
        <f>INT((2^$J$12-1)*O54/100)/(2^$J$12-1)*100</f>
        <v/>
      </c>
      <c r="Q54" t="n">
        <v>0</v>
      </c>
      <c r="R54">
        <f>P54+Q54</f>
        <v/>
      </c>
      <c r="S54">
        <f>$D$13</f>
        <v/>
      </c>
      <c r="T54">
        <f>RAND()*$G$12</f>
        <v/>
      </c>
      <c r="U54">
        <f>$I$1*S53-$I$2*S52+$I$3*R53+$I$4*R52</f>
        <v/>
      </c>
      <c r="V54">
        <f>INT((2^$J$12-1)*U54/100)/(2^$J$12-1)*100</f>
        <v/>
      </c>
      <c r="X54">
        <f>M54 * 1.05</f>
        <v/>
      </c>
    </row>
    <row r="55">
      <c r="L55" t="n">
        <v>53</v>
      </c>
      <c r="M55">
        <f>IF(L55&lt;$D$16,$D$13,IF(L55&lt;$E$16,$E$13,$F$13))</f>
        <v/>
      </c>
      <c r="N55">
        <f>M55-V55</f>
        <v/>
      </c>
      <c r="O55">
        <f>IF(MOD(L55,$B$11)=0,OFFSET(O55,-$B$11,0)+$E$2*N55+$E$3*OFFSET(N55,-$B$11,0)+$E$4*OFFSET(N55,-2*$B$11,0),O54)</f>
        <v/>
      </c>
      <c r="P55">
        <f>INT((2^$J$12-1)*O55/100)/(2^$J$12-1)*100</f>
        <v/>
      </c>
      <c r="Q55" t="n">
        <v>0</v>
      </c>
      <c r="R55">
        <f>P55+Q55</f>
        <v/>
      </c>
      <c r="S55">
        <f>$D$13</f>
        <v/>
      </c>
      <c r="T55">
        <f>RAND()*$G$12</f>
        <v/>
      </c>
      <c r="U55">
        <f>$I$1*S54-$I$2*S53+$I$3*R54+$I$4*R53</f>
        <v/>
      </c>
      <c r="V55">
        <f>INT((2^$J$12-1)*U55/100)/(2^$J$12-1)*100</f>
        <v/>
      </c>
      <c r="X55">
        <f>M55 * 1.05</f>
        <v/>
      </c>
    </row>
    <row r="56">
      <c r="L56" t="n">
        <v>54</v>
      </c>
      <c r="M56">
        <f>IF(L56&lt;$D$16,$D$13,IF(L56&lt;$E$16,$E$13,$F$13))</f>
        <v/>
      </c>
      <c r="N56">
        <f>M56-V56</f>
        <v/>
      </c>
      <c r="O56">
        <f>IF(MOD(L56,$B$11)=0,OFFSET(O56,-$B$11,0)+$E$2*N56+$E$3*OFFSET(N56,-$B$11,0)+$E$4*OFFSET(N56,-2*$B$11,0),O55)</f>
        <v/>
      </c>
      <c r="P56">
        <f>INT((2^$J$12-1)*O56/100)/(2^$J$12-1)*100</f>
        <v/>
      </c>
      <c r="Q56" t="n">
        <v>0</v>
      </c>
      <c r="R56">
        <f>P56+Q56</f>
        <v/>
      </c>
      <c r="S56">
        <f>$D$13</f>
        <v/>
      </c>
      <c r="T56">
        <f>RAND()*$G$12</f>
        <v/>
      </c>
      <c r="U56">
        <f>$I$1*S55-$I$2*S54+$I$3*R55+$I$4*R54</f>
        <v/>
      </c>
      <c r="V56">
        <f>INT((2^$J$12-1)*U56/100)/(2^$J$12-1)*100</f>
        <v/>
      </c>
      <c r="X56">
        <f>M56 * 1.05</f>
        <v/>
      </c>
    </row>
    <row r="57">
      <c r="L57" t="n">
        <v>55</v>
      </c>
      <c r="M57">
        <f>IF(L57&lt;$D$16,$D$13,IF(L57&lt;$E$16,$E$13,$F$13))</f>
        <v/>
      </c>
      <c r="N57">
        <f>M57-V57</f>
        <v/>
      </c>
      <c r="O57">
        <f>IF(MOD(L57,$B$11)=0,OFFSET(O57,-$B$11,0)+$E$2*N57+$E$3*OFFSET(N57,-$B$11,0)+$E$4*OFFSET(N57,-2*$B$11,0),O56)</f>
        <v/>
      </c>
      <c r="P57">
        <f>INT((2^$J$12-1)*O57/100)/(2^$J$12-1)*100</f>
        <v/>
      </c>
      <c r="Q57" t="n">
        <v>0</v>
      </c>
      <c r="R57">
        <f>P57+Q57</f>
        <v/>
      </c>
      <c r="S57">
        <f>$D$13</f>
        <v/>
      </c>
      <c r="T57">
        <f>RAND()*$G$12</f>
        <v/>
      </c>
      <c r="U57">
        <f>$I$1*S56-$I$2*S55+$I$3*R56+$I$4*R55</f>
        <v/>
      </c>
      <c r="V57">
        <f>INT((2^$J$12-1)*U57/100)/(2^$J$12-1)*100</f>
        <v/>
      </c>
      <c r="X57">
        <f>M57 * 1.05</f>
        <v/>
      </c>
    </row>
    <row r="58">
      <c r="L58" t="n">
        <v>56</v>
      </c>
      <c r="M58">
        <f>IF(L58&lt;$D$16,$D$13,IF(L58&lt;$E$16,$E$13,$F$13))</f>
        <v/>
      </c>
      <c r="N58">
        <f>M58-V58</f>
        <v/>
      </c>
      <c r="O58">
        <f>IF(MOD(L58,$B$11)=0,OFFSET(O58,-$B$11,0)+$E$2*N58+$E$3*OFFSET(N58,-$B$11,0)+$E$4*OFFSET(N58,-2*$B$11,0),O57)</f>
        <v/>
      </c>
      <c r="P58">
        <f>INT((2^$J$12-1)*O58/100)/(2^$J$12-1)*100</f>
        <v/>
      </c>
      <c r="Q58" t="n">
        <v>0</v>
      </c>
      <c r="R58">
        <f>P58+Q58</f>
        <v/>
      </c>
      <c r="S58">
        <f>$D$13</f>
        <v/>
      </c>
      <c r="T58">
        <f>RAND()*$G$12</f>
        <v/>
      </c>
      <c r="U58">
        <f>$I$1*S57-$I$2*S56+$I$3*R57+$I$4*R56</f>
        <v/>
      </c>
      <c r="V58">
        <f>INT((2^$J$12-1)*U58/100)/(2^$J$12-1)*100</f>
        <v/>
      </c>
      <c r="X58">
        <f>M58 * 1.05</f>
        <v/>
      </c>
    </row>
    <row r="59">
      <c r="L59" t="n">
        <v>57</v>
      </c>
      <c r="M59">
        <f>IF(L59&lt;$D$16,$D$13,IF(L59&lt;$E$16,$E$13,$F$13))</f>
        <v/>
      </c>
      <c r="N59">
        <f>M59-V59</f>
        <v/>
      </c>
      <c r="O59">
        <f>IF(MOD(L59,$B$11)=0,OFFSET(O59,-$B$11,0)+$E$2*N59+$E$3*OFFSET(N59,-$B$11,0)+$E$4*OFFSET(N59,-2*$B$11,0),O58)</f>
        <v/>
      </c>
      <c r="P59">
        <f>INT((2^$J$12-1)*O59/100)/(2^$J$12-1)*100</f>
        <v/>
      </c>
      <c r="Q59" t="n">
        <v>0</v>
      </c>
      <c r="R59">
        <f>P59+Q59</f>
        <v/>
      </c>
      <c r="S59">
        <f>$D$13</f>
        <v/>
      </c>
      <c r="T59">
        <f>RAND()*$G$12</f>
        <v/>
      </c>
      <c r="U59">
        <f>$I$1*S58-$I$2*S57+$I$3*R58+$I$4*R57</f>
        <v/>
      </c>
      <c r="V59">
        <f>INT((2^$J$12-1)*U59/100)/(2^$J$12-1)*100</f>
        <v/>
      </c>
      <c r="X59">
        <f>M59 * 1.05</f>
        <v/>
      </c>
    </row>
    <row r="60">
      <c r="L60" t="n">
        <v>58</v>
      </c>
      <c r="M60">
        <f>IF(L60&lt;$D$16,$D$13,IF(L60&lt;$E$16,$E$13,$F$13))</f>
        <v/>
      </c>
      <c r="N60">
        <f>M60-V60</f>
        <v/>
      </c>
      <c r="O60">
        <f>IF(MOD(L60,$B$11)=0,OFFSET(O60,-$B$11,0)+$E$2*N60+$E$3*OFFSET(N60,-$B$11,0)+$E$4*OFFSET(N60,-2*$B$11,0),O59)</f>
        <v/>
      </c>
      <c r="P60">
        <f>INT((2^$J$12-1)*O60/100)/(2^$J$12-1)*100</f>
        <v/>
      </c>
      <c r="Q60" t="n">
        <v>0</v>
      </c>
      <c r="R60">
        <f>P60+Q60</f>
        <v/>
      </c>
      <c r="S60">
        <f>$D$13</f>
        <v/>
      </c>
      <c r="T60">
        <f>RAND()*$G$12</f>
        <v/>
      </c>
      <c r="U60">
        <f>$I$1*S59-$I$2*S58+$I$3*R59+$I$4*R58</f>
        <v/>
      </c>
      <c r="V60">
        <f>INT((2^$J$12-1)*U60/100)/(2^$J$12-1)*100</f>
        <v/>
      </c>
      <c r="X60">
        <f>M60 * 1.05</f>
        <v/>
      </c>
    </row>
    <row r="61">
      <c r="L61" t="n">
        <v>59</v>
      </c>
      <c r="M61">
        <f>IF(L61&lt;$D$16,$D$13,IF(L61&lt;$E$16,$E$13,$F$13))</f>
        <v/>
      </c>
      <c r="N61">
        <f>M61-V61</f>
        <v/>
      </c>
      <c r="O61">
        <f>IF(MOD(L61,$B$11)=0,OFFSET(O61,-$B$11,0)+$E$2*N61+$E$3*OFFSET(N61,-$B$11,0)+$E$4*OFFSET(N61,-2*$B$11,0),O60)</f>
        <v/>
      </c>
      <c r="P61">
        <f>INT((2^$J$12-1)*O61/100)/(2^$J$12-1)*100</f>
        <v/>
      </c>
      <c r="Q61" t="n">
        <v>0</v>
      </c>
      <c r="R61">
        <f>P61+Q61</f>
        <v/>
      </c>
      <c r="S61">
        <f>$D$13</f>
        <v/>
      </c>
      <c r="T61">
        <f>RAND()*$G$12</f>
        <v/>
      </c>
      <c r="U61">
        <f>$I$1*S60-$I$2*S59+$I$3*R60+$I$4*R59</f>
        <v/>
      </c>
      <c r="V61">
        <f>INT((2^$J$12-1)*U61/100)/(2^$J$12-1)*100</f>
        <v/>
      </c>
      <c r="X61">
        <f>M61 * 1.05</f>
        <v/>
      </c>
    </row>
    <row r="62">
      <c r="L62" t="n">
        <v>60</v>
      </c>
      <c r="M62">
        <f>IF(L62&lt;$D$16,$D$13,IF(L62&lt;$E$16,$E$13,$F$13))</f>
        <v/>
      </c>
      <c r="N62">
        <f>M62-V62</f>
        <v/>
      </c>
      <c r="O62">
        <f>IF(MOD(L62,$B$11)=0,OFFSET(O62,-$B$11,0)+$E$2*N62+$E$3*OFFSET(N62,-$B$11,0)+$E$4*OFFSET(N62,-2*$B$11,0),O61)</f>
        <v/>
      </c>
      <c r="P62">
        <f>INT((2^$J$12-1)*O62/100)/(2^$J$12-1)*100</f>
        <v/>
      </c>
      <c r="Q62" t="n">
        <v>0</v>
      </c>
      <c r="R62">
        <f>P62+Q62</f>
        <v/>
      </c>
      <c r="S62">
        <f>$D$13</f>
        <v/>
      </c>
      <c r="T62">
        <f>RAND()*$G$12</f>
        <v/>
      </c>
      <c r="U62">
        <f>$I$1*S61-$I$2*S60+$I$3*R61+$I$4*R60</f>
        <v/>
      </c>
      <c r="V62">
        <f>INT((2^$J$12-1)*U62/100)/(2^$J$12-1)*100</f>
        <v/>
      </c>
      <c r="X62">
        <f>M62 * 1.05</f>
        <v/>
      </c>
    </row>
    <row r="63">
      <c r="L63" t="n">
        <v>61</v>
      </c>
      <c r="M63">
        <f>IF(L63&lt;$D$16,$D$13,IF(L63&lt;$E$16,$E$13,$F$13))</f>
        <v/>
      </c>
      <c r="N63">
        <f>M63-V63</f>
        <v/>
      </c>
      <c r="O63">
        <f>IF(MOD(L63,$B$11)=0,OFFSET(O63,-$B$11,0)+$E$2*N63+$E$3*OFFSET(N63,-$B$11,0)+$E$4*OFFSET(N63,-2*$B$11,0),O62)</f>
        <v/>
      </c>
      <c r="P63">
        <f>INT((2^$J$12-1)*O63/100)/(2^$J$12-1)*100</f>
        <v/>
      </c>
      <c r="Q63" t="n">
        <v>0</v>
      </c>
      <c r="R63">
        <f>P63+Q63</f>
        <v/>
      </c>
      <c r="S63">
        <f>$D$13</f>
        <v/>
      </c>
      <c r="T63">
        <f>RAND()*$G$12</f>
        <v/>
      </c>
      <c r="U63">
        <f>$I$1*S62-$I$2*S61+$I$3*R62+$I$4*R61</f>
        <v/>
      </c>
      <c r="V63">
        <f>INT((2^$J$12-1)*U63/100)/(2^$J$12-1)*100</f>
        <v/>
      </c>
      <c r="X63">
        <f>M63 * 1.05</f>
        <v/>
      </c>
    </row>
    <row r="64">
      <c r="L64" t="n">
        <v>62</v>
      </c>
      <c r="M64">
        <f>IF(L64&lt;$D$16,$D$13,IF(L64&lt;$E$16,$E$13,$F$13))</f>
        <v/>
      </c>
      <c r="N64">
        <f>M64-V64</f>
        <v/>
      </c>
      <c r="O64">
        <f>IF(MOD(L64,$B$11)=0,OFFSET(O64,-$B$11,0)+$E$2*N64+$E$3*OFFSET(N64,-$B$11,0)+$E$4*OFFSET(N64,-2*$B$11,0),O63)</f>
        <v/>
      </c>
      <c r="P64">
        <f>INT((2^$J$12-1)*O64/100)/(2^$J$12-1)*100</f>
        <v/>
      </c>
      <c r="Q64" t="n">
        <v>0</v>
      </c>
      <c r="R64">
        <f>P64+Q64</f>
        <v/>
      </c>
      <c r="S64">
        <f>$D$13</f>
        <v/>
      </c>
      <c r="T64">
        <f>RAND()*$G$12</f>
        <v/>
      </c>
      <c r="U64">
        <f>$I$1*S63-$I$2*S62+$I$3*R63+$I$4*R62</f>
        <v/>
      </c>
      <c r="V64">
        <f>INT((2^$J$12-1)*U64/100)/(2^$J$12-1)*100</f>
        <v/>
      </c>
      <c r="X64">
        <f>M64 * 1.05</f>
        <v/>
      </c>
    </row>
    <row r="65">
      <c r="L65" t="n">
        <v>63</v>
      </c>
      <c r="M65">
        <f>IF(L65&lt;$D$16,$D$13,IF(L65&lt;$E$16,$E$13,$F$13))</f>
        <v/>
      </c>
      <c r="N65">
        <f>M65-V65</f>
        <v/>
      </c>
      <c r="O65">
        <f>IF(MOD(L65,$B$11)=0,OFFSET(O65,-$B$11,0)+$E$2*N65+$E$3*OFFSET(N65,-$B$11,0)+$E$4*OFFSET(N65,-2*$B$11,0),O64)</f>
        <v/>
      </c>
      <c r="P65">
        <f>INT((2^$J$12-1)*O65/100)/(2^$J$12-1)*100</f>
        <v/>
      </c>
      <c r="Q65" t="n">
        <v>0</v>
      </c>
      <c r="R65">
        <f>P65+Q65</f>
        <v/>
      </c>
      <c r="S65">
        <f>$D$13</f>
        <v/>
      </c>
      <c r="T65">
        <f>RAND()*$G$12</f>
        <v/>
      </c>
      <c r="U65">
        <f>$I$1*S64-$I$2*S63+$I$3*R64+$I$4*R63</f>
        <v/>
      </c>
      <c r="V65">
        <f>INT((2^$J$12-1)*U65/100)/(2^$J$12-1)*100</f>
        <v/>
      </c>
      <c r="X65">
        <f>M65 * 1.05</f>
        <v/>
      </c>
    </row>
    <row r="66">
      <c r="L66" t="n">
        <v>64</v>
      </c>
      <c r="M66">
        <f>IF(L66&lt;$D$16,$D$13,IF(L66&lt;$E$16,$E$13,$F$13))</f>
        <v/>
      </c>
      <c r="N66">
        <f>M66-V66</f>
        <v/>
      </c>
      <c r="O66">
        <f>IF(MOD(L66,$B$11)=0,OFFSET(O66,-$B$11,0)+$E$2*N66+$E$3*OFFSET(N66,-$B$11,0)+$E$4*OFFSET(N66,-2*$B$11,0),O65)</f>
        <v/>
      </c>
      <c r="P66">
        <f>INT((2^$J$12-1)*O66/100)/(2^$J$12-1)*100</f>
        <v/>
      </c>
      <c r="Q66" t="n">
        <v>0</v>
      </c>
      <c r="R66">
        <f>P66+Q66</f>
        <v/>
      </c>
      <c r="S66">
        <f>$D$13</f>
        <v/>
      </c>
      <c r="T66">
        <f>RAND()*$G$12</f>
        <v/>
      </c>
      <c r="U66">
        <f>$I$1*S65-$I$2*S64+$I$3*R65+$I$4*R64</f>
        <v/>
      </c>
      <c r="V66">
        <f>INT((2^$J$12-1)*U66/100)/(2^$J$12-1)*100</f>
        <v/>
      </c>
      <c r="X66">
        <f>M66 * 1.05</f>
        <v/>
      </c>
    </row>
    <row r="67">
      <c r="L67" t="n">
        <v>65</v>
      </c>
      <c r="M67">
        <f>IF(L67&lt;$D$16,$D$13,IF(L67&lt;$E$16,$E$13,$F$13))</f>
        <v/>
      </c>
      <c r="N67">
        <f>M67-V67</f>
        <v/>
      </c>
      <c r="O67">
        <f>IF(MOD(L67,$B$11)=0,OFFSET(O67,-$B$11,0)+$E$2*N67+$E$3*OFFSET(N67,-$B$11,0)+$E$4*OFFSET(N67,-2*$B$11,0),O66)</f>
        <v/>
      </c>
      <c r="P67">
        <f>INT((2^$J$12-1)*O67/100)/(2^$J$12-1)*100</f>
        <v/>
      </c>
      <c r="Q67" t="n">
        <v>0</v>
      </c>
      <c r="R67">
        <f>P67+Q67</f>
        <v/>
      </c>
      <c r="S67">
        <f>$D$13</f>
        <v/>
      </c>
      <c r="T67">
        <f>RAND()*$G$12</f>
        <v/>
      </c>
      <c r="U67">
        <f>$I$1*S66-$I$2*S65+$I$3*R66+$I$4*R65</f>
        <v/>
      </c>
      <c r="V67">
        <f>INT((2^$J$12-1)*U67/100)/(2^$J$12-1)*100</f>
        <v/>
      </c>
      <c r="X67">
        <f>M67 * 1.05</f>
        <v/>
      </c>
    </row>
    <row r="68">
      <c r="L68" t="n">
        <v>66</v>
      </c>
      <c r="M68">
        <f>IF(L68&lt;$D$16,$D$13,IF(L68&lt;$E$16,$E$13,$F$13))</f>
        <v/>
      </c>
      <c r="N68">
        <f>M68-V68</f>
        <v/>
      </c>
      <c r="O68">
        <f>IF(MOD(L68,$B$11)=0,OFFSET(O68,-$B$11,0)+$E$2*N68+$E$3*OFFSET(N68,-$B$11,0)+$E$4*OFFSET(N68,-2*$B$11,0),O67)</f>
        <v/>
      </c>
      <c r="P68">
        <f>INT((2^$J$12-1)*O68/100)/(2^$J$12-1)*100</f>
        <v/>
      </c>
      <c r="Q68" t="n">
        <v>0</v>
      </c>
      <c r="R68">
        <f>P68+Q68</f>
        <v/>
      </c>
      <c r="S68">
        <f>$D$13</f>
        <v/>
      </c>
      <c r="T68">
        <f>RAND()*$G$12</f>
        <v/>
      </c>
      <c r="U68">
        <f>$I$1*S67-$I$2*S66+$I$3*R67+$I$4*R66</f>
        <v/>
      </c>
      <c r="V68">
        <f>INT((2^$J$12-1)*U68/100)/(2^$J$12-1)*100</f>
        <v/>
      </c>
      <c r="X68">
        <f>M68 * 1.05</f>
        <v/>
      </c>
    </row>
    <row r="69">
      <c r="L69" t="n">
        <v>67</v>
      </c>
      <c r="M69">
        <f>IF(L69&lt;$D$16,$D$13,IF(L69&lt;$E$16,$E$13,$F$13))</f>
        <v/>
      </c>
      <c r="N69">
        <f>M69-V69</f>
        <v/>
      </c>
      <c r="O69">
        <f>IF(MOD(L69,$B$11)=0,OFFSET(O69,-$B$11,0)+$E$2*N69+$E$3*OFFSET(N69,-$B$11,0)+$E$4*OFFSET(N69,-2*$B$11,0),O68)</f>
        <v/>
      </c>
      <c r="P69">
        <f>INT((2^$J$12-1)*O69/100)/(2^$J$12-1)*100</f>
        <v/>
      </c>
      <c r="Q69" t="n">
        <v>0</v>
      </c>
      <c r="R69">
        <f>P69+Q69</f>
        <v/>
      </c>
      <c r="S69">
        <f>$D$13</f>
        <v/>
      </c>
      <c r="T69">
        <f>RAND()*$G$12</f>
        <v/>
      </c>
      <c r="U69">
        <f>$I$1*S68-$I$2*S67+$I$3*R68+$I$4*R67</f>
        <v/>
      </c>
      <c r="V69">
        <f>INT((2^$J$12-1)*U69/100)/(2^$J$12-1)*100</f>
        <v/>
      </c>
      <c r="X69">
        <f>M69 * 1.05</f>
        <v/>
      </c>
    </row>
    <row r="70">
      <c r="L70" t="n">
        <v>68</v>
      </c>
      <c r="M70">
        <f>IF(L70&lt;$D$16,$D$13,IF(L70&lt;$E$16,$E$13,$F$13))</f>
        <v/>
      </c>
      <c r="N70">
        <f>M70-V70</f>
        <v/>
      </c>
      <c r="O70">
        <f>IF(MOD(L70,$B$11)=0,OFFSET(O70,-$B$11,0)+$E$2*N70+$E$3*OFFSET(N70,-$B$11,0)+$E$4*OFFSET(N70,-2*$B$11,0),O69)</f>
        <v/>
      </c>
      <c r="P70">
        <f>INT((2^$J$12-1)*O70/100)/(2^$J$12-1)*100</f>
        <v/>
      </c>
      <c r="Q70" t="n">
        <v>0</v>
      </c>
      <c r="R70">
        <f>P70+Q70</f>
        <v/>
      </c>
      <c r="S70">
        <f>$D$13</f>
        <v/>
      </c>
      <c r="T70">
        <f>RAND()*$G$12</f>
        <v/>
      </c>
      <c r="U70">
        <f>$I$1*S69-$I$2*S68+$I$3*R69+$I$4*R68</f>
        <v/>
      </c>
      <c r="V70">
        <f>INT((2^$J$12-1)*U70/100)/(2^$J$12-1)*100</f>
        <v/>
      </c>
      <c r="X70">
        <f>M70 * 1.05</f>
        <v/>
      </c>
    </row>
    <row r="71">
      <c r="L71" t="n">
        <v>69</v>
      </c>
      <c r="M71">
        <f>IF(L71&lt;$D$16,$D$13,IF(L71&lt;$E$16,$E$13,$F$13))</f>
        <v/>
      </c>
      <c r="N71">
        <f>M71-V71</f>
        <v/>
      </c>
      <c r="O71">
        <f>IF(MOD(L71,$B$11)=0,OFFSET(O71,-$B$11,0)+$E$2*N71+$E$3*OFFSET(N71,-$B$11,0)+$E$4*OFFSET(N71,-2*$B$11,0),O70)</f>
        <v/>
      </c>
      <c r="P71">
        <f>INT((2^$J$12-1)*O71/100)/(2^$J$12-1)*100</f>
        <v/>
      </c>
      <c r="Q71" t="n">
        <v>0</v>
      </c>
      <c r="R71">
        <f>P71+Q71</f>
        <v/>
      </c>
      <c r="S71">
        <f>$D$13</f>
        <v/>
      </c>
      <c r="T71">
        <f>RAND()*$G$12</f>
        <v/>
      </c>
      <c r="U71">
        <f>$I$1*S70-$I$2*S69+$I$3*R70+$I$4*R69</f>
        <v/>
      </c>
      <c r="V71">
        <f>INT((2^$J$12-1)*U71/100)/(2^$J$12-1)*100</f>
        <v/>
      </c>
      <c r="X71">
        <f>M71 * 1.05</f>
        <v/>
      </c>
    </row>
    <row r="72">
      <c r="L72" t="n">
        <v>70</v>
      </c>
      <c r="M72">
        <f>IF(L72&lt;$D$16,$D$13,IF(L72&lt;$E$16,$E$13,$F$13))</f>
        <v/>
      </c>
      <c r="N72">
        <f>M72-V72</f>
        <v/>
      </c>
      <c r="O72">
        <f>IF(MOD(L72,$B$11)=0,OFFSET(O72,-$B$11,0)+$E$2*N72+$E$3*OFFSET(N72,-$B$11,0)+$E$4*OFFSET(N72,-2*$B$11,0),O71)</f>
        <v/>
      </c>
      <c r="P72">
        <f>INT((2^$J$12-1)*O72/100)/(2^$J$12-1)*100</f>
        <v/>
      </c>
      <c r="Q72" t="n">
        <v>0</v>
      </c>
      <c r="R72">
        <f>P72+Q72</f>
        <v/>
      </c>
      <c r="S72">
        <f>$D$13</f>
        <v/>
      </c>
      <c r="T72">
        <f>RAND()*$G$12</f>
        <v/>
      </c>
      <c r="U72">
        <f>$I$1*S71-$I$2*S70+$I$3*R71+$I$4*R70</f>
        <v/>
      </c>
      <c r="V72">
        <f>INT((2^$J$12-1)*U72/100)/(2^$J$12-1)*100</f>
        <v/>
      </c>
      <c r="X72">
        <f>M72 * 1.05</f>
        <v/>
      </c>
    </row>
    <row r="73">
      <c r="L73" t="n">
        <v>71</v>
      </c>
      <c r="M73">
        <f>IF(L73&lt;$D$16,$D$13,IF(L73&lt;$E$16,$E$13,$F$13))</f>
        <v/>
      </c>
      <c r="N73">
        <f>M73-V73</f>
        <v/>
      </c>
      <c r="O73">
        <f>IF(MOD(L73,$B$11)=0,OFFSET(O73,-$B$11,0)+$E$2*N73+$E$3*OFFSET(N73,-$B$11,0)+$E$4*OFFSET(N73,-2*$B$11,0),O72)</f>
        <v/>
      </c>
      <c r="P73">
        <f>INT((2^$J$12-1)*O73/100)/(2^$J$12-1)*100</f>
        <v/>
      </c>
      <c r="Q73" t="n">
        <v>0</v>
      </c>
      <c r="R73">
        <f>P73+Q73</f>
        <v/>
      </c>
      <c r="S73">
        <f>$D$13</f>
        <v/>
      </c>
      <c r="T73">
        <f>RAND()*$G$12</f>
        <v/>
      </c>
      <c r="U73">
        <f>$I$1*S72-$I$2*S71+$I$3*R72+$I$4*R71</f>
        <v/>
      </c>
      <c r="V73">
        <f>INT((2^$J$12-1)*U73/100)/(2^$J$12-1)*100</f>
        <v/>
      </c>
      <c r="X73">
        <f>M73 * 1.05</f>
        <v/>
      </c>
    </row>
    <row r="74">
      <c r="L74" t="n">
        <v>72</v>
      </c>
      <c r="M74">
        <f>IF(L74&lt;$D$16,$D$13,IF(L74&lt;$E$16,$E$13,$F$13))</f>
        <v/>
      </c>
      <c r="N74">
        <f>M74-V74</f>
        <v/>
      </c>
      <c r="O74">
        <f>IF(MOD(L74,$B$11)=0,OFFSET(O74,-$B$11,0)+$E$2*N74+$E$3*OFFSET(N74,-$B$11,0)+$E$4*OFFSET(N74,-2*$B$11,0),O73)</f>
        <v/>
      </c>
      <c r="P74">
        <f>INT((2^$J$12-1)*O74/100)/(2^$J$12-1)*100</f>
        <v/>
      </c>
      <c r="Q74" t="n">
        <v>0</v>
      </c>
      <c r="R74">
        <f>P74+Q74</f>
        <v/>
      </c>
      <c r="S74">
        <f>$D$13</f>
        <v/>
      </c>
      <c r="T74">
        <f>RAND()*$G$12</f>
        <v/>
      </c>
      <c r="U74">
        <f>$I$1*S73-$I$2*S72+$I$3*R73+$I$4*R72</f>
        <v/>
      </c>
      <c r="V74">
        <f>INT((2^$J$12-1)*U74/100)/(2^$J$12-1)*100</f>
        <v/>
      </c>
      <c r="X74">
        <f>M74 * 1.05</f>
        <v/>
      </c>
    </row>
    <row r="75">
      <c r="L75" t="n">
        <v>73</v>
      </c>
      <c r="M75">
        <f>IF(L75&lt;$D$16,$D$13,IF(L75&lt;$E$16,$E$13,$F$13))</f>
        <v/>
      </c>
      <c r="N75">
        <f>M75-V75</f>
        <v/>
      </c>
      <c r="O75">
        <f>IF(MOD(L75,$B$11)=0,OFFSET(O75,-$B$11,0)+$E$2*N75+$E$3*OFFSET(N75,-$B$11,0)+$E$4*OFFSET(N75,-2*$B$11,0),O74)</f>
        <v/>
      </c>
      <c r="P75">
        <f>INT((2^$J$12-1)*O75/100)/(2^$J$12-1)*100</f>
        <v/>
      </c>
      <c r="Q75" t="n">
        <v>0</v>
      </c>
      <c r="R75">
        <f>P75+Q75</f>
        <v/>
      </c>
      <c r="S75">
        <f>$D$13</f>
        <v/>
      </c>
      <c r="T75">
        <f>RAND()*$G$12</f>
        <v/>
      </c>
      <c r="U75">
        <f>$I$1*S74-$I$2*S73+$I$3*R74+$I$4*R73</f>
        <v/>
      </c>
      <c r="V75">
        <f>INT((2^$J$12-1)*U75/100)/(2^$J$12-1)*100</f>
        <v/>
      </c>
      <c r="X75">
        <f>M75 * 1.05</f>
        <v/>
      </c>
    </row>
    <row r="76">
      <c r="L76" t="n">
        <v>74</v>
      </c>
      <c r="M76">
        <f>IF(L76&lt;$D$16,$D$13,IF(L76&lt;$E$16,$E$13,$F$13))</f>
        <v/>
      </c>
      <c r="N76">
        <f>M76-V76</f>
        <v/>
      </c>
      <c r="O76">
        <f>IF(MOD(L76,$B$11)=0,OFFSET(O76,-$B$11,0)+$E$2*N76+$E$3*OFFSET(N76,-$B$11,0)+$E$4*OFFSET(N76,-2*$B$11,0),O75)</f>
        <v/>
      </c>
      <c r="P76">
        <f>INT((2^$J$12-1)*O76/100)/(2^$J$12-1)*100</f>
        <v/>
      </c>
      <c r="Q76" t="n">
        <v>0</v>
      </c>
      <c r="R76">
        <f>P76+Q76</f>
        <v/>
      </c>
      <c r="S76">
        <f>$D$13</f>
        <v/>
      </c>
      <c r="T76">
        <f>RAND()*$G$12</f>
        <v/>
      </c>
      <c r="U76">
        <f>$I$1*S75-$I$2*S74+$I$3*R75+$I$4*R74</f>
        <v/>
      </c>
      <c r="V76">
        <f>INT((2^$J$12-1)*U76/100)/(2^$J$12-1)*100</f>
        <v/>
      </c>
      <c r="X76">
        <f>M76 * 1.05</f>
        <v/>
      </c>
    </row>
    <row r="77">
      <c r="L77" t="n">
        <v>75</v>
      </c>
      <c r="M77">
        <f>IF(L77&lt;$D$16,$D$13,IF(L77&lt;$E$16,$E$13,$F$13))</f>
        <v/>
      </c>
      <c r="N77">
        <f>M77-V77</f>
        <v/>
      </c>
      <c r="O77">
        <f>IF(MOD(L77,$B$11)=0,OFFSET(O77,-$B$11,0)+$E$2*N77+$E$3*OFFSET(N77,-$B$11,0)+$E$4*OFFSET(N77,-2*$B$11,0),O76)</f>
        <v/>
      </c>
      <c r="P77">
        <f>INT((2^$J$12-1)*O77/100)/(2^$J$12-1)*100</f>
        <v/>
      </c>
      <c r="Q77" t="n">
        <v>0</v>
      </c>
      <c r="R77">
        <f>P77+Q77</f>
        <v/>
      </c>
      <c r="S77">
        <f>$D$13</f>
        <v/>
      </c>
      <c r="T77">
        <f>RAND()*$G$12</f>
        <v/>
      </c>
      <c r="U77">
        <f>$I$1*S76-$I$2*S75+$I$3*R76+$I$4*R75</f>
        <v/>
      </c>
      <c r="V77">
        <f>INT((2^$J$12-1)*U77/100)/(2^$J$12-1)*100</f>
        <v/>
      </c>
      <c r="X77">
        <f>M77 * 1.05</f>
        <v/>
      </c>
    </row>
    <row r="78">
      <c r="L78" t="n">
        <v>76</v>
      </c>
      <c r="M78">
        <f>IF(L78&lt;$D$16,$D$13,IF(L78&lt;$E$16,$E$13,$F$13))</f>
        <v/>
      </c>
      <c r="N78">
        <f>M78-V78</f>
        <v/>
      </c>
      <c r="O78">
        <f>IF(MOD(L78,$B$11)=0,OFFSET(O78,-$B$11,0)+$E$2*N78+$E$3*OFFSET(N78,-$B$11,0)+$E$4*OFFSET(N78,-2*$B$11,0),O77)</f>
        <v/>
      </c>
      <c r="P78">
        <f>INT((2^$J$12-1)*O78/100)/(2^$J$12-1)*100</f>
        <v/>
      </c>
      <c r="Q78" t="n">
        <v>0</v>
      </c>
      <c r="R78">
        <f>P78+Q78</f>
        <v/>
      </c>
      <c r="S78">
        <f>$D$13</f>
        <v/>
      </c>
      <c r="T78">
        <f>RAND()*$G$12</f>
        <v/>
      </c>
      <c r="U78">
        <f>$I$1*S77-$I$2*S76+$I$3*R77+$I$4*R76</f>
        <v/>
      </c>
      <c r="V78">
        <f>INT((2^$J$12-1)*U78/100)/(2^$J$12-1)*100</f>
        <v/>
      </c>
      <c r="X78">
        <f>M78 * 1.05</f>
        <v/>
      </c>
    </row>
    <row r="79">
      <c r="L79" t="n">
        <v>77</v>
      </c>
      <c r="M79">
        <f>IF(L79&lt;$D$16,$D$13,IF(L79&lt;$E$16,$E$13,$F$13))</f>
        <v/>
      </c>
      <c r="N79">
        <f>M79-V79</f>
        <v/>
      </c>
      <c r="O79">
        <f>IF(MOD(L79,$B$11)=0,OFFSET(O79,-$B$11,0)+$E$2*N79+$E$3*OFFSET(N79,-$B$11,0)+$E$4*OFFSET(N79,-2*$B$11,0),O78)</f>
        <v/>
      </c>
      <c r="P79">
        <f>INT((2^$J$12-1)*O79/100)/(2^$J$12-1)*100</f>
        <v/>
      </c>
      <c r="Q79" t="n">
        <v>0</v>
      </c>
      <c r="R79">
        <f>P79+Q79</f>
        <v/>
      </c>
      <c r="S79">
        <f>$D$13</f>
        <v/>
      </c>
      <c r="T79">
        <f>RAND()*$G$12</f>
        <v/>
      </c>
      <c r="U79">
        <f>$I$1*S78-$I$2*S77+$I$3*R78+$I$4*R77</f>
        <v/>
      </c>
      <c r="V79">
        <f>INT((2^$J$12-1)*U79/100)/(2^$J$12-1)*100</f>
        <v/>
      </c>
      <c r="X79">
        <f>M79 * 1.05</f>
        <v/>
      </c>
    </row>
    <row r="80">
      <c r="L80" t="n">
        <v>78</v>
      </c>
      <c r="M80">
        <f>IF(L80&lt;$D$16,$D$13,IF(L80&lt;$E$16,$E$13,$F$13))</f>
        <v/>
      </c>
      <c r="N80">
        <f>M80-V80</f>
        <v/>
      </c>
      <c r="O80">
        <f>IF(MOD(L80,$B$11)=0,OFFSET(O80,-$B$11,0)+$E$2*N80+$E$3*OFFSET(N80,-$B$11,0)+$E$4*OFFSET(N80,-2*$B$11,0),O79)</f>
        <v/>
      </c>
      <c r="P80">
        <f>INT((2^$J$12-1)*O80/100)/(2^$J$12-1)*100</f>
        <v/>
      </c>
      <c r="Q80" t="n">
        <v>0</v>
      </c>
      <c r="R80">
        <f>P80+Q80</f>
        <v/>
      </c>
      <c r="S80">
        <f>$D$13</f>
        <v/>
      </c>
      <c r="T80">
        <f>RAND()*$G$12</f>
        <v/>
      </c>
      <c r="U80">
        <f>$I$1*S79-$I$2*S78+$I$3*R79+$I$4*R78</f>
        <v/>
      </c>
      <c r="V80">
        <f>INT((2^$J$12-1)*U80/100)/(2^$J$12-1)*100</f>
        <v/>
      </c>
      <c r="X80">
        <f>M80 * 1.05</f>
        <v/>
      </c>
    </row>
    <row r="81">
      <c r="L81" t="n">
        <v>79</v>
      </c>
      <c r="M81">
        <f>IF(L81&lt;$D$16,$D$13,IF(L81&lt;$E$16,$E$13,$F$13))</f>
        <v/>
      </c>
      <c r="N81">
        <f>M81-V81</f>
        <v/>
      </c>
      <c r="O81">
        <f>IF(MOD(L81,$B$11)=0,OFFSET(O81,-$B$11,0)+$E$2*N81+$E$3*OFFSET(N81,-$B$11,0)+$E$4*OFFSET(N81,-2*$B$11,0),O80)</f>
        <v/>
      </c>
      <c r="P81">
        <f>INT((2^$J$12-1)*O81/100)/(2^$J$12-1)*100</f>
        <v/>
      </c>
      <c r="Q81" t="n">
        <v>0</v>
      </c>
      <c r="R81">
        <f>P81+Q81</f>
        <v/>
      </c>
      <c r="S81">
        <f>$D$13</f>
        <v/>
      </c>
      <c r="T81">
        <f>RAND()*$G$12</f>
        <v/>
      </c>
      <c r="U81">
        <f>$I$1*S80-$I$2*S79+$I$3*R80+$I$4*R79</f>
        <v/>
      </c>
      <c r="V81">
        <f>INT((2^$J$12-1)*U81/100)/(2^$J$12-1)*100</f>
        <v/>
      </c>
      <c r="X81">
        <f>M81 * 1.05</f>
        <v/>
      </c>
    </row>
    <row r="82">
      <c r="L82" t="n">
        <v>80</v>
      </c>
      <c r="M82">
        <f>IF(L82&lt;$D$16,$D$13,IF(L82&lt;$E$16,$E$13,$F$13))</f>
        <v/>
      </c>
      <c r="N82">
        <f>M82-V82</f>
        <v/>
      </c>
      <c r="O82">
        <f>IF(MOD(L82,$B$11)=0,OFFSET(O82,-$B$11,0)+$E$2*N82+$E$3*OFFSET(N82,-$B$11,0)+$E$4*OFFSET(N82,-2*$B$11,0),O81)</f>
        <v/>
      </c>
      <c r="P82">
        <f>INT((2^$J$12-1)*O82/100)/(2^$J$12-1)*100</f>
        <v/>
      </c>
      <c r="Q82" t="n">
        <v>0</v>
      </c>
      <c r="R82">
        <f>P82+Q82</f>
        <v/>
      </c>
      <c r="S82">
        <f>$D$13</f>
        <v/>
      </c>
      <c r="T82">
        <f>RAND()*$G$12</f>
        <v/>
      </c>
      <c r="U82">
        <f>$I$1*S81-$I$2*S80+$I$3*R81+$I$4*R80</f>
        <v/>
      </c>
      <c r="V82">
        <f>INT((2^$J$12-1)*U82/100)/(2^$J$12-1)*100</f>
        <v/>
      </c>
      <c r="X82">
        <f>M82 * 1.05</f>
        <v/>
      </c>
    </row>
    <row r="83">
      <c r="L83" t="n">
        <v>81</v>
      </c>
      <c r="M83">
        <f>IF(L83&lt;$D$16,$D$13,IF(L83&lt;$E$16,$E$13,$F$13))</f>
        <v/>
      </c>
      <c r="N83">
        <f>M83-V83</f>
        <v/>
      </c>
      <c r="O83">
        <f>IF(MOD(L83,$B$11)=0,OFFSET(O83,-$B$11,0)+$E$2*N83+$E$3*OFFSET(N83,-$B$11,0)+$E$4*OFFSET(N83,-2*$B$11,0),O82)</f>
        <v/>
      </c>
      <c r="P83">
        <f>INT((2^$J$12-1)*O83/100)/(2^$J$12-1)*100</f>
        <v/>
      </c>
      <c r="Q83" t="n">
        <v>0</v>
      </c>
      <c r="R83">
        <f>P83+Q83</f>
        <v/>
      </c>
      <c r="S83">
        <f>$D$13</f>
        <v/>
      </c>
      <c r="T83">
        <f>RAND()*$G$12</f>
        <v/>
      </c>
      <c r="U83">
        <f>$I$1*S82-$I$2*S81+$I$3*R82+$I$4*R81</f>
        <v/>
      </c>
      <c r="V83">
        <f>INT((2^$J$12-1)*U83/100)/(2^$J$12-1)*100</f>
        <v/>
      </c>
      <c r="X83">
        <f>M83 * 1.05</f>
        <v/>
      </c>
    </row>
    <row r="84">
      <c r="L84" t="n">
        <v>82</v>
      </c>
      <c r="M84">
        <f>IF(L84&lt;$D$16,$D$13,IF(L84&lt;$E$16,$E$13,$F$13))</f>
        <v/>
      </c>
      <c r="N84">
        <f>M84-V84</f>
        <v/>
      </c>
      <c r="O84">
        <f>IF(MOD(L84,$B$11)=0,OFFSET(O84,-$B$11,0)+$E$2*N84+$E$3*OFFSET(N84,-$B$11,0)+$E$4*OFFSET(N84,-2*$B$11,0),O83)</f>
        <v/>
      </c>
      <c r="P84">
        <f>INT((2^$J$12-1)*O84/100)/(2^$J$12-1)*100</f>
        <v/>
      </c>
      <c r="Q84" t="n">
        <v>0</v>
      </c>
      <c r="R84">
        <f>P84+Q84</f>
        <v/>
      </c>
      <c r="S84">
        <f>$D$13</f>
        <v/>
      </c>
      <c r="T84">
        <f>RAND()*$G$12</f>
        <v/>
      </c>
      <c r="U84">
        <f>$I$1*S83-$I$2*S82+$I$3*R83+$I$4*R82</f>
        <v/>
      </c>
      <c r="V84">
        <f>INT((2^$J$12-1)*U84/100)/(2^$J$12-1)*100</f>
        <v/>
      </c>
      <c r="X84">
        <f>M84 * 1.05</f>
        <v/>
      </c>
    </row>
    <row r="85">
      <c r="L85" t="n">
        <v>83</v>
      </c>
      <c r="M85">
        <f>IF(L85&lt;$D$16,$D$13,IF(L85&lt;$E$16,$E$13,$F$13))</f>
        <v/>
      </c>
      <c r="N85">
        <f>M85-V85</f>
        <v/>
      </c>
      <c r="O85">
        <f>IF(MOD(L85,$B$11)=0,OFFSET(O85,-$B$11,0)+$E$2*N85+$E$3*OFFSET(N85,-$B$11,0)+$E$4*OFFSET(N85,-2*$B$11,0),O84)</f>
        <v/>
      </c>
      <c r="P85">
        <f>INT((2^$J$12-1)*O85/100)/(2^$J$12-1)*100</f>
        <v/>
      </c>
      <c r="Q85" t="n">
        <v>0</v>
      </c>
      <c r="R85">
        <f>P85+Q85</f>
        <v/>
      </c>
      <c r="S85">
        <f>$D$13</f>
        <v/>
      </c>
      <c r="T85">
        <f>RAND()*$G$12</f>
        <v/>
      </c>
      <c r="U85">
        <f>$I$1*S84-$I$2*S83+$I$3*R84+$I$4*R83</f>
        <v/>
      </c>
      <c r="V85">
        <f>INT((2^$J$12-1)*U85/100)/(2^$J$12-1)*100</f>
        <v/>
      </c>
      <c r="X85">
        <f>M85 * 1.05</f>
        <v/>
      </c>
    </row>
    <row r="86">
      <c r="L86" t="n">
        <v>84</v>
      </c>
      <c r="M86">
        <f>IF(L86&lt;$D$16,$D$13,IF(L86&lt;$E$16,$E$13,$F$13))</f>
        <v/>
      </c>
      <c r="N86">
        <f>M86-V86</f>
        <v/>
      </c>
      <c r="O86">
        <f>IF(MOD(L86,$B$11)=0,OFFSET(O86,-$B$11,0)+$E$2*N86+$E$3*OFFSET(N86,-$B$11,0)+$E$4*OFFSET(N86,-2*$B$11,0),O85)</f>
        <v/>
      </c>
      <c r="P86">
        <f>INT((2^$J$12-1)*O86/100)/(2^$J$12-1)*100</f>
        <v/>
      </c>
      <c r="Q86" t="n">
        <v>0</v>
      </c>
      <c r="R86">
        <f>P86+Q86</f>
        <v/>
      </c>
      <c r="S86">
        <f>$D$13</f>
        <v/>
      </c>
      <c r="T86">
        <f>RAND()*$G$12</f>
        <v/>
      </c>
      <c r="U86">
        <f>$I$1*S85-$I$2*S84+$I$3*R85+$I$4*R84</f>
        <v/>
      </c>
      <c r="V86">
        <f>INT((2^$J$12-1)*U86/100)/(2^$J$12-1)*100</f>
        <v/>
      </c>
      <c r="X86">
        <f>M86 * 1.05</f>
        <v/>
      </c>
    </row>
    <row r="87">
      <c r="L87" t="n">
        <v>85</v>
      </c>
      <c r="M87">
        <f>IF(L87&lt;$D$16,$D$13,IF(L87&lt;$E$16,$E$13,$F$13))</f>
        <v/>
      </c>
      <c r="N87">
        <f>M87-V87</f>
        <v/>
      </c>
      <c r="O87">
        <f>IF(MOD(L87,$B$11)=0,OFFSET(O87,-$B$11,0)+$E$2*N87+$E$3*OFFSET(N87,-$B$11,0)+$E$4*OFFSET(N87,-2*$B$11,0),O86)</f>
        <v/>
      </c>
      <c r="P87">
        <f>INT((2^$J$12-1)*O87/100)/(2^$J$12-1)*100</f>
        <v/>
      </c>
      <c r="Q87" t="n">
        <v>0</v>
      </c>
      <c r="R87">
        <f>P87+Q87</f>
        <v/>
      </c>
      <c r="S87">
        <f>$D$13</f>
        <v/>
      </c>
      <c r="T87">
        <f>RAND()*$G$12</f>
        <v/>
      </c>
      <c r="U87">
        <f>$I$1*S86-$I$2*S85+$I$3*R86+$I$4*R85</f>
        <v/>
      </c>
      <c r="V87">
        <f>INT((2^$J$12-1)*U87/100)/(2^$J$12-1)*100</f>
        <v/>
      </c>
      <c r="X87">
        <f>M87 * 1.05</f>
        <v/>
      </c>
    </row>
    <row r="88">
      <c r="L88" t="n">
        <v>86</v>
      </c>
      <c r="M88">
        <f>IF(L88&lt;$D$16,$D$13,IF(L88&lt;$E$16,$E$13,$F$13))</f>
        <v/>
      </c>
      <c r="N88">
        <f>M88-V88</f>
        <v/>
      </c>
      <c r="O88">
        <f>IF(MOD(L88,$B$11)=0,OFFSET(O88,-$B$11,0)+$E$2*N88+$E$3*OFFSET(N88,-$B$11,0)+$E$4*OFFSET(N88,-2*$B$11,0),O87)</f>
        <v/>
      </c>
      <c r="P88">
        <f>INT((2^$J$12-1)*O88/100)/(2^$J$12-1)*100</f>
        <v/>
      </c>
      <c r="Q88" t="n">
        <v>0</v>
      </c>
      <c r="R88">
        <f>P88+Q88</f>
        <v/>
      </c>
      <c r="S88">
        <f>$D$13</f>
        <v/>
      </c>
      <c r="T88">
        <f>RAND()*$G$12</f>
        <v/>
      </c>
      <c r="U88">
        <f>$I$1*S87-$I$2*S86+$I$3*R87+$I$4*R86</f>
        <v/>
      </c>
      <c r="V88">
        <f>INT((2^$J$12-1)*U88/100)/(2^$J$12-1)*100</f>
        <v/>
      </c>
      <c r="X88">
        <f>M88 * 1.05</f>
        <v/>
      </c>
    </row>
    <row r="89">
      <c r="L89" t="n">
        <v>87</v>
      </c>
      <c r="M89">
        <f>IF(L89&lt;$D$16,$D$13,IF(L89&lt;$E$16,$E$13,$F$13))</f>
        <v/>
      </c>
      <c r="N89">
        <f>M89-V89</f>
        <v/>
      </c>
      <c r="O89">
        <f>IF(MOD(L89,$B$11)=0,OFFSET(O89,-$B$11,0)+$E$2*N89+$E$3*OFFSET(N89,-$B$11,0)+$E$4*OFFSET(N89,-2*$B$11,0),O88)</f>
        <v/>
      </c>
      <c r="P89">
        <f>INT((2^$J$12-1)*O89/100)/(2^$J$12-1)*100</f>
        <v/>
      </c>
      <c r="Q89" t="n">
        <v>0</v>
      </c>
      <c r="R89">
        <f>P89+Q89</f>
        <v/>
      </c>
      <c r="S89">
        <f>$D$13</f>
        <v/>
      </c>
      <c r="T89">
        <f>RAND()*$G$12</f>
        <v/>
      </c>
      <c r="U89">
        <f>$I$1*S88-$I$2*S87+$I$3*R88+$I$4*R87</f>
        <v/>
      </c>
      <c r="V89">
        <f>INT((2^$J$12-1)*U89/100)/(2^$J$12-1)*100</f>
        <v/>
      </c>
      <c r="X89">
        <f>M89 * 1.05</f>
        <v/>
      </c>
    </row>
    <row r="90">
      <c r="L90" t="n">
        <v>88</v>
      </c>
      <c r="M90">
        <f>IF(L90&lt;$D$16,$D$13,IF(L90&lt;$E$16,$E$13,$F$13))</f>
        <v/>
      </c>
      <c r="N90">
        <f>M90-V90</f>
        <v/>
      </c>
      <c r="O90">
        <f>IF(MOD(L90,$B$11)=0,OFFSET(O90,-$B$11,0)+$E$2*N90+$E$3*OFFSET(N90,-$B$11,0)+$E$4*OFFSET(N90,-2*$B$11,0),O89)</f>
        <v/>
      </c>
      <c r="P90">
        <f>INT((2^$J$12-1)*O90/100)/(2^$J$12-1)*100</f>
        <v/>
      </c>
      <c r="Q90" t="n">
        <v>0</v>
      </c>
      <c r="R90">
        <f>P90+Q90</f>
        <v/>
      </c>
      <c r="S90">
        <f>$D$13</f>
        <v/>
      </c>
      <c r="T90">
        <f>RAND()*$G$12</f>
        <v/>
      </c>
      <c r="U90">
        <f>$I$1*S89-$I$2*S88+$I$3*R89+$I$4*R88</f>
        <v/>
      </c>
      <c r="V90">
        <f>INT((2^$J$12-1)*U90/100)/(2^$J$12-1)*100</f>
        <v/>
      </c>
      <c r="X90">
        <f>M90 * 1.05</f>
        <v/>
      </c>
    </row>
    <row r="91">
      <c r="L91" t="n">
        <v>89</v>
      </c>
      <c r="M91">
        <f>IF(L91&lt;$D$16,$D$13,IF(L91&lt;$E$16,$E$13,$F$13))</f>
        <v/>
      </c>
      <c r="N91">
        <f>M91-V91</f>
        <v/>
      </c>
      <c r="O91">
        <f>IF(MOD(L91,$B$11)=0,OFFSET(O91,-$B$11,0)+$E$2*N91+$E$3*OFFSET(N91,-$B$11,0)+$E$4*OFFSET(N91,-2*$B$11,0),O90)</f>
        <v/>
      </c>
      <c r="P91">
        <f>INT((2^$J$12-1)*O91/100)/(2^$J$12-1)*100</f>
        <v/>
      </c>
      <c r="Q91" t="n">
        <v>0</v>
      </c>
      <c r="R91">
        <f>P91+Q91</f>
        <v/>
      </c>
      <c r="S91">
        <f>$D$13</f>
        <v/>
      </c>
      <c r="T91">
        <f>RAND()*$G$12</f>
        <v/>
      </c>
      <c r="U91">
        <f>$I$1*S90-$I$2*S89+$I$3*R90+$I$4*R89</f>
        <v/>
      </c>
      <c r="V91">
        <f>INT((2^$J$12-1)*U91/100)/(2^$J$12-1)*100</f>
        <v/>
      </c>
      <c r="X91">
        <f>M91 * 1.05</f>
        <v/>
      </c>
    </row>
    <row r="92">
      <c r="L92" t="n">
        <v>90</v>
      </c>
      <c r="M92">
        <f>IF(L92&lt;$D$16,$D$13,IF(L92&lt;$E$16,$E$13,$F$13))</f>
        <v/>
      </c>
      <c r="N92">
        <f>M92-V92</f>
        <v/>
      </c>
      <c r="O92">
        <f>IF(MOD(L92,$B$11)=0,OFFSET(O92,-$B$11,0)+$E$2*N92+$E$3*OFFSET(N92,-$B$11,0)+$E$4*OFFSET(N92,-2*$B$11,0),O91)</f>
        <v/>
      </c>
      <c r="P92">
        <f>INT((2^$J$12-1)*O92/100)/(2^$J$12-1)*100</f>
        <v/>
      </c>
      <c r="Q92" t="n">
        <v>0</v>
      </c>
      <c r="R92">
        <f>P92+Q92</f>
        <v/>
      </c>
      <c r="S92">
        <f>$D$13</f>
        <v/>
      </c>
      <c r="T92">
        <f>RAND()*$G$12</f>
        <v/>
      </c>
      <c r="U92">
        <f>$I$1*S91-$I$2*S90+$I$3*R91+$I$4*R90</f>
        <v/>
      </c>
      <c r="V92">
        <f>INT((2^$J$12-1)*U92/100)/(2^$J$12-1)*100</f>
        <v/>
      </c>
      <c r="X92">
        <f>M92 * 1.05</f>
        <v/>
      </c>
    </row>
    <row r="93">
      <c r="L93" t="n">
        <v>91</v>
      </c>
      <c r="M93">
        <f>IF(L93&lt;$D$16,$D$13,IF(L93&lt;$E$16,$E$13,$F$13))</f>
        <v/>
      </c>
      <c r="N93">
        <f>M93-V93</f>
        <v/>
      </c>
      <c r="O93">
        <f>IF(MOD(L93,$B$11)=0,OFFSET(O93,-$B$11,0)+$E$2*N93+$E$3*OFFSET(N93,-$B$11,0)+$E$4*OFFSET(N93,-2*$B$11,0),O92)</f>
        <v/>
      </c>
      <c r="P93">
        <f>INT((2^$J$12-1)*O93/100)/(2^$J$12-1)*100</f>
        <v/>
      </c>
      <c r="Q93" t="n">
        <v>0</v>
      </c>
      <c r="R93">
        <f>P93+Q93</f>
        <v/>
      </c>
      <c r="S93">
        <f>$D$13</f>
        <v/>
      </c>
      <c r="T93">
        <f>RAND()*$G$12</f>
        <v/>
      </c>
      <c r="U93">
        <f>$I$1*S92-$I$2*S91+$I$3*R92+$I$4*R91</f>
        <v/>
      </c>
      <c r="V93">
        <f>INT((2^$J$12-1)*U93/100)/(2^$J$12-1)*100</f>
        <v/>
      </c>
      <c r="X93">
        <f>M93 * 1.05</f>
        <v/>
      </c>
    </row>
    <row r="94">
      <c r="L94" t="n">
        <v>92</v>
      </c>
      <c r="M94">
        <f>IF(L94&lt;$D$16,$D$13,IF(L94&lt;$E$16,$E$13,$F$13))</f>
        <v/>
      </c>
      <c r="N94">
        <f>M94-V94</f>
        <v/>
      </c>
      <c r="O94">
        <f>IF(MOD(L94,$B$11)=0,OFFSET(O94,-$B$11,0)+$E$2*N94+$E$3*OFFSET(N94,-$B$11,0)+$E$4*OFFSET(N94,-2*$B$11,0),O93)</f>
        <v/>
      </c>
      <c r="P94">
        <f>INT((2^$J$12-1)*O94/100)/(2^$J$12-1)*100</f>
        <v/>
      </c>
      <c r="Q94" t="n">
        <v>0</v>
      </c>
      <c r="R94">
        <f>P94+Q94</f>
        <v/>
      </c>
      <c r="S94">
        <f>$D$13</f>
        <v/>
      </c>
      <c r="T94">
        <f>RAND()*$G$12</f>
        <v/>
      </c>
      <c r="U94">
        <f>$I$1*S93-$I$2*S92+$I$3*R93+$I$4*R92</f>
        <v/>
      </c>
      <c r="V94">
        <f>INT((2^$J$12-1)*U94/100)/(2^$J$12-1)*100</f>
        <v/>
      </c>
      <c r="X94">
        <f>M94 * 1.05</f>
        <v/>
      </c>
    </row>
    <row r="95">
      <c r="L95" t="n">
        <v>93</v>
      </c>
      <c r="M95">
        <f>IF(L95&lt;$D$16,$D$13,IF(L95&lt;$E$16,$E$13,$F$13))</f>
        <v/>
      </c>
      <c r="N95">
        <f>M95-V95</f>
        <v/>
      </c>
      <c r="O95">
        <f>IF(MOD(L95,$B$11)=0,OFFSET(O95,-$B$11,0)+$E$2*N95+$E$3*OFFSET(N95,-$B$11,0)+$E$4*OFFSET(N95,-2*$B$11,0),O94)</f>
        <v/>
      </c>
      <c r="P95">
        <f>INT((2^$J$12-1)*O95/100)/(2^$J$12-1)*100</f>
        <v/>
      </c>
      <c r="Q95" t="n">
        <v>0</v>
      </c>
      <c r="R95">
        <f>P95+Q95</f>
        <v/>
      </c>
      <c r="S95">
        <f>$D$13</f>
        <v/>
      </c>
      <c r="T95">
        <f>RAND()*$G$12</f>
        <v/>
      </c>
      <c r="U95">
        <f>$I$1*S94-$I$2*S93+$I$3*R94+$I$4*R93</f>
        <v/>
      </c>
      <c r="V95">
        <f>INT((2^$J$12-1)*U95/100)/(2^$J$12-1)*100</f>
        <v/>
      </c>
      <c r="X95">
        <f>M95 * 1.05</f>
        <v/>
      </c>
    </row>
    <row r="96">
      <c r="L96" t="n">
        <v>94</v>
      </c>
      <c r="M96">
        <f>IF(L96&lt;$D$16,$D$13,IF(L96&lt;$E$16,$E$13,$F$13))</f>
        <v/>
      </c>
      <c r="N96">
        <f>M96-V96</f>
        <v/>
      </c>
      <c r="O96">
        <f>IF(MOD(L96,$B$11)=0,OFFSET(O96,-$B$11,0)+$E$2*N96+$E$3*OFFSET(N96,-$B$11,0)+$E$4*OFFSET(N96,-2*$B$11,0),O95)</f>
        <v/>
      </c>
      <c r="P96">
        <f>INT((2^$J$12-1)*O96/100)/(2^$J$12-1)*100</f>
        <v/>
      </c>
      <c r="Q96" t="n">
        <v>0</v>
      </c>
      <c r="R96">
        <f>P96+Q96</f>
        <v/>
      </c>
      <c r="S96">
        <f>$D$13</f>
        <v/>
      </c>
      <c r="T96">
        <f>RAND()*$G$12</f>
        <v/>
      </c>
      <c r="U96">
        <f>$I$1*S95-$I$2*S94+$I$3*R95+$I$4*R94</f>
        <v/>
      </c>
      <c r="V96">
        <f>INT((2^$J$12-1)*U96/100)/(2^$J$12-1)*100</f>
        <v/>
      </c>
      <c r="X96">
        <f>M96 * 1.05</f>
        <v/>
      </c>
    </row>
    <row r="97">
      <c r="L97" t="n">
        <v>95</v>
      </c>
      <c r="M97">
        <f>IF(L97&lt;$D$16,$D$13,IF(L97&lt;$E$16,$E$13,$F$13))</f>
        <v/>
      </c>
      <c r="N97">
        <f>M97-V97</f>
        <v/>
      </c>
      <c r="O97">
        <f>IF(MOD(L97,$B$11)=0,OFFSET(O97,-$B$11,0)+$E$2*N97+$E$3*OFFSET(N97,-$B$11,0)+$E$4*OFFSET(N97,-2*$B$11,0),O96)</f>
        <v/>
      </c>
      <c r="P97">
        <f>INT((2^$J$12-1)*O97/100)/(2^$J$12-1)*100</f>
        <v/>
      </c>
      <c r="Q97" t="n">
        <v>0</v>
      </c>
      <c r="R97">
        <f>P97+Q97</f>
        <v/>
      </c>
      <c r="S97">
        <f>$D$13</f>
        <v/>
      </c>
      <c r="T97">
        <f>RAND()*$G$12</f>
        <v/>
      </c>
      <c r="U97">
        <f>$I$1*S96-$I$2*S95+$I$3*R96+$I$4*R95</f>
        <v/>
      </c>
      <c r="V97">
        <f>INT((2^$J$12-1)*U97/100)/(2^$J$12-1)*100</f>
        <v/>
      </c>
      <c r="X97">
        <f>M97 * 1.05</f>
        <v/>
      </c>
    </row>
    <row r="98">
      <c r="L98" t="n">
        <v>96</v>
      </c>
      <c r="M98">
        <f>IF(L98&lt;$D$16,$D$13,IF(L98&lt;$E$16,$E$13,$F$13))</f>
        <v/>
      </c>
      <c r="N98">
        <f>M98-V98</f>
        <v/>
      </c>
      <c r="O98">
        <f>IF(MOD(L98,$B$11)=0,OFFSET(O98,-$B$11,0)+$E$2*N98+$E$3*OFFSET(N98,-$B$11,0)+$E$4*OFFSET(N98,-2*$B$11,0),O97)</f>
        <v/>
      </c>
      <c r="P98">
        <f>INT((2^$J$12-1)*O98/100)/(2^$J$12-1)*100</f>
        <v/>
      </c>
      <c r="Q98" t="n">
        <v>0</v>
      </c>
      <c r="R98">
        <f>P98+Q98</f>
        <v/>
      </c>
      <c r="S98">
        <f>$D$13</f>
        <v/>
      </c>
      <c r="T98">
        <f>RAND()*$G$12</f>
        <v/>
      </c>
      <c r="U98">
        <f>$I$1*S97-$I$2*S96+$I$3*R97+$I$4*R96</f>
        <v/>
      </c>
      <c r="V98">
        <f>INT((2^$J$12-1)*U98/100)/(2^$J$12-1)*100</f>
        <v/>
      </c>
      <c r="X98">
        <f>M98 * 1.05</f>
        <v/>
      </c>
    </row>
    <row r="99">
      <c r="L99" t="n">
        <v>97</v>
      </c>
      <c r="M99">
        <f>IF(L99&lt;$D$16,$D$13,IF(L99&lt;$E$16,$E$13,$F$13))</f>
        <v/>
      </c>
      <c r="N99">
        <f>M99-V99</f>
        <v/>
      </c>
      <c r="O99">
        <f>IF(MOD(L99,$B$11)=0,OFFSET(O99,-$B$11,0)+$E$2*N99+$E$3*OFFSET(N99,-$B$11,0)+$E$4*OFFSET(N99,-2*$B$11,0),O98)</f>
        <v/>
      </c>
      <c r="P99">
        <f>INT((2^$J$12-1)*O99/100)/(2^$J$12-1)*100</f>
        <v/>
      </c>
      <c r="Q99" t="n">
        <v>0</v>
      </c>
      <c r="R99">
        <f>P99+Q99</f>
        <v/>
      </c>
      <c r="S99">
        <f>$D$13</f>
        <v/>
      </c>
      <c r="T99">
        <f>RAND()*$G$12</f>
        <v/>
      </c>
      <c r="U99">
        <f>$I$1*S98-$I$2*S97+$I$3*R98+$I$4*R97</f>
        <v/>
      </c>
      <c r="V99">
        <f>INT((2^$J$12-1)*U99/100)/(2^$J$12-1)*100</f>
        <v/>
      </c>
      <c r="X99">
        <f>M99 * 1.05</f>
        <v/>
      </c>
    </row>
    <row r="100">
      <c r="L100" t="n">
        <v>98</v>
      </c>
      <c r="M100">
        <f>IF(L100&lt;$D$16,$D$13,IF(L100&lt;$E$16,$E$13,$F$13))</f>
        <v/>
      </c>
      <c r="N100">
        <f>M100-V100</f>
        <v/>
      </c>
      <c r="O100">
        <f>IF(MOD(L100,$B$11)=0,OFFSET(O100,-$B$11,0)+$E$2*N100+$E$3*OFFSET(N100,-$B$11,0)+$E$4*OFFSET(N100,-2*$B$11,0),O99)</f>
        <v/>
      </c>
      <c r="P100">
        <f>INT((2^$J$12-1)*O100/100)/(2^$J$12-1)*100</f>
        <v/>
      </c>
      <c r="Q100" t="n">
        <v>0</v>
      </c>
      <c r="R100">
        <f>P100+Q100</f>
        <v/>
      </c>
      <c r="S100">
        <f>$D$13</f>
        <v/>
      </c>
      <c r="T100">
        <f>RAND()*$G$12</f>
        <v/>
      </c>
      <c r="U100">
        <f>$I$1*S99-$I$2*S98+$I$3*R99+$I$4*R98</f>
        <v/>
      </c>
      <c r="V100">
        <f>INT((2^$J$12-1)*U100/100)/(2^$J$12-1)*100</f>
        <v/>
      </c>
      <c r="X100">
        <f>M100 * 1.05</f>
        <v/>
      </c>
    </row>
    <row r="101">
      <c r="L101" t="n">
        <v>99</v>
      </c>
      <c r="M101">
        <f>IF(L101&lt;$D$16,$D$13,IF(L101&lt;$E$16,$E$13,$F$13))</f>
        <v/>
      </c>
      <c r="N101">
        <f>M101-V101</f>
        <v/>
      </c>
      <c r="O101">
        <f>IF(MOD(L101,$B$11)=0,OFFSET(O101,-$B$11,0)+$E$2*N101+$E$3*OFFSET(N101,-$B$11,0)+$E$4*OFFSET(N101,-2*$B$11,0),O100)</f>
        <v/>
      </c>
      <c r="P101">
        <f>INT((2^$J$12-1)*O101/100)/(2^$J$12-1)*100</f>
        <v/>
      </c>
      <c r="Q101" t="n">
        <v>0</v>
      </c>
      <c r="R101">
        <f>P101+Q101</f>
        <v/>
      </c>
      <c r="S101">
        <f>$D$13</f>
        <v/>
      </c>
      <c r="T101">
        <f>RAND()*$G$12</f>
        <v/>
      </c>
      <c r="U101">
        <f>$I$1*S100-$I$2*S99+$I$3*R100+$I$4*R99</f>
        <v/>
      </c>
      <c r="V101">
        <f>INT((2^$J$12-1)*U101/100)/(2^$J$12-1)*100</f>
        <v/>
      </c>
      <c r="X101">
        <f>M101 * 1.05</f>
        <v/>
      </c>
    </row>
    <row r="102">
      <c r="L102" t="n">
        <v>100</v>
      </c>
      <c r="M102">
        <f>IF(L102&lt;$D$16,$D$13,IF(L102&lt;$E$16,$E$13,$F$13))</f>
        <v/>
      </c>
      <c r="N102">
        <f>M102-V102</f>
        <v/>
      </c>
      <c r="O102">
        <f>IF(MOD(L102,$B$11)=0,OFFSET(O102,-$B$11,0)+$E$2*N102+$E$3*OFFSET(N102,-$B$11,0)+$E$4*OFFSET(N102,-2*$B$11,0),O101)</f>
        <v/>
      </c>
      <c r="P102">
        <f>INT((2^$J$12-1)*O102/100)/(2^$J$12-1)*100</f>
        <v/>
      </c>
      <c r="Q102" t="n">
        <v>0</v>
      </c>
      <c r="R102">
        <f>P102+Q102</f>
        <v/>
      </c>
      <c r="S102">
        <f>$D$13</f>
        <v/>
      </c>
      <c r="T102">
        <f>RAND()*$G$12</f>
        <v/>
      </c>
      <c r="U102">
        <f>$I$1*S101-$I$2*S100+$I$3*R101+$I$4*R100</f>
        <v/>
      </c>
      <c r="V102">
        <f>INT((2^$J$12-1)*U102/100)/(2^$J$12-1)*100</f>
        <v/>
      </c>
      <c r="X102">
        <f>M102 * 1.05</f>
        <v/>
      </c>
    </row>
    <row r="103">
      <c r="L103" t="n">
        <v>101</v>
      </c>
      <c r="M103">
        <f>IF(L103&lt;$D$16,$D$13,IF(L103&lt;$E$16,$E$13,$F$13))</f>
        <v/>
      </c>
      <c r="N103">
        <f>M103-V103</f>
        <v/>
      </c>
      <c r="O103">
        <f>IF(MOD(L103,$B$11)=0,OFFSET(O103,-$B$11,0)+$E$2*N103+$E$3*OFFSET(N103,-$B$11,0)+$E$4*OFFSET(N103,-2*$B$11,0),O102)</f>
        <v/>
      </c>
      <c r="P103">
        <f>INT((2^$J$12-1)*O103/100)/(2^$J$12-1)*100</f>
        <v/>
      </c>
      <c r="Q103" t="n">
        <v>0</v>
      </c>
      <c r="R103">
        <f>P103+Q103</f>
        <v/>
      </c>
      <c r="S103">
        <f>$D$13</f>
        <v/>
      </c>
      <c r="T103">
        <f>RAND()*$G$12</f>
        <v/>
      </c>
      <c r="U103">
        <f>$I$1*S102-$I$2*S101+$I$3*R102+$I$4*R101</f>
        <v/>
      </c>
      <c r="V103">
        <f>INT((2^$J$12-1)*U103/100)/(2^$J$12-1)*100</f>
        <v/>
      </c>
      <c r="X103">
        <f>M103 * 1.05</f>
        <v/>
      </c>
    </row>
    <row r="104">
      <c r="L104" t="n">
        <v>102</v>
      </c>
      <c r="M104">
        <f>IF(L104&lt;$D$16,$D$13,IF(L104&lt;$E$16,$E$13,$F$13))</f>
        <v/>
      </c>
      <c r="N104">
        <f>M104-V104</f>
        <v/>
      </c>
      <c r="O104">
        <f>IF(MOD(L104,$B$11)=0,OFFSET(O104,-$B$11,0)+$E$2*N104+$E$3*OFFSET(N104,-$B$11,0)+$E$4*OFFSET(N104,-2*$B$11,0),O103)</f>
        <v/>
      </c>
      <c r="P104">
        <f>INT((2^$J$12-1)*O104/100)/(2^$J$12-1)*100</f>
        <v/>
      </c>
      <c r="Q104" t="n">
        <v>0</v>
      </c>
      <c r="R104">
        <f>P104+Q104</f>
        <v/>
      </c>
      <c r="S104">
        <f>$D$13</f>
        <v/>
      </c>
      <c r="T104">
        <f>RAND()*$G$12</f>
        <v/>
      </c>
      <c r="U104">
        <f>$I$1*S103-$I$2*S102+$I$3*R103+$I$4*R102</f>
        <v/>
      </c>
      <c r="V104">
        <f>INT((2^$J$12-1)*U104/100)/(2^$J$12-1)*100</f>
        <v/>
      </c>
      <c r="X104">
        <f>M104 * 1.05</f>
        <v/>
      </c>
    </row>
    <row r="105">
      <c r="L105" t="n">
        <v>103</v>
      </c>
      <c r="M105">
        <f>IF(L105&lt;$D$16,$D$13,IF(L105&lt;$E$16,$E$13,$F$13))</f>
        <v/>
      </c>
      <c r="N105">
        <f>M105-V105</f>
        <v/>
      </c>
      <c r="O105">
        <f>IF(MOD(L105,$B$11)=0,OFFSET(O105,-$B$11,0)+$E$2*N105+$E$3*OFFSET(N105,-$B$11,0)+$E$4*OFFSET(N105,-2*$B$11,0),O104)</f>
        <v/>
      </c>
      <c r="P105">
        <f>INT((2^$J$12-1)*O105/100)/(2^$J$12-1)*100</f>
        <v/>
      </c>
      <c r="Q105" t="n">
        <v>0</v>
      </c>
      <c r="R105">
        <f>P105+Q105</f>
        <v/>
      </c>
      <c r="S105">
        <f>$D$13</f>
        <v/>
      </c>
      <c r="T105">
        <f>RAND()*$G$12</f>
        <v/>
      </c>
      <c r="U105">
        <f>$I$1*S104-$I$2*S103+$I$3*R104+$I$4*R103</f>
        <v/>
      </c>
      <c r="V105">
        <f>INT((2^$J$12-1)*U105/100)/(2^$J$12-1)*100</f>
        <v/>
      </c>
      <c r="X105">
        <f>M105 * 1.05</f>
        <v/>
      </c>
    </row>
    <row r="106">
      <c r="L106" t="n">
        <v>104</v>
      </c>
      <c r="M106">
        <f>IF(L106&lt;$D$16,$D$13,IF(L106&lt;$E$16,$E$13,$F$13))</f>
        <v/>
      </c>
      <c r="N106">
        <f>M106-V106</f>
        <v/>
      </c>
      <c r="O106">
        <f>IF(MOD(L106,$B$11)=0,OFFSET(O106,-$B$11,0)+$E$2*N106+$E$3*OFFSET(N106,-$B$11,0)+$E$4*OFFSET(N106,-2*$B$11,0),O105)</f>
        <v/>
      </c>
      <c r="P106">
        <f>INT((2^$J$12-1)*O106/100)/(2^$J$12-1)*100</f>
        <v/>
      </c>
      <c r="Q106" t="n">
        <v>0</v>
      </c>
      <c r="R106">
        <f>P106+Q106</f>
        <v/>
      </c>
      <c r="S106">
        <f>$D$13</f>
        <v/>
      </c>
      <c r="T106">
        <f>RAND()*$G$12</f>
        <v/>
      </c>
      <c r="U106">
        <f>$I$1*S105-$I$2*S104+$I$3*R105+$I$4*R104</f>
        <v/>
      </c>
      <c r="V106">
        <f>INT((2^$J$12-1)*U106/100)/(2^$J$12-1)*100</f>
        <v/>
      </c>
      <c r="X106">
        <f>M106 * 1.05</f>
        <v/>
      </c>
    </row>
    <row r="107">
      <c r="L107" t="n">
        <v>105</v>
      </c>
      <c r="M107">
        <f>IF(L107&lt;$D$16,$D$13,IF(L107&lt;$E$16,$E$13,$F$13))</f>
        <v/>
      </c>
      <c r="N107">
        <f>M107-V107</f>
        <v/>
      </c>
      <c r="O107">
        <f>IF(MOD(L107,$B$11)=0,OFFSET(O107,-$B$11,0)+$E$2*N107+$E$3*OFFSET(N107,-$B$11,0)+$E$4*OFFSET(N107,-2*$B$11,0),O106)</f>
        <v/>
      </c>
      <c r="P107">
        <f>INT((2^$J$12-1)*O107/100)/(2^$J$12-1)*100</f>
        <v/>
      </c>
      <c r="Q107" t="n">
        <v>0</v>
      </c>
      <c r="R107">
        <f>P107+Q107</f>
        <v/>
      </c>
      <c r="S107">
        <f>$D$13</f>
        <v/>
      </c>
      <c r="T107">
        <f>RAND()*$G$12</f>
        <v/>
      </c>
      <c r="U107">
        <f>$I$1*S106-$I$2*S105+$I$3*R106+$I$4*R105</f>
        <v/>
      </c>
      <c r="V107">
        <f>INT((2^$J$12-1)*U107/100)/(2^$J$12-1)*100</f>
        <v/>
      </c>
      <c r="X107">
        <f>M107 * 1.05</f>
        <v/>
      </c>
    </row>
    <row r="108">
      <c r="L108" t="n">
        <v>106</v>
      </c>
      <c r="M108">
        <f>IF(L108&lt;$D$16,$D$13,IF(L108&lt;$E$16,$E$13,$F$13))</f>
        <v/>
      </c>
      <c r="N108">
        <f>M108-V108</f>
        <v/>
      </c>
      <c r="O108">
        <f>IF(MOD(L108,$B$11)=0,OFFSET(O108,-$B$11,0)+$E$2*N108+$E$3*OFFSET(N108,-$B$11,0)+$E$4*OFFSET(N108,-2*$B$11,0),O107)</f>
        <v/>
      </c>
      <c r="P108">
        <f>INT((2^$J$12-1)*O108/100)/(2^$J$12-1)*100</f>
        <v/>
      </c>
      <c r="Q108" t="n">
        <v>0</v>
      </c>
      <c r="R108">
        <f>P108+Q108</f>
        <v/>
      </c>
      <c r="S108">
        <f>$D$13</f>
        <v/>
      </c>
      <c r="T108">
        <f>RAND()*$G$12</f>
        <v/>
      </c>
      <c r="U108">
        <f>$I$1*S107-$I$2*S106+$I$3*R107+$I$4*R106</f>
        <v/>
      </c>
      <c r="V108">
        <f>INT((2^$J$12-1)*U108/100)/(2^$J$12-1)*100</f>
        <v/>
      </c>
      <c r="X108">
        <f>M108 * 1.05</f>
        <v/>
      </c>
    </row>
    <row r="109">
      <c r="L109" t="n">
        <v>107</v>
      </c>
      <c r="M109">
        <f>IF(L109&lt;$D$16,$D$13,IF(L109&lt;$E$16,$E$13,$F$13))</f>
        <v/>
      </c>
      <c r="N109">
        <f>M109-V109</f>
        <v/>
      </c>
      <c r="O109">
        <f>IF(MOD(L109,$B$11)=0,OFFSET(O109,-$B$11,0)+$E$2*N109+$E$3*OFFSET(N109,-$B$11,0)+$E$4*OFFSET(N109,-2*$B$11,0),O108)</f>
        <v/>
      </c>
      <c r="P109">
        <f>INT((2^$J$12-1)*O109/100)/(2^$J$12-1)*100</f>
        <v/>
      </c>
      <c r="Q109" t="n">
        <v>0</v>
      </c>
      <c r="R109">
        <f>P109+Q109</f>
        <v/>
      </c>
      <c r="S109">
        <f>$D$13</f>
        <v/>
      </c>
      <c r="T109">
        <f>RAND()*$G$12</f>
        <v/>
      </c>
      <c r="U109">
        <f>$I$1*S108-$I$2*S107+$I$3*R108+$I$4*R107</f>
        <v/>
      </c>
      <c r="V109">
        <f>INT((2^$J$12-1)*U109/100)/(2^$J$12-1)*100</f>
        <v/>
      </c>
      <c r="X109">
        <f>M109 * 1.05</f>
        <v/>
      </c>
    </row>
    <row r="110">
      <c r="L110" t="n">
        <v>108</v>
      </c>
      <c r="M110">
        <f>IF(L110&lt;$D$16,$D$13,IF(L110&lt;$E$16,$E$13,$F$13))</f>
        <v/>
      </c>
      <c r="N110">
        <f>M110-V110</f>
        <v/>
      </c>
      <c r="O110">
        <f>IF(MOD(L110,$B$11)=0,OFFSET(O110,-$B$11,0)+$E$2*N110+$E$3*OFFSET(N110,-$B$11,0)+$E$4*OFFSET(N110,-2*$B$11,0),O109)</f>
        <v/>
      </c>
      <c r="P110">
        <f>INT((2^$J$12-1)*O110/100)/(2^$J$12-1)*100</f>
        <v/>
      </c>
      <c r="Q110" t="n">
        <v>0</v>
      </c>
      <c r="R110">
        <f>P110+Q110</f>
        <v/>
      </c>
      <c r="S110">
        <f>$D$13</f>
        <v/>
      </c>
      <c r="T110">
        <f>RAND()*$G$12</f>
        <v/>
      </c>
      <c r="U110">
        <f>$I$1*S109-$I$2*S108+$I$3*R109+$I$4*R108</f>
        <v/>
      </c>
      <c r="V110">
        <f>INT((2^$J$12-1)*U110/100)/(2^$J$12-1)*100</f>
        <v/>
      </c>
      <c r="X110">
        <f>M110 * 1.05</f>
        <v/>
      </c>
    </row>
    <row r="111">
      <c r="L111" t="n">
        <v>109</v>
      </c>
      <c r="M111">
        <f>IF(L111&lt;$D$16,$D$13,IF(L111&lt;$E$16,$E$13,$F$13))</f>
        <v/>
      </c>
      <c r="N111">
        <f>M111-V111</f>
        <v/>
      </c>
      <c r="O111">
        <f>IF(MOD(L111,$B$11)=0,OFFSET(O111,-$B$11,0)+$E$2*N111+$E$3*OFFSET(N111,-$B$11,0)+$E$4*OFFSET(N111,-2*$B$11,0),O110)</f>
        <v/>
      </c>
      <c r="P111">
        <f>INT((2^$J$12-1)*O111/100)/(2^$J$12-1)*100</f>
        <v/>
      </c>
      <c r="Q111" t="n">
        <v>0</v>
      </c>
      <c r="R111">
        <f>P111+Q111</f>
        <v/>
      </c>
      <c r="S111">
        <f>$D$13</f>
        <v/>
      </c>
      <c r="T111">
        <f>RAND()*$G$12</f>
        <v/>
      </c>
      <c r="U111">
        <f>$I$1*S110-$I$2*S109+$I$3*R110+$I$4*R109</f>
        <v/>
      </c>
      <c r="V111">
        <f>INT((2^$J$12-1)*U111/100)/(2^$J$12-1)*100</f>
        <v/>
      </c>
      <c r="X111">
        <f>M111 * 1.05</f>
        <v/>
      </c>
    </row>
    <row r="112">
      <c r="L112" t="n">
        <v>110</v>
      </c>
      <c r="M112">
        <f>IF(L112&lt;$D$16,$D$13,IF(L112&lt;$E$16,$E$13,$F$13))</f>
        <v/>
      </c>
      <c r="N112">
        <f>M112-V112</f>
        <v/>
      </c>
      <c r="O112">
        <f>IF(MOD(L112,$B$11)=0,OFFSET(O112,-$B$11,0)+$E$2*N112+$E$3*OFFSET(N112,-$B$11,0)+$E$4*OFFSET(N112,-2*$B$11,0),O111)</f>
        <v/>
      </c>
      <c r="P112">
        <f>INT((2^$J$12-1)*O112/100)/(2^$J$12-1)*100</f>
        <v/>
      </c>
      <c r="Q112" t="n">
        <v>0</v>
      </c>
      <c r="R112">
        <f>P112+Q112</f>
        <v/>
      </c>
      <c r="S112">
        <f>$D$13</f>
        <v/>
      </c>
      <c r="T112">
        <f>RAND()*$G$12</f>
        <v/>
      </c>
      <c r="U112">
        <f>$I$1*S111-$I$2*S110+$I$3*R111+$I$4*R110</f>
        <v/>
      </c>
      <c r="V112">
        <f>INT((2^$J$12-1)*U112/100)/(2^$J$12-1)*100</f>
        <v/>
      </c>
      <c r="X112">
        <f>M112 * 1.05</f>
        <v/>
      </c>
    </row>
    <row r="113">
      <c r="L113" t="n">
        <v>111</v>
      </c>
      <c r="M113">
        <f>IF(L113&lt;$D$16,$D$13,IF(L113&lt;$E$16,$E$13,$F$13))</f>
        <v/>
      </c>
      <c r="N113">
        <f>M113-V113</f>
        <v/>
      </c>
      <c r="O113">
        <f>IF(MOD(L113,$B$11)=0,OFFSET(O113,-$B$11,0)+$E$2*N113+$E$3*OFFSET(N113,-$B$11,0)+$E$4*OFFSET(N113,-2*$B$11,0),O112)</f>
        <v/>
      </c>
      <c r="P113">
        <f>INT((2^$J$12-1)*O113/100)/(2^$J$12-1)*100</f>
        <v/>
      </c>
      <c r="Q113" t="n">
        <v>0</v>
      </c>
      <c r="R113">
        <f>P113+Q113</f>
        <v/>
      </c>
      <c r="S113">
        <f>$D$13</f>
        <v/>
      </c>
      <c r="T113">
        <f>RAND()*$G$12</f>
        <v/>
      </c>
      <c r="U113">
        <f>$I$1*S112-$I$2*S111+$I$3*R112+$I$4*R111</f>
        <v/>
      </c>
      <c r="V113">
        <f>INT((2^$J$12-1)*U113/100)/(2^$J$12-1)*100</f>
        <v/>
      </c>
      <c r="X113">
        <f>M113 * 1.05</f>
        <v/>
      </c>
    </row>
    <row r="114">
      <c r="L114" t="n">
        <v>112</v>
      </c>
      <c r="M114">
        <f>IF(L114&lt;$D$16,$D$13,IF(L114&lt;$E$16,$E$13,$F$13))</f>
        <v/>
      </c>
      <c r="N114">
        <f>M114-V114</f>
        <v/>
      </c>
      <c r="O114">
        <f>IF(MOD(L114,$B$11)=0,OFFSET(O114,-$B$11,0)+$E$2*N114+$E$3*OFFSET(N114,-$B$11,0)+$E$4*OFFSET(N114,-2*$B$11,0),O113)</f>
        <v/>
      </c>
      <c r="P114">
        <f>INT((2^$J$12-1)*O114/100)/(2^$J$12-1)*100</f>
        <v/>
      </c>
      <c r="Q114" t="n">
        <v>0</v>
      </c>
      <c r="R114">
        <f>P114+Q114</f>
        <v/>
      </c>
      <c r="S114">
        <f>$D$13</f>
        <v/>
      </c>
      <c r="T114">
        <f>RAND()*$G$12</f>
        <v/>
      </c>
      <c r="U114">
        <f>$I$1*S113-$I$2*S112+$I$3*R113+$I$4*R112</f>
        <v/>
      </c>
      <c r="V114">
        <f>INT((2^$J$12-1)*U114/100)/(2^$J$12-1)*100</f>
        <v/>
      </c>
      <c r="X114">
        <f>M114 * 1.05</f>
        <v/>
      </c>
    </row>
    <row r="115">
      <c r="L115" t="n">
        <v>113</v>
      </c>
      <c r="M115">
        <f>IF(L115&lt;$D$16,$D$13,IF(L115&lt;$E$16,$E$13,$F$13))</f>
        <v/>
      </c>
      <c r="N115">
        <f>M115-V115</f>
        <v/>
      </c>
      <c r="O115">
        <f>IF(MOD(L115,$B$11)=0,OFFSET(O115,-$B$11,0)+$E$2*N115+$E$3*OFFSET(N115,-$B$11,0)+$E$4*OFFSET(N115,-2*$B$11,0),O114)</f>
        <v/>
      </c>
      <c r="P115">
        <f>INT((2^$J$12-1)*O115/100)/(2^$J$12-1)*100</f>
        <v/>
      </c>
      <c r="Q115" t="n">
        <v>0</v>
      </c>
      <c r="R115">
        <f>P115+Q115</f>
        <v/>
      </c>
      <c r="S115">
        <f>$D$13</f>
        <v/>
      </c>
      <c r="T115">
        <f>RAND()*$G$12</f>
        <v/>
      </c>
      <c r="U115">
        <f>$I$1*S114-$I$2*S113+$I$3*R114+$I$4*R113</f>
        <v/>
      </c>
      <c r="V115">
        <f>INT((2^$J$12-1)*U115/100)/(2^$J$12-1)*100</f>
        <v/>
      </c>
      <c r="X115">
        <f>M115 * 1.05</f>
        <v/>
      </c>
    </row>
    <row r="116">
      <c r="L116" t="n">
        <v>114</v>
      </c>
      <c r="M116">
        <f>IF(L116&lt;$D$16,$D$13,IF(L116&lt;$E$16,$E$13,$F$13))</f>
        <v/>
      </c>
      <c r="N116">
        <f>M116-V116</f>
        <v/>
      </c>
      <c r="O116">
        <f>IF(MOD(L116,$B$11)=0,OFFSET(O116,-$B$11,0)+$E$2*N116+$E$3*OFFSET(N116,-$B$11,0)+$E$4*OFFSET(N116,-2*$B$11,0),O115)</f>
        <v/>
      </c>
      <c r="P116">
        <f>INT((2^$J$12-1)*O116/100)/(2^$J$12-1)*100</f>
        <v/>
      </c>
      <c r="Q116" t="n">
        <v>0</v>
      </c>
      <c r="R116">
        <f>P116+Q116</f>
        <v/>
      </c>
      <c r="S116">
        <f>$D$13</f>
        <v/>
      </c>
      <c r="T116">
        <f>RAND()*$G$12</f>
        <v/>
      </c>
      <c r="U116">
        <f>$I$1*S115-$I$2*S114+$I$3*R115+$I$4*R114</f>
        <v/>
      </c>
      <c r="V116">
        <f>INT((2^$J$12-1)*U116/100)/(2^$J$12-1)*100</f>
        <v/>
      </c>
      <c r="X116">
        <f>M116 * 1.05</f>
        <v/>
      </c>
    </row>
    <row r="117">
      <c r="L117" t="n">
        <v>115</v>
      </c>
      <c r="M117">
        <f>IF(L117&lt;$D$16,$D$13,IF(L117&lt;$E$16,$E$13,$F$13))</f>
        <v/>
      </c>
      <c r="N117">
        <f>M117-V117</f>
        <v/>
      </c>
      <c r="O117">
        <f>IF(MOD(L117,$B$11)=0,OFFSET(O117,-$B$11,0)+$E$2*N117+$E$3*OFFSET(N117,-$B$11,0)+$E$4*OFFSET(N117,-2*$B$11,0),O116)</f>
        <v/>
      </c>
      <c r="P117">
        <f>INT((2^$J$12-1)*O117/100)/(2^$J$12-1)*100</f>
        <v/>
      </c>
      <c r="Q117" t="n">
        <v>0</v>
      </c>
      <c r="R117">
        <f>P117+Q117</f>
        <v/>
      </c>
      <c r="S117">
        <f>$D$13</f>
        <v/>
      </c>
      <c r="T117">
        <f>RAND()*$G$12</f>
        <v/>
      </c>
      <c r="U117">
        <f>$I$1*S116-$I$2*S115+$I$3*R116+$I$4*R115</f>
        <v/>
      </c>
      <c r="V117">
        <f>INT((2^$J$12-1)*U117/100)/(2^$J$12-1)*100</f>
        <v/>
      </c>
      <c r="X117">
        <f>M117 * 1.05</f>
        <v/>
      </c>
    </row>
    <row r="118">
      <c r="L118" t="n">
        <v>116</v>
      </c>
      <c r="M118">
        <f>IF(L118&lt;$D$16,$D$13,IF(L118&lt;$E$16,$E$13,$F$13))</f>
        <v/>
      </c>
      <c r="N118">
        <f>M118-V118</f>
        <v/>
      </c>
      <c r="O118">
        <f>IF(MOD(L118,$B$11)=0,OFFSET(O118,-$B$11,0)+$E$2*N118+$E$3*OFFSET(N118,-$B$11,0)+$E$4*OFFSET(N118,-2*$B$11,0),O117)</f>
        <v/>
      </c>
      <c r="P118">
        <f>INT((2^$J$12-1)*O118/100)/(2^$J$12-1)*100</f>
        <v/>
      </c>
      <c r="Q118" t="n">
        <v>0</v>
      </c>
      <c r="R118">
        <f>P118+Q118</f>
        <v/>
      </c>
      <c r="S118">
        <f>$D$13</f>
        <v/>
      </c>
      <c r="T118">
        <f>RAND()*$G$12</f>
        <v/>
      </c>
      <c r="U118">
        <f>$I$1*S117-$I$2*S116+$I$3*R117+$I$4*R116</f>
        <v/>
      </c>
      <c r="V118">
        <f>INT((2^$J$12-1)*U118/100)/(2^$J$12-1)*100</f>
        <v/>
      </c>
      <c r="X118">
        <f>M118 * 1.05</f>
        <v/>
      </c>
    </row>
    <row r="119">
      <c r="L119" t="n">
        <v>117</v>
      </c>
      <c r="M119">
        <f>IF(L119&lt;$D$16,$D$13,IF(L119&lt;$E$16,$E$13,$F$13))</f>
        <v/>
      </c>
      <c r="N119">
        <f>M119-V119</f>
        <v/>
      </c>
      <c r="O119">
        <f>IF(MOD(L119,$B$11)=0,OFFSET(O119,-$B$11,0)+$E$2*N119+$E$3*OFFSET(N119,-$B$11,0)+$E$4*OFFSET(N119,-2*$B$11,0),O118)</f>
        <v/>
      </c>
      <c r="P119">
        <f>INT((2^$J$12-1)*O119/100)/(2^$J$12-1)*100</f>
        <v/>
      </c>
      <c r="Q119" t="n">
        <v>0</v>
      </c>
      <c r="R119">
        <f>P119+Q119</f>
        <v/>
      </c>
      <c r="S119">
        <f>$D$13</f>
        <v/>
      </c>
      <c r="T119">
        <f>RAND()*$G$12</f>
        <v/>
      </c>
      <c r="U119">
        <f>$I$1*S118-$I$2*S117+$I$3*R118+$I$4*R117</f>
        <v/>
      </c>
      <c r="V119">
        <f>INT((2^$J$12-1)*U119/100)/(2^$J$12-1)*100</f>
        <v/>
      </c>
      <c r="X119">
        <f>M119 * 1.05</f>
        <v/>
      </c>
    </row>
    <row r="120">
      <c r="L120" t="n">
        <v>118</v>
      </c>
      <c r="M120">
        <f>IF(L120&lt;$D$16,$D$13,IF(L120&lt;$E$16,$E$13,$F$13))</f>
        <v/>
      </c>
      <c r="N120">
        <f>M120-V120</f>
        <v/>
      </c>
      <c r="O120">
        <f>IF(MOD(L120,$B$11)=0,OFFSET(O120,-$B$11,0)+$E$2*N120+$E$3*OFFSET(N120,-$B$11,0)+$E$4*OFFSET(N120,-2*$B$11,0),O119)</f>
        <v/>
      </c>
      <c r="P120">
        <f>INT((2^$J$12-1)*O120/100)/(2^$J$12-1)*100</f>
        <v/>
      </c>
      <c r="Q120" t="n">
        <v>0</v>
      </c>
      <c r="R120">
        <f>P120+Q120</f>
        <v/>
      </c>
      <c r="S120">
        <f>$D$13</f>
        <v/>
      </c>
      <c r="T120">
        <f>RAND()*$G$12</f>
        <v/>
      </c>
      <c r="U120">
        <f>$I$1*S119-$I$2*S118+$I$3*R119+$I$4*R118</f>
        <v/>
      </c>
      <c r="V120">
        <f>INT((2^$J$12-1)*U120/100)/(2^$J$12-1)*100</f>
        <v/>
      </c>
      <c r="X120">
        <f>M120 * 1.05</f>
        <v/>
      </c>
    </row>
    <row r="121">
      <c r="L121" t="n">
        <v>119</v>
      </c>
      <c r="M121">
        <f>IF(L121&lt;$D$16,$D$13,IF(L121&lt;$E$16,$E$13,$F$13))</f>
        <v/>
      </c>
      <c r="N121">
        <f>M121-V121</f>
        <v/>
      </c>
      <c r="O121">
        <f>IF(MOD(L121,$B$11)=0,OFFSET(O121,-$B$11,0)+$E$2*N121+$E$3*OFFSET(N121,-$B$11,0)+$E$4*OFFSET(N121,-2*$B$11,0),O120)</f>
        <v/>
      </c>
      <c r="P121">
        <f>INT((2^$J$12-1)*O121/100)/(2^$J$12-1)*100</f>
        <v/>
      </c>
      <c r="Q121" t="n">
        <v>0</v>
      </c>
      <c r="R121">
        <f>P121+Q121</f>
        <v/>
      </c>
      <c r="S121">
        <f>$D$13</f>
        <v/>
      </c>
      <c r="T121">
        <f>RAND()*$G$12</f>
        <v/>
      </c>
      <c r="U121">
        <f>$I$1*S120-$I$2*S119+$I$3*R120+$I$4*R119</f>
        <v/>
      </c>
      <c r="V121">
        <f>INT((2^$J$12-1)*U121/100)/(2^$J$12-1)*100</f>
        <v/>
      </c>
      <c r="X121">
        <f>M121 * 1.05</f>
        <v/>
      </c>
    </row>
    <row r="122">
      <c r="L122" t="n">
        <v>120</v>
      </c>
      <c r="M122">
        <f>IF(L122&lt;$D$16,$D$13,IF(L122&lt;$E$16,$E$13,$F$13))</f>
        <v/>
      </c>
      <c r="N122">
        <f>M122-V122</f>
        <v/>
      </c>
      <c r="O122">
        <f>IF(MOD(L122,$B$11)=0,OFFSET(O122,-$B$11,0)+$E$2*N122+$E$3*OFFSET(N122,-$B$11,0)+$E$4*OFFSET(N122,-2*$B$11,0),O121)</f>
        <v/>
      </c>
      <c r="P122">
        <f>INT((2^$J$12-1)*O122/100)/(2^$J$12-1)*100</f>
        <v/>
      </c>
      <c r="Q122" t="n">
        <v>0</v>
      </c>
      <c r="R122">
        <f>P122+Q122</f>
        <v/>
      </c>
      <c r="S122">
        <f>$D$13</f>
        <v/>
      </c>
      <c r="T122">
        <f>RAND()*$G$12</f>
        <v/>
      </c>
      <c r="U122">
        <f>$I$1*S121-$I$2*S120+$I$3*R121+$I$4*R120</f>
        <v/>
      </c>
      <c r="V122">
        <f>INT((2^$J$12-1)*U122/100)/(2^$J$12-1)*100</f>
        <v/>
      </c>
      <c r="X122">
        <f>M122 * 1.05</f>
        <v/>
      </c>
    </row>
    <row r="123">
      <c r="L123" t="n">
        <v>121</v>
      </c>
      <c r="M123">
        <f>IF(L123&lt;$D$16,$D$13,IF(L123&lt;$E$16,$E$13,$F$13))</f>
        <v/>
      </c>
      <c r="N123">
        <f>M123-V123</f>
        <v/>
      </c>
      <c r="O123">
        <f>IF(MOD(L123,$B$11)=0,OFFSET(O123,-$B$11,0)+$E$2*N123+$E$3*OFFSET(N123,-$B$11,0)+$E$4*OFFSET(N123,-2*$B$11,0),O122)</f>
        <v/>
      </c>
      <c r="P123">
        <f>INT((2^$J$12-1)*O123/100)/(2^$J$12-1)*100</f>
        <v/>
      </c>
      <c r="Q123" t="n">
        <v>0</v>
      </c>
      <c r="R123">
        <f>P123+Q123</f>
        <v/>
      </c>
      <c r="S123">
        <f>$D$13</f>
        <v/>
      </c>
      <c r="T123">
        <f>RAND()*$G$12</f>
        <v/>
      </c>
      <c r="U123">
        <f>$I$1*S122-$I$2*S121+$I$3*R122+$I$4*R121</f>
        <v/>
      </c>
      <c r="V123">
        <f>INT((2^$J$12-1)*U123/100)/(2^$J$12-1)*100</f>
        <v/>
      </c>
      <c r="X123">
        <f>M123 * 1.05</f>
        <v/>
      </c>
    </row>
    <row r="124">
      <c r="L124" t="n">
        <v>122</v>
      </c>
      <c r="M124">
        <f>IF(L124&lt;$D$16,$D$13,IF(L124&lt;$E$16,$E$13,$F$13))</f>
        <v/>
      </c>
      <c r="N124">
        <f>M124-V124</f>
        <v/>
      </c>
      <c r="O124">
        <f>IF(MOD(L124,$B$11)=0,OFFSET(O124,-$B$11,0)+$E$2*N124+$E$3*OFFSET(N124,-$B$11,0)+$E$4*OFFSET(N124,-2*$B$11,0),O123)</f>
        <v/>
      </c>
      <c r="P124">
        <f>INT((2^$J$12-1)*O124/100)/(2^$J$12-1)*100</f>
        <v/>
      </c>
      <c r="Q124" t="n">
        <v>0</v>
      </c>
      <c r="R124">
        <f>P124+Q124</f>
        <v/>
      </c>
      <c r="S124">
        <f>$D$13</f>
        <v/>
      </c>
      <c r="T124">
        <f>RAND()*$G$12</f>
        <v/>
      </c>
      <c r="U124">
        <f>$I$1*S123-$I$2*S122+$I$3*R123+$I$4*R122</f>
        <v/>
      </c>
      <c r="V124">
        <f>INT((2^$J$12-1)*U124/100)/(2^$J$12-1)*100</f>
        <v/>
      </c>
      <c r="X124">
        <f>M124 * 1.05</f>
        <v/>
      </c>
    </row>
    <row r="125">
      <c r="L125" t="n">
        <v>123</v>
      </c>
      <c r="M125">
        <f>IF(L125&lt;$D$16,$D$13,IF(L125&lt;$E$16,$E$13,$F$13))</f>
        <v/>
      </c>
      <c r="N125">
        <f>M125-V125</f>
        <v/>
      </c>
      <c r="O125">
        <f>IF(MOD(L125,$B$11)=0,OFFSET(O125,-$B$11,0)+$E$2*N125+$E$3*OFFSET(N125,-$B$11,0)+$E$4*OFFSET(N125,-2*$B$11,0),O124)</f>
        <v/>
      </c>
      <c r="P125">
        <f>INT((2^$J$12-1)*O125/100)/(2^$J$12-1)*100</f>
        <v/>
      </c>
      <c r="Q125" t="n">
        <v>0</v>
      </c>
      <c r="R125">
        <f>P125+Q125</f>
        <v/>
      </c>
      <c r="S125">
        <f>$D$13</f>
        <v/>
      </c>
      <c r="T125">
        <f>RAND()*$G$12</f>
        <v/>
      </c>
      <c r="U125">
        <f>$I$1*S124-$I$2*S123+$I$3*R124+$I$4*R123</f>
        <v/>
      </c>
      <c r="V125">
        <f>INT((2^$J$12-1)*U125/100)/(2^$J$12-1)*100</f>
        <v/>
      </c>
      <c r="X125">
        <f>M125 * 1.05</f>
        <v/>
      </c>
    </row>
    <row r="126">
      <c r="L126" t="n">
        <v>124</v>
      </c>
      <c r="M126">
        <f>IF(L126&lt;$D$16,$D$13,IF(L126&lt;$E$16,$E$13,$F$13))</f>
        <v/>
      </c>
      <c r="N126">
        <f>M126-V126</f>
        <v/>
      </c>
      <c r="O126">
        <f>IF(MOD(L126,$B$11)=0,OFFSET(O126,-$B$11,0)+$E$2*N126+$E$3*OFFSET(N126,-$B$11,0)+$E$4*OFFSET(N126,-2*$B$11,0),O125)</f>
        <v/>
      </c>
      <c r="P126">
        <f>INT((2^$J$12-1)*O126/100)/(2^$J$12-1)*100</f>
        <v/>
      </c>
      <c r="Q126" t="n">
        <v>0</v>
      </c>
      <c r="R126">
        <f>P126+Q126</f>
        <v/>
      </c>
      <c r="S126">
        <f>$D$13</f>
        <v/>
      </c>
      <c r="T126">
        <f>RAND()*$G$12</f>
        <v/>
      </c>
      <c r="U126">
        <f>$I$1*S125-$I$2*S124+$I$3*R125+$I$4*R124</f>
        <v/>
      </c>
      <c r="V126">
        <f>INT((2^$J$12-1)*U126/100)/(2^$J$12-1)*100</f>
        <v/>
      </c>
      <c r="X126">
        <f>M126 * 1.05</f>
        <v/>
      </c>
    </row>
    <row r="127">
      <c r="L127" t="n">
        <v>125</v>
      </c>
      <c r="M127">
        <f>IF(L127&lt;$D$16,$D$13,IF(L127&lt;$E$16,$E$13,$F$13))</f>
        <v/>
      </c>
      <c r="N127">
        <f>M127-V127</f>
        <v/>
      </c>
      <c r="O127">
        <f>IF(MOD(L127,$B$11)=0,OFFSET(O127,-$B$11,0)+$E$2*N127+$E$3*OFFSET(N127,-$B$11,0)+$E$4*OFFSET(N127,-2*$B$11,0),O126)</f>
        <v/>
      </c>
      <c r="P127">
        <f>INT((2^$J$12-1)*O127/100)/(2^$J$12-1)*100</f>
        <v/>
      </c>
      <c r="Q127" t="n">
        <v>0</v>
      </c>
      <c r="R127">
        <f>P127+Q127</f>
        <v/>
      </c>
      <c r="S127">
        <f>$D$13</f>
        <v/>
      </c>
      <c r="T127">
        <f>RAND()*$G$12</f>
        <v/>
      </c>
      <c r="U127">
        <f>$I$1*S126-$I$2*S125+$I$3*R126+$I$4*R125</f>
        <v/>
      </c>
      <c r="V127">
        <f>INT((2^$J$12-1)*U127/100)/(2^$J$12-1)*100</f>
        <v/>
      </c>
      <c r="X127">
        <f>M127 * 1.05</f>
        <v/>
      </c>
    </row>
    <row r="128">
      <c r="L128" t="n">
        <v>126</v>
      </c>
      <c r="M128">
        <f>IF(L128&lt;$D$16,$D$13,IF(L128&lt;$E$16,$E$13,$F$13))</f>
        <v/>
      </c>
      <c r="N128">
        <f>M128-V128</f>
        <v/>
      </c>
      <c r="O128">
        <f>IF(MOD(L128,$B$11)=0,OFFSET(O128,-$B$11,0)+$E$2*N128+$E$3*OFFSET(N128,-$B$11,0)+$E$4*OFFSET(N128,-2*$B$11,0),O127)</f>
        <v/>
      </c>
      <c r="P128">
        <f>INT((2^$J$12-1)*O128/100)/(2^$J$12-1)*100</f>
        <v/>
      </c>
      <c r="Q128" t="n">
        <v>0</v>
      </c>
      <c r="R128">
        <f>P128+Q128</f>
        <v/>
      </c>
      <c r="S128">
        <f>$D$13</f>
        <v/>
      </c>
      <c r="T128">
        <f>RAND()*$G$12</f>
        <v/>
      </c>
      <c r="U128">
        <f>$I$1*S127-$I$2*S126+$I$3*R127+$I$4*R126</f>
        <v/>
      </c>
      <c r="V128">
        <f>INT((2^$J$12-1)*U128/100)/(2^$J$12-1)*100</f>
        <v/>
      </c>
      <c r="X128">
        <f>M128 * 1.05</f>
        <v/>
      </c>
    </row>
    <row r="129">
      <c r="L129" t="n">
        <v>127</v>
      </c>
      <c r="M129">
        <f>IF(L129&lt;$D$16,$D$13,IF(L129&lt;$E$16,$E$13,$F$13))</f>
        <v/>
      </c>
      <c r="N129">
        <f>M129-V129</f>
        <v/>
      </c>
      <c r="O129">
        <f>IF(MOD(L129,$B$11)=0,OFFSET(O129,-$B$11,0)+$E$2*N129+$E$3*OFFSET(N129,-$B$11,0)+$E$4*OFFSET(N129,-2*$B$11,0),O128)</f>
        <v/>
      </c>
      <c r="P129">
        <f>INT((2^$J$12-1)*O129/100)/(2^$J$12-1)*100</f>
        <v/>
      </c>
      <c r="Q129" t="n">
        <v>0</v>
      </c>
      <c r="R129">
        <f>P129+Q129</f>
        <v/>
      </c>
      <c r="S129">
        <f>$D$13</f>
        <v/>
      </c>
      <c r="T129">
        <f>RAND()*$G$12</f>
        <v/>
      </c>
      <c r="U129">
        <f>$I$1*S128-$I$2*S127+$I$3*R128+$I$4*R127</f>
        <v/>
      </c>
      <c r="V129">
        <f>INT((2^$J$12-1)*U129/100)/(2^$J$12-1)*100</f>
        <v/>
      </c>
      <c r="X129">
        <f>M129 * 1.05</f>
        <v/>
      </c>
    </row>
    <row r="130">
      <c r="L130" t="n">
        <v>128</v>
      </c>
      <c r="M130">
        <f>IF(L130&lt;$D$16,$D$13,IF(L130&lt;$E$16,$E$13,$F$13))</f>
        <v/>
      </c>
      <c r="N130">
        <f>M130-V130</f>
        <v/>
      </c>
      <c r="O130">
        <f>IF(MOD(L130,$B$11)=0,OFFSET(O130,-$B$11,0)+$E$2*N130+$E$3*OFFSET(N130,-$B$11,0)+$E$4*OFFSET(N130,-2*$B$11,0),O129)</f>
        <v/>
      </c>
      <c r="P130">
        <f>INT((2^$J$12-1)*O130/100)/(2^$J$12-1)*100</f>
        <v/>
      </c>
      <c r="Q130" t="n">
        <v>0</v>
      </c>
      <c r="R130">
        <f>P130+Q130</f>
        <v/>
      </c>
      <c r="S130">
        <f>$D$13</f>
        <v/>
      </c>
      <c r="T130">
        <f>RAND()*$G$12</f>
        <v/>
      </c>
      <c r="U130">
        <f>$I$1*S129-$I$2*S128+$I$3*R129+$I$4*R128</f>
        <v/>
      </c>
      <c r="V130">
        <f>INT((2^$J$12-1)*U130/100)/(2^$J$12-1)*100</f>
        <v/>
      </c>
      <c r="X130">
        <f>M130 * 1.05</f>
        <v/>
      </c>
    </row>
    <row r="131">
      <c r="L131" t="n">
        <v>129</v>
      </c>
      <c r="M131">
        <f>IF(L131&lt;$D$16,$D$13,IF(L131&lt;$E$16,$E$13,$F$13))</f>
        <v/>
      </c>
      <c r="N131">
        <f>M131-V131</f>
        <v/>
      </c>
      <c r="O131">
        <f>IF(MOD(L131,$B$11)=0,OFFSET(O131,-$B$11,0)+$E$2*N131+$E$3*OFFSET(N131,-$B$11,0)+$E$4*OFFSET(N131,-2*$B$11,0),O130)</f>
        <v/>
      </c>
      <c r="P131">
        <f>INT((2^$J$12-1)*O131/100)/(2^$J$12-1)*100</f>
        <v/>
      </c>
      <c r="Q131" t="n">
        <v>0</v>
      </c>
      <c r="R131">
        <f>P131+Q131</f>
        <v/>
      </c>
      <c r="S131">
        <f>$D$13</f>
        <v/>
      </c>
      <c r="T131">
        <f>RAND()*$G$12</f>
        <v/>
      </c>
      <c r="U131">
        <f>$I$1*S130-$I$2*S129+$I$3*R130+$I$4*R129</f>
        <v/>
      </c>
      <c r="V131">
        <f>INT((2^$J$12-1)*U131/100)/(2^$J$12-1)*100</f>
        <v/>
      </c>
      <c r="X131">
        <f>M131 * 1.05</f>
        <v/>
      </c>
    </row>
    <row r="132">
      <c r="L132" t="n">
        <v>130</v>
      </c>
      <c r="M132">
        <f>IF(L132&lt;$D$16,$D$13,IF(L132&lt;$E$16,$E$13,$F$13))</f>
        <v/>
      </c>
      <c r="N132">
        <f>M132-V132</f>
        <v/>
      </c>
      <c r="O132">
        <f>IF(MOD(L132,$B$11)=0,OFFSET(O132,-$B$11,0)+$E$2*N132+$E$3*OFFSET(N132,-$B$11,0)+$E$4*OFFSET(N132,-2*$B$11,0),O131)</f>
        <v/>
      </c>
      <c r="P132">
        <f>INT((2^$J$12-1)*O132/100)/(2^$J$12-1)*100</f>
        <v/>
      </c>
      <c r="Q132" t="n">
        <v>0</v>
      </c>
      <c r="R132">
        <f>P132+Q132</f>
        <v/>
      </c>
      <c r="S132">
        <f>$D$13</f>
        <v/>
      </c>
      <c r="T132">
        <f>RAND()*$G$12</f>
        <v/>
      </c>
      <c r="U132">
        <f>$I$1*S131-$I$2*S130+$I$3*R131+$I$4*R130</f>
        <v/>
      </c>
      <c r="V132">
        <f>INT((2^$J$12-1)*U132/100)/(2^$J$12-1)*100</f>
        <v/>
      </c>
      <c r="X132">
        <f>M132 * 1.05</f>
        <v/>
      </c>
    </row>
    <row r="133">
      <c r="L133" t="n">
        <v>131</v>
      </c>
      <c r="M133">
        <f>IF(L133&lt;$D$16,$D$13,IF(L133&lt;$E$16,$E$13,$F$13))</f>
        <v/>
      </c>
      <c r="N133">
        <f>M133-V133</f>
        <v/>
      </c>
      <c r="O133">
        <f>IF(MOD(L133,$B$11)=0,OFFSET(O133,-$B$11,0)+$E$2*N133+$E$3*OFFSET(N133,-$B$11,0)+$E$4*OFFSET(N133,-2*$B$11,0),O132)</f>
        <v/>
      </c>
      <c r="P133">
        <f>INT((2^$J$12-1)*O133/100)/(2^$J$12-1)*100</f>
        <v/>
      </c>
      <c r="Q133" t="n">
        <v>0</v>
      </c>
      <c r="R133">
        <f>P133+Q133</f>
        <v/>
      </c>
      <c r="S133">
        <f>$D$13</f>
        <v/>
      </c>
      <c r="T133">
        <f>RAND()*$G$12</f>
        <v/>
      </c>
      <c r="U133">
        <f>$I$1*S132-$I$2*S131+$I$3*R132+$I$4*R131</f>
        <v/>
      </c>
      <c r="V133">
        <f>INT((2^$J$12-1)*U133/100)/(2^$J$12-1)*100</f>
        <v/>
      </c>
      <c r="X133">
        <f>M133 * 1.05</f>
        <v/>
      </c>
    </row>
    <row r="134">
      <c r="L134" t="n">
        <v>132</v>
      </c>
      <c r="M134">
        <f>IF(L134&lt;$D$16,$D$13,IF(L134&lt;$E$16,$E$13,$F$13))</f>
        <v/>
      </c>
      <c r="N134">
        <f>M134-V134</f>
        <v/>
      </c>
      <c r="O134">
        <f>IF(MOD(L134,$B$11)=0,OFFSET(O134,-$B$11,0)+$E$2*N134+$E$3*OFFSET(N134,-$B$11,0)+$E$4*OFFSET(N134,-2*$B$11,0),O133)</f>
        <v/>
      </c>
      <c r="P134">
        <f>INT((2^$J$12-1)*O134/100)/(2^$J$12-1)*100</f>
        <v/>
      </c>
      <c r="Q134" t="n">
        <v>0</v>
      </c>
      <c r="R134">
        <f>P134+Q134</f>
        <v/>
      </c>
      <c r="S134">
        <f>$D$13</f>
        <v/>
      </c>
      <c r="T134">
        <f>RAND()*$G$12</f>
        <v/>
      </c>
      <c r="U134">
        <f>$I$1*S133-$I$2*S132+$I$3*R133+$I$4*R132</f>
        <v/>
      </c>
      <c r="V134">
        <f>INT((2^$J$12-1)*U134/100)/(2^$J$12-1)*100</f>
        <v/>
      </c>
      <c r="X134">
        <f>M134 * 1.05</f>
        <v/>
      </c>
    </row>
    <row r="135">
      <c r="L135" t="n">
        <v>133</v>
      </c>
      <c r="M135">
        <f>IF(L135&lt;$D$16,$D$13,IF(L135&lt;$E$16,$E$13,$F$13))</f>
        <v/>
      </c>
      <c r="N135">
        <f>M135-V135</f>
        <v/>
      </c>
      <c r="O135">
        <f>IF(MOD(L135,$B$11)=0,OFFSET(O135,-$B$11,0)+$E$2*N135+$E$3*OFFSET(N135,-$B$11,0)+$E$4*OFFSET(N135,-2*$B$11,0),O134)</f>
        <v/>
      </c>
      <c r="P135">
        <f>INT((2^$J$12-1)*O135/100)/(2^$J$12-1)*100</f>
        <v/>
      </c>
      <c r="Q135" t="n">
        <v>0</v>
      </c>
      <c r="R135">
        <f>P135+Q135</f>
        <v/>
      </c>
      <c r="S135">
        <f>$D$13</f>
        <v/>
      </c>
      <c r="T135">
        <f>RAND()*$G$12</f>
        <v/>
      </c>
      <c r="U135">
        <f>$I$1*S134-$I$2*S133+$I$3*R134+$I$4*R133</f>
        <v/>
      </c>
      <c r="V135">
        <f>INT((2^$J$12-1)*U135/100)/(2^$J$12-1)*100</f>
        <v/>
      </c>
      <c r="X135">
        <f>M135 * 1.05</f>
        <v/>
      </c>
    </row>
    <row r="136">
      <c r="L136" t="n">
        <v>134</v>
      </c>
      <c r="M136">
        <f>IF(L136&lt;$D$16,$D$13,IF(L136&lt;$E$16,$E$13,$F$13))</f>
        <v/>
      </c>
      <c r="N136">
        <f>M136-V136</f>
        <v/>
      </c>
      <c r="O136">
        <f>IF(MOD(L136,$B$11)=0,OFFSET(O136,-$B$11,0)+$E$2*N136+$E$3*OFFSET(N136,-$B$11,0)+$E$4*OFFSET(N136,-2*$B$11,0),O135)</f>
        <v/>
      </c>
      <c r="P136">
        <f>INT((2^$J$12-1)*O136/100)/(2^$J$12-1)*100</f>
        <v/>
      </c>
      <c r="Q136" t="n">
        <v>0</v>
      </c>
      <c r="R136">
        <f>P136+Q136</f>
        <v/>
      </c>
      <c r="S136">
        <f>$D$13</f>
        <v/>
      </c>
      <c r="T136">
        <f>RAND()*$G$12</f>
        <v/>
      </c>
      <c r="U136">
        <f>$I$1*S135-$I$2*S134+$I$3*R135+$I$4*R134</f>
        <v/>
      </c>
      <c r="V136">
        <f>INT((2^$J$12-1)*U136/100)/(2^$J$12-1)*100</f>
        <v/>
      </c>
      <c r="X136">
        <f>M136 * 1.05</f>
        <v/>
      </c>
    </row>
    <row r="137">
      <c r="L137" t="n">
        <v>135</v>
      </c>
      <c r="M137">
        <f>IF(L137&lt;$D$16,$D$13,IF(L137&lt;$E$16,$E$13,$F$13))</f>
        <v/>
      </c>
      <c r="N137">
        <f>M137-V137</f>
        <v/>
      </c>
      <c r="O137">
        <f>IF(MOD(L137,$B$11)=0,OFFSET(O137,-$B$11,0)+$E$2*N137+$E$3*OFFSET(N137,-$B$11,0)+$E$4*OFFSET(N137,-2*$B$11,0),O136)</f>
        <v/>
      </c>
      <c r="P137">
        <f>INT((2^$J$12-1)*O137/100)/(2^$J$12-1)*100</f>
        <v/>
      </c>
      <c r="Q137" t="n">
        <v>0</v>
      </c>
      <c r="R137">
        <f>P137+Q137</f>
        <v/>
      </c>
      <c r="S137">
        <f>$D$13</f>
        <v/>
      </c>
      <c r="T137">
        <f>RAND()*$G$12</f>
        <v/>
      </c>
      <c r="U137">
        <f>$I$1*S136-$I$2*S135+$I$3*R136+$I$4*R135</f>
        <v/>
      </c>
      <c r="V137">
        <f>INT((2^$J$12-1)*U137/100)/(2^$J$12-1)*100</f>
        <v/>
      </c>
      <c r="X137">
        <f>M137 * 1.05</f>
        <v/>
      </c>
    </row>
    <row r="138">
      <c r="L138" t="n">
        <v>136</v>
      </c>
      <c r="M138">
        <f>IF(L138&lt;$D$16,$D$13,IF(L138&lt;$E$16,$E$13,$F$13))</f>
        <v/>
      </c>
      <c r="N138">
        <f>M138-V138</f>
        <v/>
      </c>
      <c r="O138">
        <f>IF(MOD(L138,$B$11)=0,OFFSET(O138,-$B$11,0)+$E$2*N138+$E$3*OFFSET(N138,-$B$11,0)+$E$4*OFFSET(N138,-2*$B$11,0),O137)</f>
        <v/>
      </c>
      <c r="P138">
        <f>INT((2^$J$12-1)*O138/100)/(2^$J$12-1)*100</f>
        <v/>
      </c>
      <c r="Q138" t="n">
        <v>0</v>
      </c>
      <c r="R138">
        <f>P138+Q138</f>
        <v/>
      </c>
      <c r="S138">
        <f>$D$13</f>
        <v/>
      </c>
      <c r="T138">
        <f>RAND()*$G$12</f>
        <v/>
      </c>
      <c r="U138">
        <f>$I$1*S137-$I$2*S136+$I$3*R137+$I$4*R136</f>
        <v/>
      </c>
      <c r="V138">
        <f>INT((2^$J$12-1)*U138/100)/(2^$J$12-1)*100</f>
        <v/>
      </c>
      <c r="X138">
        <f>M138 * 1.05</f>
        <v/>
      </c>
    </row>
    <row r="139">
      <c r="L139" t="n">
        <v>137</v>
      </c>
      <c r="M139">
        <f>IF(L139&lt;$D$16,$D$13,IF(L139&lt;$E$16,$E$13,$F$13))</f>
        <v/>
      </c>
      <c r="N139">
        <f>M139-V139</f>
        <v/>
      </c>
      <c r="O139">
        <f>IF(MOD(L139,$B$11)=0,OFFSET(O139,-$B$11,0)+$E$2*N139+$E$3*OFFSET(N139,-$B$11,0)+$E$4*OFFSET(N139,-2*$B$11,0),O138)</f>
        <v/>
      </c>
      <c r="P139">
        <f>INT((2^$J$12-1)*O139/100)/(2^$J$12-1)*100</f>
        <v/>
      </c>
      <c r="Q139" t="n">
        <v>0</v>
      </c>
      <c r="R139">
        <f>P139+Q139</f>
        <v/>
      </c>
      <c r="S139">
        <f>$D$13</f>
        <v/>
      </c>
      <c r="T139">
        <f>RAND()*$G$12</f>
        <v/>
      </c>
      <c r="U139">
        <f>$I$1*S138-$I$2*S137+$I$3*R138+$I$4*R137</f>
        <v/>
      </c>
      <c r="V139">
        <f>INT((2^$J$12-1)*U139/100)/(2^$J$12-1)*100</f>
        <v/>
      </c>
      <c r="X139">
        <f>M139 * 1.05</f>
        <v/>
      </c>
    </row>
    <row r="140">
      <c r="L140" t="n">
        <v>138</v>
      </c>
      <c r="M140">
        <f>IF(L140&lt;$D$16,$D$13,IF(L140&lt;$E$16,$E$13,$F$13))</f>
        <v/>
      </c>
      <c r="N140">
        <f>M140-V140</f>
        <v/>
      </c>
      <c r="O140">
        <f>IF(MOD(L140,$B$11)=0,OFFSET(O140,-$B$11,0)+$E$2*N140+$E$3*OFFSET(N140,-$B$11,0)+$E$4*OFFSET(N140,-2*$B$11,0),O139)</f>
        <v/>
      </c>
      <c r="P140">
        <f>INT((2^$J$12-1)*O140/100)/(2^$J$12-1)*100</f>
        <v/>
      </c>
      <c r="Q140" t="n">
        <v>0</v>
      </c>
      <c r="R140">
        <f>P140+Q140</f>
        <v/>
      </c>
      <c r="S140">
        <f>$D$13</f>
        <v/>
      </c>
      <c r="T140">
        <f>RAND()*$G$12</f>
        <v/>
      </c>
      <c r="U140">
        <f>$I$1*S139-$I$2*S138+$I$3*R139+$I$4*R138</f>
        <v/>
      </c>
      <c r="V140">
        <f>INT((2^$J$12-1)*U140/100)/(2^$J$12-1)*100</f>
        <v/>
      </c>
      <c r="X140">
        <f>M140 * 1.05</f>
        <v/>
      </c>
    </row>
    <row r="141">
      <c r="L141" t="n">
        <v>139</v>
      </c>
      <c r="M141">
        <f>IF(L141&lt;$D$16,$D$13,IF(L141&lt;$E$16,$E$13,$F$13))</f>
        <v/>
      </c>
      <c r="N141">
        <f>M141-V141</f>
        <v/>
      </c>
      <c r="O141">
        <f>IF(MOD(L141,$B$11)=0,OFFSET(O141,-$B$11,0)+$E$2*N141+$E$3*OFFSET(N141,-$B$11,0)+$E$4*OFFSET(N141,-2*$B$11,0),O140)</f>
        <v/>
      </c>
      <c r="P141">
        <f>INT((2^$J$12-1)*O141/100)/(2^$J$12-1)*100</f>
        <v/>
      </c>
      <c r="Q141" t="n">
        <v>0</v>
      </c>
      <c r="R141">
        <f>P141+Q141</f>
        <v/>
      </c>
      <c r="S141">
        <f>$D$13</f>
        <v/>
      </c>
      <c r="T141">
        <f>RAND()*$G$12</f>
        <v/>
      </c>
      <c r="U141">
        <f>$I$1*S140-$I$2*S139+$I$3*R140+$I$4*R139</f>
        <v/>
      </c>
      <c r="V141">
        <f>INT((2^$J$12-1)*U141/100)/(2^$J$12-1)*100</f>
        <v/>
      </c>
      <c r="X141">
        <f>M141 * 1.05</f>
        <v/>
      </c>
    </row>
    <row r="142">
      <c r="L142" t="n">
        <v>140</v>
      </c>
      <c r="M142">
        <f>IF(L142&lt;$D$16,$D$13,IF(L142&lt;$E$16,$E$13,$F$13))</f>
        <v/>
      </c>
      <c r="N142">
        <f>M142-V142</f>
        <v/>
      </c>
      <c r="O142">
        <f>IF(MOD(L142,$B$11)=0,OFFSET(O142,-$B$11,0)+$E$2*N142+$E$3*OFFSET(N142,-$B$11,0)+$E$4*OFFSET(N142,-2*$B$11,0),O141)</f>
        <v/>
      </c>
      <c r="P142">
        <f>INT((2^$J$12-1)*O142/100)/(2^$J$12-1)*100</f>
        <v/>
      </c>
      <c r="Q142" t="n">
        <v>0</v>
      </c>
      <c r="R142">
        <f>P142+Q142</f>
        <v/>
      </c>
      <c r="S142">
        <f>$D$13</f>
        <v/>
      </c>
      <c r="T142">
        <f>RAND()*$G$12</f>
        <v/>
      </c>
      <c r="U142">
        <f>$I$1*S141-$I$2*S140+$I$3*R141+$I$4*R140</f>
        <v/>
      </c>
      <c r="V142">
        <f>INT((2^$J$12-1)*U142/100)/(2^$J$12-1)*100</f>
        <v/>
      </c>
      <c r="X142">
        <f>M142 * 1.05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2026-04-13T05:37:55Z</dcterms:created>
  <dcterms:modified xmlns:dcterms="http://purl.org/dc/terms/" xmlns:xsi="http://www.w3.org/2001/XMLSchema-instance" xsi:type="dcterms:W3CDTF">2026-05-19T09:20:34Z</dcterms:modified>
</cp:coreProperties>
</file>